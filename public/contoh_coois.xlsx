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12. Books Order BP\2024\COOIS\"/>
    </mc:Choice>
  </mc:AlternateContent>
  <xr:revisionPtr revIDLastSave="0" documentId="8_{96C525B1-6C83-4E8E-B99F-D9B11269AB54}" xr6:coauthVersionLast="47" xr6:coauthVersionMax="47" xr10:uidLastSave="{00000000-0000-0000-0000-000000000000}"/>
  <bookViews>
    <workbookView xWindow="-120" yWindow="-120" windowWidth="20730" windowHeight="11160" activeTab="14" xr2:uid="{B3F604E7-2182-4EDD-A833-E699BEF74814}"/>
  </bookViews>
  <sheets>
    <sheet name="30" sheetId="218" r:id="rId1"/>
    <sheet name="1" sheetId="219" r:id="rId2"/>
    <sheet name="2" sheetId="220" r:id="rId3"/>
    <sheet name="3" sheetId="221" r:id="rId4"/>
    <sheet name="4" sheetId="222" r:id="rId5"/>
    <sheet name="5" sheetId="223" r:id="rId6"/>
    <sheet name="7" sheetId="224" r:id="rId7"/>
    <sheet name="8" sheetId="225" r:id="rId8"/>
    <sheet name="9" sheetId="226" r:id="rId9"/>
    <sheet name="10" sheetId="227" r:id="rId10"/>
    <sheet name="11" sheetId="228" r:id="rId11"/>
    <sheet name="12" sheetId="229" r:id="rId12"/>
    <sheet name="14" sheetId="230" r:id="rId13"/>
    <sheet name="15" sheetId="231" r:id="rId14"/>
    <sheet name="16" sheetId="232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9" hidden="1">'10'!$A$2:$M$296</definedName>
    <definedName name="_xlnm._FilterDatabase" localSheetId="10" hidden="1">'11'!$A$2:$M$305</definedName>
    <definedName name="_xlnm._FilterDatabase" localSheetId="11" hidden="1">'12'!$A$2:$M$287</definedName>
    <definedName name="_xlnm._FilterDatabase" localSheetId="2" hidden="1">'2'!$A$2:$M$261</definedName>
    <definedName name="_xlnm._FilterDatabase" localSheetId="6" hidden="1">'7'!$A$2:$M$302</definedName>
    <definedName name="_xlnm._FilterDatabase" localSheetId="7" hidden="1">'8'!$A$2:$M$310</definedName>
    <definedName name="_xlnm._FilterDatabase" localSheetId="8" hidden="1">'9'!$A$2:$M$304</definedName>
    <definedName name="_xlnm.Print_Area" localSheetId="1">'1'!$B$1:$M$284</definedName>
    <definedName name="_xlnm.Print_Area" localSheetId="12">'14'!$B$1:$M$226</definedName>
    <definedName name="_xlnm.Print_Area" localSheetId="13">'15'!$B$1:$M$213</definedName>
    <definedName name="_xlnm.Print_Area" localSheetId="2">'2'!$B$1:$M$260</definedName>
    <definedName name="_xlnm.Print_Area" localSheetId="3">'3'!$B$1:$M$262</definedName>
    <definedName name="_xlnm.Print_Area" localSheetId="4">'4'!$B$1:$M$265</definedName>
    <definedName name="_xlnm.Print_Area" localSheetId="5">'5'!$B$1:$M$271</definedName>
    <definedName name="_xlnm.Print_Titles" localSheetId="1">'1'!$1:$2</definedName>
    <definedName name="_xlnm.Print_Titles" localSheetId="9">'10'!$1:$2</definedName>
    <definedName name="_xlnm.Print_Titles" localSheetId="10">'11'!$1:$2</definedName>
    <definedName name="_xlnm.Print_Titles" localSheetId="11">'12'!$1:$2</definedName>
    <definedName name="_xlnm.Print_Titles" localSheetId="12">'14'!$1:$2</definedName>
    <definedName name="_xlnm.Print_Titles" localSheetId="13">'15'!$1:$2</definedName>
    <definedName name="_xlnm.Print_Titles" localSheetId="2">'2'!$1:$2</definedName>
    <definedName name="_xlnm.Print_Titles" localSheetId="3">'3'!$1:$2</definedName>
    <definedName name="_xlnm.Print_Titles" localSheetId="4">'4'!$1:$2</definedName>
    <definedName name="_xlnm.Print_Titles" localSheetId="5">'5'!$1:$2</definedName>
    <definedName name="_xlnm.Print_Titles" localSheetId="6">'7'!$1:$2</definedName>
    <definedName name="_xlnm.Print_Titles" localSheetId="7">'8'!$1:$2</definedName>
    <definedName name="_xlnm.Print_Titles" localSheetId="8">'9'!$1:$2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32" l="1"/>
  <c r="K5" i="232"/>
  <c r="K6" i="232"/>
  <c r="K7" i="232"/>
  <c r="K8" i="232"/>
  <c r="K9" i="232"/>
  <c r="K10" i="232"/>
  <c r="K11" i="232"/>
  <c r="K12" i="232"/>
  <c r="K13" i="232"/>
  <c r="K14" i="232"/>
  <c r="K15" i="232"/>
  <c r="K16" i="232"/>
  <c r="K17" i="232"/>
  <c r="K18" i="232"/>
  <c r="K19" i="232"/>
  <c r="K20" i="232"/>
  <c r="K21" i="232"/>
  <c r="K22" i="232"/>
  <c r="K23" i="232"/>
  <c r="K24" i="232"/>
  <c r="K25" i="232"/>
  <c r="K26" i="232"/>
  <c r="K27" i="232"/>
  <c r="K28" i="232"/>
  <c r="K29" i="232"/>
  <c r="K30" i="232"/>
  <c r="K31" i="232"/>
  <c r="K32" i="232"/>
  <c r="K33" i="232"/>
  <c r="K34" i="232"/>
  <c r="K35" i="232"/>
  <c r="K36" i="232"/>
  <c r="K37" i="232"/>
  <c r="K38" i="232"/>
  <c r="K39" i="232"/>
  <c r="K40" i="232"/>
  <c r="K41" i="232"/>
  <c r="K42" i="232"/>
  <c r="K43" i="232"/>
  <c r="K44" i="232"/>
  <c r="K45" i="232"/>
  <c r="K46" i="232"/>
  <c r="K47" i="232"/>
  <c r="K48" i="232"/>
  <c r="K49" i="232"/>
  <c r="K50" i="232"/>
  <c r="K51" i="232"/>
  <c r="K52" i="232"/>
  <c r="K53" i="232"/>
  <c r="K54" i="232"/>
  <c r="K55" i="232"/>
  <c r="K56" i="232"/>
  <c r="K57" i="232"/>
  <c r="K58" i="232"/>
  <c r="K59" i="232"/>
  <c r="K60" i="232"/>
  <c r="K61" i="232"/>
  <c r="K62" i="232"/>
  <c r="K63" i="232"/>
  <c r="K64" i="232"/>
  <c r="K65" i="232"/>
  <c r="K66" i="232"/>
  <c r="K67" i="232"/>
  <c r="K68" i="232"/>
  <c r="K69" i="232"/>
  <c r="K70" i="232"/>
  <c r="K71" i="232"/>
  <c r="K72" i="232"/>
  <c r="K73" i="232"/>
  <c r="K74" i="232"/>
  <c r="K75" i="232"/>
  <c r="K76" i="232"/>
  <c r="K77" i="232"/>
  <c r="K78" i="232"/>
  <c r="K79" i="232"/>
  <c r="K80" i="232"/>
  <c r="K81" i="232"/>
  <c r="K82" i="232"/>
  <c r="K83" i="232"/>
  <c r="K84" i="232"/>
  <c r="K85" i="232"/>
  <c r="K86" i="232"/>
  <c r="K87" i="232"/>
  <c r="K88" i="232"/>
  <c r="K89" i="232"/>
  <c r="K90" i="232"/>
  <c r="K91" i="232"/>
  <c r="K92" i="232"/>
  <c r="K93" i="232"/>
  <c r="K94" i="232"/>
  <c r="K95" i="232"/>
  <c r="K96" i="232"/>
  <c r="K97" i="232"/>
  <c r="K98" i="232"/>
  <c r="K99" i="232"/>
  <c r="K100" i="232"/>
  <c r="K101" i="232"/>
  <c r="K102" i="232"/>
  <c r="K103" i="232"/>
  <c r="K104" i="232"/>
  <c r="K105" i="232"/>
  <c r="K106" i="232"/>
  <c r="K107" i="232"/>
  <c r="K108" i="232"/>
  <c r="K109" i="232"/>
  <c r="K110" i="232"/>
  <c r="K111" i="232"/>
  <c r="K112" i="232"/>
  <c r="K113" i="232"/>
  <c r="K114" i="232"/>
  <c r="K115" i="232"/>
  <c r="K116" i="232"/>
  <c r="K117" i="232"/>
  <c r="K118" i="232"/>
  <c r="K119" i="232"/>
  <c r="K120" i="232"/>
  <c r="K121" i="232"/>
  <c r="K122" i="232"/>
  <c r="K123" i="232"/>
  <c r="K124" i="232"/>
  <c r="K125" i="232"/>
  <c r="K126" i="232"/>
  <c r="K127" i="232"/>
  <c r="K128" i="232"/>
  <c r="K129" i="232"/>
  <c r="K130" i="232"/>
  <c r="K131" i="232"/>
  <c r="K132" i="232"/>
  <c r="K133" i="232"/>
  <c r="K134" i="232"/>
  <c r="K135" i="232"/>
  <c r="K136" i="232"/>
  <c r="K137" i="232"/>
  <c r="K138" i="232"/>
  <c r="K139" i="232"/>
  <c r="K140" i="232"/>
  <c r="K141" i="232"/>
  <c r="K142" i="232"/>
  <c r="K143" i="232"/>
  <c r="K144" i="232"/>
  <c r="K145" i="232"/>
  <c r="K146" i="232"/>
  <c r="K147" i="232"/>
  <c r="K148" i="232"/>
  <c r="K149" i="232"/>
  <c r="K150" i="232"/>
  <c r="K151" i="232"/>
  <c r="K152" i="232"/>
  <c r="K153" i="232"/>
  <c r="K154" i="232"/>
  <c r="K155" i="232"/>
  <c r="K156" i="232"/>
  <c r="K157" i="232"/>
  <c r="K158" i="232"/>
  <c r="K159" i="232"/>
  <c r="K160" i="232"/>
  <c r="K161" i="232"/>
  <c r="K162" i="232"/>
  <c r="K163" i="232"/>
  <c r="K164" i="232"/>
  <c r="K165" i="232"/>
  <c r="K166" i="232"/>
  <c r="K167" i="232"/>
  <c r="K168" i="232"/>
  <c r="K169" i="232"/>
  <c r="K170" i="232"/>
  <c r="K171" i="232"/>
  <c r="K172" i="232"/>
  <c r="K173" i="232"/>
  <c r="K174" i="232"/>
  <c r="K175" i="232"/>
  <c r="K176" i="232"/>
  <c r="K177" i="232"/>
  <c r="K178" i="232"/>
  <c r="K179" i="232"/>
  <c r="K180" i="232"/>
  <c r="K181" i="232"/>
  <c r="K182" i="232"/>
  <c r="K183" i="232"/>
  <c r="K184" i="232"/>
  <c r="K185" i="232"/>
  <c r="K186" i="232"/>
  <c r="K187" i="232"/>
  <c r="K188" i="232"/>
  <c r="K189" i="232"/>
  <c r="K3" i="232"/>
  <c r="A4" i="232"/>
  <c r="A5" i="232"/>
  <c r="A6" i="232"/>
  <c r="A7" i="232"/>
  <c r="A8" i="232"/>
  <c r="A9" i="232"/>
  <c r="A10" i="232"/>
  <c r="A11" i="232"/>
  <c r="A12" i="232"/>
  <c r="A13" i="232"/>
  <c r="A14" i="232"/>
  <c r="A15" i="232"/>
  <c r="A16" i="232"/>
  <c r="A17" i="232"/>
  <c r="A18" i="232"/>
  <c r="A19" i="232"/>
  <c r="A20" i="232"/>
  <c r="A21" i="232"/>
  <c r="A22" i="232"/>
  <c r="A23" i="232"/>
  <c r="A24" i="232"/>
  <c r="A25" i="232"/>
  <c r="A26" i="232"/>
  <c r="A27" i="232"/>
  <c r="A28" i="232"/>
  <c r="A29" i="232"/>
  <c r="A30" i="232"/>
  <c r="A31" i="232"/>
  <c r="A32" i="232"/>
  <c r="A33" i="232"/>
  <c r="A34" i="232"/>
  <c r="A35" i="232"/>
  <c r="A36" i="232"/>
  <c r="A37" i="232"/>
  <c r="A38" i="232"/>
  <c r="A39" i="232"/>
  <c r="A40" i="232"/>
  <c r="A41" i="232"/>
  <c r="A42" i="232"/>
  <c r="A43" i="232"/>
  <c r="A44" i="232"/>
  <c r="A45" i="232"/>
  <c r="A46" i="232"/>
  <c r="A47" i="232"/>
  <c r="A48" i="232"/>
  <c r="A49" i="232"/>
  <c r="A50" i="232"/>
  <c r="A51" i="232"/>
  <c r="A52" i="232"/>
  <c r="A53" i="232"/>
  <c r="A54" i="232"/>
  <c r="A55" i="232"/>
  <c r="A56" i="232"/>
  <c r="A57" i="232"/>
  <c r="A58" i="232"/>
  <c r="A59" i="232"/>
  <c r="A60" i="232"/>
  <c r="A61" i="232"/>
  <c r="A62" i="232"/>
  <c r="A63" i="232"/>
  <c r="A64" i="232"/>
  <c r="A65" i="232"/>
  <c r="A66" i="232"/>
  <c r="A67" i="232"/>
  <c r="A68" i="232"/>
  <c r="A69" i="232"/>
  <c r="A70" i="232"/>
  <c r="A71" i="232"/>
  <c r="A72" i="232"/>
  <c r="A73" i="232"/>
  <c r="A74" i="232"/>
  <c r="A75" i="232"/>
  <c r="A76" i="232"/>
  <c r="A77" i="232"/>
  <c r="A78" i="232"/>
  <c r="A79" i="232"/>
  <c r="A80" i="232"/>
  <c r="A81" i="232"/>
  <c r="A82" i="232"/>
  <c r="A83" i="232"/>
  <c r="A84" i="232"/>
  <c r="A85" i="232"/>
  <c r="A86" i="232"/>
  <c r="A87" i="232"/>
  <c r="A88" i="232"/>
  <c r="A89" i="232"/>
  <c r="A90" i="232"/>
  <c r="A91" i="232"/>
  <c r="A92" i="232"/>
  <c r="A93" i="232"/>
  <c r="A94" i="232"/>
  <c r="A95" i="232"/>
  <c r="A96" i="232"/>
  <c r="A97" i="232"/>
  <c r="A98" i="232"/>
  <c r="A99" i="232"/>
  <c r="A100" i="232"/>
  <c r="A101" i="232"/>
  <c r="A102" i="232"/>
  <c r="A103" i="232"/>
  <c r="A104" i="232"/>
  <c r="A105" i="232"/>
  <c r="A106" i="232"/>
  <c r="A107" i="232"/>
  <c r="A108" i="232"/>
  <c r="A109" i="232"/>
  <c r="A110" i="232"/>
  <c r="A111" i="232"/>
  <c r="A112" i="232"/>
  <c r="A113" i="232"/>
  <c r="A114" i="232"/>
  <c r="A115" i="232"/>
  <c r="A116" i="232"/>
  <c r="A117" i="232"/>
  <c r="A118" i="232"/>
  <c r="A119" i="232"/>
  <c r="A120" i="232"/>
  <c r="A121" i="232"/>
  <c r="A122" i="232"/>
  <c r="A123" i="232"/>
  <c r="A124" i="232"/>
  <c r="A125" i="232"/>
  <c r="A126" i="232"/>
  <c r="A127" i="232"/>
  <c r="A128" i="232"/>
  <c r="A129" i="232"/>
  <c r="A130" i="232"/>
  <c r="A131" i="232"/>
  <c r="A132" i="232"/>
  <c r="A133" i="232"/>
  <c r="A134" i="232"/>
  <c r="A135" i="232"/>
  <c r="A136" i="232"/>
  <c r="A137" i="232"/>
  <c r="A138" i="232"/>
  <c r="A139" i="232"/>
  <c r="A140" i="232"/>
  <c r="A141" i="232"/>
  <c r="A142" i="232"/>
  <c r="A143" i="232"/>
  <c r="A144" i="232"/>
  <c r="A145" i="232"/>
  <c r="A146" i="232"/>
  <c r="A147" i="232"/>
  <c r="A148" i="232"/>
  <c r="A149" i="232"/>
  <c r="A150" i="232"/>
  <c r="A151" i="232"/>
  <c r="A152" i="232"/>
  <c r="A153" i="232"/>
  <c r="A154" i="232"/>
  <c r="A155" i="232"/>
  <c r="A156" i="232"/>
  <c r="A157" i="232"/>
  <c r="A158" i="232"/>
  <c r="A159" i="232"/>
  <c r="A160" i="232"/>
  <c r="A161" i="232"/>
  <c r="A162" i="232"/>
  <c r="A163" i="232"/>
  <c r="A164" i="232"/>
  <c r="A165" i="232"/>
  <c r="A166" i="232"/>
  <c r="A167" i="232"/>
  <c r="A168" i="232"/>
  <c r="A169" i="232"/>
  <c r="A170" i="232"/>
  <c r="A171" i="232"/>
  <c r="A172" i="232"/>
  <c r="A173" i="232"/>
  <c r="A174" i="232"/>
  <c r="A175" i="232"/>
  <c r="A176" i="232"/>
  <c r="A177" i="232"/>
  <c r="A178" i="232"/>
  <c r="A179" i="232"/>
  <c r="A180" i="232"/>
  <c r="A181" i="232"/>
  <c r="A182" i="232"/>
  <c r="A183" i="232"/>
  <c r="A184" i="232"/>
  <c r="A185" i="232"/>
  <c r="A186" i="232"/>
  <c r="A187" i="232"/>
  <c r="A188" i="232"/>
  <c r="A189" i="232"/>
  <c r="A3" i="232"/>
  <c r="J4" i="232"/>
  <c r="J5" i="232"/>
  <c r="J6" i="232"/>
  <c r="J7" i="232"/>
  <c r="J8" i="232"/>
  <c r="J9" i="232"/>
  <c r="J10" i="232"/>
  <c r="J11" i="232"/>
  <c r="J12" i="232"/>
  <c r="J13" i="232"/>
  <c r="J14" i="232"/>
  <c r="J15" i="232"/>
  <c r="J16" i="232"/>
  <c r="J17" i="232"/>
  <c r="J18" i="232"/>
  <c r="J19" i="232"/>
  <c r="J20" i="232"/>
  <c r="J21" i="232"/>
  <c r="J22" i="232"/>
  <c r="J23" i="232"/>
  <c r="J24" i="232"/>
  <c r="J25" i="232"/>
  <c r="J26" i="232"/>
  <c r="J27" i="232"/>
  <c r="J28" i="232"/>
  <c r="J29" i="232"/>
  <c r="J30" i="232"/>
  <c r="J31" i="232"/>
  <c r="J32" i="232"/>
  <c r="J33" i="232"/>
  <c r="J34" i="232"/>
  <c r="J35" i="232"/>
  <c r="J36" i="232"/>
  <c r="J37" i="232"/>
  <c r="J38" i="232"/>
  <c r="J39" i="232"/>
  <c r="J40" i="232"/>
  <c r="J41" i="232"/>
  <c r="J42" i="232"/>
  <c r="J43" i="232"/>
  <c r="J44" i="232"/>
  <c r="J45" i="232"/>
  <c r="J46" i="232"/>
  <c r="J47" i="232"/>
  <c r="J48" i="232"/>
  <c r="J49" i="232"/>
  <c r="J50" i="232"/>
  <c r="J51" i="232"/>
  <c r="J52" i="232"/>
  <c r="J53" i="232"/>
  <c r="J54" i="232"/>
  <c r="J55" i="232"/>
  <c r="J56" i="232"/>
  <c r="J57" i="232"/>
  <c r="J58" i="232"/>
  <c r="J59" i="232"/>
  <c r="J60" i="232"/>
  <c r="J61" i="232"/>
  <c r="J62" i="232"/>
  <c r="J63" i="232"/>
  <c r="J64" i="232"/>
  <c r="J65" i="232"/>
  <c r="J66" i="232"/>
  <c r="J67" i="232"/>
  <c r="J68" i="232"/>
  <c r="J69" i="232"/>
  <c r="J70" i="232"/>
  <c r="J71" i="232"/>
  <c r="J72" i="232"/>
  <c r="J73" i="232"/>
  <c r="J74" i="232"/>
  <c r="J75" i="232"/>
  <c r="J76" i="232"/>
  <c r="J77" i="232"/>
  <c r="J78" i="232"/>
  <c r="J79" i="232"/>
  <c r="J80" i="232"/>
  <c r="J81" i="232"/>
  <c r="J82" i="232"/>
  <c r="J83" i="232"/>
  <c r="J84" i="232"/>
  <c r="J85" i="232"/>
  <c r="J86" i="232"/>
  <c r="J87" i="232"/>
  <c r="J88" i="232"/>
  <c r="J89" i="232"/>
  <c r="J90" i="232"/>
  <c r="J91" i="232"/>
  <c r="J92" i="232"/>
  <c r="J93" i="232"/>
  <c r="J94" i="232"/>
  <c r="J95" i="232"/>
  <c r="J96" i="232"/>
  <c r="J97" i="232"/>
  <c r="J98" i="232"/>
  <c r="J99" i="232"/>
  <c r="J100" i="232"/>
  <c r="J101" i="232"/>
  <c r="J102" i="232"/>
  <c r="J103" i="232"/>
  <c r="J104" i="232"/>
  <c r="J105" i="232"/>
  <c r="J106" i="232"/>
  <c r="J107" i="232"/>
  <c r="J108" i="232"/>
  <c r="J109" i="232"/>
  <c r="J110" i="232"/>
  <c r="J111" i="232"/>
  <c r="J112" i="232"/>
  <c r="J113" i="232"/>
  <c r="J114" i="232"/>
  <c r="J115" i="232"/>
  <c r="J116" i="232"/>
  <c r="J117" i="232"/>
  <c r="J118" i="232"/>
  <c r="J119" i="232"/>
  <c r="J120" i="232"/>
  <c r="J121" i="232"/>
  <c r="J122" i="232"/>
  <c r="J123" i="232"/>
  <c r="J124" i="232"/>
  <c r="J125" i="232"/>
  <c r="J126" i="232"/>
  <c r="J127" i="232"/>
  <c r="J128" i="232"/>
  <c r="J129" i="232"/>
  <c r="J130" i="232"/>
  <c r="J131" i="232"/>
  <c r="J132" i="232"/>
  <c r="J133" i="232"/>
  <c r="J134" i="232"/>
  <c r="J135" i="232"/>
  <c r="J136" i="232"/>
  <c r="J137" i="232"/>
  <c r="J138" i="232"/>
  <c r="J139" i="232"/>
  <c r="J140" i="232"/>
  <c r="J141" i="232"/>
  <c r="J142" i="232"/>
  <c r="J143" i="232"/>
  <c r="J144" i="232"/>
  <c r="J145" i="232"/>
  <c r="J146" i="232"/>
  <c r="J147" i="232"/>
  <c r="J148" i="232"/>
  <c r="J149" i="232"/>
  <c r="J150" i="232"/>
  <c r="J151" i="232"/>
  <c r="J152" i="232"/>
  <c r="J153" i="232"/>
  <c r="J154" i="232"/>
  <c r="J155" i="232"/>
  <c r="J156" i="232"/>
  <c r="J157" i="232"/>
  <c r="J158" i="232"/>
  <c r="J159" i="232"/>
  <c r="J160" i="232"/>
  <c r="J161" i="232"/>
  <c r="J162" i="232"/>
  <c r="J163" i="232"/>
  <c r="J164" i="232"/>
  <c r="J165" i="232"/>
  <c r="J166" i="232"/>
  <c r="J167" i="232"/>
  <c r="J168" i="232"/>
  <c r="J169" i="232"/>
  <c r="J170" i="232"/>
  <c r="J171" i="232"/>
  <c r="J172" i="232"/>
  <c r="J173" i="232"/>
  <c r="J174" i="232"/>
  <c r="J175" i="232"/>
  <c r="J176" i="232"/>
  <c r="J177" i="232"/>
  <c r="J178" i="232"/>
  <c r="J179" i="232"/>
  <c r="J180" i="232"/>
  <c r="J181" i="232"/>
  <c r="J182" i="232"/>
  <c r="J183" i="232"/>
  <c r="J184" i="232"/>
  <c r="J185" i="232"/>
  <c r="J186" i="232"/>
  <c r="J187" i="232"/>
  <c r="J188" i="232"/>
  <c r="J189" i="232"/>
  <c r="J3" i="232"/>
  <c r="K4" i="231"/>
  <c r="K5" i="231"/>
  <c r="K6" i="231"/>
  <c r="K7" i="231"/>
  <c r="K8" i="231"/>
  <c r="K9" i="231"/>
  <c r="K10" i="231"/>
  <c r="K11" i="231"/>
  <c r="K12" i="231"/>
  <c r="K13" i="231"/>
  <c r="K14" i="231"/>
  <c r="K16" i="231"/>
  <c r="K17" i="231"/>
  <c r="K18" i="231"/>
  <c r="K19" i="231"/>
  <c r="K20" i="231"/>
  <c r="K21" i="231"/>
  <c r="K22" i="231"/>
  <c r="K23" i="231"/>
  <c r="K24" i="231"/>
  <c r="K25" i="231"/>
  <c r="K26" i="231"/>
  <c r="K27" i="231"/>
  <c r="K28" i="231"/>
  <c r="K30" i="231"/>
  <c r="K31" i="231"/>
  <c r="K32" i="231"/>
  <c r="K33" i="231"/>
  <c r="K34" i="231"/>
  <c r="K35" i="231"/>
  <c r="K36" i="231"/>
  <c r="K37" i="231"/>
  <c r="K38" i="231"/>
  <c r="K39" i="231"/>
  <c r="K40" i="231"/>
  <c r="K41" i="231"/>
  <c r="K42" i="231"/>
  <c r="K43" i="231"/>
  <c r="K44" i="231"/>
  <c r="K45" i="231"/>
  <c r="K46" i="231"/>
  <c r="K47" i="231"/>
  <c r="K48" i="231"/>
  <c r="K49" i="231"/>
  <c r="K50" i="231"/>
  <c r="K51" i="231"/>
  <c r="K52" i="231"/>
  <c r="K53" i="231"/>
  <c r="K54" i="231"/>
  <c r="K55" i="231"/>
  <c r="K56" i="231"/>
  <c r="K57" i="231"/>
  <c r="K58" i="231"/>
  <c r="K59" i="231"/>
  <c r="K60" i="231"/>
  <c r="K61" i="231"/>
  <c r="K62" i="231"/>
  <c r="K63" i="231"/>
  <c r="K64" i="231"/>
  <c r="K66" i="231"/>
  <c r="K67" i="231"/>
  <c r="K69" i="231"/>
  <c r="K70" i="231"/>
  <c r="K71" i="231"/>
  <c r="K72" i="231"/>
  <c r="K73" i="231"/>
  <c r="K74" i="231"/>
  <c r="K75" i="231"/>
  <c r="K76" i="231"/>
  <c r="K77" i="231"/>
  <c r="K78" i="231"/>
  <c r="K79" i="231"/>
  <c r="K80" i="231"/>
  <c r="K81" i="231"/>
  <c r="K82" i="231"/>
  <c r="K83" i="231"/>
  <c r="K84" i="231"/>
  <c r="K85" i="231"/>
  <c r="K86" i="231"/>
  <c r="K87" i="231"/>
  <c r="K88" i="231"/>
  <c r="K89" i="231"/>
  <c r="K90" i="231"/>
  <c r="K91" i="231"/>
  <c r="K92" i="231"/>
  <c r="K93" i="231"/>
  <c r="K94" i="231"/>
  <c r="K95" i="231"/>
  <c r="K96" i="231"/>
  <c r="K97" i="231"/>
  <c r="K98" i="231"/>
  <c r="K99" i="231"/>
  <c r="K100" i="231"/>
  <c r="K101" i="231"/>
  <c r="K102" i="231"/>
  <c r="K103" i="231"/>
  <c r="K104" i="231"/>
  <c r="K105" i="231"/>
  <c r="K106" i="231"/>
  <c r="K107" i="231"/>
  <c r="K108" i="231"/>
  <c r="K109" i="231"/>
  <c r="K110" i="231"/>
  <c r="K111" i="231"/>
  <c r="K112" i="231"/>
  <c r="K113" i="231"/>
  <c r="K114" i="231"/>
  <c r="K115" i="231"/>
  <c r="K116" i="231"/>
  <c r="K117" i="231"/>
  <c r="K118" i="231"/>
  <c r="K119" i="231"/>
  <c r="K120" i="231"/>
  <c r="K121" i="231"/>
  <c r="K122" i="231"/>
  <c r="K123" i="231"/>
  <c r="K124" i="231"/>
  <c r="K125" i="231"/>
  <c r="K126" i="231"/>
  <c r="K127" i="231"/>
  <c r="K128" i="231"/>
  <c r="K129" i="231"/>
  <c r="K130" i="231"/>
  <c r="K131" i="231"/>
  <c r="K133" i="231"/>
  <c r="K134" i="231"/>
  <c r="K135" i="231"/>
  <c r="K136" i="231"/>
  <c r="K137" i="231"/>
  <c r="K138" i="231"/>
  <c r="K139" i="231"/>
  <c r="K140" i="231"/>
  <c r="K141" i="231"/>
  <c r="K142" i="231"/>
  <c r="K143" i="231"/>
  <c r="K144" i="231"/>
  <c r="K147" i="231"/>
  <c r="K148" i="231"/>
  <c r="K149" i="231"/>
  <c r="K150" i="231"/>
  <c r="K152" i="231"/>
  <c r="K153" i="231"/>
  <c r="K154" i="231"/>
  <c r="K155" i="231"/>
  <c r="K156" i="231"/>
  <c r="K157" i="231"/>
  <c r="K158" i="231"/>
  <c r="K159" i="231"/>
  <c r="K160" i="231"/>
  <c r="K161" i="231"/>
  <c r="K162" i="231"/>
  <c r="K163" i="231"/>
  <c r="K164" i="231"/>
  <c r="K166" i="231"/>
  <c r="K167" i="231"/>
  <c r="K168" i="231"/>
  <c r="K169" i="231"/>
  <c r="K175" i="231"/>
  <c r="K176" i="231"/>
  <c r="K177" i="231"/>
  <c r="K178" i="231"/>
  <c r="K179" i="231"/>
  <c r="K183" i="231"/>
  <c r="K184" i="231"/>
  <c r="K185" i="231"/>
  <c r="K186" i="231"/>
  <c r="K187" i="231"/>
  <c r="K188" i="231"/>
  <c r="K189" i="231"/>
  <c r="K190" i="231"/>
  <c r="K191" i="231"/>
  <c r="K192" i="231"/>
  <c r="K193" i="231"/>
  <c r="K194" i="231"/>
  <c r="K195" i="231"/>
  <c r="K196" i="231"/>
  <c r="K197" i="231"/>
  <c r="K198" i="231"/>
  <c r="K199" i="231"/>
  <c r="K200" i="231"/>
  <c r="K201" i="231"/>
  <c r="K202" i="231"/>
  <c r="K203" i="231"/>
  <c r="K204" i="231"/>
  <c r="K205" i="231"/>
  <c r="K206" i="231"/>
  <c r="K207" i="231"/>
  <c r="K208" i="231"/>
  <c r="K209" i="231"/>
  <c r="K210" i="231"/>
  <c r="K211" i="231"/>
  <c r="K212" i="231"/>
  <c r="K213" i="231"/>
  <c r="K214" i="231"/>
  <c r="K3" i="231"/>
  <c r="A4" i="231" l="1"/>
  <c r="A5" i="231"/>
  <c r="A6" i="231"/>
  <c r="A7" i="231"/>
  <c r="A8" i="231"/>
  <c r="A9" i="231"/>
  <c r="A10" i="231"/>
  <c r="A11" i="231"/>
  <c r="A12" i="231"/>
  <c r="A13" i="231"/>
  <c r="A14" i="231"/>
  <c r="A15" i="231"/>
  <c r="K15" i="231" s="1"/>
  <c r="A16" i="231"/>
  <c r="A17" i="231"/>
  <c r="A18" i="231"/>
  <c r="A19" i="231"/>
  <c r="A20" i="231"/>
  <c r="A21" i="231"/>
  <c r="A22" i="231"/>
  <c r="A23" i="231"/>
  <c r="A24" i="231"/>
  <c r="A25" i="231"/>
  <c r="A26" i="231"/>
  <c r="A27" i="231"/>
  <c r="A28" i="231"/>
  <c r="A29" i="231"/>
  <c r="K29" i="231" s="1"/>
  <c r="A30" i="231"/>
  <c r="A31" i="231"/>
  <c r="A32" i="231"/>
  <c r="A33" i="231"/>
  <c r="A34" i="231"/>
  <c r="A35" i="231"/>
  <c r="A36" i="231"/>
  <c r="A37" i="231"/>
  <c r="A38" i="231"/>
  <c r="A39" i="231"/>
  <c r="A40" i="231"/>
  <c r="A41" i="231"/>
  <c r="A42" i="231"/>
  <c r="A43" i="231"/>
  <c r="A44" i="231"/>
  <c r="A45" i="231"/>
  <c r="A46" i="231"/>
  <c r="A47" i="231"/>
  <c r="A48" i="231"/>
  <c r="A49" i="231"/>
  <c r="A50" i="231"/>
  <c r="A51" i="231"/>
  <c r="A52" i="231"/>
  <c r="A53" i="231"/>
  <c r="A54" i="231"/>
  <c r="A55" i="231"/>
  <c r="A56" i="231"/>
  <c r="A57" i="231"/>
  <c r="A58" i="231"/>
  <c r="A59" i="231"/>
  <c r="A60" i="231"/>
  <c r="A61" i="231"/>
  <c r="A62" i="231"/>
  <c r="A63" i="231"/>
  <c r="A64" i="231"/>
  <c r="A65" i="231"/>
  <c r="K65" i="231" s="1"/>
  <c r="A66" i="231"/>
  <c r="A67" i="231"/>
  <c r="A68" i="231"/>
  <c r="K68" i="231" s="1"/>
  <c r="A69" i="231"/>
  <c r="A70" i="231"/>
  <c r="A71" i="231"/>
  <c r="A72" i="231"/>
  <c r="A73" i="231"/>
  <c r="A74" i="231"/>
  <c r="A75" i="231"/>
  <c r="A76" i="231"/>
  <c r="A77" i="231"/>
  <c r="A78" i="231"/>
  <c r="A79" i="231"/>
  <c r="A80" i="231"/>
  <c r="A81" i="231"/>
  <c r="A82" i="231"/>
  <c r="A83" i="231"/>
  <c r="A84" i="231"/>
  <c r="A85" i="231"/>
  <c r="A86" i="231"/>
  <c r="A87" i="231"/>
  <c r="A88" i="231"/>
  <c r="A89" i="231"/>
  <c r="A90" i="231"/>
  <c r="A91" i="231"/>
  <c r="A92" i="231"/>
  <c r="A93" i="231"/>
  <c r="A94" i="231"/>
  <c r="A95" i="231"/>
  <c r="A96" i="231"/>
  <c r="A97" i="231"/>
  <c r="A98" i="231"/>
  <c r="A99" i="231"/>
  <c r="A100" i="231"/>
  <c r="A101" i="231"/>
  <c r="A102" i="231"/>
  <c r="A103" i="231"/>
  <c r="A104" i="231"/>
  <c r="A105" i="231"/>
  <c r="A106" i="231"/>
  <c r="A107" i="231"/>
  <c r="A108" i="231"/>
  <c r="A109" i="231"/>
  <c r="A110" i="231"/>
  <c r="A111" i="231"/>
  <c r="A112" i="231"/>
  <c r="A113" i="231"/>
  <c r="A114" i="231"/>
  <c r="A115" i="231"/>
  <c r="A116" i="231"/>
  <c r="A117" i="231"/>
  <c r="A118" i="231"/>
  <c r="A119" i="231"/>
  <c r="A120" i="231"/>
  <c r="A121" i="231"/>
  <c r="A122" i="231"/>
  <c r="A123" i="231"/>
  <c r="A124" i="231"/>
  <c r="A125" i="231"/>
  <c r="A126" i="231"/>
  <c r="A127" i="231"/>
  <c r="A128" i="231"/>
  <c r="A129" i="231"/>
  <c r="A130" i="231"/>
  <c r="A131" i="231"/>
  <c r="A132" i="231"/>
  <c r="K132" i="231" s="1"/>
  <c r="A133" i="231"/>
  <c r="A134" i="231"/>
  <c r="A135" i="231"/>
  <c r="A136" i="231"/>
  <c r="A137" i="231"/>
  <c r="A138" i="231"/>
  <c r="A139" i="231"/>
  <c r="A140" i="231"/>
  <c r="A141" i="231"/>
  <c r="A142" i="231"/>
  <c r="A143" i="231"/>
  <c r="A144" i="231"/>
  <c r="A145" i="231"/>
  <c r="K145" i="231" s="1"/>
  <c r="A146" i="231"/>
  <c r="K146" i="231" s="1"/>
  <c r="A147" i="231"/>
  <c r="A148" i="231"/>
  <c r="A149" i="231"/>
  <c r="A150" i="231"/>
  <c r="A151" i="231"/>
  <c r="K151" i="231" s="1"/>
  <c r="A152" i="231"/>
  <c r="A153" i="231"/>
  <c r="A154" i="231"/>
  <c r="A155" i="231"/>
  <c r="A156" i="231"/>
  <c r="A157" i="231"/>
  <c r="A158" i="231"/>
  <c r="A159" i="231"/>
  <c r="A160" i="231"/>
  <c r="A161" i="231"/>
  <c r="A162" i="231"/>
  <c r="A163" i="231"/>
  <c r="A164" i="231"/>
  <c r="A165" i="231"/>
  <c r="K165" i="231" s="1"/>
  <c r="A166" i="231"/>
  <c r="A167" i="231"/>
  <c r="A168" i="231"/>
  <c r="A169" i="231"/>
  <c r="A170" i="231"/>
  <c r="K170" i="231" s="1"/>
  <c r="A171" i="231"/>
  <c r="K171" i="231" s="1"/>
  <c r="A172" i="231"/>
  <c r="K172" i="231" s="1"/>
  <c r="A173" i="231"/>
  <c r="K173" i="231" s="1"/>
  <c r="A174" i="231"/>
  <c r="K174" i="231" s="1"/>
  <c r="A175" i="231"/>
  <c r="A176" i="231"/>
  <c r="A177" i="231"/>
  <c r="A178" i="231"/>
  <c r="A179" i="231"/>
  <c r="A180" i="231"/>
  <c r="K180" i="231" s="1"/>
  <c r="A181" i="231"/>
  <c r="K181" i="231" s="1"/>
  <c r="A182" i="231"/>
  <c r="K182" i="231" s="1"/>
  <c r="A183" i="231"/>
  <c r="A184" i="231"/>
  <c r="A185" i="231"/>
  <c r="A186" i="231"/>
  <c r="A187" i="231"/>
  <c r="A188" i="231"/>
  <c r="A189" i="231"/>
  <c r="A190" i="231"/>
  <c r="A191" i="231"/>
  <c r="A192" i="231"/>
  <c r="A193" i="231"/>
  <c r="A194" i="231"/>
  <c r="A195" i="231"/>
  <c r="A196" i="231"/>
  <c r="A197" i="231"/>
  <c r="A198" i="231"/>
  <c r="A199" i="231"/>
  <c r="A200" i="231"/>
  <c r="A201" i="231"/>
  <c r="A202" i="231"/>
  <c r="A203" i="231"/>
  <c r="A204" i="231"/>
  <c r="A205" i="231"/>
  <c r="A206" i="231"/>
  <c r="A207" i="231"/>
  <c r="A208" i="231"/>
  <c r="A209" i="231"/>
  <c r="A210" i="231"/>
  <c r="A211" i="231"/>
  <c r="A212" i="231"/>
  <c r="A213" i="231"/>
  <c r="A214" i="231"/>
  <c r="A3" i="231"/>
  <c r="J4" i="231"/>
  <c r="J5" i="231"/>
  <c r="J6" i="231"/>
  <c r="J7" i="231"/>
  <c r="J8" i="231"/>
  <c r="J9" i="231"/>
  <c r="J10" i="231"/>
  <c r="J11" i="231"/>
  <c r="J12" i="231"/>
  <c r="J13" i="231"/>
  <c r="J14" i="231"/>
  <c r="J15" i="231"/>
  <c r="J16" i="231"/>
  <c r="J17" i="231"/>
  <c r="J18" i="231"/>
  <c r="J19" i="231"/>
  <c r="J20" i="231"/>
  <c r="J21" i="231"/>
  <c r="J22" i="231"/>
  <c r="J23" i="231"/>
  <c r="J24" i="231"/>
  <c r="J25" i="231"/>
  <c r="J26" i="231"/>
  <c r="J27" i="231"/>
  <c r="J28" i="231"/>
  <c r="J29" i="231"/>
  <c r="J30" i="231"/>
  <c r="J31" i="231"/>
  <c r="J32" i="231"/>
  <c r="J33" i="231"/>
  <c r="J34" i="231"/>
  <c r="J35" i="231"/>
  <c r="J36" i="231"/>
  <c r="J37" i="231"/>
  <c r="J38" i="231"/>
  <c r="J39" i="231"/>
  <c r="J40" i="231"/>
  <c r="J41" i="231"/>
  <c r="J42" i="231"/>
  <c r="J43" i="231"/>
  <c r="J44" i="231"/>
  <c r="J45" i="231"/>
  <c r="J46" i="231"/>
  <c r="J47" i="231"/>
  <c r="J48" i="231"/>
  <c r="J49" i="231"/>
  <c r="J50" i="231"/>
  <c r="J51" i="231"/>
  <c r="J52" i="231"/>
  <c r="J53" i="231"/>
  <c r="J54" i="231"/>
  <c r="J55" i="231"/>
  <c r="J56" i="231"/>
  <c r="J57" i="231"/>
  <c r="J58" i="231"/>
  <c r="J59" i="231"/>
  <c r="J60" i="231"/>
  <c r="J61" i="231"/>
  <c r="J62" i="231"/>
  <c r="J63" i="231"/>
  <c r="J64" i="231"/>
  <c r="J65" i="231"/>
  <c r="J66" i="231"/>
  <c r="J67" i="231"/>
  <c r="J68" i="231"/>
  <c r="J69" i="231"/>
  <c r="J70" i="231"/>
  <c r="J71" i="231"/>
  <c r="J72" i="231"/>
  <c r="J73" i="231"/>
  <c r="J74" i="231"/>
  <c r="J75" i="231"/>
  <c r="J76" i="231"/>
  <c r="J77" i="231"/>
  <c r="J78" i="231"/>
  <c r="J79" i="231"/>
  <c r="J80" i="231"/>
  <c r="J81" i="231"/>
  <c r="J82" i="231"/>
  <c r="J83" i="231"/>
  <c r="J84" i="231"/>
  <c r="J85" i="231"/>
  <c r="J86" i="231"/>
  <c r="J87" i="231"/>
  <c r="J88" i="231"/>
  <c r="J89" i="231"/>
  <c r="J90" i="231"/>
  <c r="J91" i="231"/>
  <c r="J92" i="231"/>
  <c r="J93" i="231"/>
  <c r="J94" i="231"/>
  <c r="J95" i="231"/>
  <c r="J96" i="231"/>
  <c r="J97" i="231"/>
  <c r="J98" i="231"/>
  <c r="J99" i="231"/>
  <c r="J100" i="231"/>
  <c r="J101" i="231"/>
  <c r="J102" i="231"/>
  <c r="J103" i="231"/>
  <c r="J104" i="231"/>
  <c r="J105" i="231"/>
  <c r="J106" i="231"/>
  <c r="J107" i="231"/>
  <c r="J108" i="231"/>
  <c r="J109" i="231"/>
  <c r="J110" i="231"/>
  <c r="J111" i="231"/>
  <c r="J112" i="231"/>
  <c r="J113" i="231"/>
  <c r="J114" i="231"/>
  <c r="J115" i="231"/>
  <c r="J116" i="231"/>
  <c r="J117" i="231"/>
  <c r="J118" i="231"/>
  <c r="J119" i="231"/>
  <c r="J120" i="231"/>
  <c r="J121" i="231"/>
  <c r="J122" i="231"/>
  <c r="J123" i="231"/>
  <c r="J124" i="231"/>
  <c r="J125" i="231"/>
  <c r="J126" i="231"/>
  <c r="J127" i="231"/>
  <c r="J128" i="231"/>
  <c r="J129" i="231"/>
  <c r="J130" i="231"/>
  <c r="J131" i="231"/>
  <c r="J132" i="231"/>
  <c r="J133" i="231"/>
  <c r="J134" i="231"/>
  <c r="J135" i="231"/>
  <c r="J136" i="231"/>
  <c r="J137" i="231"/>
  <c r="J138" i="231"/>
  <c r="J139" i="231"/>
  <c r="J140" i="231"/>
  <c r="J141" i="231"/>
  <c r="J142" i="231"/>
  <c r="J143" i="231"/>
  <c r="J144" i="231"/>
  <c r="J145" i="231"/>
  <c r="J146" i="231"/>
  <c r="J147" i="231"/>
  <c r="J148" i="231"/>
  <c r="J149" i="231"/>
  <c r="J150" i="231"/>
  <c r="J151" i="231"/>
  <c r="J152" i="231"/>
  <c r="J153" i="231"/>
  <c r="J154" i="231"/>
  <c r="J155" i="231"/>
  <c r="J156" i="231"/>
  <c r="J157" i="231"/>
  <c r="J158" i="231"/>
  <c r="J159" i="231"/>
  <c r="J160" i="231"/>
  <c r="J161" i="231"/>
  <c r="J162" i="231"/>
  <c r="J163" i="231"/>
  <c r="J164" i="231"/>
  <c r="J165" i="231"/>
  <c r="J166" i="231"/>
  <c r="J167" i="231"/>
  <c r="J168" i="231"/>
  <c r="J169" i="231"/>
  <c r="J170" i="231"/>
  <c r="J171" i="231"/>
  <c r="J172" i="231"/>
  <c r="J173" i="231"/>
  <c r="J174" i="231"/>
  <c r="J175" i="231"/>
  <c r="J176" i="231"/>
  <c r="J177" i="231"/>
  <c r="J178" i="231"/>
  <c r="J179" i="231"/>
  <c r="J180" i="231"/>
  <c r="J181" i="231"/>
  <c r="J182" i="231"/>
  <c r="J183" i="231"/>
  <c r="J184" i="231"/>
  <c r="J185" i="231"/>
  <c r="J186" i="231"/>
  <c r="J187" i="231"/>
  <c r="J188" i="231"/>
  <c r="J189" i="231"/>
  <c r="J190" i="231"/>
  <c r="J191" i="231"/>
  <c r="J192" i="231"/>
  <c r="J193" i="231"/>
  <c r="J194" i="231"/>
  <c r="J195" i="231"/>
  <c r="J196" i="231"/>
  <c r="J197" i="231"/>
  <c r="J198" i="231"/>
  <c r="J199" i="231"/>
  <c r="J200" i="231"/>
  <c r="J201" i="231"/>
  <c r="J202" i="231"/>
  <c r="J203" i="231"/>
  <c r="J204" i="231"/>
  <c r="J205" i="231"/>
  <c r="J206" i="231"/>
  <c r="J207" i="231"/>
  <c r="J208" i="231"/>
  <c r="J209" i="231"/>
  <c r="J210" i="231"/>
  <c r="J211" i="231"/>
  <c r="J212" i="231"/>
  <c r="J213" i="231"/>
  <c r="J214" i="231"/>
  <c r="J3" i="231"/>
  <c r="K4" i="230"/>
  <c r="K5" i="230"/>
  <c r="K6" i="230"/>
  <c r="K7" i="230"/>
  <c r="K8" i="230"/>
  <c r="K9" i="230"/>
  <c r="K10" i="230"/>
  <c r="K11" i="230"/>
  <c r="K12" i="230"/>
  <c r="K13" i="230"/>
  <c r="K14" i="230"/>
  <c r="K15" i="230"/>
  <c r="K16" i="230"/>
  <c r="K17" i="230"/>
  <c r="K18" i="230"/>
  <c r="K19" i="230"/>
  <c r="K20" i="230"/>
  <c r="K21" i="230"/>
  <c r="K22" i="230"/>
  <c r="K23" i="230"/>
  <c r="K24" i="230"/>
  <c r="K25" i="230"/>
  <c r="K26" i="230"/>
  <c r="K27" i="230"/>
  <c r="K29" i="230"/>
  <c r="K30" i="230"/>
  <c r="K31" i="230"/>
  <c r="K32" i="230"/>
  <c r="K33" i="230"/>
  <c r="K34" i="230"/>
  <c r="K35" i="230"/>
  <c r="K36" i="230"/>
  <c r="K37" i="230"/>
  <c r="K38" i="230"/>
  <c r="K39" i="230"/>
  <c r="K40" i="230"/>
  <c r="K41" i="230"/>
  <c r="K42" i="230"/>
  <c r="K43" i="230"/>
  <c r="K44" i="230"/>
  <c r="K45" i="230"/>
  <c r="K46" i="230"/>
  <c r="K47" i="230"/>
  <c r="K48" i="230"/>
  <c r="K49" i="230"/>
  <c r="K50" i="230"/>
  <c r="K52" i="230"/>
  <c r="K53" i="230"/>
  <c r="K54" i="230"/>
  <c r="K55" i="230"/>
  <c r="K56" i="230"/>
  <c r="K57" i="230"/>
  <c r="K58" i="230"/>
  <c r="K59" i="230"/>
  <c r="K60" i="230"/>
  <c r="K61" i="230"/>
  <c r="K62" i="230"/>
  <c r="K63" i="230"/>
  <c r="K64" i="230"/>
  <c r="K65" i="230"/>
  <c r="K66" i="230"/>
  <c r="K67" i="230"/>
  <c r="K68" i="230"/>
  <c r="K71" i="230"/>
  <c r="K72" i="230"/>
  <c r="K73" i="230"/>
  <c r="K74" i="230"/>
  <c r="K75" i="230"/>
  <c r="K76" i="230"/>
  <c r="K77" i="230"/>
  <c r="K78" i="230"/>
  <c r="K79" i="230"/>
  <c r="K80" i="230"/>
  <c r="K81" i="230"/>
  <c r="K82" i="230"/>
  <c r="K83" i="230"/>
  <c r="K84" i="230"/>
  <c r="K85" i="230"/>
  <c r="K86" i="230"/>
  <c r="K87" i="230"/>
  <c r="K88" i="230"/>
  <c r="K89" i="230"/>
  <c r="K90" i="230"/>
  <c r="K91" i="230"/>
  <c r="K92" i="230"/>
  <c r="K93" i="230"/>
  <c r="K94" i="230"/>
  <c r="K95" i="230"/>
  <c r="K96" i="230"/>
  <c r="K97" i="230"/>
  <c r="K98" i="230"/>
  <c r="K99" i="230"/>
  <c r="K100" i="230"/>
  <c r="K101" i="230"/>
  <c r="K102" i="230"/>
  <c r="K103" i="230"/>
  <c r="K104" i="230"/>
  <c r="K105" i="230"/>
  <c r="K106" i="230"/>
  <c r="K107" i="230"/>
  <c r="K108" i="230"/>
  <c r="K110" i="230"/>
  <c r="K111" i="230"/>
  <c r="K112" i="230"/>
  <c r="K113" i="230"/>
  <c r="K114" i="230"/>
  <c r="K115" i="230"/>
  <c r="K116" i="230"/>
  <c r="K117" i="230"/>
  <c r="K118" i="230"/>
  <c r="K119" i="230"/>
  <c r="K120" i="230"/>
  <c r="K121" i="230"/>
  <c r="K122" i="230"/>
  <c r="K123" i="230"/>
  <c r="K124" i="230"/>
  <c r="K125" i="230"/>
  <c r="K126" i="230"/>
  <c r="K127" i="230"/>
  <c r="K128" i="230"/>
  <c r="K129" i="230"/>
  <c r="K130" i="230"/>
  <c r="K131" i="230"/>
  <c r="K132" i="230"/>
  <c r="K133" i="230"/>
  <c r="K134" i="230"/>
  <c r="K135" i="230"/>
  <c r="K136" i="230"/>
  <c r="K137" i="230"/>
  <c r="K138" i="230"/>
  <c r="K139" i="230"/>
  <c r="K140" i="230"/>
  <c r="K141" i="230"/>
  <c r="K142" i="230"/>
  <c r="K143" i="230"/>
  <c r="K144" i="230"/>
  <c r="K145" i="230"/>
  <c r="K146" i="230"/>
  <c r="K147" i="230"/>
  <c r="K148" i="230"/>
  <c r="K149" i="230"/>
  <c r="K150" i="230"/>
  <c r="K151" i="230"/>
  <c r="K152" i="230"/>
  <c r="K153" i="230"/>
  <c r="K154" i="230"/>
  <c r="K155" i="230"/>
  <c r="K156" i="230"/>
  <c r="K157" i="230"/>
  <c r="K158" i="230"/>
  <c r="K159" i="230"/>
  <c r="K160" i="230"/>
  <c r="K161" i="230"/>
  <c r="K162" i="230"/>
  <c r="K164" i="230"/>
  <c r="K165" i="230"/>
  <c r="K166" i="230"/>
  <c r="K167" i="230"/>
  <c r="K168" i="230"/>
  <c r="K169" i="230"/>
  <c r="K170" i="230"/>
  <c r="K171" i="230"/>
  <c r="K172" i="230"/>
  <c r="K173" i="230"/>
  <c r="K174" i="230"/>
  <c r="K175" i="230"/>
  <c r="K176" i="230"/>
  <c r="K177" i="230"/>
  <c r="K178" i="230"/>
  <c r="K179" i="230"/>
  <c r="K180" i="230"/>
  <c r="K181" i="230"/>
  <c r="K183" i="230"/>
  <c r="K185" i="230"/>
  <c r="K186" i="230"/>
  <c r="K187" i="230"/>
  <c r="K188" i="230"/>
  <c r="K189" i="230"/>
  <c r="K190" i="230"/>
  <c r="K191" i="230"/>
  <c r="K195" i="230"/>
  <c r="K196" i="230"/>
  <c r="K197" i="230"/>
  <c r="K198" i="230"/>
  <c r="K199" i="230"/>
  <c r="K200" i="230"/>
  <c r="K201" i="230"/>
  <c r="K202" i="230"/>
  <c r="K203" i="230"/>
  <c r="K204" i="230"/>
  <c r="K205" i="230"/>
  <c r="K206" i="230"/>
  <c r="K207" i="230"/>
  <c r="K208" i="230"/>
  <c r="K209" i="230"/>
  <c r="K210" i="230"/>
  <c r="K211" i="230"/>
  <c r="K212" i="230"/>
  <c r="K213" i="230"/>
  <c r="K214" i="230"/>
  <c r="K215" i="230"/>
  <c r="K216" i="230"/>
  <c r="K217" i="230"/>
  <c r="K218" i="230"/>
  <c r="K219" i="230"/>
  <c r="K220" i="230"/>
  <c r="K221" i="230"/>
  <c r="K222" i="230"/>
  <c r="K223" i="230"/>
  <c r="K224" i="230"/>
  <c r="K225" i="230"/>
  <c r="K226" i="230"/>
  <c r="K227" i="230"/>
  <c r="K3" i="230"/>
  <c r="A4" i="230"/>
  <c r="A5" i="230"/>
  <c r="A6" i="230"/>
  <c r="A7" i="230"/>
  <c r="A8" i="230"/>
  <c r="A9" i="230"/>
  <c r="A10" i="230"/>
  <c r="A11" i="230"/>
  <c r="A12" i="230"/>
  <c r="A13" i="230"/>
  <c r="A14" i="230"/>
  <c r="A15" i="230"/>
  <c r="A16" i="230"/>
  <c r="A17" i="230"/>
  <c r="A18" i="230"/>
  <c r="A19" i="230"/>
  <c r="A20" i="230"/>
  <c r="A21" i="230"/>
  <c r="A22" i="230"/>
  <c r="A23" i="230"/>
  <c r="A24" i="230"/>
  <c r="A25" i="230"/>
  <c r="A26" i="230"/>
  <c r="A27" i="230"/>
  <c r="A28" i="230"/>
  <c r="K28" i="230" s="1"/>
  <c r="A29" i="230"/>
  <c r="A30" i="230"/>
  <c r="A31" i="230"/>
  <c r="A32" i="230"/>
  <c r="A33" i="230"/>
  <c r="A34" i="230"/>
  <c r="A35" i="230"/>
  <c r="A36" i="230"/>
  <c r="A37" i="230"/>
  <c r="A38" i="230"/>
  <c r="A39" i="230"/>
  <c r="A40" i="230"/>
  <c r="A41" i="230"/>
  <c r="A42" i="230"/>
  <c r="A43" i="230"/>
  <c r="A44" i="230"/>
  <c r="A45" i="230"/>
  <c r="A46" i="230"/>
  <c r="A47" i="230"/>
  <c r="A48" i="230"/>
  <c r="A49" i="230"/>
  <c r="A50" i="230"/>
  <c r="A51" i="230"/>
  <c r="K51" i="230" s="1"/>
  <c r="A52" i="230"/>
  <c r="A53" i="230"/>
  <c r="A54" i="230"/>
  <c r="A55" i="230"/>
  <c r="A56" i="230"/>
  <c r="A57" i="230"/>
  <c r="A58" i="230"/>
  <c r="A59" i="230"/>
  <c r="A60" i="230"/>
  <c r="A61" i="230"/>
  <c r="A62" i="230"/>
  <c r="A63" i="230"/>
  <c r="A64" i="230"/>
  <c r="A65" i="230"/>
  <c r="A66" i="230"/>
  <c r="A67" i="230"/>
  <c r="A68" i="230"/>
  <c r="A69" i="230"/>
  <c r="K69" i="230" s="1"/>
  <c r="A70" i="230"/>
  <c r="K70" i="230" s="1"/>
  <c r="A71" i="230"/>
  <c r="A72" i="230"/>
  <c r="A73" i="230"/>
  <c r="A74" i="230"/>
  <c r="A75" i="230"/>
  <c r="A76" i="230"/>
  <c r="A77" i="230"/>
  <c r="A78" i="230"/>
  <c r="A79" i="230"/>
  <c r="A80" i="230"/>
  <c r="A81" i="230"/>
  <c r="A82" i="230"/>
  <c r="A83" i="230"/>
  <c r="A84" i="230"/>
  <c r="A85" i="230"/>
  <c r="A86" i="230"/>
  <c r="A87" i="230"/>
  <c r="A88" i="230"/>
  <c r="A89" i="230"/>
  <c r="A90" i="230"/>
  <c r="A91" i="230"/>
  <c r="A92" i="230"/>
  <c r="A93" i="230"/>
  <c r="A94" i="230"/>
  <c r="A95" i="230"/>
  <c r="A96" i="230"/>
  <c r="A97" i="230"/>
  <c r="A98" i="230"/>
  <c r="A99" i="230"/>
  <c r="A100" i="230"/>
  <c r="A101" i="230"/>
  <c r="A102" i="230"/>
  <c r="A103" i="230"/>
  <c r="A104" i="230"/>
  <c r="A105" i="230"/>
  <c r="A106" i="230"/>
  <c r="A107" i="230"/>
  <c r="A108" i="230"/>
  <c r="A109" i="230"/>
  <c r="K109" i="230" s="1"/>
  <c r="A110" i="230"/>
  <c r="A111" i="230"/>
  <c r="A112" i="230"/>
  <c r="A113" i="230"/>
  <c r="A114" i="230"/>
  <c r="A115" i="230"/>
  <c r="A116" i="230"/>
  <c r="A117" i="230"/>
  <c r="A118" i="230"/>
  <c r="A119" i="230"/>
  <c r="A120" i="230"/>
  <c r="A121" i="230"/>
  <c r="A122" i="230"/>
  <c r="A123" i="230"/>
  <c r="A124" i="230"/>
  <c r="A125" i="230"/>
  <c r="A126" i="230"/>
  <c r="A127" i="230"/>
  <c r="A128" i="230"/>
  <c r="A129" i="230"/>
  <c r="A130" i="230"/>
  <c r="A131" i="230"/>
  <c r="A132" i="230"/>
  <c r="A133" i="230"/>
  <c r="A134" i="230"/>
  <c r="A135" i="230"/>
  <c r="A136" i="230"/>
  <c r="A137" i="230"/>
  <c r="A138" i="230"/>
  <c r="A139" i="230"/>
  <c r="A140" i="230"/>
  <c r="A141" i="230"/>
  <c r="A142" i="230"/>
  <c r="A143" i="230"/>
  <c r="A144" i="230"/>
  <c r="A145" i="230"/>
  <c r="A146" i="230"/>
  <c r="A147" i="230"/>
  <c r="A148" i="230"/>
  <c r="A149" i="230"/>
  <c r="A150" i="230"/>
  <c r="A151" i="230"/>
  <c r="A152" i="230"/>
  <c r="A153" i="230"/>
  <c r="A154" i="230"/>
  <c r="A155" i="230"/>
  <c r="A156" i="230"/>
  <c r="A157" i="230"/>
  <c r="A158" i="230"/>
  <c r="A159" i="230"/>
  <c r="A160" i="230"/>
  <c r="A161" i="230"/>
  <c r="A162" i="230"/>
  <c r="A163" i="230"/>
  <c r="K163" i="230" s="1"/>
  <c r="A164" i="230"/>
  <c r="A165" i="230"/>
  <c r="A166" i="230"/>
  <c r="A167" i="230"/>
  <c r="A168" i="230"/>
  <c r="A169" i="230"/>
  <c r="A170" i="230"/>
  <c r="A171" i="230"/>
  <c r="A172" i="230"/>
  <c r="A173" i="230"/>
  <c r="A174" i="230"/>
  <c r="A175" i="230"/>
  <c r="A176" i="230"/>
  <c r="A177" i="230"/>
  <c r="A178" i="230"/>
  <c r="A179" i="230"/>
  <c r="A180" i="230"/>
  <c r="A181" i="230"/>
  <c r="A182" i="230"/>
  <c r="K182" i="230" s="1"/>
  <c r="A183" i="230"/>
  <c r="A184" i="230"/>
  <c r="K184" i="230" s="1"/>
  <c r="A185" i="230"/>
  <c r="A186" i="230"/>
  <c r="A187" i="230"/>
  <c r="A188" i="230"/>
  <c r="A189" i="230"/>
  <c r="A190" i="230"/>
  <c r="A191" i="230"/>
  <c r="A192" i="230"/>
  <c r="K192" i="230" s="1"/>
  <c r="A193" i="230"/>
  <c r="K193" i="230" s="1"/>
  <c r="A194" i="230"/>
  <c r="K194" i="230" s="1"/>
  <c r="A195" i="230"/>
  <c r="A196" i="230"/>
  <c r="A197" i="230"/>
  <c r="A198" i="230"/>
  <c r="A199" i="230"/>
  <c r="A200" i="230"/>
  <c r="A201" i="230"/>
  <c r="A202" i="230"/>
  <c r="A203" i="230"/>
  <c r="A204" i="230"/>
  <c r="A205" i="230"/>
  <c r="A206" i="230"/>
  <c r="A207" i="230"/>
  <c r="A208" i="230"/>
  <c r="A209" i="230"/>
  <c r="A210" i="230"/>
  <c r="A211" i="230"/>
  <c r="A212" i="230"/>
  <c r="A213" i="230"/>
  <c r="A214" i="230"/>
  <c r="A215" i="230"/>
  <c r="A216" i="230"/>
  <c r="A217" i="230"/>
  <c r="A218" i="230"/>
  <c r="A219" i="230"/>
  <c r="A220" i="230"/>
  <c r="A221" i="230"/>
  <c r="A222" i="230"/>
  <c r="A223" i="230"/>
  <c r="A224" i="230"/>
  <c r="A225" i="230"/>
  <c r="A226" i="230"/>
  <c r="A227" i="230"/>
  <c r="A3" i="230"/>
  <c r="J4" i="230"/>
  <c r="J5" i="230"/>
  <c r="J6" i="230"/>
  <c r="J7" i="230"/>
  <c r="J8" i="230"/>
  <c r="J9" i="230"/>
  <c r="J10" i="230"/>
  <c r="J11" i="230"/>
  <c r="J12" i="230"/>
  <c r="J13" i="230"/>
  <c r="J14" i="230"/>
  <c r="J15" i="230"/>
  <c r="J16" i="230"/>
  <c r="J17" i="230"/>
  <c r="J18" i="230"/>
  <c r="J19" i="230"/>
  <c r="J20" i="230"/>
  <c r="J21" i="230"/>
  <c r="J22" i="230"/>
  <c r="J23" i="230"/>
  <c r="J24" i="230"/>
  <c r="J25" i="230"/>
  <c r="J26" i="230"/>
  <c r="J27" i="230"/>
  <c r="J28" i="230"/>
  <c r="J29" i="230"/>
  <c r="J30" i="230"/>
  <c r="J31" i="230"/>
  <c r="J32" i="230"/>
  <c r="J33" i="230"/>
  <c r="J34" i="230"/>
  <c r="J35" i="230"/>
  <c r="J36" i="230"/>
  <c r="J37" i="230"/>
  <c r="J38" i="230"/>
  <c r="J39" i="230"/>
  <c r="J40" i="230"/>
  <c r="J41" i="230"/>
  <c r="J42" i="230"/>
  <c r="J43" i="230"/>
  <c r="J44" i="230"/>
  <c r="J45" i="230"/>
  <c r="J46" i="230"/>
  <c r="J47" i="230"/>
  <c r="J48" i="230"/>
  <c r="J49" i="230"/>
  <c r="J50" i="230"/>
  <c r="J51" i="230"/>
  <c r="J52" i="230"/>
  <c r="J53" i="230"/>
  <c r="J54" i="230"/>
  <c r="J55" i="230"/>
  <c r="J56" i="230"/>
  <c r="J57" i="230"/>
  <c r="J58" i="230"/>
  <c r="J59" i="230"/>
  <c r="J60" i="230"/>
  <c r="J61" i="230"/>
  <c r="J62" i="230"/>
  <c r="J63" i="230"/>
  <c r="J64" i="230"/>
  <c r="J65" i="230"/>
  <c r="J66" i="230"/>
  <c r="J67" i="230"/>
  <c r="J68" i="230"/>
  <c r="J69" i="230"/>
  <c r="J70" i="230"/>
  <c r="J71" i="230"/>
  <c r="J72" i="230"/>
  <c r="J73" i="230"/>
  <c r="J74" i="230"/>
  <c r="J75" i="230"/>
  <c r="J76" i="230"/>
  <c r="J77" i="230"/>
  <c r="J78" i="230"/>
  <c r="J79" i="230"/>
  <c r="J80" i="230"/>
  <c r="J81" i="230"/>
  <c r="J82" i="230"/>
  <c r="J83" i="230"/>
  <c r="J84" i="230"/>
  <c r="J85" i="230"/>
  <c r="J86" i="230"/>
  <c r="J87" i="230"/>
  <c r="J88" i="230"/>
  <c r="J89" i="230"/>
  <c r="J90" i="230"/>
  <c r="J91" i="230"/>
  <c r="J92" i="230"/>
  <c r="J93" i="230"/>
  <c r="J94" i="230"/>
  <c r="J95" i="230"/>
  <c r="J96" i="230"/>
  <c r="J97" i="230"/>
  <c r="J98" i="230"/>
  <c r="J99" i="230"/>
  <c r="J100" i="230"/>
  <c r="J101" i="230"/>
  <c r="J102" i="230"/>
  <c r="J103" i="230"/>
  <c r="J104" i="230"/>
  <c r="J105" i="230"/>
  <c r="J106" i="230"/>
  <c r="J107" i="230"/>
  <c r="J108" i="230"/>
  <c r="J109" i="230"/>
  <c r="J110" i="230"/>
  <c r="J111" i="230"/>
  <c r="J112" i="230"/>
  <c r="J113" i="230"/>
  <c r="J114" i="230"/>
  <c r="J115" i="230"/>
  <c r="J116" i="230"/>
  <c r="J117" i="230"/>
  <c r="J118" i="230"/>
  <c r="J119" i="230"/>
  <c r="J120" i="230"/>
  <c r="J121" i="230"/>
  <c r="J122" i="230"/>
  <c r="J123" i="230"/>
  <c r="J124" i="230"/>
  <c r="J125" i="230"/>
  <c r="J126" i="230"/>
  <c r="J127" i="230"/>
  <c r="J128" i="230"/>
  <c r="J129" i="230"/>
  <c r="J130" i="230"/>
  <c r="J131" i="230"/>
  <c r="J132" i="230"/>
  <c r="J133" i="230"/>
  <c r="J134" i="230"/>
  <c r="J135" i="230"/>
  <c r="J136" i="230"/>
  <c r="J137" i="230"/>
  <c r="J138" i="230"/>
  <c r="J139" i="230"/>
  <c r="J140" i="230"/>
  <c r="J141" i="230"/>
  <c r="J142" i="230"/>
  <c r="J143" i="230"/>
  <c r="J144" i="230"/>
  <c r="J145" i="230"/>
  <c r="J146" i="230"/>
  <c r="J147" i="230"/>
  <c r="J148" i="230"/>
  <c r="J149" i="230"/>
  <c r="J150" i="230"/>
  <c r="J151" i="230"/>
  <c r="J152" i="230"/>
  <c r="J153" i="230"/>
  <c r="J154" i="230"/>
  <c r="J155" i="230"/>
  <c r="J156" i="230"/>
  <c r="J157" i="230"/>
  <c r="J158" i="230"/>
  <c r="J159" i="230"/>
  <c r="J160" i="230"/>
  <c r="J161" i="230"/>
  <c r="J162" i="230"/>
  <c r="J163" i="230"/>
  <c r="J164" i="230"/>
  <c r="J165" i="230"/>
  <c r="J166" i="230"/>
  <c r="J167" i="230"/>
  <c r="J168" i="230"/>
  <c r="J169" i="230"/>
  <c r="J170" i="230"/>
  <c r="J171" i="230"/>
  <c r="J172" i="230"/>
  <c r="J173" i="230"/>
  <c r="J174" i="230"/>
  <c r="J175" i="230"/>
  <c r="J176" i="230"/>
  <c r="J177" i="230"/>
  <c r="J178" i="230"/>
  <c r="J179" i="230"/>
  <c r="J180" i="230"/>
  <c r="J181" i="230"/>
  <c r="J182" i="230"/>
  <c r="J183" i="230"/>
  <c r="J184" i="230"/>
  <c r="J185" i="230"/>
  <c r="J186" i="230"/>
  <c r="J187" i="230"/>
  <c r="J188" i="230"/>
  <c r="J189" i="230"/>
  <c r="J190" i="230"/>
  <c r="J191" i="230"/>
  <c r="J192" i="230"/>
  <c r="J193" i="230"/>
  <c r="J194" i="230"/>
  <c r="J195" i="230"/>
  <c r="J196" i="230"/>
  <c r="J197" i="230"/>
  <c r="J198" i="230"/>
  <c r="J199" i="230"/>
  <c r="J200" i="230"/>
  <c r="J201" i="230"/>
  <c r="J202" i="230"/>
  <c r="J203" i="230"/>
  <c r="J204" i="230"/>
  <c r="J205" i="230"/>
  <c r="J206" i="230"/>
  <c r="J207" i="230"/>
  <c r="J208" i="230"/>
  <c r="J209" i="230"/>
  <c r="J210" i="230"/>
  <c r="J211" i="230"/>
  <c r="J212" i="230"/>
  <c r="J213" i="230"/>
  <c r="J214" i="230"/>
  <c r="J215" i="230"/>
  <c r="J216" i="230"/>
  <c r="J217" i="230"/>
  <c r="J218" i="230"/>
  <c r="J219" i="230"/>
  <c r="J220" i="230"/>
  <c r="J221" i="230"/>
  <c r="J222" i="230"/>
  <c r="J223" i="230"/>
  <c r="J224" i="230"/>
  <c r="J225" i="230"/>
  <c r="J226" i="230"/>
  <c r="J227" i="230"/>
  <c r="J3" i="230"/>
  <c r="K59" i="229"/>
  <c r="K60" i="229"/>
  <c r="K61" i="229"/>
  <c r="K63" i="229"/>
  <c r="K79" i="229"/>
  <c r="K80" i="229"/>
  <c r="K81" i="229"/>
  <c r="K82" i="229"/>
  <c r="K83" i="229"/>
  <c r="K139" i="229"/>
  <c r="K140" i="229"/>
  <c r="K141" i="229"/>
  <c r="K143" i="229"/>
  <c r="K159" i="229"/>
  <c r="K160" i="229"/>
  <c r="K161" i="229"/>
  <c r="K162" i="229"/>
  <c r="K163" i="229"/>
  <c r="K219" i="229"/>
  <c r="K220" i="229"/>
  <c r="K221" i="229"/>
  <c r="K223" i="229"/>
  <c r="K239" i="229"/>
  <c r="K240" i="229"/>
  <c r="K241" i="229"/>
  <c r="K242" i="229"/>
  <c r="K243" i="229"/>
  <c r="A4" i="229"/>
  <c r="K4" i="229" s="1"/>
  <c r="A5" i="229"/>
  <c r="K5" i="229" s="1"/>
  <c r="A6" i="229"/>
  <c r="K6" i="229" s="1"/>
  <c r="A7" i="229"/>
  <c r="K7" i="229" s="1"/>
  <c r="A8" i="229"/>
  <c r="K8" i="229" s="1"/>
  <c r="A9" i="229"/>
  <c r="K9" i="229" s="1"/>
  <c r="A10" i="229"/>
  <c r="K10" i="229" s="1"/>
  <c r="A11" i="229"/>
  <c r="K11" i="229" s="1"/>
  <c r="A12" i="229"/>
  <c r="K12" i="229" s="1"/>
  <c r="A13" i="229"/>
  <c r="K13" i="229" s="1"/>
  <c r="A14" i="229"/>
  <c r="K14" i="229" s="1"/>
  <c r="A15" i="229"/>
  <c r="K15" i="229" s="1"/>
  <c r="A16" i="229"/>
  <c r="K16" i="229" s="1"/>
  <c r="A17" i="229"/>
  <c r="K17" i="229" s="1"/>
  <c r="A18" i="229"/>
  <c r="K18" i="229" s="1"/>
  <c r="A19" i="229"/>
  <c r="K19" i="229" s="1"/>
  <c r="A20" i="229"/>
  <c r="K20" i="229" s="1"/>
  <c r="A21" i="229"/>
  <c r="K21" i="229" s="1"/>
  <c r="A22" i="229"/>
  <c r="K22" i="229" s="1"/>
  <c r="A23" i="229"/>
  <c r="K23" i="229" s="1"/>
  <c r="A24" i="229"/>
  <c r="K24" i="229" s="1"/>
  <c r="A25" i="229"/>
  <c r="K25" i="229" s="1"/>
  <c r="A26" i="229"/>
  <c r="K26" i="229" s="1"/>
  <c r="A27" i="229"/>
  <c r="K27" i="229" s="1"/>
  <c r="A28" i="229"/>
  <c r="K28" i="229" s="1"/>
  <c r="A29" i="229"/>
  <c r="K29" i="229" s="1"/>
  <c r="A30" i="229"/>
  <c r="K30" i="229" s="1"/>
  <c r="A31" i="229"/>
  <c r="K31" i="229" s="1"/>
  <c r="A32" i="229"/>
  <c r="K32" i="229" s="1"/>
  <c r="A33" i="229"/>
  <c r="K33" i="229" s="1"/>
  <c r="A34" i="229"/>
  <c r="K34" i="229" s="1"/>
  <c r="A35" i="229"/>
  <c r="K35" i="229" s="1"/>
  <c r="A36" i="229"/>
  <c r="K36" i="229" s="1"/>
  <c r="A37" i="229"/>
  <c r="K37" i="229" s="1"/>
  <c r="A38" i="229"/>
  <c r="K38" i="229" s="1"/>
  <c r="A39" i="229"/>
  <c r="K39" i="229" s="1"/>
  <c r="A40" i="229"/>
  <c r="K40" i="229" s="1"/>
  <c r="A41" i="229"/>
  <c r="K41" i="229" s="1"/>
  <c r="A42" i="229"/>
  <c r="K42" i="229" s="1"/>
  <c r="A43" i="229"/>
  <c r="K43" i="229" s="1"/>
  <c r="A44" i="229"/>
  <c r="K44" i="229" s="1"/>
  <c r="A45" i="229"/>
  <c r="K45" i="229" s="1"/>
  <c r="A46" i="229"/>
  <c r="K46" i="229" s="1"/>
  <c r="A47" i="229"/>
  <c r="K47" i="229" s="1"/>
  <c r="A48" i="229"/>
  <c r="K48" i="229" s="1"/>
  <c r="A49" i="229"/>
  <c r="K49" i="229" s="1"/>
  <c r="A50" i="229"/>
  <c r="K50" i="229" s="1"/>
  <c r="A51" i="229"/>
  <c r="K51" i="229" s="1"/>
  <c r="A52" i="229"/>
  <c r="K52" i="229" s="1"/>
  <c r="A53" i="229"/>
  <c r="K53" i="229" s="1"/>
  <c r="A54" i="229"/>
  <c r="K54" i="229" s="1"/>
  <c r="A55" i="229"/>
  <c r="K55" i="229" s="1"/>
  <c r="A56" i="229"/>
  <c r="K56" i="229" s="1"/>
  <c r="A57" i="229"/>
  <c r="K57" i="229" s="1"/>
  <c r="A58" i="229"/>
  <c r="K58" i="229" s="1"/>
  <c r="A59" i="229"/>
  <c r="A60" i="229"/>
  <c r="A61" i="229"/>
  <c r="A62" i="229"/>
  <c r="K62" i="229" s="1"/>
  <c r="A63" i="229"/>
  <c r="A64" i="229"/>
  <c r="K64" i="229" s="1"/>
  <c r="A65" i="229"/>
  <c r="K65" i="229" s="1"/>
  <c r="A66" i="229"/>
  <c r="K66" i="229" s="1"/>
  <c r="A67" i="229"/>
  <c r="K67" i="229" s="1"/>
  <c r="A68" i="229"/>
  <c r="K68" i="229" s="1"/>
  <c r="A69" i="229"/>
  <c r="K69" i="229" s="1"/>
  <c r="A70" i="229"/>
  <c r="K70" i="229" s="1"/>
  <c r="A71" i="229"/>
  <c r="K71" i="229" s="1"/>
  <c r="A72" i="229"/>
  <c r="K72" i="229" s="1"/>
  <c r="A73" i="229"/>
  <c r="K73" i="229" s="1"/>
  <c r="A74" i="229"/>
  <c r="K74" i="229" s="1"/>
  <c r="A75" i="229"/>
  <c r="K75" i="229" s="1"/>
  <c r="A76" i="229"/>
  <c r="K76" i="229" s="1"/>
  <c r="A77" i="229"/>
  <c r="K77" i="229" s="1"/>
  <c r="A78" i="229"/>
  <c r="K78" i="229" s="1"/>
  <c r="A79" i="229"/>
  <c r="A80" i="229"/>
  <c r="A81" i="229"/>
  <c r="A82" i="229"/>
  <c r="A83" i="229"/>
  <c r="A84" i="229"/>
  <c r="K84" i="229" s="1"/>
  <c r="A85" i="229"/>
  <c r="K85" i="229" s="1"/>
  <c r="A86" i="229"/>
  <c r="K86" i="229" s="1"/>
  <c r="A87" i="229"/>
  <c r="K87" i="229" s="1"/>
  <c r="A88" i="229"/>
  <c r="K88" i="229" s="1"/>
  <c r="A89" i="229"/>
  <c r="K89" i="229" s="1"/>
  <c r="A90" i="229"/>
  <c r="K90" i="229" s="1"/>
  <c r="A91" i="229"/>
  <c r="K91" i="229" s="1"/>
  <c r="A92" i="229"/>
  <c r="K92" i="229" s="1"/>
  <c r="A93" i="229"/>
  <c r="K93" i="229" s="1"/>
  <c r="A94" i="229"/>
  <c r="K94" i="229" s="1"/>
  <c r="A95" i="229"/>
  <c r="K95" i="229" s="1"/>
  <c r="A96" i="229"/>
  <c r="K96" i="229" s="1"/>
  <c r="A97" i="229"/>
  <c r="K97" i="229" s="1"/>
  <c r="A98" i="229"/>
  <c r="K98" i="229" s="1"/>
  <c r="A99" i="229"/>
  <c r="K99" i="229" s="1"/>
  <c r="A100" i="229"/>
  <c r="K100" i="229" s="1"/>
  <c r="A101" i="229"/>
  <c r="K101" i="229" s="1"/>
  <c r="A102" i="229"/>
  <c r="K102" i="229" s="1"/>
  <c r="A103" i="229"/>
  <c r="K103" i="229" s="1"/>
  <c r="A104" i="229"/>
  <c r="K104" i="229" s="1"/>
  <c r="A105" i="229"/>
  <c r="K105" i="229" s="1"/>
  <c r="A106" i="229"/>
  <c r="K106" i="229" s="1"/>
  <c r="A107" i="229"/>
  <c r="K107" i="229" s="1"/>
  <c r="A108" i="229"/>
  <c r="K108" i="229" s="1"/>
  <c r="A109" i="229"/>
  <c r="K109" i="229" s="1"/>
  <c r="A110" i="229"/>
  <c r="K110" i="229" s="1"/>
  <c r="A111" i="229"/>
  <c r="K111" i="229" s="1"/>
  <c r="A112" i="229"/>
  <c r="K112" i="229" s="1"/>
  <c r="A113" i="229"/>
  <c r="K113" i="229" s="1"/>
  <c r="A114" i="229"/>
  <c r="K114" i="229" s="1"/>
  <c r="A115" i="229"/>
  <c r="K115" i="229" s="1"/>
  <c r="A116" i="229"/>
  <c r="K116" i="229" s="1"/>
  <c r="A117" i="229"/>
  <c r="K117" i="229" s="1"/>
  <c r="A118" i="229"/>
  <c r="K118" i="229" s="1"/>
  <c r="A119" i="229"/>
  <c r="K119" i="229" s="1"/>
  <c r="A120" i="229"/>
  <c r="K120" i="229" s="1"/>
  <c r="A121" i="229"/>
  <c r="K121" i="229" s="1"/>
  <c r="A122" i="229"/>
  <c r="K122" i="229" s="1"/>
  <c r="A123" i="229"/>
  <c r="K123" i="229" s="1"/>
  <c r="A124" i="229"/>
  <c r="K124" i="229" s="1"/>
  <c r="A125" i="229"/>
  <c r="K125" i="229" s="1"/>
  <c r="A126" i="229"/>
  <c r="K126" i="229" s="1"/>
  <c r="A127" i="229"/>
  <c r="K127" i="229" s="1"/>
  <c r="A128" i="229"/>
  <c r="K128" i="229" s="1"/>
  <c r="A129" i="229"/>
  <c r="K129" i="229" s="1"/>
  <c r="A130" i="229"/>
  <c r="K130" i="229" s="1"/>
  <c r="A131" i="229"/>
  <c r="K131" i="229" s="1"/>
  <c r="A132" i="229"/>
  <c r="K132" i="229" s="1"/>
  <c r="A133" i="229"/>
  <c r="K133" i="229" s="1"/>
  <c r="A134" i="229"/>
  <c r="K134" i="229" s="1"/>
  <c r="A135" i="229"/>
  <c r="K135" i="229" s="1"/>
  <c r="A136" i="229"/>
  <c r="K136" i="229" s="1"/>
  <c r="A137" i="229"/>
  <c r="K137" i="229" s="1"/>
  <c r="A138" i="229"/>
  <c r="K138" i="229" s="1"/>
  <c r="A139" i="229"/>
  <c r="A140" i="229"/>
  <c r="A141" i="229"/>
  <c r="A142" i="229"/>
  <c r="K142" i="229" s="1"/>
  <c r="A143" i="229"/>
  <c r="A144" i="229"/>
  <c r="K144" i="229" s="1"/>
  <c r="A145" i="229"/>
  <c r="K145" i="229" s="1"/>
  <c r="A146" i="229"/>
  <c r="K146" i="229" s="1"/>
  <c r="A147" i="229"/>
  <c r="K147" i="229" s="1"/>
  <c r="A148" i="229"/>
  <c r="K148" i="229" s="1"/>
  <c r="A149" i="229"/>
  <c r="K149" i="229" s="1"/>
  <c r="A150" i="229"/>
  <c r="K150" i="229" s="1"/>
  <c r="A151" i="229"/>
  <c r="K151" i="229" s="1"/>
  <c r="A152" i="229"/>
  <c r="K152" i="229" s="1"/>
  <c r="A153" i="229"/>
  <c r="K153" i="229" s="1"/>
  <c r="A154" i="229"/>
  <c r="K154" i="229" s="1"/>
  <c r="A155" i="229"/>
  <c r="K155" i="229" s="1"/>
  <c r="A156" i="229"/>
  <c r="K156" i="229" s="1"/>
  <c r="A157" i="229"/>
  <c r="K157" i="229" s="1"/>
  <c r="A158" i="229"/>
  <c r="K158" i="229" s="1"/>
  <c r="A159" i="229"/>
  <c r="A160" i="229"/>
  <c r="A161" i="229"/>
  <c r="A162" i="229"/>
  <c r="A163" i="229"/>
  <c r="A164" i="229"/>
  <c r="K164" i="229" s="1"/>
  <c r="A165" i="229"/>
  <c r="K165" i="229" s="1"/>
  <c r="A166" i="229"/>
  <c r="K166" i="229" s="1"/>
  <c r="A167" i="229"/>
  <c r="K167" i="229" s="1"/>
  <c r="A168" i="229"/>
  <c r="K168" i="229" s="1"/>
  <c r="A169" i="229"/>
  <c r="K169" i="229" s="1"/>
  <c r="A170" i="229"/>
  <c r="K170" i="229" s="1"/>
  <c r="A171" i="229"/>
  <c r="K171" i="229" s="1"/>
  <c r="A172" i="229"/>
  <c r="K172" i="229" s="1"/>
  <c r="A173" i="229"/>
  <c r="K173" i="229" s="1"/>
  <c r="A174" i="229"/>
  <c r="K174" i="229" s="1"/>
  <c r="A175" i="229"/>
  <c r="K175" i="229" s="1"/>
  <c r="A176" i="229"/>
  <c r="K176" i="229" s="1"/>
  <c r="A177" i="229"/>
  <c r="K177" i="229" s="1"/>
  <c r="A178" i="229"/>
  <c r="K178" i="229" s="1"/>
  <c r="A179" i="229"/>
  <c r="K179" i="229" s="1"/>
  <c r="A180" i="229"/>
  <c r="K180" i="229" s="1"/>
  <c r="A181" i="229"/>
  <c r="K181" i="229" s="1"/>
  <c r="A182" i="229"/>
  <c r="K182" i="229" s="1"/>
  <c r="A183" i="229"/>
  <c r="K183" i="229" s="1"/>
  <c r="A184" i="229"/>
  <c r="K184" i="229" s="1"/>
  <c r="A185" i="229"/>
  <c r="K185" i="229" s="1"/>
  <c r="A186" i="229"/>
  <c r="K186" i="229" s="1"/>
  <c r="A187" i="229"/>
  <c r="K187" i="229" s="1"/>
  <c r="A188" i="229"/>
  <c r="K188" i="229" s="1"/>
  <c r="A189" i="229"/>
  <c r="K189" i="229" s="1"/>
  <c r="A190" i="229"/>
  <c r="K190" i="229" s="1"/>
  <c r="A191" i="229"/>
  <c r="K191" i="229" s="1"/>
  <c r="A192" i="229"/>
  <c r="K192" i="229" s="1"/>
  <c r="A193" i="229"/>
  <c r="K193" i="229" s="1"/>
  <c r="A194" i="229"/>
  <c r="K194" i="229" s="1"/>
  <c r="A195" i="229"/>
  <c r="K195" i="229" s="1"/>
  <c r="A196" i="229"/>
  <c r="K196" i="229" s="1"/>
  <c r="A197" i="229"/>
  <c r="K197" i="229" s="1"/>
  <c r="A198" i="229"/>
  <c r="K198" i="229" s="1"/>
  <c r="A199" i="229"/>
  <c r="K199" i="229" s="1"/>
  <c r="A200" i="229"/>
  <c r="K200" i="229" s="1"/>
  <c r="A201" i="229"/>
  <c r="K201" i="229" s="1"/>
  <c r="A202" i="229"/>
  <c r="K202" i="229" s="1"/>
  <c r="A203" i="229"/>
  <c r="K203" i="229" s="1"/>
  <c r="A204" i="229"/>
  <c r="K204" i="229" s="1"/>
  <c r="A205" i="229"/>
  <c r="K205" i="229" s="1"/>
  <c r="A206" i="229"/>
  <c r="K206" i="229" s="1"/>
  <c r="A207" i="229"/>
  <c r="K207" i="229" s="1"/>
  <c r="A208" i="229"/>
  <c r="K208" i="229" s="1"/>
  <c r="A209" i="229"/>
  <c r="K209" i="229" s="1"/>
  <c r="A210" i="229"/>
  <c r="K210" i="229" s="1"/>
  <c r="A211" i="229"/>
  <c r="K211" i="229" s="1"/>
  <c r="A212" i="229"/>
  <c r="K212" i="229" s="1"/>
  <c r="A213" i="229"/>
  <c r="K213" i="229" s="1"/>
  <c r="A214" i="229"/>
  <c r="K214" i="229" s="1"/>
  <c r="A215" i="229"/>
  <c r="K215" i="229" s="1"/>
  <c r="A216" i="229"/>
  <c r="K216" i="229" s="1"/>
  <c r="A217" i="229"/>
  <c r="K217" i="229" s="1"/>
  <c r="A218" i="229"/>
  <c r="K218" i="229" s="1"/>
  <c r="A219" i="229"/>
  <c r="A220" i="229"/>
  <c r="A221" i="229"/>
  <c r="A222" i="229"/>
  <c r="K222" i="229" s="1"/>
  <c r="A223" i="229"/>
  <c r="A224" i="229"/>
  <c r="K224" i="229" s="1"/>
  <c r="A225" i="229"/>
  <c r="K225" i="229" s="1"/>
  <c r="A226" i="229"/>
  <c r="K226" i="229" s="1"/>
  <c r="A227" i="229"/>
  <c r="K227" i="229" s="1"/>
  <c r="A228" i="229"/>
  <c r="K228" i="229" s="1"/>
  <c r="A229" i="229"/>
  <c r="K229" i="229" s="1"/>
  <c r="A230" i="229"/>
  <c r="K230" i="229" s="1"/>
  <c r="A231" i="229"/>
  <c r="K231" i="229" s="1"/>
  <c r="A232" i="229"/>
  <c r="K232" i="229" s="1"/>
  <c r="A233" i="229"/>
  <c r="K233" i="229" s="1"/>
  <c r="A234" i="229"/>
  <c r="K234" i="229" s="1"/>
  <c r="A235" i="229"/>
  <c r="K235" i="229" s="1"/>
  <c r="A236" i="229"/>
  <c r="K236" i="229" s="1"/>
  <c r="A237" i="229"/>
  <c r="K237" i="229" s="1"/>
  <c r="A238" i="229"/>
  <c r="K238" i="229" s="1"/>
  <c r="A239" i="229"/>
  <c r="A240" i="229"/>
  <c r="A241" i="229"/>
  <c r="A242" i="229"/>
  <c r="A243" i="229"/>
  <c r="A244" i="229"/>
  <c r="K244" i="229" s="1"/>
  <c r="A245" i="229"/>
  <c r="K245" i="229" s="1"/>
  <c r="A246" i="229"/>
  <c r="K246" i="229" s="1"/>
  <c r="A247" i="229"/>
  <c r="K247" i="229" s="1"/>
  <c r="A248" i="229"/>
  <c r="K248" i="229" s="1"/>
  <c r="A249" i="229"/>
  <c r="K249" i="229" s="1"/>
  <c r="A250" i="229"/>
  <c r="K250" i="229" s="1"/>
  <c r="A251" i="229"/>
  <c r="K251" i="229" s="1"/>
  <c r="A252" i="229"/>
  <c r="K252" i="229" s="1"/>
  <c r="A253" i="229"/>
  <c r="K253" i="229" s="1"/>
  <c r="A254" i="229"/>
  <c r="K254" i="229" s="1"/>
  <c r="A255" i="229"/>
  <c r="K255" i="229" s="1"/>
  <c r="A256" i="229"/>
  <c r="K256" i="229" s="1"/>
  <c r="A257" i="229"/>
  <c r="K257" i="229" s="1"/>
  <c r="A258" i="229"/>
  <c r="K258" i="229" s="1"/>
  <c r="A259" i="229"/>
  <c r="K259" i="229" s="1"/>
  <c r="A260" i="229"/>
  <c r="K260" i="229" s="1"/>
  <c r="A261" i="229"/>
  <c r="K261" i="229" s="1"/>
  <c r="A262" i="229"/>
  <c r="K262" i="229" s="1"/>
  <c r="A263" i="229"/>
  <c r="K263" i="229" s="1"/>
  <c r="A264" i="229"/>
  <c r="K264" i="229" s="1"/>
  <c r="A265" i="229"/>
  <c r="K265" i="229" s="1"/>
  <c r="A266" i="229"/>
  <c r="K266" i="229" s="1"/>
  <c r="A267" i="229"/>
  <c r="K267" i="229" s="1"/>
  <c r="A268" i="229"/>
  <c r="K268" i="229" s="1"/>
  <c r="A269" i="229"/>
  <c r="K269" i="229" s="1"/>
  <c r="A270" i="229"/>
  <c r="K270" i="229" s="1"/>
  <c r="A271" i="229"/>
  <c r="K271" i="229" s="1"/>
  <c r="A272" i="229"/>
  <c r="K272" i="229" s="1"/>
  <c r="A273" i="229"/>
  <c r="K273" i="229" s="1"/>
  <c r="A274" i="229"/>
  <c r="K274" i="229" s="1"/>
  <c r="A275" i="229"/>
  <c r="K275" i="229" s="1"/>
  <c r="A276" i="229"/>
  <c r="K276" i="229" s="1"/>
  <c r="A277" i="229"/>
  <c r="K277" i="229" s="1"/>
  <c r="A278" i="229"/>
  <c r="K278" i="229" s="1"/>
  <c r="A279" i="229"/>
  <c r="K279" i="229" s="1"/>
  <c r="A280" i="229"/>
  <c r="K280" i="229" s="1"/>
  <c r="A281" i="229"/>
  <c r="K281" i="229" s="1"/>
  <c r="A282" i="229"/>
  <c r="K282" i="229" s="1"/>
  <c r="A283" i="229"/>
  <c r="K283" i="229" s="1"/>
  <c r="A284" i="229"/>
  <c r="K284" i="229" s="1"/>
  <c r="A285" i="229"/>
  <c r="K285" i="229" s="1"/>
  <c r="A286" i="229"/>
  <c r="K286" i="229" s="1"/>
  <c r="A287" i="229"/>
  <c r="K287" i="229" s="1"/>
  <c r="A3" i="229"/>
  <c r="K3" i="229" s="1"/>
  <c r="J287" i="229"/>
  <c r="J286" i="229"/>
  <c r="J285" i="229"/>
  <c r="J284" i="229"/>
  <c r="J283" i="229"/>
  <c r="J282" i="229"/>
  <c r="J281" i="229"/>
  <c r="J280" i="229"/>
  <c r="J279" i="229"/>
  <c r="J278" i="229"/>
  <c r="J277" i="229"/>
  <c r="J276" i="229"/>
  <c r="J275" i="229"/>
  <c r="J274" i="229"/>
  <c r="J273" i="229"/>
  <c r="J272" i="229"/>
  <c r="J271" i="229"/>
  <c r="J270" i="229"/>
  <c r="J269" i="229"/>
  <c r="J268" i="229"/>
  <c r="J267" i="229"/>
  <c r="J266" i="229"/>
  <c r="J265" i="229"/>
  <c r="J264" i="229"/>
  <c r="J263" i="229"/>
  <c r="J262" i="229"/>
  <c r="J261" i="229"/>
  <c r="J260" i="229"/>
  <c r="J259" i="229"/>
  <c r="J258" i="229"/>
  <c r="J257" i="229"/>
  <c r="J256" i="229"/>
  <c r="J255" i="229"/>
  <c r="J254" i="229"/>
  <c r="J253" i="229"/>
  <c r="J252" i="229"/>
  <c r="J251" i="229"/>
  <c r="J250" i="229"/>
  <c r="J249" i="229"/>
  <c r="J248" i="229"/>
  <c r="J247" i="229"/>
  <c r="J246" i="229"/>
  <c r="J245" i="229"/>
  <c r="J244" i="229"/>
  <c r="J243" i="229"/>
  <c r="J242" i="229"/>
  <c r="J241" i="229"/>
  <c r="J240" i="229"/>
  <c r="J239" i="229"/>
  <c r="J238" i="229"/>
  <c r="J237" i="229"/>
  <c r="J236" i="229"/>
  <c r="J235" i="229"/>
  <c r="J234" i="229"/>
  <c r="J233" i="229"/>
  <c r="J232" i="229"/>
  <c r="J231" i="229"/>
  <c r="J230" i="229"/>
  <c r="J229" i="229"/>
  <c r="J228" i="229"/>
  <c r="J227" i="229"/>
  <c r="J226" i="229"/>
  <c r="J225" i="229"/>
  <c r="J224" i="229"/>
  <c r="J223" i="229"/>
  <c r="J222" i="229"/>
  <c r="J221" i="229"/>
  <c r="J220" i="229"/>
  <c r="J219" i="229"/>
  <c r="J218" i="229"/>
  <c r="J217" i="229"/>
  <c r="J216" i="229"/>
  <c r="J215" i="229"/>
  <c r="J214" i="229"/>
  <c r="J213" i="229"/>
  <c r="J212" i="229"/>
  <c r="J211" i="229"/>
  <c r="J210" i="229"/>
  <c r="J209" i="229"/>
  <c r="J208" i="229"/>
  <c r="J207" i="229"/>
  <c r="J206" i="229"/>
  <c r="J205" i="229"/>
  <c r="J204" i="229"/>
  <c r="J203" i="229"/>
  <c r="J202" i="229"/>
  <c r="J201" i="229"/>
  <c r="J200" i="229"/>
  <c r="J199" i="229"/>
  <c r="J198" i="229"/>
  <c r="J197" i="229"/>
  <c r="J196" i="229"/>
  <c r="J195" i="229"/>
  <c r="J194" i="229"/>
  <c r="J193" i="229"/>
  <c r="J192" i="229"/>
  <c r="J191" i="229"/>
  <c r="J190" i="229"/>
  <c r="J189" i="229"/>
  <c r="J188" i="229"/>
  <c r="J187" i="229"/>
  <c r="J186" i="229"/>
  <c r="J185" i="229"/>
  <c r="J184" i="229"/>
  <c r="J183" i="229"/>
  <c r="J182" i="229"/>
  <c r="J181" i="229"/>
  <c r="J180" i="229"/>
  <c r="J179" i="229"/>
  <c r="J178" i="229"/>
  <c r="J177" i="229"/>
  <c r="J176" i="229"/>
  <c r="J175" i="229"/>
  <c r="J174" i="229"/>
  <c r="J173" i="229"/>
  <c r="J172" i="229"/>
  <c r="J171" i="229"/>
  <c r="J170" i="229"/>
  <c r="J169" i="229"/>
  <c r="J168" i="229"/>
  <c r="J167" i="229"/>
  <c r="J166" i="229"/>
  <c r="J165" i="229"/>
  <c r="J164" i="229"/>
  <c r="J163" i="229"/>
  <c r="J162" i="229"/>
  <c r="J161" i="229"/>
  <c r="J160" i="229"/>
  <c r="J159" i="229"/>
  <c r="J158" i="229"/>
  <c r="J157" i="229"/>
  <c r="J156" i="229"/>
  <c r="J155" i="229"/>
  <c r="J154" i="229"/>
  <c r="J153" i="229"/>
  <c r="J152" i="229"/>
  <c r="J151" i="229"/>
  <c r="J150" i="229"/>
  <c r="J149" i="229"/>
  <c r="J148" i="229"/>
  <c r="J147" i="229"/>
  <c r="J146" i="229"/>
  <c r="J145" i="229"/>
  <c r="J144" i="229"/>
  <c r="J143" i="229"/>
  <c r="J142" i="229"/>
  <c r="J141" i="229"/>
  <c r="J140" i="229"/>
  <c r="J139" i="229"/>
  <c r="J138" i="229"/>
  <c r="J137" i="229"/>
  <c r="J136" i="229"/>
  <c r="J135" i="229"/>
  <c r="J134" i="229"/>
  <c r="J133" i="229"/>
  <c r="J132" i="229"/>
  <c r="J131" i="229"/>
  <c r="J130" i="229"/>
  <c r="J129" i="229"/>
  <c r="J128" i="229"/>
  <c r="J127" i="229"/>
  <c r="J126" i="229"/>
  <c r="J125" i="229"/>
  <c r="J124" i="229"/>
  <c r="J123" i="229"/>
  <c r="J122" i="229"/>
  <c r="J121" i="229"/>
  <c r="J120" i="229"/>
  <c r="J119" i="229"/>
  <c r="J118" i="229"/>
  <c r="J117" i="229"/>
  <c r="J116" i="229"/>
  <c r="J115" i="229"/>
  <c r="J114" i="229"/>
  <c r="J113" i="229"/>
  <c r="J112" i="229"/>
  <c r="J111" i="229"/>
  <c r="J110" i="229"/>
  <c r="J109" i="229"/>
  <c r="J108" i="229"/>
  <c r="J107" i="229"/>
  <c r="J106" i="229"/>
  <c r="J105" i="229"/>
  <c r="J104" i="229"/>
  <c r="J103" i="229"/>
  <c r="J102" i="229"/>
  <c r="J101" i="229"/>
  <c r="J100" i="229"/>
  <c r="J99" i="229"/>
  <c r="J98" i="229"/>
  <c r="J97" i="229"/>
  <c r="J96" i="229"/>
  <c r="J95" i="229"/>
  <c r="J94" i="229"/>
  <c r="J93" i="229"/>
  <c r="J92" i="229"/>
  <c r="J91" i="229"/>
  <c r="J90" i="229"/>
  <c r="J89" i="229"/>
  <c r="J88" i="229"/>
  <c r="J87" i="229"/>
  <c r="J86" i="229"/>
  <c r="J85" i="229"/>
  <c r="J84" i="229"/>
  <c r="J83" i="229"/>
  <c r="J82" i="229"/>
  <c r="J81" i="229"/>
  <c r="J80" i="229"/>
  <c r="J79" i="229"/>
  <c r="J78" i="229"/>
  <c r="J77" i="229"/>
  <c r="J76" i="229"/>
  <c r="J75" i="229"/>
  <c r="J74" i="229"/>
  <c r="J73" i="229"/>
  <c r="J72" i="229"/>
  <c r="J71" i="229"/>
  <c r="J70" i="229"/>
  <c r="J69" i="229"/>
  <c r="J68" i="229"/>
  <c r="J67" i="229"/>
  <c r="J66" i="229"/>
  <c r="J65" i="229"/>
  <c r="J64" i="229"/>
  <c r="J63" i="229"/>
  <c r="J62" i="229"/>
  <c r="J61" i="229"/>
  <c r="J60" i="229"/>
  <c r="J59" i="229"/>
  <c r="J58" i="229"/>
  <c r="J57" i="229"/>
  <c r="J56" i="229"/>
  <c r="J55" i="229"/>
  <c r="J54" i="229"/>
  <c r="J53" i="229"/>
  <c r="J52" i="229"/>
  <c r="J51" i="229"/>
  <c r="J50" i="229"/>
  <c r="J49" i="229"/>
  <c r="J48" i="229"/>
  <c r="J47" i="229"/>
  <c r="J46" i="229"/>
  <c r="J45" i="229"/>
  <c r="J44" i="229"/>
  <c r="J43" i="229"/>
  <c r="J42" i="229"/>
  <c r="J41" i="229"/>
  <c r="J40" i="229"/>
  <c r="J39" i="229"/>
  <c r="J38" i="229"/>
  <c r="J37" i="229"/>
  <c r="J36" i="229"/>
  <c r="J35" i="229"/>
  <c r="J34" i="229"/>
  <c r="J33" i="229"/>
  <c r="J32" i="229"/>
  <c r="J31" i="229"/>
  <c r="J30" i="229"/>
  <c r="J29" i="229"/>
  <c r="J28" i="229"/>
  <c r="J27" i="229"/>
  <c r="J26" i="229"/>
  <c r="J25" i="229"/>
  <c r="J24" i="229"/>
  <c r="J23" i="229"/>
  <c r="J22" i="229"/>
  <c r="J21" i="229"/>
  <c r="J20" i="229"/>
  <c r="J19" i="229"/>
  <c r="J18" i="229"/>
  <c r="J17" i="229"/>
  <c r="J16" i="229"/>
  <c r="J15" i="229"/>
  <c r="J14" i="229"/>
  <c r="J13" i="229"/>
  <c r="J12" i="229"/>
  <c r="J11" i="229"/>
  <c r="J10" i="229"/>
  <c r="J9" i="229"/>
  <c r="J8" i="229"/>
  <c r="J7" i="229"/>
  <c r="J6" i="229"/>
  <c r="J5" i="229"/>
  <c r="J4" i="229"/>
  <c r="J3" i="229"/>
  <c r="K8" i="228" l="1"/>
  <c r="K9" i="228"/>
  <c r="K11" i="228"/>
  <c r="K49" i="228"/>
  <c r="K63" i="228"/>
  <c r="K69" i="228"/>
  <c r="K83" i="228"/>
  <c r="K89" i="228"/>
  <c r="K109" i="228"/>
  <c r="K149" i="228"/>
  <c r="K163" i="228"/>
  <c r="K169" i="228"/>
  <c r="K183" i="228"/>
  <c r="K189" i="228"/>
  <c r="K209" i="228"/>
  <c r="K249" i="228"/>
  <c r="K263" i="228"/>
  <c r="K269" i="228"/>
  <c r="K283" i="228"/>
  <c r="K289" i="228"/>
  <c r="A4" i="228"/>
  <c r="K4" i="228" s="1"/>
  <c r="A5" i="228"/>
  <c r="K5" i="228" s="1"/>
  <c r="A6" i="228"/>
  <c r="K6" i="228" s="1"/>
  <c r="A7" i="228"/>
  <c r="K7" i="228" s="1"/>
  <c r="A8" i="228"/>
  <c r="A9" i="228"/>
  <c r="A10" i="228"/>
  <c r="K10" i="228" s="1"/>
  <c r="A11" i="228"/>
  <c r="A12" i="228"/>
  <c r="K12" i="228" s="1"/>
  <c r="A13" i="228"/>
  <c r="K13" i="228" s="1"/>
  <c r="A14" i="228"/>
  <c r="K14" i="228" s="1"/>
  <c r="A15" i="228"/>
  <c r="K15" i="228" s="1"/>
  <c r="A16" i="228"/>
  <c r="K16" i="228" s="1"/>
  <c r="A17" i="228"/>
  <c r="K17" i="228" s="1"/>
  <c r="A18" i="228"/>
  <c r="K18" i="228" s="1"/>
  <c r="A19" i="228"/>
  <c r="K19" i="228" s="1"/>
  <c r="A20" i="228"/>
  <c r="K20" i="228" s="1"/>
  <c r="A21" i="228"/>
  <c r="K21" i="228" s="1"/>
  <c r="A22" i="228"/>
  <c r="K22" i="228" s="1"/>
  <c r="A23" i="228"/>
  <c r="K23" i="228" s="1"/>
  <c r="A24" i="228"/>
  <c r="K24" i="228" s="1"/>
  <c r="A25" i="228"/>
  <c r="K25" i="228" s="1"/>
  <c r="A26" i="228"/>
  <c r="K26" i="228" s="1"/>
  <c r="A27" i="228"/>
  <c r="K27" i="228" s="1"/>
  <c r="A28" i="228"/>
  <c r="K28" i="228" s="1"/>
  <c r="A29" i="228"/>
  <c r="K29" i="228" s="1"/>
  <c r="A30" i="228"/>
  <c r="K30" i="228" s="1"/>
  <c r="A31" i="228"/>
  <c r="K31" i="228" s="1"/>
  <c r="A32" i="228"/>
  <c r="K32" i="228" s="1"/>
  <c r="A33" i="228"/>
  <c r="K33" i="228" s="1"/>
  <c r="A34" i="228"/>
  <c r="K34" i="228" s="1"/>
  <c r="A35" i="228"/>
  <c r="K35" i="228" s="1"/>
  <c r="A36" i="228"/>
  <c r="K36" i="228" s="1"/>
  <c r="A37" i="228"/>
  <c r="K37" i="228" s="1"/>
  <c r="A38" i="228"/>
  <c r="K38" i="228" s="1"/>
  <c r="A39" i="228"/>
  <c r="K39" i="228" s="1"/>
  <c r="A40" i="228"/>
  <c r="K40" i="228" s="1"/>
  <c r="A41" i="228"/>
  <c r="K41" i="228" s="1"/>
  <c r="A42" i="228"/>
  <c r="K42" i="228" s="1"/>
  <c r="A43" i="228"/>
  <c r="K43" i="228" s="1"/>
  <c r="A44" i="228"/>
  <c r="K44" i="228" s="1"/>
  <c r="A45" i="228"/>
  <c r="K45" i="228" s="1"/>
  <c r="A46" i="228"/>
  <c r="K46" i="228" s="1"/>
  <c r="A47" i="228"/>
  <c r="K47" i="228" s="1"/>
  <c r="A48" i="228"/>
  <c r="K48" i="228" s="1"/>
  <c r="A49" i="228"/>
  <c r="A50" i="228"/>
  <c r="K50" i="228" s="1"/>
  <c r="A51" i="228"/>
  <c r="K51" i="228" s="1"/>
  <c r="A52" i="228"/>
  <c r="K52" i="228" s="1"/>
  <c r="A53" i="228"/>
  <c r="K53" i="228" s="1"/>
  <c r="A54" i="228"/>
  <c r="K54" i="228" s="1"/>
  <c r="A55" i="228"/>
  <c r="K55" i="228" s="1"/>
  <c r="A56" i="228"/>
  <c r="K56" i="228" s="1"/>
  <c r="A57" i="228"/>
  <c r="K57" i="228" s="1"/>
  <c r="A58" i="228"/>
  <c r="K58" i="228" s="1"/>
  <c r="A59" i="228"/>
  <c r="K59" i="228" s="1"/>
  <c r="A60" i="228"/>
  <c r="K60" i="228" s="1"/>
  <c r="A61" i="228"/>
  <c r="K61" i="228" s="1"/>
  <c r="A62" i="228"/>
  <c r="K62" i="228" s="1"/>
  <c r="A63" i="228"/>
  <c r="A64" i="228"/>
  <c r="K64" i="228" s="1"/>
  <c r="A65" i="228"/>
  <c r="K65" i="228" s="1"/>
  <c r="A66" i="228"/>
  <c r="K66" i="228" s="1"/>
  <c r="A67" i="228"/>
  <c r="K67" i="228" s="1"/>
  <c r="A68" i="228"/>
  <c r="K68" i="228" s="1"/>
  <c r="A69" i="228"/>
  <c r="A70" i="228"/>
  <c r="K70" i="228" s="1"/>
  <c r="A71" i="228"/>
  <c r="K71" i="228" s="1"/>
  <c r="A72" i="228"/>
  <c r="K72" i="228" s="1"/>
  <c r="A73" i="228"/>
  <c r="K73" i="228" s="1"/>
  <c r="A74" i="228"/>
  <c r="K74" i="228" s="1"/>
  <c r="A75" i="228"/>
  <c r="K75" i="228" s="1"/>
  <c r="A76" i="228"/>
  <c r="K76" i="228" s="1"/>
  <c r="A77" i="228"/>
  <c r="K77" i="228" s="1"/>
  <c r="A78" i="228"/>
  <c r="K78" i="228" s="1"/>
  <c r="A79" i="228"/>
  <c r="K79" i="228" s="1"/>
  <c r="A80" i="228"/>
  <c r="K80" i="228" s="1"/>
  <c r="A81" i="228"/>
  <c r="K81" i="228" s="1"/>
  <c r="A82" i="228"/>
  <c r="K82" i="228" s="1"/>
  <c r="A83" i="228"/>
  <c r="A84" i="228"/>
  <c r="K84" i="228" s="1"/>
  <c r="A85" i="228"/>
  <c r="K85" i="228" s="1"/>
  <c r="A86" i="228"/>
  <c r="K86" i="228" s="1"/>
  <c r="A87" i="228"/>
  <c r="K87" i="228" s="1"/>
  <c r="A88" i="228"/>
  <c r="K88" i="228" s="1"/>
  <c r="A89" i="228"/>
  <c r="A90" i="228"/>
  <c r="K90" i="228" s="1"/>
  <c r="A91" i="228"/>
  <c r="K91" i="228" s="1"/>
  <c r="A92" i="228"/>
  <c r="K92" i="228" s="1"/>
  <c r="A93" i="228"/>
  <c r="K93" i="228" s="1"/>
  <c r="A94" i="228"/>
  <c r="K94" i="228" s="1"/>
  <c r="A95" i="228"/>
  <c r="K95" i="228" s="1"/>
  <c r="A96" i="228"/>
  <c r="K96" i="228" s="1"/>
  <c r="A97" i="228"/>
  <c r="K97" i="228" s="1"/>
  <c r="A98" i="228"/>
  <c r="K98" i="228" s="1"/>
  <c r="A99" i="228"/>
  <c r="K99" i="228" s="1"/>
  <c r="A100" i="228"/>
  <c r="K100" i="228" s="1"/>
  <c r="A101" i="228"/>
  <c r="K101" i="228" s="1"/>
  <c r="A102" i="228"/>
  <c r="K102" i="228" s="1"/>
  <c r="A103" i="228"/>
  <c r="K103" i="228" s="1"/>
  <c r="A104" i="228"/>
  <c r="K104" i="228" s="1"/>
  <c r="A105" i="228"/>
  <c r="K105" i="228" s="1"/>
  <c r="A106" i="228"/>
  <c r="K106" i="228" s="1"/>
  <c r="A107" i="228"/>
  <c r="K107" i="228" s="1"/>
  <c r="A108" i="228"/>
  <c r="K108" i="228" s="1"/>
  <c r="A109" i="228"/>
  <c r="A110" i="228"/>
  <c r="K110" i="228" s="1"/>
  <c r="A111" i="228"/>
  <c r="K111" i="228" s="1"/>
  <c r="A112" i="228"/>
  <c r="K112" i="228" s="1"/>
  <c r="A113" i="228"/>
  <c r="K113" i="228" s="1"/>
  <c r="A114" i="228"/>
  <c r="K114" i="228" s="1"/>
  <c r="A115" i="228"/>
  <c r="K115" i="228" s="1"/>
  <c r="A116" i="228"/>
  <c r="K116" i="228" s="1"/>
  <c r="A117" i="228"/>
  <c r="K117" i="228" s="1"/>
  <c r="A118" i="228"/>
  <c r="K118" i="228" s="1"/>
  <c r="A119" i="228"/>
  <c r="K119" i="228" s="1"/>
  <c r="A120" i="228"/>
  <c r="K120" i="228" s="1"/>
  <c r="A121" i="228"/>
  <c r="K121" i="228" s="1"/>
  <c r="A122" i="228"/>
  <c r="K122" i="228" s="1"/>
  <c r="A123" i="228"/>
  <c r="K123" i="228" s="1"/>
  <c r="A124" i="228"/>
  <c r="K124" i="228" s="1"/>
  <c r="A125" i="228"/>
  <c r="K125" i="228" s="1"/>
  <c r="A126" i="228"/>
  <c r="K126" i="228" s="1"/>
  <c r="A127" i="228"/>
  <c r="K127" i="228" s="1"/>
  <c r="A128" i="228"/>
  <c r="K128" i="228" s="1"/>
  <c r="A129" i="228"/>
  <c r="K129" i="228" s="1"/>
  <c r="A130" i="228"/>
  <c r="K130" i="228" s="1"/>
  <c r="A131" i="228"/>
  <c r="K131" i="228" s="1"/>
  <c r="A132" i="228"/>
  <c r="K132" i="228" s="1"/>
  <c r="A133" i="228"/>
  <c r="K133" i="228" s="1"/>
  <c r="A134" i="228"/>
  <c r="K134" i="228" s="1"/>
  <c r="A135" i="228"/>
  <c r="K135" i="228" s="1"/>
  <c r="A136" i="228"/>
  <c r="K136" i="228" s="1"/>
  <c r="A137" i="228"/>
  <c r="K137" i="228" s="1"/>
  <c r="A138" i="228"/>
  <c r="K138" i="228" s="1"/>
  <c r="A139" i="228"/>
  <c r="K139" i="228" s="1"/>
  <c r="A140" i="228"/>
  <c r="K140" i="228" s="1"/>
  <c r="A141" i="228"/>
  <c r="K141" i="228" s="1"/>
  <c r="A142" i="228"/>
  <c r="K142" i="228" s="1"/>
  <c r="A143" i="228"/>
  <c r="K143" i="228" s="1"/>
  <c r="A144" i="228"/>
  <c r="K144" i="228" s="1"/>
  <c r="A145" i="228"/>
  <c r="K145" i="228" s="1"/>
  <c r="A146" i="228"/>
  <c r="K146" i="228" s="1"/>
  <c r="A147" i="228"/>
  <c r="K147" i="228" s="1"/>
  <c r="A148" i="228"/>
  <c r="K148" i="228" s="1"/>
  <c r="A149" i="228"/>
  <c r="A150" i="228"/>
  <c r="K150" i="228" s="1"/>
  <c r="A151" i="228"/>
  <c r="K151" i="228" s="1"/>
  <c r="A152" i="228"/>
  <c r="K152" i="228" s="1"/>
  <c r="A153" i="228"/>
  <c r="K153" i="228" s="1"/>
  <c r="A154" i="228"/>
  <c r="K154" i="228" s="1"/>
  <c r="A155" i="228"/>
  <c r="K155" i="228" s="1"/>
  <c r="A156" i="228"/>
  <c r="K156" i="228" s="1"/>
  <c r="A157" i="228"/>
  <c r="K157" i="228" s="1"/>
  <c r="A158" i="228"/>
  <c r="K158" i="228" s="1"/>
  <c r="A159" i="228"/>
  <c r="K159" i="228" s="1"/>
  <c r="A160" i="228"/>
  <c r="K160" i="228" s="1"/>
  <c r="A161" i="228"/>
  <c r="K161" i="228" s="1"/>
  <c r="A162" i="228"/>
  <c r="K162" i="228" s="1"/>
  <c r="A163" i="228"/>
  <c r="A164" i="228"/>
  <c r="K164" i="228" s="1"/>
  <c r="A165" i="228"/>
  <c r="K165" i="228" s="1"/>
  <c r="A166" i="228"/>
  <c r="K166" i="228" s="1"/>
  <c r="A167" i="228"/>
  <c r="K167" i="228" s="1"/>
  <c r="A168" i="228"/>
  <c r="K168" i="228" s="1"/>
  <c r="A169" i="228"/>
  <c r="A170" i="228"/>
  <c r="K170" i="228" s="1"/>
  <c r="A171" i="228"/>
  <c r="K171" i="228" s="1"/>
  <c r="A172" i="228"/>
  <c r="K172" i="228" s="1"/>
  <c r="A173" i="228"/>
  <c r="K173" i="228" s="1"/>
  <c r="A174" i="228"/>
  <c r="K174" i="228" s="1"/>
  <c r="A175" i="228"/>
  <c r="K175" i="228" s="1"/>
  <c r="A176" i="228"/>
  <c r="K176" i="228" s="1"/>
  <c r="A177" i="228"/>
  <c r="K177" i="228" s="1"/>
  <c r="A178" i="228"/>
  <c r="K178" i="228" s="1"/>
  <c r="A179" i="228"/>
  <c r="K179" i="228" s="1"/>
  <c r="A180" i="228"/>
  <c r="K180" i="228" s="1"/>
  <c r="A181" i="228"/>
  <c r="K181" i="228" s="1"/>
  <c r="A182" i="228"/>
  <c r="K182" i="228" s="1"/>
  <c r="A183" i="228"/>
  <c r="A184" i="228"/>
  <c r="K184" i="228" s="1"/>
  <c r="A185" i="228"/>
  <c r="K185" i="228" s="1"/>
  <c r="A186" i="228"/>
  <c r="K186" i="228" s="1"/>
  <c r="A187" i="228"/>
  <c r="K187" i="228" s="1"/>
  <c r="A188" i="228"/>
  <c r="K188" i="228" s="1"/>
  <c r="A189" i="228"/>
  <c r="A190" i="228"/>
  <c r="K190" i="228" s="1"/>
  <c r="A191" i="228"/>
  <c r="K191" i="228" s="1"/>
  <c r="A192" i="228"/>
  <c r="K192" i="228" s="1"/>
  <c r="A193" i="228"/>
  <c r="K193" i="228" s="1"/>
  <c r="A194" i="228"/>
  <c r="K194" i="228" s="1"/>
  <c r="A195" i="228"/>
  <c r="K195" i="228" s="1"/>
  <c r="A196" i="228"/>
  <c r="K196" i="228" s="1"/>
  <c r="A197" i="228"/>
  <c r="K197" i="228" s="1"/>
  <c r="A198" i="228"/>
  <c r="K198" i="228" s="1"/>
  <c r="A199" i="228"/>
  <c r="K199" i="228" s="1"/>
  <c r="A200" i="228"/>
  <c r="K200" i="228" s="1"/>
  <c r="A201" i="228"/>
  <c r="K201" i="228" s="1"/>
  <c r="A202" i="228"/>
  <c r="K202" i="228" s="1"/>
  <c r="A203" i="228"/>
  <c r="K203" i="228" s="1"/>
  <c r="A204" i="228"/>
  <c r="K204" i="228" s="1"/>
  <c r="A205" i="228"/>
  <c r="K205" i="228" s="1"/>
  <c r="A206" i="228"/>
  <c r="K206" i="228" s="1"/>
  <c r="A207" i="228"/>
  <c r="K207" i="228" s="1"/>
  <c r="A208" i="228"/>
  <c r="K208" i="228" s="1"/>
  <c r="A209" i="228"/>
  <c r="A210" i="228"/>
  <c r="K210" i="228" s="1"/>
  <c r="A211" i="228"/>
  <c r="K211" i="228" s="1"/>
  <c r="A212" i="228"/>
  <c r="K212" i="228" s="1"/>
  <c r="A213" i="228"/>
  <c r="K213" i="228" s="1"/>
  <c r="A214" i="228"/>
  <c r="K214" i="228" s="1"/>
  <c r="A215" i="228"/>
  <c r="K215" i="228" s="1"/>
  <c r="A216" i="228"/>
  <c r="K216" i="228" s="1"/>
  <c r="A217" i="228"/>
  <c r="K217" i="228" s="1"/>
  <c r="A218" i="228"/>
  <c r="K218" i="228" s="1"/>
  <c r="A219" i="228"/>
  <c r="K219" i="228" s="1"/>
  <c r="A220" i="228"/>
  <c r="K220" i="228" s="1"/>
  <c r="A221" i="228"/>
  <c r="K221" i="228" s="1"/>
  <c r="A222" i="228"/>
  <c r="K222" i="228" s="1"/>
  <c r="A223" i="228"/>
  <c r="K223" i="228" s="1"/>
  <c r="A224" i="228"/>
  <c r="K224" i="228" s="1"/>
  <c r="A225" i="228"/>
  <c r="K225" i="228" s="1"/>
  <c r="A226" i="228"/>
  <c r="K226" i="228" s="1"/>
  <c r="A227" i="228"/>
  <c r="K227" i="228" s="1"/>
  <c r="A228" i="228"/>
  <c r="K228" i="228" s="1"/>
  <c r="A229" i="228"/>
  <c r="K229" i="228" s="1"/>
  <c r="A230" i="228"/>
  <c r="K230" i="228" s="1"/>
  <c r="A231" i="228"/>
  <c r="K231" i="228" s="1"/>
  <c r="A232" i="228"/>
  <c r="K232" i="228" s="1"/>
  <c r="A233" i="228"/>
  <c r="K233" i="228" s="1"/>
  <c r="A234" i="228"/>
  <c r="K234" i="228" s="1"/>
  <c r="A235" i="228"/>
  <c r="K235" i="228" s="1"/>
  <c r="A236" i="228"/>
  <c r="K236" i="228" s="1"/>
  <c r="A237" i="228"/>
  <c r="K237" i="228" s="1"/>
  <c r="A238" i="228"/>
  <c r="K238" i="228" s="1"/>
  <c r="A239" i="228"/>
  <c r="K239" i="228" s="1"/>
  <c r="A240" i="228"/>
  <c r="K240" i="228" s="1"/>
  <c r="A241" i="228"/>
  <c r="K241" i="228" s="1"/>
  <c r="A242" i="228"/>
  <c r="K242" i="228" s="1"/>
  <c r="A243" i="228"/>
  <c r="K243" i="228" s="1"/>
  <c r="A244" i="228"/>
  <c r="K244" i="228" s="1"/>
  <c r="A245" i="228"/>
  <c r="K245" i="228" s="1"/>
  <c r="A246" i="228"/>
  <c r="K246" i="228" s="1"/>
  <c r="A247" i="228"/>
  <c r="K247" i="228" s="1"/>
  <c r="A248" i="228"/>
  <c r="K248" i="228" s="1"/>
  <c r="A249" i="228"/>
  <c r="A250" i="228"/>
  <c r="K250" i="228" s="1"/>
  <c r="A251" i="228"/>
  <c r="K251" i="228" s="1"/>
  <c r="A252" i="228"/>
  <c r="K252" i="228" s="1"/>
  <c r="A253" i="228"/>
  <c r="K253" i="228" s="1"/>
  <c r="A254" i="228"/>
  <c r="K254" i="228" s="1"/>
  <c r="A255" i="228"/>
  <c r="K255" i="228" s="1"/>
  <c r="A256" i="228"/>
  <c r="K256" i="228" s="1"/>
  <c r="A257" i="228"/>
  <c r="K257" i="228" s="1"/>
  <c r="A258" i="228"/>
  <c r="K258" i="228" s="1"/>
  <c r="A259" i="228"/>
  <c r="K259" i="228" s="1"/>
  <c r="A260" i="228"/>
  <c r="K260" i="228" s="1"/>
  <c r="A261" i="228"/>
  <c r="K261" i="228" s="1"/>
  <c r="A262" i="228"/>
  <c r="K262" i="228" s="1"/>
  <c r="A263" i="228"/>
  <c r="A264" i="228"/>
  <c r="K264" i="228" s="1"/>
  <c r="A265" i="228"/>
  <c r="K265" i="228" s="1"/>
  <c r="A266" i="228"/>
  <c r="K266" i="228" s="1"/>
  <c r="A267" i="228"/>
  <c r="K267" i="228" s="1"/>
  <c r="A268" i="228"/>
  <c r="K268" i="228" s="1"/>
  <c r="A269" i="228"/>
  <c r="A270" i="228"/>
  <c r="K270" i="228" s="1"/>
  <c r="A271" i="228"/>
  <c r="K271" i="228" s="1"/>
  <c r="A272" i="228"/>
  <c r="K272" i="228" s="1"/>
  <c r="A273" i="228"/>
  <c r="K273" i="228" s="1"/>
  <c r="A274" i="228"/>
  <c r="K274" i="228" s="1"/>
  <c r="A275" i="228"/>
  <c r="K275" i="228" s="1"/>
  <c r="A276" i="228"/>
  <c r="K276" i="228" s="1"/>
  <c r="A277" i="228"/>
  <c r="K277" i="228" s="1"/>
  <c r="A278" i="228"/>
  <c r="K278" i="228" s="1"/>
  <c r="A279" i="228"/>
  <c r="K279" i="228" s="1"/>
  <c r="A280" i="228"/>
  <c r="K280" i="228" s="1"/>
  <c r="A281" i="228"/>
  <c r="K281" i="228" s="1"/>
  <c r="A282" i="228"/>
  <c r="K282" i="228" s="1"/>
  <c r="A283" i="228"/>
  <c r="A284" i="228"/>
  <c r="K284" i="228" s="1"/>
  <c r="A285" i="228"/>
  <c r="K285" i="228" s="1"/>
  <c r="A286" i="228"/>
  <c r="K286" i="228" s="1"/>
  <c r="A287" i="228"/>
  <c r="K287" i="228" s="1"/>
  <c r="A288" i="228"/>
  <c r="K288" i="228" s="1"/>
  <c r="A289" i="228"/>
  <c r="A290" i="228"/>
  <c r="K290" i="228" s="1"/>
  <c r="A291" i="228"/>
  <c r="K291" i="228" s="1"/>
  <c r="A292" i="228"/>
  <c r="K292" i="228" s="1"/>
  <c r="A293" i="228"/>
  <c r="K293" i="228" s="1"/>
  <c r="A294" i="228"/>
  <c r="K294" i="228" s="1"/>
  <c r="A295" i="228"/>
  <c r="K295" i="228" s="1"/>
  <c r="A296" i="228"/>
  <c r="K296" i="228" s="1"/>
  <c r="A297" i="228"/>
  <c r="K297" i="228" s="1"/>
  <c r="A298" i="228"/>
  <c r="K298" i="228" s="1"/>
  <c r="A299" i="228"/>
  <c r="K299" i="228" s="1"/>
  <c r="A300" i="228"/>
  <c r="K300" i="228" s="1"/>
  <c r="A301" i="228"/>
  <c r="K301" i="228" s="1"/>
  <c r="A302" i="228"/>
  <c r="K302" i="228" s="1"/>
  <c r="A303" i="228"/>
  <c r="K303" i="228" s="1"/>
  <c r="A304" i="228"/>
  <c r="K304" i="228" s="1"/>
  <c r="A305" i="228"/>
  <c r="K305" i="228" s="1"/>
  <c r="A3" i="228"/>
  <c r="K3" i="228" s="1"/>
  <c r="J305" i="228"/>
  <c r="J304" i="228"/>
  <c r="J303" i="228"/>
  <c r="J302" i="228"/>
  <c r="J301" i="228"/>
  <c r="J300" i="228"/>
  <c r="J299" i="228"/>
  <c r="J298" i="228"/>
  <c r="J297" i="228"/>
  <c r="J296" i="228"/>
  <c r="J295" i="228"/>
  <c r="J294" i="228"/>
  <c r="J293" i="228"/>
  <c r="J292" i="228"/>
  <c r="J291" i="228"/>
  <c r="J290" i="228"/>
  <c r="J289" i="228"/>
  <c r="J288" i="228"/>
  <c r="J287" i="228"/>
  <c r="J286" i="228"/>
  <c r="J285" i="228"/>
  <c r="J284" i="228"/>
  <c r="J283" i="228"/>
  <c r="J282" i="228"/>
  <c r="J281" i="228"/>
  <c r="J280" i="228"/>
  <c r="J279" i="228"/>
  <c r="J278" i="228"/>
  <c r="J277" i="228"/>
  <c r="J276" i="228"/>
  <c r="J275" i="228"/>
  <c r="J274" i="228"/>
  <c r="J273" i="228"/>
  <c r="J272" i="228"/>
  <c r="J271" i="228"/>
  <c r="J270" i="228"/>
  <c r="J269" i="228"/>
  <c r="J268" i="228"/>
  <c r="J267" i="228"/>
  <c r="J266" i="228"/>
  <c r="J265" i="228"/>
  <c r="J264" i="228"/>
  <c r="J263" i="228"/>
  <c r="J262" i="228"/>
  <c r="J261" i="228"/>
  <c r="J260" i="228"/>
  <c r="J259" i="228"/>
  <c r="J258" i="228"/>
  <c r="J257" i="228"/>
  <c r="J256" i="228"/>
  <c r="J255" i="228"/>
  <c r="J254" i="228"/>
  <c r="J253" i="228"/>
  <c r="J252" i="228"/>
  <c r="J251" i="228"/>
  <c r="J250" i="228"/>
  <c r="J249" i="228"/>
  <c r="J248" i="228"/>
  <c r="J247" i="228"/>
  <c r="J246" i="228"/>
  <c r="J245" i="228"/>
  <c r="J244" i="228"/>
  <c r="J243" i="228"/>
  <c r="J242" i="228"/>
  <c r="J241" i="228"/>
  <c r="J240" i="228"/>
  <c r="J239" i="228"/>
  <c r="J238" i="228"/>
  <c r="J237" i="228"/>
  <c r="J236" i="228"/>
  <c r="J235" i="228"/>
  <c r="J234" i="228"/>
  <c r="J233" i="228"/>
  <c r="J232" i="228"/>
  <c r="J231" i="228"/>
  <c r="J230" i="228"/>
  <c r="J229" i="228"/>
  <c r="J228" i="228"/>
  <c r="J227" i="228"/>
  <c r="J226" i="228"/>
  <c r="J225" i="228"/>
  <c r="J224" i="228"/>
  <c r="J223" i="228"/>
  <c r="J222" i="228"/>
  <c r="J221" i="228"/>
  <c r="J220" i="228"/>
  <c r="J219" i="228"/>
  <c r="J218" i="228"/>
  <c r="J217" i="228"/>
  <c r="J216" i="228"/>
  <c r="J215" i="228"/>
  <c r="J214" i="228"/>
  <c r="J213" i="228"/>
  <c r="J212" i="228"/>
  <c r="J211" i="228"/>
  <c r="J210" i="228"/>
  <c r="J209" i="228"/>
  <c r="J208" i="228"/>
  <c r="J207" i="228"/>
  <c r="J206" i="228"/>
  <c r="J205" i="228"/>
  <c r="J204" i="228"/>
  <c r="J203" i="228"/>
  <c r="J202" i="228"/>
  <c r="J201" i="228"/>
  <c r="J200" i="228"/>
  <c r="J199" i="228"/>
  <c r="J198" i="228"/>
  <c r="J197" i="228"/>
  <c r="J196" i="228"/>
  <c r="J195" i="228"/>
  <c r="J194" i="228"/>
  <c r="J193" i="228"/>
  <c r="J192" i="228"/>
  <c r="J191" i="228"/>
  <c r="J190" i="228"/>
  <c r="J189" i="228"/>
  <c r="J188" i="228"/>
  <c r="J187" i="228"/>
  <c r="J186" i="228"/>
  <c r="J185" i="228"/>
  <c r="J184" i="228"/>
  <c r="J183" i="228"/>
  <c r="J182" i="228"/>
  <c r="J181" i="228"/>
  <c r="J180" i="228"/>
  <c r="J179" i="228"/>
  <c r="J178" i="228"/>
  <c r="J177" i="228"/>
  <c r="J176" i="228"/>
  <c r="J175" i="228"/>
  <c r="J174" i="228"/>
  <c r="J173" i="228"/>
  <c r="J172" i="228"/>
  <c r="J171" i="228"/>
  <c r="J170" i="228"/>
  <c r="J169" i="228"/>
  <c r="J168" i="228"/>
  <c r="J167" i="228"/>
  <c r="J166" i="228"/>
  <c r="J165" i="228"/>
  <c r="J164" i="228"/>
  <c r="J163" i="228"/>
  <c r="J162" i="228"/>
  <c r="J161" i="228"/>
  <c r="J160" i="228"/>
  <c r="J159" i="228"/>
  <c r="J158" i="228"/>
  <c r="J157" i="228"/>
  <c r="J156" i="228"/>
  <c r="J155" i="228"/>
  <c r="J154" i="228"/>
  <c r="J153" i="228"/>
  <c r="J152" i="228"/>
  <c r="J151" i="228"/>
  <c r="J150" i="228"/>
  <c r="J149" i="228"/>
  <c r="J148" i="228"/>
  <c r="J147" i="228"/>
  <c r="J146" i="228"/>
  <c r="J145" i="228"/>
  <c r="J144" i="228"/>
  <c r="J143" i="228"/>
  <c r="J142" i="228"/>
  <c r="J141" i="228"/>
  <c r="J140" i="228"/>
  <c r="J139" i="228"/>
  <c r="J138" i="228"/>
  <c r="J137" i="228"/>
  <c r="J136" i="228"/>
  <c r="J135" i="228"/>
  <c r="J134" i="228"/>
  <c r="J133" i="228"/>
  <c r="J132" i="228"/>
  <c r="J131" i="228"/>
  <c r="J130" i="228"/>
  <c r="J129" i="228"/>
  <c r="J128" i="228"/>
  <c r="J127" i="228"/>
  <c r="J126" i="228"/>
  <c r="J125" i="228"/>
  <c r="J124" i="228"/>
  <c r="J123" i="228"/>
  <c r="J122" i="228"/>
  <c r="J121" i="228"/>
  <c r="J120" i="228"/>
  <c r="J119" i="228"/>
  <c r="J118" i="228"/>
  <c r="J117" i="228"/>
  <c r="J116" i="228"/>
  <c r="J115" i="228"/>
  <c r="J114" i="228"/>
  <c r="J113" i="228"/>
  <c r="J112" i="228"/>
  <c r="J111" i="228"/>
  <c r="J110" i="228"/>
  <c r="J109" i="228"/>
  <c r="J108" i="228"/>
  <c r="J107" i="228"/>
  <c r="J106" i="228"/>
  <c r="J105" i="228"/>
  <c r="J104" i="228"/>
  <c r="J103" i="228"/>
  <c r="J102" i="228"/>
  <c r="J101" i="228"/>
  <c r="J100" i="228"/>
  <c r="J99" i="228"/>
  <c r="J98" i="228"/>
  <c r="J97" i="228"/>
  <c r="J96" i="228"/>
  <c r="J95" i="228"/>
  <c r="J94" i="228"/>
  <c r="J93" i="228"/>
  <c r="J92" i="228"/>
  <c r="J91" i="228"/>
  <c r="J90" i="228"/>
  <c r="J89" i="228"/>
  <c r="J88" i="228"/>
  <c r="J87" i="228"/>
  <c r="J86" i="228"/>
  <c r="J85" i="228"/>
  <c r="J84" i="228"/>
  <c r="J83" i="228"/>
  <c r="J82" i="228"/>
  <c r="J81" i="228"/>
  <c r="J80" i="228"/>
  <c r="J79" i="228"/>
  <c r="J78" i="228"/>
  <c r="J77" i="228"/>
  <c r="J76" i="228"/>
  <c r="J75" i="228"/>
  <c r="J74" i="228"/>
  <c r="J73" i="228"/>
  <c r="J72" i="228"/>
  <c r="J71" i="228"/>
  <c r="J70" i="228"/>
  <c r="J69" i="228"/>
  <c r="J68" i="228"/>
  <c r="J67" i="228"/>
  <c r="J66" i="228"/>
  <c r="J65" i="228"/>
  <c r="J64" i="228"/>
  <c r="J63" i="228"/>
  <c r="J62" i="228"/>
  <c r="J61" i="228"/>
  <c r="J60" i="228"/>
  <c r="J59" i="228"/>
  <c r="J58" i="228"/>
  <c r="J57" i="228"/>
  <c r="J56" i="228"/>
  <c r="J55" i="228"/>
  <c r="J54" i="228"/>
  <c r="J53" i="228"/>
  <c r="J52" i="228"/>
  <c r="J51" i="228"/>
  <c r="J50" i="228"/>
  <c r="J49" i="228"/>
  <c r="J48" i="228"/>
  <c r="J47" i="228"/>
  <c r="J46" i="228"/>
  <c r="J45" i="228"/>
  <c r="J44" i="228"/>
  <c r="J43" i="228"/>
  <c r="J42" i="228"/>
  <c r="J41" i="228"/>
  <c r="J40" i="228"/>
  <c r="J39" i="228"/>
  <c r="J38" i="228"/>
  <c r="J37" i="228"/>
  <c r="J36" i="228"/>
  <c r="J35" i="228"/>
  <c r="J34" i="228"/>
  <c r="J33" i="228"/>
  <c r="J32" i="228"/>
  <c r="J31" i="228"/>
  <c r="J30" i="228"/>
  <c r="J29" i="228"/>
  <c r="J28" i="228"/>
  <c r="J27" i="228"/>
  <c r="J26" i="228"/>
  <c r="J25" i="228"/>
  <c r="J24" i="228"/>
  <c r="J23" i="228"/>
  <c r="J22" i="228"/>
  <c r="J21" i="228"/>
  <c r="J20" i="228"/>
  <c r="J19" i="228"/>
  <c r="J18" i="228"/>
  <c r="J17" i="228"/>
  <c r="J16" i="228"/>
  <c r="J15" i="228"/>
  <c r="J14" i="228"/>
  <c r="J13" i="228"/>
  <c r="J12" i="228"/>
  <c r="J11" i="228"/>
  <c r="J10" i="228"/>
  <c r="J9" i="228"/>
  <c r="J8" i="228"/>
  <c r="J7" i="228"/>
  <c r="J6" i="228"/>
  <c r="J5" i="228"/>
  <c r="J4" i="228"/>
  <c r="J3" i="228"/>
  <c r="K22" i="227" l="1"/>
  <c r="K23" i="227"/>
  <c r="K42" i="227"/>
  <c r="K43" i="227"/>
  <c r="K51" i="227"/>
  <c r="K52" i="227"/>
  <c r="K53" i="227"/>
  <c r="K54" i="227"/>
  <c r="K55" i="227"/>
  <c r="K62" i="227"/>
  <c r="K82" i="227"/>
  <c r="K83" i="227"/>
  <c r="K102" i="227"/>
  <c r="K103" i="227"/>
  <c r="K111" i="227"/>
  <c r="K112" i="227"/>
  <c r="K113" i="227"/>
  <c r="K114" i="227"/>
  <c r="K115" i="227"/>
  <c r="K142" i="227"/>
  <c r="K143" i="227"/>
  <c r="K162" i="227"/>
  <c r="K163" i="227"/>
  <c r="K171" i="227"/>
  <c r="K172" i="227"/>
  <c r="K173" i="227"/>
  <c r="K174" i="227"/>
  <c r="K202" i="227"/>
  <c r="K203" i="227"/>
  <c r="K222" i="227"/>
  <c r="K223" i="227"/>
  <c r="K231" i="227"/>
  <c r="K232" i="227"/>
  <c r="K233" i="227"/>
  <c r="K262" i="227"/>
  <c r="K263" i="227"/>
  <c r="K271" i="227"/>
  <c r="K272" i="227"/>
  <c r="K273" i="227"/>
  <c r="K274" i="227"/>
  <c r="K275" i="227"/>
  <c r="K282" i="227"/>
  <c r="K283" i="227"/>
  <c r="K291" i="227"/>
  <c r="K292" i="227"/>
  <c r="A4" i="227"/>
  <c r="K4" i="227" s="1"/>
  <c r="A5" i="227"/>
  <c r="K5" i="227" s="1"/>
  <c r="A6" i="227"/>
  <c r="K6" i="227" s="1"/>
  <c r="A7" i="227"/>
  <c r="K7" i="227" s="1"/>
  <c r="A8" i="227"/>
  <c r="K8" i="227" s="1"/>
  <c r="A9" i="227"/>
  <c r="K9" i="227" s="1"/>
  <c r="A10" i="227"/>
  <c r="K10" i="227" s="1"/>
  <c r="A11" i="227"/>
  <c r="K11" i="227" s="1"/>
  <c r="A12" i="227"/>
  <c r="K12" i="227" s="1"/>
  <c r="A13" i="227"/>
  <c r="K13" i="227" s="1"/>
  <c r="A14" i="227"/>
  <c r="K14" i="227" s="1"/>
  <c r="A15" i="227"/>
  <c r="K15" i="227" s="1"/>
  <c r="A16" i="227"/>
  <c r="K16" i="227" s="1"/>
  <c r="A17" i="227"/>
  <c r="K17" i="227" s="1"/>
  <c r="A18" i="227"/>
  <c r="K18" i="227" s="1"/>
  <c r="A19" i="227"/>
  <c r="K19" i="227" s="1"/>
  <c r="A20" i="227"/>
  <c r="K20" i="227" s="1"/>
  <c r="A21" i="227"/>
  <c r="K21" i="227" s="1"/>
  <c r="A22" i="227"/>
  <c r="A23" i="227"/>
  <c r="A24" i="227"/>
  <c r="K24" i="227" s="1"/>
  <c r="A25" i="227"/>
  <c r="K25" i="227" s="1"/>
  <c r="A26" i="227"/>
  <c r="K26" i="227" s="1"/>
  <c r="A27" i="227"/>
  <c r="K27" i="227" s="1"/>
  <c r="A28" i="227"/>
  <c r="K28" i="227" s="1"/>
  <c r="A29" i="227"/>
  <c r="K29" i="227" s="1"/>
  <c r="A30" i="227"/>
  <c r="K30" i="227" s="1"/>
  <c r="A31" i="227"/>
  <c r="K31" i="227" s="1"/>
  <c r="A32" i="227"/>
  <c r="K32" i="227" s="1"/>
  <c r="A33" i="227"/>
  <c r="K33" i="227" s="1"/>
  <c r="A34" i="227"/>
  <c r="K34" i="227" s="1"/>
  <c r="A35" i="227"/>
  <c r="K35" i="227" s="1"/>
  <c r="A36" i="227"/>
  <c r="K36" i="227" s="1"/>
  <c r="A37" i="227"/>
  <c r="K37" i="227" s="1"/>
  <c r="A38" i="227"/>
  <c r="K38" i="227" s="1"/>
  <c r="A39" i="227"/>
  <c r="K39" i="227" s="1"/>
  <c r="A40" i="227"/>
  <c r="K40" i="227" s="1"/>
  <c r="A41" i="227"/>
  <c r="K41" i="227" s="1"/>
  <c r="A42" i="227"/>
  <c r="A43" i="227"/>
  <c r="A44" i="227"/>
  <c r="K44" i="227" s="1"/>
  <c r="A45" i="227"/>
  <c r="K45" i="227" s="1"/>
  <c r="A46" i="227"/>
  <c r="K46" i="227" s="1"/>
  <c r="A47" i="227"/>
  <c r="K47" i="227" s="1"/>
  <c r="A48" i="227"/>
  <c r="K48" i="227" s="1"/>
  <c r="A49" i="227"/>
  <c r="K49" i="227" s="1"/>
  <c r="A50" i="227"/>
  <c r="K50" i="227" s="1"/>
  <c r="A51" i="227"/>
  <c r="A52" i="227"/>
  <c r="A53" i="227"/>
  <c r="A54" i="227"/>
  <c r="A55" i="227"/>
  <c r="A56" i="227"/>
  <c r="K56" i="227" s="1"/>
  <c r="A57" i="227"/>
  <c r="K57" i="227" s="1"/>
  <c r="A58" i="227"/>
  <c r="K58" i="227" s="1"/>
  <c r="A59" i="227"/>
  <c r="K59" i="227" s="1"/>
  <c r="A60" i="227"/>
  <c r="K60" i="227" s="1"/>
  <c r="A61" i="227"/>
  <c r="K61" i="227" s="1"/>
  <c r="A62" i="227"/>
  <c r="A63" i="227"/>
  <c r="K63" i="227" s="1"/>
  <c r="A64" i="227"/>
  <c r="K64" i="227" s="1"/>
  <c r="A65" i="227"/>
  <c r="K65" i="227" s="1"/>
  <c r="A66" i="227"/>
  <c r="K66" i="227" s="1"/>
  <c r="A67" i="227"/>
  <c r="K67" i="227" s="1"/>
  <c r="A68" i="227"/>
  <c r="K68" i="227" s="1"/>
  <c r="A69" i="227"/>
  <c r="K69" i="227" s="1"/>
  <c r="A70" i="227"/>
  <c r="K70" i="227" s="1"/>
  <c r="A71" i="227"/>
  <c r="K71" i="227" s="1"/>
  <c r="A72" i="227"/>
  <c r="K72" i="227" s="1"/>
  <c r="A73" i="227"/>
  <c r="K73" i="227" s="1"/>
  <c r="A74" i="227"/>
  <c r="K74" i="227" s="1"/>
  <c r="A75" i="227"/>
  <c r="K75" i="227" s="1"/>
  <c r="A76" i="227"/>
  <c r="K76" i="227" s="1"/>
  <c r="A77" i="227"/>
  <c r="K77" i="227" s="1"/>
  <c r="A78" i="227"/>
  <c r="K78" i="227" s="1"/>
  <c r="A79" i="227"/>
  <c r="K79" i="227" s="1"/>
  <c r="A80" i="227"/>
  <c r="K80" i="227" s="1"/>
  <c r="A81" i="227"/>
  <c r="K81" i="227" s="1"/>
  <c r="A82" i="227"/>
  <c r="A83" i="227"/>
  <c r="A84" i="227"/>
  <c r="K84" i="227" s="1"/>
  <c r="A85" i="227"/>
  <c r="K85" i="227" s="1"/>
  <c r="A86" i="227"/>
  <c r="K86" i="227" s="1"/>
  <c r="A87" i="227"/>
  <c r="K87" i="227" s="1"/>
  <c r="A88" i="227"/>
  <c r="K88" i="227" s="1"/>
  <c r="A89" i="227"/>
  <c r="K89" i="227" s="1"/>
  <c r="A90" i="227"/>
  <c r="K90" i="227" s="1"/>
  <c r="A91" i="227"/>
  <c r="K91" i="227" s="1"/>
  <c r="A92" i="227"/>
  <c r="K92" i="227" s="1"/>
  <c r="A93" i="227"/>
  <c r="K93" i="227" s="1"/>
  <c r="A94" i="227"/>
  <c r="K94" i="227" s="1"/>
  <c r="A95" i="227"/>
  <c r="K95" i="227" s="1"/>
  <c r="A96" i="227"/>
  <c r="K96" i="227" s="1"/>
  <c r="A97" i="227"/>
  <c r="K97" i="227" s="1"/>
  <c r="A98" i="227"/>
  <c r="K98" i="227" s="1"/>
  <c r="A99" i="227"/>
  <c r="K99" i="227" s="1"/>
  <c r="A100" i="227"/>
  <c r="K100" i="227" s="1"/>
  <c r="A101" i="227"/>
  <c r="K101" i="227" s="1"/>
  <c r="A102" i="227"/>
  <c r="A103" i="227"/>
  <c r="A104" i="227"/>
  <c r="K104" i="227" s="1"/>
  <c r="A105" i="227"/>
  <c r="K105" i="227" s="1"/>
  <c r="A106" i="227"/>
  <c r="K106" i="227" s="1"/>
  <c r="A107" i="227"/>
  <c r="K107" i="227" s="1"/>
  <c r="A108" i="227"/>
  <c r="K108" i="227" s="1"/>
  <c r="A109" i="227"/>
  <c r="K109" i="227" s="1"/>
  <c r="A110" i="227"/>
  <c r="K110" i="227" s="1"/>
  <c r="A111" i="227"/>
  <c r="A112" i="227"/>
  <c r="A113" i="227"/>
  <c r="A114" i="227"/>
  <c r="A115" i="227"/>
  <c r="A116" i="227"/>
  <c r="K116" i="227" s="1"/>
  <c r="A117" i="227"/>
  <c r="K117" i="227" s="1"/>
  <c r="A118" i="227"/>
  <c r="K118" i="227" s="1"/>
  <c r="A119" i="227"/>
  <c r="K119" i="227" s="1"/>
  <c r="A120" i="227"/>
  <c r="K120" i="227" s="1"/>
  <c r="A121" i="227"/>
  <c r="K121" i="227" s="1"/>
  <c r="A122" i="227"/>
  <c r="K122" i="227" s="1"/>
  <c r="A123" i="227"/>
  <c r="K123" i="227" s="1"/>
  <c r="A124" i="227"/>
  <c r="K124" i="227" s="1"/>
  <c r="A125" i="227"/>
  <c r="K125" i="227" s="1"/>
  <c r="A126" i="227"/>
  <c r="K126" i="227" s="1"/>
  <c r="A127" i="227"/>
  <c r="K127" i="227" s="1"/>
  <c r="A128" i="227"/>
  <c r="K128" i="227" s="1"/>
  <c r="A129" i="227"/>
  <c r="K129" i="227" s="1"/>
  <c r="A130" i="227"/>
  <c r="K130" i="227" s="1"/>
  <c r="A131" i="227"/>
  <c r="K131" i="227" s="1"/>
  <c r="A132" i="227"/>
  <c r="K132" i="227" s="1"/>
  <c r="A133" i="227"/>
  <c r="K133" i="227" s="1"/>
  <c r="A134" i="227"/>
  <c r="K134" i="227" s="1"/>
  <c r="A135" i="227"/>
  <c r="K135" i="227" s="1"/>
  <c r="A136" i="227"/>
  <c r="K136" i="227" s="1"/>
  <c r="A137" i="227"/>
  <c r="K137" i="227" s="1"/>
  <c r="A138" i="227"/>
  <c r="K138" i="227" s="1"/>
  <c r="A139" i="227"/>
  <c r="K139" i="227" s="1"/>
  <c r="A140" i="227"/>
  <c r="K140" i="227" s="1"/>
  <c r="A141" i="227"/>
  <c r="K141" i="227" s="1"/>
  <c r="A142" i="227"/>
  <c r="A143" i="227"/>
  <c r="A144" i="227"/>
  <c r="K144" i="227" s="1"/>
  <c r="A145" i="227"/>
  <c r="K145" i="227" s="1"/>
  <c r="A146" i="227"/>
  <c r="K146" i="227" s="1"/>
  <c r="A147" i="227"/>
  <c r="K147" i="227" s="1"/>
  <c r="A148" i="227"/>
  <c r="K148" i="227" s="1"/>
  <c r="A149" i="227"/>
  <c r="K149" i="227" s="1"/>
  <c r="A150" i="227"/>
  <c r="K150" i="227" s="1"/>
  <c r="A151" i="227"/>
  <c r="K151" i="227" s="1"/>
  <c r="A152" i="227"/>
  <c r="K152" i="227" s="1"/>
  <c r="A153" i="227"/>
  <c r="K153" i="227" s="1"/>
  <c r="A154" i="227"/>
  <c r="K154" i="227" s="1"/>
  <c r="A155" i="227"/>
  <c r="K155" i="227" s="1"/>
  <c r="A156" i="227"/>
  <c r="K156" i="227" s="1"/>
  <c r="A157" i="227"/>
  <c r="K157" i="227" s="1"/>
  <c r="A158" i="227"/>
  <c r="K158" i="227" s="1"/>
  <c r="A159" i="227"/>
  <c r="K159" i="227" s="1"/>
  <c r="A160" i="227"/>
  <c r="K160" i="227" s="1"/>
  <c r="A161" i="227"/>
  <c r="K161" i="227" s="1"/>
  <c r="A162" i="227"/>
  <c r="A163" i="227"/>
  <c r="A164" i="227"/>
  <c r="K164" i="227" s="1"/>
  <c r="A165" i="227"/>
  <c r="K165" i="227" s="1"/>
  <c r="A166" i="227"/>
  <c r="K166" i="227" s="1"/>
  <c r="A167" i="227"/>
  <c r="K167" i="227" s="1"/>
  <c r="A168" i="227"/>
  <c r="K168" i="227" s="1"/>
  <c r="A169" i="227"/>
  <c r="K169" i="227" s="1"/>
  <c r="A170" i="227"/>
  <c r="K170" i="227" s="1"/>
  <c r="A171" i="227"/>
  <c r="A172" i="227"/>
  <c r="A173" i="227"/>
  <c r="A174" i="227"/>
  <c r="A175" i="227"/>
  <c r="K175" i="227" s="1"/>
  <c r="A176" i="227"/>
  <c r="K176" i="227" s="1"/>
  <c r="A177" i="227"/>
  <c r="K177" i="227" s="1"/>
  <c r="A178" i="227"/>
  <c r="K178" i="227" s="1"/>
  <c r="A179" i="227"/>
  <c r="K179" i="227" s="1"/>
  <c r="A180" i="227"/>
  <c r="K180" i="227" s="1"/>
  <c r="A181" i="227"/>
  <c r="K181" i="227" s="1"/>
  <c r="A182" i="227"/>
  <c r="K182" i="227" s="1"/>
  <c r="A183" i="227"/>
  <c r="K183" i="227" s="1"/>
  <c r="A184" i="227"/>
  <c r="K184" i="227" s="1"/>
  <c r="A185" i="227"/>
  <c r="K185" i="227" s="1"/>
  <c r="A186" i="227"/>
  <c r="K186" i="227" s="1"/>
  <c r="A187" i="227"/>
  <c r="K187" i="227" s="1"/>
  <c r="A188" i="227"/>
  <c r="K188" i="227" s="1"/>
  <c r="A189" i="227"/>
  <c r="K189" i="227" s="1"/>
  <c r="A190" i="227"/>
  <c r="K190" i="227" s="1"/>
  <c r="A191" i="227"/>
  <c r="K191" i="227" s="1"/>
  <c r="A192" i="227"/>
  <c r="K192" i="227" s="1"/>
  <c r="A193" i="227"/>
  <c r="K193" i="227" s="1"/>
  <c r="A194" i="227"/>
  <c r="K194" i="227" s="1"/>
  <c r="A195" i="227"/>
  <c r="K195" i="227" s="1"/>
  <c r="A196" i="227"/>
  <c r="K196" i="227" s="1"/>
  <c r="A197" i="227"/>
  <c r="K197" i="227" s="1"/>
  <c r="A198" i="227"/>
  <c r="K198" i="227" s="1"/>
  <c r="A199" i="227"/>
  <c r="K199" i="227" s="1"/>
  <c r="A200" i="227"/>
  <c r="K200" i="227" s="1"/>
  <c r="A201" i="227"/>
  <c r="K201" i="227" s="1"/>
  <c r="A202" i="227"/>
  <c r="A203" i="227"/>
  <c r="A204" i="227"/>
  <c r="K204" i="227" s="1"/>
  <c r="A205" i="227"/>
  <c r="K205" i="227" s="1"/>
  <c r="A206" i="227"/>
  <c r="K206" i="227" s="1"/>
  <c r="A207" i="227"/>
  <c r="K207" i="227" s="1"/>
  <c r="A208" i="227"/>
  <c r="K208" i="227" s="1"/>
  <c r="A209" i="227"/>
  <c r="K209" i="227" s="1"/>
  <c r="A210" i="227"/>
  <c r="K210" i="227" s="1"/>
  <c r="A211" i="227"/>
  <c r="K211" i="227" s="1"/>
  <c r="A212" i="227"/>
  <c r="K212" i="227" s="1"/>
  <c r="A213" i="227"/>
  <c r="K213" i="227" s="1"/>
  <c r="A214" i="227"/>
  <c r="K214" i="227" s="1"/>
  <c r="A215" i="227"/>
  <c r="K215" i="227" s="1"/>
  <c r="A216" i="227"/>
  <c r="K216" i="227" s="1"/>
  <c r="A217" i="227"/>
  <c r="K217" i="227" s="1"/>
  <c r="A218" i="227"/>
  <c r="K218" i="227" s="1"/>
  <c r="A219" i="227"/>
  <c r="K219" i="227" s="1"/>
  <c r="A220" i="227"/>
  <c r="K220" i="227" s="1"/>
  <c r="A221" i="227"/>
  <c r="K221" i="227" s="1"/>
  <c r="A222" i="227"/>
  <c r="A223" i="227"/>
  <c r="A224" i="227"/>
  <c r="K224" i="227" s="1"/>
  <c r="A225" i="227"/>
  <c r="K225" i="227" s="1"/>
  <c r="A226" i="227"/>
  <c r="K226" i="227" s="1"/>
  <c r="A227" i="227"/>
  <c r="K227" i="227" s="1"/>
  <c r="A228" i="227"/>
  <c r="K228" i="227" s="1"/>
  <c r="A229" i="227"/>
  <c r="K229" i="227" s="1"/>
  <c r="A230" i="227"/>
  <c r="K230" i="227" s="1"/>
  <c r="A231" i="227"/>
  <c r="A232" i="227"/>
  <c r="A233" i="227"/>
  <c r="A234" i="227"/>
  <c r="K234" i="227" s="1"/>
  <c r="A235" i="227"/>
  <c r="K235" i="227" s="1"/>
  <c r="A236" i="227"/>
  <c r="K236" i="227" s="1"/>
  <c r="A237" i="227"/>
  <c r="K237" i="227" s="1"/>
  <c r="A238" i="227"/>
  <c r="K238" i="227" s="1"/>
  <c r="A239" i="227"/>
  <c r="K239" i="227" s="1"/>
  <c r="A240" i="227"/>
  <c r="K240" i="227" s="1"/>
  <c r="A241" i="227"/>
  <c r="K241" i="227" s="1"/>
  <c r="A242" i="227"/>
  <c r="K242" i="227" s="1"/>
  <c r="A243" i="227"/>
  <c r="K243" i="227" s="1"/>
  <c r="A244" i="227"/>
  <c r="K244" i="227" s="1"/>
  <c r="A245" i="227"/>
  <c r="K245" i="227" s="1"/>
  <c r="A246" i="227"/>
  <c r="K246" i="227" s="1"/>
  <c r="A247" i="227"/>
  <c r="K247" i="227" s="1"/>
  <c r="A248" i="227"/>
  <c r="K248" i="227" s="1"/>
  <c r="A249" i="227"/>
  <c r="K249" i="227" s="1"/>
  <c r="A250" i="227"/>
  <c r="K250" i="227" s="1"/>
  <c r="A251" i="227"/>
  <c r="K251" i="227" s="1"/>
  <c r="A252" i="227"/>
  <c r="K252" i="227" s="1"/>
  <c r="A253" i="227"/>
  <c r="K253" i="227" s="1"/>
  <c r="A254" i="227"/>
  <c r="K254" i="227" s="1"/>
  <c r="A255" i="227"/>
  <c r="K255" i="227" s="1"/>
  <c r="A256" i="227"/>
  <c r="K256" i="227" s="1"/>
  <c r="A257" i="227"/>
  <c r="K257" i="227" s="1"/>
  <c r="A258" i="227"/>
  <c r="K258" i="227" s="1"/>
  <c r="A259" i="227"/>
  <c r="K259" i="227" s="1"/>
  <c r="A260" i="227"/>
  <c r="K260" i="227" s="1"/>
  <c r="A261" i="227"/>
  <c r="K261" i="227" s="1"/>
  <c r="A262" i="227"/>
  <c r="A263" i="227"/>
  <c r="A264" i="227"/>
  <c r="K264" i="227" s="1"/>
  <c r="A265" i="227"/>
  <c r="K265" i="227" s="1"/>
  <c r="A266" i="227"/>
  <c r="K266" i="227" s="1"/>
  <c r="A267" i="227"/>
  <c r="K267" i="227" s="1"/>
  <c r="A268" i="227"/>
  <c r="K268" i="227" s="1"/>
  <c r="A269" i="227"/>
  <c r="K269" i="227" s="1"/>
  <c r="A270" i="227"/>
  <c r="K270" i="227" s="1"/>
  <c r="A271" i="227"/>
  <c r="A272" i="227"/>
  <c r="A273" i="227"/>
  <c r="A274" i="227"/>
  <c r="A275" i="227"/>
  <c r="A276" i="227"/>
  <c r="K276" i="227" s="1"/>
  <c r="A277" i="227"/>
  <c r="K277" i="227" s="1"/>
  <c r="A278" i="227"/>
  <c r="K278" i="227" s="1"/>
  <c r="A279" i="227"/>
  <c r="K279" i="227" s="1"/>
  <c r="A280" i="227"/>
  <c r="K280" i="227" s="1"/>
  <c r="A281" i="227"/>
  <c r="K281" i="227" s="1"/>
  <c r="A282" i="227"/>
  <c r="A283" i="227"/>
  <c r="A284" i="227"/>
  <c r="K284" i="227" s="1"/>
  <c r="A285" i="227"/>
  <c r="K285" i="227" s="1"/>
  <c r="A286" i="227"/>
  <c r="K286" i="227" s="1"/>
  <c r="A287" i="227"/>
  <c r="K287" i="227" s="1"/>
  <c r="A288" i="227"/>
  <c r="K288" i="227" s="1"/>
  <c r="A289" i="227"/>
  <c r="K289" i="227" s="1"/>
  <c r="A290" i="227"/>
  <c r="K290" i="227" s="1"/>
  <c r="A291" i="227"/>
  <c r="A292" i="227"/>
  <c r="A293" i="227"/>
  <c r="K293" i="227" s="1"/>
  <c r="A294" i="227"/>
  <c r="K294" i="227" s="1"/>
  <c r="A295" i="227"/>
  <c r="K295" i="227" s="1"/>
  <c r="A296" i="227"/>
  <c r="K296" i="227" s="1"/>
  <c r="A3" i="227"/>
  <c r="K3" i="227" s="1"/>
  <c r="J296" i="227"/>
  <c r="J295" i="227"/>
  <c r="J294" i="227"/>
  <c r="J293" i="227"/>
  <c r="J292" i="227"/>
  <c r="J291" i="227"/>
  <c r="J290" i="227"/>
  <c r="J289" i="227"/>
  <c r="J288" i="227"/>
  <c r="J287" i="227"/>
  <c r="J286" i="227"/>
  <c r="J285" i="227"/>
  <c r="J284" i="227"/>
  <c r="J283" i="227"/>
  <c r="J282" i="227"/>
  <c r="J281" i="227"/>
  <c r="J280" i="227"/>
  <c r="J279" i="227"/>
  <c r="J278" i="227"/>
  <c r="J277" i="227"/>
  <c r="J276" i="227"/>
  <c r="J275" i="227"/>
  <c r="J274" i="227"/>
  <c r="J273" i="227"/>
  <c r="J272" i="227"/>
  <c r="J271" i="227"/>
  <c r="J270" i="227"/>
  <c r="J269" i="227"/>
  <c r="J268" i="227"/>
  <c r="J267" i="227"/>
  <c r="J266" i="227"/>
  <c r="J265" i="227"/>
  <c r="J264" i="227"/>
  <c r="J263" i="227"/>
  <c r="J262" i="227"/>
  <c r="J261" i="227"/>
  <c r="J260" i="227"/>
  <c r="J259" i="227"/>
  <c r="J258" i="227"/>
  <c r="J257" i="227"/>
  <c r="J256" i="227"/>
  <c r="J255" i="227"/>
  <c r="J254" i="227"/>
  <c r="J253" i="227"/>
  <c r="J252" i="227"/>
  <c r="J251" i="227"/>
  <c r="J250" i="227"/>
  <c r="J249" i="227"/>
  <c r="J248" i="227"/>
  <c r="J247" i="227"/>
  <c r="J246" i="227"/>
  <c r="J245" i="227"/>
  <c r="J244" i="227"/>
  <c r="J243" i="227"/>
  <c r="J242" i="227"/>
  <c r="J241" i="227"/>
  <c r="J240" i="227"/>
  <c r="J239" i="227"/>
  <c r="J238" i="227"/>
  <c r="J237" i="227"/>
  <c r="J236" i="227"/>
  <c r="J235" i="227"/>
  <c r="J234" i="227"/>
  <c r="J233" i="227"/>
  <c r="J232" i="227"/>
  <c r="J231" i="227"/>
  <c r="J230" i="227"/>
  <c r="J229" i="227"/>
  <c r="J228" i="227"/>
  <c r="J227" i="227"/>
  <c r="J226" i="227"/>
  <c r="J225" i="227"/>
  <c r="J224" i="227"/>
  <c r="J223" i="227"/>
  <c r="J222" i="227"/>
  <c r="J221" i="227"/>
  <c r="J220" i="227"/>
  <c r="J219" i="227"/>
  <c r="J218" i="227"/>
  <c r="J217" i="227"/>
  <c r="J216" i="227"/>
  <c r="J215" i="227"/>
  <c r="J214" i="227"/>
  <c r="J213" i="227"/>
  <c r="J212" i="227"/>
  <c r="J211" i="227"/>
  <c r="J210" i="227"/>
  <c r="J209" i="227"/>
  <c r="J208" i="227"/>
  <c r="J207" i="227"/>
  <c r="J206" i="227"/>
  <c r="J205" i="227"/>
  <c r="J204" i="227"/>
  <c r="J203" i="227"/>
  <c r="J202" i="227"/>
  <c r="J201" i="227"/>
  <c r="J200" i="227"/>
  <c r="J199" i="227"/>
  <c r="J198" i="227"/>
  <c r="J197" i="227"/>
  <c r="J196" i="227"/>
  <c r="J195" i="227"/>
  <c r="J194" i="227"/>
  <c r="J193" i="227"/>
  <c r="J192" i="227"/>
  <c r="J191" i="227"/>
  <c r="J190" i="227"/>
  <c r="J189" i="227"/>
  <c r="J188" i="227"/>
  <c r="J187" i="227"/>
  <c r="J186" i="227"/>
  <c r="J185" i="227"/>
  <c r="J184" i="227"/>
  <c r="J183" i="227"/>
  <c r="J182" i="227"/>
  <c r="J181" i="227"/>
  <c r="J180" i="227"/>
  <c r="J179" i="227"/>
  <c r="J178" i="227"/>
  <c r="J177" i="227"/>
  <c r="J176" i="227"/>
  <c r="J175" i="227"/>
  <c r="J174" i="227"/>
  <c r="J173" i="227"/>
  <c r="J172" i="227"/>
  <c r="J171" i="227"/>
  <c r="J170" i="227"/>
  <c r="J169" i="227"/>
  <c r="J168" i="227"/>
  <c r="J167" i="227"/>
  <c r="J166" i="227"/>
  <c r="J165" i="227"/>
  <c r="J164" i="227"/>
  <c r="J163" i="227"/>
  <c r="J162" i="227"/>
  <c r="J161" i="227"/>
  <c r="J160" i="227"/>
  <c r="J159" i="227"/>
  <c r="J158" i="227"/>
  <c r="J157" i="227"/>
  <c r="J156" i="227"/>
  <c r="J155" i="227"/>
  <c r="J154" i="227"/>
  <c r="J153" i="227"/>
  <c r="J152" i="227"/>
  <c r="J151" i="227"/>
  <c r="J150" i="227"/>
  <c r="J149" i="227"/>
  <c r="J148" i="227"/>
  <c r="J147" i="227"/>
  <c r="J146" i="227"/>
  <c r="J145" i="227"/>
  <c r="J144" i="227"/>
  <c r="J143" i="227"/>
  <c r="J142" i="227"/>
  <c r="J141" i="227"/>
  <c r="J140" i="227"/>
  <c r="J139" i="227"/>
  <c r="J138" i="227"/>
  <c r="J137" i="227"/>
  <c r="J136" i="227"/>
  <c r="J135" i="227"/>
  <c r="J134" i="227"/>
  <c r="J133" i="227"/>
  <c r="J132" i="227"/>
  <c r="J131" i="227"/>
  <c r="J130" i="227"/>
  <c r="J129" i="227"/>
  <c r="J128" i="227"/>
  <c r="J127" i="227"/>
  <c r="J126" i="227"/>
  <c r="J125" i="227"/>
  <c r="J124" i="227"/>
  <c r="J123" i="227"/>
  <c r="J122" i="227"/>
  <c r="J121" i="227"/>
  <c r="J120" i="227"/>
  <c r="J119" i="227"/>
  <c r="J118" i="227"/>
  <c r="J117" i="227"/>
  <c r="J116" i="227"/>
  <c r="J115" i="227"/>
  <c r="J114" i="227"/>
  <c r="J113" i="227"/>
  <c r="J112" i="227"/>
  <c r="J111" i="227"/>
  <c r="J110" i="227"/>
  <c r="J109" i="227"/>
  <c r="J108" i="227"/>
  <c r="J107" i="227"/>
  <c r="J106" i="227"/>
  <c r="J105" i="227"/>
  <c r="J104" i="227"/>
  <c r="J103" i="227"/>
  <c r="J102" i="227"/>
  <c r="J101" i="227"/>
  <c r="J100" i="227"/>
  <c r="J99" i="227"/>
  <c r="J98" i="227"/>
  <c r="J97" i="227"/>
  <c r="J96" i="227"/>
  <c r="J95" i="227"/>
  <c r="J94" i="227"/>
  <c r="J93" i="227"/>
  <c r="J92" i="227"/>
  <c r="J91" i="227"/>
  <c r="J90" i="227"/>
  <c r="J89" i="227"/>
  <c r="J88" i="227"/>
  <c r="J87" i="227"/>
  <c r="J86" i="227"/>
  <c r="J85" i="227"/>
  <c r="J84" i="227"/>
  <c r="J83" i="227"/>
  <c r="J82" i="227"/>
  <c r="J81" i="227"/>
  <c r="J80" i="227"/>
  <c r="J79" i="227"/>
  <c r="J78" i="227"/>
  <c r="J77" i="227"/>
  <c r="J76" i="227"/>
  <c r="J75" i="227"/>
  <c r="J74" i="227"/>
  <c r="J73" i="227"/>
  <c r="J72" i="227"/>
  <c r="J71" i="227"/>
  <c r="J70" i="227"/>
  <c r="J69" i="227"/>
  <c r="J68" i="227"/>
  <c r="J67" i="227"/>
  <c r="J66" i="227"/>
  <c r="J65" i="227"/>
  <c r="J64" i="227"/>
  <c r="J63" i="227"/>
  <c r="J62" i="227"/>
  <c r="J61" i="227"/>
  <c r="J60" i="227"/>
  <c r="J59" i="227"/>
  <c r="J58" i="227"/>
  <c r="J57" i="227"/>
  <c r="J56" i="227"/>
  <c r="J55" i="227"/>
  <c r="J54" i="227"/>
  <c r="J53" i="227"/>
  <c r="J52" i="227"/>
  <c r="J51" i="227"/>
  <c r="J50" i="227"/>
  <c r="J49" i="227"/>
  <c r="J48" i="227"/>
  <c r="J47" i="227"/>
  <c r="J46" i="227"/>
  <c r="J45" i="227"/>
  <c r="J44" i="227"/>
  <c r="J43" i="227"/>
  <c r="J42" i="227"/>
  <c r="J41" i="227"/>
  <c r="J40" i="227"/>
  <c r="J39" i="227"/>
  <c r="J38" i="227"/>
  <c r="J37" i="227"/>
  <c r="J36" i="227"/>
  <c r="J35" i="227"/>
  <c r="J34" i="227"/>
  <c r="J33" i="227"/>
  <c r="J32" i="227"/>
  <c r="J31" i="227"/>
  <c r="J30" i="227"/>
  <c r="J29" i="227"/>
  <c r="J28" i="227"/>
  <c r="J27" i="227"/>
  <c r="J26" i="227"/>
  <c r="J25" i="227"/>
  <c r="J24" i="227"/>
  <c r="J23" i="227"/>
  <c r="J22" i="227"/>
  <c r="J21" i="227"/>
  <c r="J20" i="227"/>
  <c r="J19" i="227"/>
  <c r="J18" i="227"/>
  <c r="J17" i="227"/>
  <c r="J16" i="227"/>
  <c r="J15" i="227"/>
  <c r="J14" i="227"/>
  <c r="J13" i="227"/>
  <c r="J12" i="227"/>
  <c r="J11" i="227"/>
  <c r="J10" i="227"/>
  <c r="J9" i="227"/>
  <c r="J8" i="227"/>
  <c r="J7" i="227"/>
  <c r="J6" i="227"/>
  <c r="J5" i="227"/>
  <c r="J4" i="227"/>
  <c r="J3" i="227"/>
  <c r="K4" i="226" l="1"/>
  <c r="K44" i="226"/>
  <c r="K84" i="226"/>
  <c r="K104" i="226"/>
  <c r="K124" i="226"/>
  <c r="K144" i="226"/>
  <c r="K164" i="226"/>
  <c r="K184" i="226"/>
  <c r="K204" i="226"/>
  <c r="K284" i="226"/>
  <c r="K304" i="226"/>
  <c r="A4" i="226"/>
  <c r="A5" i="226"/>
  <c r="K5" i="226" s="1"/>
  <c r="A6" i="226"/>
  <c r="K6" i="226" s="1"/>
  <c r="A7" i="226"/>
  <c r="K7" i="226" s="1"/>
  <c r="A8" i="226"/>
  <c r="K8" i="226" s="1"/>
  <c r="A9" i="226"/>
  <c r="K9" i="226" s="1"/>
  <c r="A10" i="226"/>
  <c r="K10" i="226" s="1"/>
  <c r="A11" i="226"/>
  <c r="K11" i="226" s="1"/>
  <c r="A12" i="226"/>
  <c r="K12" i="226" s="1"/>
  <c r="A13" i="226"/>
  <c r="K13" i="226" s="1"/>
  <c r="A14" i="226"/>
  <c r="K14" i="226" s="1"/>
  <c r="A15" i="226"/>
  <c r="K15" i="226" s="1"/>
  <c r="A16" i="226"/>
  <c r="K16" i="226" s="1"/>
  <c r="A17" i="226"/>
  <c r="K17" i="226" s="1"/>
  <c r="A18" i="226"/>
  <c r="K18" i="226" s="1"/>
  <c r="A19" i="226"/>
  <c r="K19" i="226" s="1"/>
  <c r="A20" i="226"/>
  <c r="K20" i="226" s="1"/>
  <c r="A21" i="226"/>
  <c r="K21" i="226" s="1"/>
  <c r="A22" i="226"/>
  <c r="K22" i="226" s="1"/>
  <c r="A23" i="226"/>
  <c r="K23" i="226" s="1"/>
  <c r="A24" i="226"/>
  <c r="K24" i="226" s="1"/>
  <c r="A25" i="226"/>
  <c r="K25" i="226" s="1"/>
  <c r="A26" i="226"/>
  <c r="K26" i="226" s="1"/>
  <c r="A27" i="226"/>
  <c r="K27" i="226" s="1"/>
  <c r="A28" i="226"/>
  <c r="K28" i="226" s="1"/>
  <c r="A29" i="226"/>
  <c r="K29" i="226" s="1"/>
  <c r="A30" i="226"/>
  <c r="K30" i="226" s="1"/>
  <c r="A31" i="226"/>
  <c r="K31" i="226" s="1"/>
  <c r="A32" i="226"/>
  <c r="K32" i="226" s="1"/>
  <c r="A33" i="226"/>
  <c r="K33" i="226" s="1"/>
  <c r="A34" i="226"/>
  <c r="K34" i="226" s="1"/>
  <c r="A35" i="226"/>
  <c r="K35" i="226" s="1"/>
  <c r="A36" i="226"/>
  <c r="K36" i="226" s="1"/>
  <c r="A37" i="226"/>
  <c r="K37" i="226" s="1"/>
  <c r="A38" i="226"/>
  <c r="K38" i="226" s="1"/>
  <c r="A39" i="226"/>
  <c r="K39" i="226" s="1"/>
  <c r="A40" i="226"/>
  <c r="K40" i="226" s="1"/>
  <c r="A41" i="226"/>
  <c r="K41" i="226" s="1"/>
  <c r="A42" i="226"/>
  <c r="K42" i="226" s="1"/>
  <c r="A43" i="226"/>
  <c r="K43" i="226" s="1"/>
  <c r="A44" i="226"/>
  <c r="A45" i="226"/>
  <c r="K45" i="226" s="1"/>
  <c r="A46" i="226"/>
  <c r="K46" i="226" s="1"/>
  <c r="A47" i="226"/>
  <c r="K47" i="226" s="1"/>
  <c r="A48" i="226"/>
  <c r="K48" i="226" s="1"/>
  <c r="A49" i="226"/>
  <c r="K49" i="226" s="1"/>
  <c r="A50" i="226"/>
  <c r="K50" i="226" s="1"/>
  <c r="A51" i="226"/>
  <c r="K51" i="226" s="1"/>
  <c r="A52" i="226"/>
  <c r="K52" i="226" s="1"/>
  <c r="A53" i="226"/>
  <c r="K53" i="226" s="1"/>
  <c r="A54" i="226"/>
  <c r="K54" i="226" s="1"/>
  <c r="A55" i="226"/>
  <c r="K55" i="226" s="1"/>
  <c r="A56" i="226"/>
  <c r="K56" i="226" s="1"/>
  <c r="A57" i="226"/>
  <c r="K57" i="226" s="1"/>
  <c r="A58" i="226"/>
  <c r="K58" i="226" s="1"/>
  <c r="A59" i="226"/>
  <c r="K59" i="226" s="1"/>
  <c r="A60" i="226"/>
  <c r="K60" i="226" s="1"/>
  <c r="A61" i="226"/>
  <c r="K61" i="226" s="1"/>
  <c r="A62" i="226"/>
  <c r="K62" i="226" s="1"/>
  <c r="A63" i="226"/>
  <c r="K63" i="226" s="1"/>
  <c r="A64" i="226"/>
  <c r="K64" i="226" s="1"/>
  <c r="A65" i="226"/>
  <c r="K65" i="226" s="1"/>
  <c r="A66" i="226"/>
  <c r="K66" i="226" s="1"/>
  <c r="A67" i="226"/>
  <c r="K67" i="226" s="1"/>
  <c r="A68" i="226"/>
  <c r="K68" i="226" s="1"/>
  <c r="A69" i="226"/>
  <c r="K69" i="226" s="1"/>
  <c r="A70" i="226"/>
  <c r="K70" i="226" s="1"/>
  <c r="A71" i="226"/>
  <c r="K71" i="226" s="1"/>
  <c r="A72" i="226"/>
  <c r="K72" i="226" s="1"/>
  <c r="A73" i="226"/>
  <c r="K73" i="226" s="1"/>
  <c r="A74" i="226"/>
  <c r="K74" i="226" s="1"/>
  <c r="A75" i="226"/>
  <c r="K75" i="226" s="1"/>
  <c r="A76" i="226"/>
  <c r="K76" i="226" s="1"/>
  <c r="A77" i="226"/>
  <c r="K77" i="226" s="1"/>
  <c r="A78" i="226"/>
  <c r="K78" i="226" s="1"/>
  <c r="A79" i="226"/>
  <c r="K79" i="226" s="1"/>
  <c r="A80" i="226"/>
  <c r="K80" i="226" s="1"/>
  <c r="A81" i="226"/>
  <c r="K81" i="226" s="1"/>
  <c r="A82" i="226"/>
  <c r="K82" i="226" s="1"/>
  <c r="A83" i="226"/>
  <c r="K83" i="226" s="1"/>
  <c r="A84" i="226"/>
  <c r="A85" i="226"/>
  <c r="K85" i="226" s="1"/>
  <c r="A86" i="226"/>
  <c r="K86" i="226" s="1"/>
  <c r="A87" i="226"/>
  <c r="K87" i="226" s="1"/>
  <c r="A88" i="226"/>
  <c r="K88" i="226" s="1"/>
  <c r="A89" i="226"/>
  <c r="K89" i="226" s="1"/>
  <c r="A90" i="226"/>
  <c r="K90" i="226" s="1"/>
  <c r="A91" i="226"/>
  <c r="K91" i="226" s="1"/>
  <c r="A92" i="226"/>
  <c r="K92" i="226" s="1"/>
  <c r="A93" i="226"/>
  <c r="K93" i="226" s="1"/>
  <c r="A94" i="226"/>
  <c r="K94" i="226" s="1"/>
  <c r="A95" i="226"/>
  <c r="K95" i="226" s="1"/>
  <c r="A96" i="226"/>
  <c r="K96" i="226" s="1"/>
  <c r="A97" i="226"/>
  <c r="K97" i="226" s="1"/>
  <c r="A98" i="226"/>
  <c r="K98" i="226" s="1"/>
  <c r="A99" i="226"/>
  <c r="K99" i="226" s="1"/>
  <c r="A100" i="226"/>
  <c r="K100" i="226" s="1"/>
  <c r="A101" i="226"/>
  <c r="K101" i="226" s="1"/>
  <c r="A102" i="226"/>
  <c r="K102" i="226" s="1"/>
  <c r="A103" i="226"/>
  <c r="K103" i="226" s="1"/>
  <c r="A104" i="226"/>
  <c r="A105" i="226"/>
  <c r="K105" i="226" s="1"/>
  <c r="A106" i="226"/>
  <c r="K106" i="226" s="1"/>
  <c r="A107" i="226"/>
  <c r="K107" i="226" s="1"/>
  <c r="A108" i="226"/>
  <c r="K108" i="226" s="1"/>
  <c r="A109" i="226"/>
  <c r="K109" i="226" s="1"/>
  <c r="A110" i="226"/>
  <c r="K110" i="226" s="1"/>
  <c r="A111" i="226"/>
  <c r="K111" i="226" s="1"/>
  <c r="A112" i="226"/>
  <c r="K112" i="226" s="1"/>
  <c r="A113" i="226"/>
  <c r="K113" i="226" s="1"/>
  <c r="A114" i="226"/>
  <c r="K114" i="226" s="1"/>
  <c r="A115" i="226"/>
  <c r="K115" i="226" s="1"/>
  <c r="A116" i="226"/>
  <c r="K116" i="226" s="1"/>
  <c r="A117" i="226"/>
  <c r="K117" i="226" s="1"/>
  <c r="A118" i="226"/>
  <c r="K118" i="226" s="1"/>
  <c r="A119" i="226"/>
  <c r="K119" i="226" s="1"/>
  <c r="A120" i="226"/>
  <c r="K120" i="226" s="1"/>
  <c r="A121" i="226"/>
  <c r="K121" i="226" s="1"/>
  <c r="A122" i="226"/>
  <c r="K122" i="226" s="1"/>
  <c r="A123" i="226"/>
  <c r="K123" i="226" s="1"/>
  <c r="A124" i="226"/>
  <c r="A125" i="226"/>
  <c r="K125" i="226" s="1"/>
  <c r="A126" i="226"/>
  <c r="K126" i="226" s="1"/>
  <c r="A127" i="226"/>
  <c r="K127" i="226" s="1"/>
  <c r="A128" i="226"/>
  <c r="K128" i="226" s="1"/>
  <c r="A129" i="226"/>
  <c r="K129" i="226" s="1"/>
  <c r="A130" i="226"/>
  <c r="K130" i="226" s="1"/>
  <c r="A131" i="226"/>
  <c r="K131" i="226" s="1"/>
  <c r="A132" i="226"/>
  <c r="K132" i="226" s="1"/>
  <c r="A133" i="226"/>
  <c r="K133" i="226" s="1"/>
  <c r="A134" i="226"/>
  <c r="K134" i="226" s="1"/>
  <c r="A135" i="226"/>
  <c r="K135" i="226" s="1"/>
  <c r="A136" i="226"/>
  <c r="K136" i="226" s="1"/>
  <c r="A137" i="226"/>
  <c r="K137" i="226" s="1"/>
  <c r="A138" i="226"/>
  <c r="K138" i="226" s="1"/>
  <c r="A139" i="226"/>
  <c r="K139" i="226" s="1"/>
  <c r="A140" i="226"/>
  <c r="K140" i="226" s="1"/>
  <c r="A141" i="226"/>
  <c r="K141" i="226" s="1"/>
  <c r="A142" i="226"/>
  <c r="K142" i="226" s="1"/>
  <c r="A143" i="226"/>
  <c r="K143" i="226" s="1"/>
  <c r="A144" i="226"/>
  <c r="A145" i="226"/>
  <c r="K145" i="226" s="1"/>
  <c r="A146" i="226"/>
  <c r="K146" i="226" s="1"/>
  <c r="A147" i="226"/>
  <c r="K147" i="226" s="1"/>
  <c r="A148" i="226"/>
  <c r="K148" i="226" s="1"/>
  <c r="A149" i="226"/>
  <c r="K149" i="226" s="1"/>
  <c r="A150" i="226"/>
  <c r="K150" i="226" s="1"/>
  <c r="A151" i="226"/>
  <c r="K151" i="226" s="1"/>
  <c r="A152" i="226"/>
  <c r="K152" i="226" s="1"/>
  <c r="A153" i="226"/>
  <c r="K153" i="226" s="1"/>
  <c r="A154" i="226"/>
  <c r="K154" i="226" s="1"/>
  <c r="A155" i="226"/>
  <c r="K155" i="226" s="1"/>
  <c r="A156" i="226"/>
  <c r="K156" i="226" s="1"/>
  <c r="A157" i="226"/>
  <c r="K157" i="226" s="1"/>
  <c r="A158" i="226"/>
  <c r="K158" i="226" s="1"/>
  <c r="A159" i="226"/>
  <c r="K159" i="226" s="1"/>
  <c r="A160" i="226"/>
  <c r="K160" i="226" s="1"/>
  <c r="A161" i="226"/>
  <c r="K161" i="226" s="1"/>
  <c r="A162" i="226"/>
  <c r="K162" i="226" s="1"/>
  <c r="A163" i="226"/>
  <c r="K163" i="226" s="1"/>
  <c r="A164" i="226"/>
  <c r="A165" i="226"/>
  <c r="K165" i="226" s="1"/>
  <c r="A166" i="226"/>
  <c r="K166" i="226" s="1"/>
  <c r="A167" i="226"/>
  <c r="K167" i="226" s="1"/>
  <c r="A168" i="226"/>
  <c r="K168" i="226" s="1"/>
  <c r="A169" i="226"/>
  <c r="K169" i="226" s="1"/>
  <c r="A170" i="226"/>
  <c r="K170" i="226" s="1"/>
  <c r="A171" i="226"/>
  <c r="K171" i="226" s="1"/>
  <c r="A172" i="226"/>
  <c r="K172" i="226" s="1"/>
  <c r="A173" i="226"/>
  <c r="K173" i="226" s="1"/>
  <c r="A174" i="226"/>
  <c r="K174" i="226" s="1"/>
  <c r="A175" i="226"/>
  <c r="K175" i="226" s="1"/>
  <c r="A176" i="226"/>
  <c r="K176" i="226" s="1"/>
  <c r="A177" i="226"/>
  <c r="K177" i="226" s="1"/>
  <c r="A178" i="226"/>
  <c r="K178" i="226" s="1"/>
  <c r="A179" i="226"/>
  <c r="K179" i="226" s="1"/>
  <c r="A180" i="226"/>
  <c r="K180" i="226" s="1"/>
  <c r="A181" i="226"/>
  <c r="K181" i="226" s="1"/>
  <c r="A182" i="226"/>
  <c r="K182" i="226" s="1"/>
  <c r="A183" i="226"/>
  <c r="K183" i="226" s="1"/>
  <c r="A184" i="226"/>
  <c r="A185" i="226"/>
  <c r="K185" i="226" s="1"/>
  <c r="A186" i="226"/>
  <c r="K186" i="226" s="1"/>
  <c r="A187" i="226"/>
  <c r="K187" i="226" s="1"/>
  <c r="A188" i="226"/>
  <c r="K188" i="226" s="1"/>
  <c r="A189" i="226"/>
  <c r="K189" i="226" s="1"/>
  <c r="A190" i="226"/>
  <c r="K190" i="226" s="1"/>
  <c r="A191" i="226"/>
  <c r="K191" i="226" s="1"/>
  <c r="A192" i="226"/>
  <c r="K192" i="226" s="1"/>
  <c r="A193" i="226"/>
  <c r="K193" i="226" s="1"/>
  <c r="A194" i="226"/>
  <c r="K194" i="226" s="1"/>
  <c r="A195" i="226"/>
  <c r="K195" i="226" s="1"/>
  <c r="A196" i="226"/>
  <c r="K196" i="226" s="1"/>
  <c r="A197" i="226"/>
  <c r="K197" i="226" s="1"/>
  <c r="A198" i="226"/>
  <c r="K198" i="226" s="1"/>
  <c r="A199" i="226"/>
  <c r="K199" i="226" s="1"/>
  <c r="A200" i="226"/>
  <c r="K200" i="226" s="1"/>
  <c r="A201" i="226"/>
  <c r="K201" i="226" s="1"/>
  <c r="A202" i="226"/>
  <c r="K202" i="226" s="1"/>
  <c r="A203" i="226"/>
  <c r="K203" i="226" s="1"/>
  <c r="A204" i="226"/>
  <c r="A205" i="226"/>
  <c r="K205" i="226" s="1"/>
  <c r="A206" i="226"/>
  <c r="K206" i="226" s="1"/>
  <c r="A207" i="226"/>
  <c r="K207" i="226" s="1"/>
  <c r="A208" i="226"/>
  <c r="K208" i="226" s="1"/>
  <c r="A209" i="226"/>
  <c r="K209" i="226" s="1"/>
  <c r="A210" i="226"/>
  <c r="K210" i="226" s="1"/>
  <c r="A211" i="226"/>
  <c r="K211" i="226" s="1"/>
  <c r="A212" i="226"/>
  <c r="K212" i="226" s="1"/>
  <c r="A213" i="226"/>
  <c r="K213" i="226" s="1"/>
  <c r="A214" i="226"/>
  <c r="K214" i="226" s="1"/>
  <c r="A215" i="226"/>
  <c r="K215" i="226" s="1"/>
  <c r="A216" i="226"/>
  <c r="K216" i="226" s="1"/>
  <c r="A217" i="226"/>
  <c r="K217" i="226" s="1"/>
  <c r="A218" i="226"/>
  <c r="K218" i="226" s="1"/>
  <c r="A219" i="226"/>
  <c r="K219" i="226" s="1"/>
  <c r="A220" i="226"/>
  <c r="K220" i="226" s="1"/>
  <c r="A221" i="226"/>
  <c r="K221" i="226" s="1"/>
  <c r="A222" i="226"/>
  <c r="K222" i="226" s="1"/>
  <c r="A223" i="226"/>
  <c r="K223" i="226" s="1"/>
  <c r="A224" i="226"/>
  <c r="K224" i="226" s="1"/>
  <c r="A225" i="226"/>
  <c r="K225" i="226" s="1"/>
  <c r="A226" i="226"/>
  <c r="K226" i="226" s="1"/>
  <c r="A227" i="226"/>
  <c r="K227" i="226" s="1"/>
  <c r="A228" i="226"/>
  <c r="K228" i="226" s="1"/>
  <c r="A229" i="226"/>
  <c r="K229" i="226" s="1"/>
  <c r="A230" i="226"/>
  <c r="K230" i="226" s="1"/>
  <c r="A231" i="226"/>
  <c r="K231" i="226" s="1"/>
  <c r="A232" i="226"/>
  <c r="K232" i="226" s="1"/>
  <c r="A233" i="226"/>
  <c r="K233" i="226" s="1"/>
  <c r="A234" i="226"/>
  <c r="K234" i="226" s="1"/>
  <c r="A235" i="226"/>
  <c r="K235" i="226" s="1"/>
  <c r="A236" i="226"/>
  <c r="K236" i="226" s="1"/>
  <c r="A237" i="226"/>
  <c r="K237" i="226" s="1"/>
  <c r="A238" i="226"/>
  <c r="K238" i="226" s="1"/>
  <c r="A239" i="226"/>
  <c r="K239" i="226" s="1"/>
  <c r="A240" i="226"/>
  <c r="K240" i="226" s="1"/>
  <c r="A241" i="226"/>
  <c r="K241" i="226" s="1"/>
  <c r="A242" i="226"/>
  <c r="K242" i="226" s="1"/>
  <c r="A243" i="226"/>
  <c r="K243" i="226" s="1"/>
  <c r="A244" i="226"/>
  <c r="K244" i="226" s="1"/>
  <c r="A245" i="226"/>
  <c r="K245" i="226" s="1"/>
  <c r="A246" i="226"/>
  <c r="K246" i="226" s="1"/>
  <c r="A247" i="226"/>
  <c r="K247" i="226" s="1"/>
  <c r="A248" i="226"/>
  <c r="K248" i="226" s="1"/>
  <c r="A249" i="226"/>
  <c r="K249" i="226" s="1"/>
  <c r="A250" i="226"/>
  <c r="K250" i="226" s="1"/>
  <c r="A251" i="226"/>
  <c r="K251" i="226" s="1"/>
  <c r="A252" i="226"/>
  <c r="K252" i="226" s="1"/>
  <c r="A253" i="226"/>
  <c r="K253" i="226" s="1"/>
  <c r="A254" i="226"/>
  <c r="K254" i="226" s="1"/>
  <c r="A255" i="226"/>
  <c r="K255" i="226" s="1"/>
  <c r="A256" i="226"/>
  <c r="K256" i="226" s="1"/>
  <c r="A257" i="226"/>
  <c r="K257" i="226" s="1"/>
  <c r="A258" i="226"/>
  <c r="K258" i="226" s="1"/>
  <c r="A259" i="226"/>
  <c r="K259" i="226" s="1"/>
  <c r="A260" i="226"/>
  <c r="K260" i="226" s="1"/>
  <c r="A261" i="226"/>
  <c r="K261" i="226" s="1"/>
  <c r="A262" i="226"/>
  <c r="K262" i="226" s="1"/>
  <c r="A263" i="226"/>
  <c r="K263" i="226" s="1"/>
  <c r="A264" i="226"/>
  <c r="K264" i="226" s="1"/>
  <c r="A265" i="226"/>
  <c r="K265" i="226" s="1"/>
  <c r="A266" i="226"/>
  <c r="K266" i="226" s="1"/>
  <c r="A267" i="226"/>
  <c r="K267" i="226" s="1"/>
  <c r="A268" i="226"/>
  <c r="K268" i="226" s="1"/>
  <c r="A269" i="226"/>
  <c r="K269" i="226" s="1"/>
  <c r="A270" i="226"/>
  <c r="K270" i="226" s="1"/>
  <c r="A271" i="226"/>
  <c r="K271" i="226" s="1"/>
  <c r="A272" i="226"/>
  <c r="K272" i="226" s="1"/>
  <c r="A273" i="226"/>
  <c r="K273" i="226" s="1"/>
  <c r="A274" i="226"/>
  <c r="K274" i="226" s="1"/>
  <c r="A275" i="226"/>
  <c r="K275" i="226" s="1"/>
  <c r="A276" i="226"/>
  <c r="K276" i="226" s="1"/>
  <c r="A277" i="226"/>
  <c r="K277" i="226" s="1"/>
  <c r="A278" i="226"/>
  <c r="K278" i="226" s="1"/>
  <c r="A279" i="226"/>
  <c r="K279" i="226" s="1"/>
  <c r="A280" i="226"/>
  <c r="K280" i="226" s="1"/>
  <c r="A281" i="226"/>
  <c r="K281" i="226" s="1"/>
  <c r="A282" i="226"/>
  <c r="K282" i="226" s="1"/>
  <c r="A283" i="226"/>
  <c r="K283" i="226" s="1"/>
  <c r="A284" i="226"/>
  <c r="A285" i="226"/>
  <c r="K285" i="226" s="1"/>
  <c r="A286" i="226"/>
  <c r="K286" i="226" s="1"/>
  <c r="A287" i="226"/>
  <c r="K287" i="226" s="1"/>
  <c r="A288" i="226"/>
  <c r="K288" i="226" s="1"/>
  <c r="A289" i="226"/>
  <c r="K289" i="226" s="1"/>
  <c r="A290" i="226"/>
  <c r="K290" i="226" s="1"/>
  <c r="A291" i="226"/>
  <c r="K291" i="226" s="1"/>
  <c r="A292" i="226"/>
  <c r="K292" i="226" s="1"/>
  <c r="A293" i="226"/>
  <c r="K293" i="226" s="1"/>
  <c r="A294" i="226"/>
  <c r="K294" i="226" s="1"/>
  <c r="A295" i="226"/>
  <c r="K295" i="226" s="1"/>
  <c r="A296" i="226"/>
  <c r="K296" i="226" s="1"/>
  <c r="A297" i="226"/>
  <c r="K297" i="226" s="1"/>
  <c r="A298" i="226"/>
  <c r="K298" i="226" s="1"/>
  <c r="A299" i="226"/>
  <c r="K299" i="226" s="1"/>
  <c r="A300" i="226"/>
  <c r="K300" i="226" s="1"/>
  <c r="A301" i="226"/>
  <c r="K301" i="226" s="1"/>
  <c r="A302" i="226"/>
  <c r="K302" i="226" s="1"/>
  <c r="A303" i="226"/>
  <c r="K303" i="226" s="1"/>
  <c r="A304" i="226"/>
  <c r="A3" i="226"/>
  <c r="K3" i="226" s="1"/>
  <c r="J304" i="226"/>
  <c r="J303" i="226"/>
  <c r="J302" i="226"/>
  <c r="J301" i="226"/>
  <c r="J300" i="226"/>
  <c r="J299" i="226"/>
  <c r="J298" i="226"/>
  <c r="J297" i="226"/>
  <c r="J296" i="226"/>
  <c r="J295" i="226"/>
  <c r="J294" i="226"/>
  <c r="J293" i="226"/>
  <c r="J292" i="226"/>
  <c r="J291" i="226"/>
  <c r="J290" i="226"/>
  <c r="J289" i="226"/>
  <c r="J288" i="226"/>
  <c r="J287" i="226"/>
  <c r="J286" i="226"/>
  <c r="J285" i="226"/>
  <c r="J284" i="226"/>
  <c r="J283" i="226"/>
  <c r="J282" i="226"/>
  <c r="J281" i="226"/>
  <c r="J280" i="226"/>
  <c r="J279" i="226"/>
  <c r="J278" i="226"/>
  <c r="J277" i="226"/>
  <c r="J276" i="226"/>
  <c r="J275" i="226"/>
  <c r="J274" i="226"/>
  <c r="J273" i="226"/>
  <c r="J272" i="226"/>
  <c r="J271" i="226"/>
  <c r="J270" i="226"/>
  <c r="J269" i="226"/>
  <c r="J268" i="226"/>
  <c r="J267" i="226"/>
  <c r="J266" i="226"/>
  <c r="J265" i="226"/>
  <c r="J264" i="226"/>
  <c r="J263" i="226"/>
  <c r="J262" i="226"/>
  <c r="J261" i="226"/>
  <c r="J260" i="226"/>
  <c r="J259" i="226"/>
  <c r="J258" i="226"/>
  <c r="J257" i="226"/>
  <c r="J256" i="226"/>
  <c r="J255" i="226"/>
  <c r="J254" i="226"/>
  <c r="J253" i="226"/>
  <c r="J252" i="226"/>
  <c r="J251" i="226"/>
  <c r="J250" i="226"/>
  <c r="J249" i="226"/>
  <c r="J248" i="226"/>
  <c r="J247" i="226"/>
  <c r="J246" i="226"/>
  <c r="J245" i="226"/>
  <c r="J244" i="226"/>
  <c r="J243" i="226"/>
  <c r="J242" i="226"/>
  <c r="J241" i="226"/>
  <c r="J240" i="226"/>
  <c r="J239" i="226"/>
  <c r="J238" i="226"/>
  <c r="J237" i="226"/>
  <c r="J236" i="226"/>
  <c r="J235" i="226"/>
  <c r="J234" i="226"/>
  <c r="J233" i="226"/>
  <c r="J232" i="226"/>
  <c r="J231" i="226"/>
  <c r="J230" i="226"/>
  <c r="J229" i="226"/>
  <c r="J228" i="226"/>
  <c r="J227" i="226"/>
  <c r="J226" i="226"/>
  <c r="J225" i="226"/>
  <c r="J224" i="226"/>
  <c r="J223" i="226"/>
  <c r="J222" i="226"/>
  <c r="J221" i="226"/>
  <c r="J220" i="226"/>
  <c r="J219" i="226"/>
  <c r="J218" i="226"/>
  <c r="J217" i="226"/>
  <c r="J216" i="226"/>
  <c r="J215" i="226"/>
  <c r="J214" i="226"/>
  <c r="J213" i="226"/>
  <c r="J212" i="226"/>
  <c r="J211" i="226"/>
  <c r="J210" i="226"/>
  <c r="J209" i="226"/>
  <c r="J208" i="226"/>
  <c r="J207" i="226"/>
  <c r="J206" i="226"/>
  <c r="J205" i="226"/>
  <c r="J204" i="226"/>
  <c r="J203" i="226"/>
  <c r="J202" i="226"/>
  <c r="J201" i="226"/>
  <c r="J200" i="226"/>
  <c r="J199" i="226"/>
  <c r="J198" i="226"/>
  <c r="J197" i="226"/>
  <c r="J196" i="226"/>
  <c r="J195" i="226"/>
  <c r="J194" i="226"/>
  <c r="J193" i="226"/>
  <c r="J192" i="226"/>
  <c r="J191" i="226"/>
  <c r="J190" i="226"/>
  <c r="J189" i="226"/>
  <c r="J188" i="226"/>
  <c r="J187" i="226"/>
  <c r="J186" i="226"/>
  <c r="J185" i="226"/>
  <c r="J184" i="226"/>
  <c r="J183" i="226"/>
  <c r="J182" i="226"/>
  <c r="J181" i="226"/>
  <c r="J180" i="226"/>
  <c r="J179" i="226"/>
  <c r="J178" i="226"/>
  <c r="J177" i="226"/>
  <c r="J176" i="226"/>
  <c r="J175" i="226"/>
  <c r="J174" i="226"/>
  <c r="J173" i="226"/>
  <c r="J172" i="226"/>
  <c r="J171" i="226"/>
  <c r="J170" i="226"/>
  <c r="J169" i="226"/>
  <c r="J168" i="226"/>
  <c r="J167" i="226"/>
  <c r="J166" i="226"/>
  <c r="J165" i="226"/>
  <c r="J164" i="226"/>
  <c r="J163" i="226"/>
  <c r="J162" i="226"/>
  <c r="J161" i="226"/>
  <c r="J160" i="226"/>
  <c r="J159" i="226"/>
  <c r="J158" i="226"/>
  <c r="J157" i="226"/>
  <c r="J156" i="226"/>
  <c r="J155" i="226"/>
  <c r="J154" i="226"/>
  <c r="J153" i="226"/>
  <c r="J152" i="226"/>
  <c r="J151" i="226"/>
  <c r="J150" i="226"/>
  <c r="J149" i="226"/>
  <c r="J148" i="226"/>
  <c r="J147" i="226"/>
  <c r="J146" i="226"/>
  <c r="J145" i="226"/>
  <c r="J144" i="226"/>
  <c r="J143" i="226"/>
  <c r="J142" i="226"/>
  <c r="J141" i="226"/>
  <c r="J140" i="226"/>
  <c r="J139" i="226"/>
  <c r="J138" i="226"/>
  <c r="J137" i="226"/>
  <c r="J136" i="226"/>
  <c r="J135" i="226"/>
  <c r="J134" i="226"/>
  <c r="J133" i="226"/>
  <c r="J132" i="226"/>
  <c r="J131" i="226"/>
  <c r="J130" i="226"/>
  <c r="J129" i="226"/>
  <c r="J128" i="226"/>
  <c r="J127" i="226"/>
  <c r="J126" i="226"/>
  <c r="J125" i="226"/>
  <c r="J124" i="226"/>
  <c r="J123" i="226"/>
  <c r="J122" i="226"/>
  <c r="J121" i="226"/>
  <c r="J120" i="226"/>
  <c r="J119" i="226"/>
  <c r="J118" i="226"/>
  <c r="J117" i="226"/>
  <c r="J116" i="226"/>
  <c r="J115" i="226"/>
  <c r="J114" i="226"/>
  <c r="J113" i="226"/>
  <c r="J112" i="226"/>
  <c r="J111" i="226"/>
  <c r="J110" i="226"/>
  <c r="J109" i="226"/>
  <c r="J108" i="226"/>
  <c r="J107" i="226"/>
  <c r="J106" i="226"/>
  <c r="J105" i="226"/>
  <c r="J104" i="226"/>
  <c r="J103" i="226"/>
  <c r="J102" i="226"/>
  <c r="J101" i="226"/>
  <c r="J100" i="226"/>
  <c r="J99" i="226"/>
  <c r="J98" i="226"/>
  <c r="J97" i="226"/>
  <c r="J96" i="226"/>
  <c r="J95" i="226"/>
  <c r="J94" i="226"/>
  <c r="J93" i="226"/>
  <c r="J92" i="226"/>
  <c r="J91" i="226"/>
  <c r="J90" i="226"/>
  <c r="J89" i="226"/>
  <c r="J88" i="226"/>
  <c r="J87" i="226"/>
  <c r="J86" i="226"/>
  <c r="J85" i="226"/>
  <c r="J84" i="226"/>
  <c r="J83" i="226"/>
  <c r="J82" i="226"/>
  <c r="J81" i="226"/>
  <c r="J80" i="226"/>
  <c r="J79" i="226"/>
  <c r="J78" i="226"/>
  <c r="J77" i="226"/>
  <c r="J76" i="226"/>
  <c r="J75" i="226"/>
  <c r="J74" i="226"/>
  <c r="J73" i="226"/>
  <c r="J72" i="226"/>
  <c r="J71" i="226"/>
  <c r="J70" i="226"/>
  <c r="J69" i="226"/>
  <c r="J68" i="226"/>
  <c r="J67" i="226"/>
  <c r="J66" i="226"/>
  <c r="J65" i="226"/>
  <c r="J64" i="226"/>
  <c r="J63" i="226"/>
  <c r="J62" i="226"/>
  <c r="J61" i="226"/>
  <c r="J60" i="226"/>
  <c r="J59" i="226"/>
  <c r="J58" i="226"/>
  <c r="J57" i="226"/>
  <c r="J56" i="226"/>
  <c r="J55" i="226"/>
  <c r="J54" i="226"/>
  <c r="J53" i="226"/>
  <c r="J52" i="226"/>
  <c r="J51" i="226"/>
  <c r="J50" i="226"/>
  <c r="J49" i="226"/>
  <c r="J48" i="226"/>
  <c r="J47" i="226"/>
  <c r="J46" i="226"/>
  <c r="J45" i="226"/>
  <c r="J44" i="226"/>
  <c r="J43" i="226"/>
  <c r="J42" i="226"/>
  <c r="J41" i="226"/>
  <c r="J40" i="226"/>
  <c r="J39" i="226"/>
  <c r="J38" i="226"/>
  <c r="J37" i="226"/>
  <c r="J36" i="226"/>
  <c r="J35" i="226"/>
  <c r="J34" i="226"/>
  <c r="J33" i="226"/>
  <c r="J32" i="226"/>
  <c r="J31" i="226"/>
  <c r="J30" i="226"/>
  <c r="J29" i="226"/>
  <c r="J28" i="226"/>
  <c r="J27" i="226"/>
  <c r="J26" i="226"/>
  <c r="J25" i="226"/>
  <c r="J24" i="226"/>
  <c r="J23" i="226"/>
  <c r="J22" i="226"/>
  <c r="J21" i="226"/>
  <c r="J20" i="226"/>
  <c r="J19" i="226"/>
  <c r="J18" i="226"/>
  <c r="J17" i="226"/>
  <c r="J16" i="226"/>
  <c r="J15" i="226"/>
  <c r="J14" i="226"/>
  <c r="J13" i="226"/>
  <c r="J12" i="226"/>
  <c r="J11" i="226"/>
  <c r="J10" i="226"/>
  <c r="J9" i="226"/>
  <c r="J8" i="226"/>
  <c r="J7" i="226"/>
  <c r="J6" i="226"/>
  <c r="J5" i="226"/>
  <c r="J4" i="226"/>
  <c r="J3" i="226"/>
  <c r="K5" i="225" l="1"/>
  <c r="K22" i="225"/>
  <c r="K23" i="225"/>
  <c r="K42" i="225"/>
  <c r="K43" i="225"/>
  <c r="K56" i="225"/>
  <c r="K57" i="225"/>
  <c r="K82" i="225"/>
  <c r="K83" i="225"/>
  <c r="K122" i="225"/>
  <c r="K123" i="225"/>
  <c r="K142" i="225"/>
  <c r="K143" i="225"/>
  <c r="K156" i="225"/>
  <c r="K157" i="225"/>
  <c r="K182" i="225"/>
  <c r="K183" i="225"/>
  <c r="K222" i="225"/>
  <c r="K223" i="225"/>
  <c r="K242" i="225"/>
  <c r="K243" i="225"/>
  <c r="K256" i="225"/>
  <c r="K257" i="225"/>
  <c r="K282" i="225"/>
  <c r="K283" i="225"/>
  <c r="A4" i="225"/>
  <c r="K4" i="225" s="1"/>
  <c r="A5" i="225"/>
  <c r="A6" i="225"/>
  <c r="K6" i="225" s="1"/>
  <c r="A7" i="225"/>
  <c r="K7" i="225" s="1"/>
  <c r="A8" i="225"/>
  <c r="K8" i="225" s="1"/>
  <c r="A9" i="225"/>
  <c r="K9" i="225" s="1"/>
  <c r="A10" i="225"/>
  <c r="K10" i="225" s="1"/>
  <c r="A11" i="225"/>
  <c r="K11" i="225" s="1"/>
  <c r="A12" i="225"/>
  <c r="K12" i="225" s="1"/>
  <c r="A13" i="225"/>
  <c r="K13" i="225" s="1"/>
  <c r="A14" i="225"/>
  <c r="K14" i="225" s="1"/>
  <c r="A15" i="225"/>
  <c r="K15" i="225" s="1"/>
  <c r="A16" i="225"/>
  <c r="K16" i="225" s="1"/>
  <c r="A17" i="225"/>
  <c r="K17" i="225" s="1"/>
  <c r="A18" i="225"/>
  <c r="K18" i="225" s="1"/>
  <c r="A19" i="225"/>
  <c r="K19" i="225" s="1"/>
  <c r="A20" i="225"/>
  <c r="K20" i="225" s="1"/>
  <c r="A21" i="225"/>
  <c r="K21" i="225" s="1"/>
  <c r="A22" i="225"/>
  <c r="A23" i="225"/>
  <c r="A24" i="225"/>
  <c r="K24" i="225" s="1"/>
  <c r="A25" i="225"/>
  <c r="K25" i="225" s="1"/>
  <c r="A26" i="225"/>
  <c r="K26" i="225" s="1"/>
  <c r="A27" i="225"/>
  <c r="K27" i="225" s="1"/>
  <c r="A28" i="225"/>
  <c r="K28" i="225" s="1"/>
  <c r="A29" i="225"/>
  <c r="K29" i="225" s="1"/>
  <c r="A30" i="225"/>
  <c r="K30" i="225" s="1"/>
  <c r="A31" i="225"/>
  <c r="K31" i="225" s="1"/>
  <c r="A32" i="225"/>
  <c r="K32" i="225" s="1"/>
  <c r="A33" i="225"/>
  <c r="K33" i="225" s="1"/>
  <c r="A34" i="225"/>
  <c r="K34" i="225" s="1"/>
  <c r="A35" i="225"/>
  <c r="K35" i="225" s="1"/>
  <c r="A36" i="225"/>
  <c r="K36" i="225" s="1"/>
  <c r="A37" i="225"/>
  <c r="K37" i="225" s="1"/>
  <c r="A38" i="225"/>
  <c r="K38" i="225" s="1"/>
  <c r="A39" i="225"/>
  <c r="K39" i="225" s="1"/>
  <c r="A40" i="225"/>
  <c r="K40" i="225" s="1"/>
  <c r="A41" i="225"/>
  <c r="K41" i="225" s="1"/>
  <c r="A42" i="225"/>
  <c r="A43" i="225"/>
  <c r="A44" i="225"/>
  <c r="K44" i="225" s="1"/>
  <c r="A45" i="225"/>
  <c r="K45" i="225" s="1"/>
  <c r="A46" i="225"/>
  <c r="K46" i="225" s="1"/>
  <c r="A47" i="225"/>
  <c r="K47" i="225" s="1"/>
  <c r="A48" i="225"/>
  <c r="K48" i="225" s="1"/>
  <c r="A49" i="225"/>
  <c r="K49" i="225" s="1"/>
  <c r="A50" i="225"/>
  <c r="K50" i="225" s="1"/>
  <c r="A51" i="225"/>
  <c r="K51" i="225" s="1"/>
  <c r="A52" i="225"/>
  <c r="K52" i="225" s="1"/>
  <c r="A53" i="225"/>
  <c r="K53" i="225" s="1"/>
  <c r="A54" i="225"/>
  <c r="K54" i="225" s="1"/>
  <c r="A55" i="225"/>
  <c r="K55" i="225" s="1"/>
  <c r="A56" i="225"/>
  <c r="A57" i="225"/>
  <c r="A58" i="225"/>
  <c r="K58" i="225" s="1"/>
  <c r="A59" i="225"/>
  <c r="K59" i="225" s="1"/>
  <c r="A60" i="225"/>
  <c r="K60" i="225" s="1"/>
  <c r="A61" i="225"/>
  <c r="K61" i="225" s="1"/>
  <c r="A62" i="225"/>
  <c r="K62" i="225" s="1"/>
  <c r="A63" i="225"/>
  <c r="K63" i="225" s="1"/>
  <c r="A64" i="225"/>
  <c r="K64" i="225" s="1"/>
  <c r="A65" i="225"/>
  <c r="K65" i="225" s="1"/>
  <c r="A66" i="225"/>
  <c r="K66" i="225" s="1"/>
  <c r="A67" i="225"/>
  <c r="K67" i="225" s="1"/>
  <c r="A68" i="225"/>
  <c r="K68" i="225" s="1"/>
  <c r="A69" i="225"/>
  <c r="K69" i="225" s="1"/>
  <c r="A70" i="225"/>
  <c r="K70" i="225" s="1"/>
  <c r="A71" i="225"/>
  <c r="K71" i="225" s="1"/>
  <c r="A72" i="225"/>
  <c r="K72" i="225" s="1"/>
  <c r="A73" i="225"/>
  <c r="K73" i="225" s="1"/>
  <c r="A74" i="225"/>
  <c r="K74" i="225" s="1"/>
  <c r="A75" i="225"/>
  <c r="K75" i="225" s="1"/>
  <c r="A76" i="225"/>
  <c r="K76" i="225" s="1"/>
  <c r="A77" i="225"/>
  <c r="K77" i="225" s="1"/>
  <c r="A78" i="225"/>
  <c r="K78" i="225" s="1"/>
  <c r="A79" i="225"/>
  <c r="K79" i="225" s="1"/>
  <c r="A80" i="225"/>
  <c r="K80" i="225" s="1"/>
  <c r="A81" i="225"/>
  <c r="K81" i="225" s="1"/>
  <c r="A82" i="225"/>
  <c r="A83" i="225"/>
  <c r="A84" i="225"/>
  <c r="K84" i="225" s="1"/>
  <c r="A85" i="225"/>
  <c r="K85" i="225" s="1"/>
  <c r="A86" i="225"/>
  <c r="K86" i="225" s="1"/>
  <c r="A87" i="225"/>
  <c r="K87" i="225" s="1"/>
  <c r="A88" i="225"/>
  <c r="K88" i="225" s="1"/>
  <c r="A89" i="225"/>
  <c r="K89" i="225" s="1"/>
  <c r="A90" i="225"/>
  <c r="K90" i="225" s="1"/>
  <c r="A91" i="225"/>
  <c r="K91" i="225" s="1"/>
  <c r="A92" i="225"/>
  <c r="K92" i="225" s="1"/>
  <c r="A93" i="225"/>
  <c r="K93" i="225" s="1"/>
  <c r="A94" i="225"/>
  <c r="K94" i="225" s="1"/>
  <c r="A95" i="225"/>
  <c r="K95" i="225" s="1"/>
  <c r="A96" i="225"/>
  <c r="K96" i="225" s="1"/>
  <c r="A97" i="225"/>
  <c r="K97" i="225" s="1"/>
  <c r="A98" i="225"/>
  <c r="K98" i="225" s="1"/>
  <c r="A99" i="225"/>
  <c r="K99" i="225" s="1"/>
  <c r="A100" i="225"/>
  <c r="K100" i="225" s="1"/>
  <c r="A101" i="225"/>
  <c r="K101" i="225" s="1"/>
  <c r="A102" i="225"/>
  <c r="K102" i="225" s="1"/>
  <c r="A103" i="225"/>
  <c r="K103" i="225" s="1"/>
  <c r="A104" i="225"/>
  <c r="K104" i="225" s="1"/>
  <c r="A105" i="225"/>
  <c r="K105" i="225" s="1"/>
  <c r="A106" i="225"/>
  <c r="K106" i="225" s="1"/>
  <c r="A107" i="225"/>
  <c r="K107" i="225" s="1"/>
  <c r="A108" i="225"/>
  <c r="K108" i="225" s="1"/>
  <c r="A109" i="225"/>
  <c r="K109" i="225" s="1"/>
  <c r="A110" i="225"/>
  <c r="K110" i="225" s="1"/>
  <c r="A111" i="225"/>
  <c r="K111" i="225" s="1"/>
  <c r="A112" i="225"/>
  <c r="K112" i="225" s="1"/>
  <c r="A113" i="225"/>
  <c r="K113" i="225" s="1"/>
  <c r="A114" i="225"/>
  <c r="K114" i="225" s="1"/>
  <c r="A115" i="225"/>
  <c r="K115" i="225" s="1"/>
  <c r="A116" i="225"/>
  <c r="K116" i="225" s="1"/>
  <c r="A117" i="225"/>
  <c r="K117" i="225" s="1"/>
  <c r="A118" i="225"/>
  <c r="K118" i="225" s="1"/>
  <c r="A119" i="225"/>
  <c r="K119" i="225" s="1"/>
  <c r="A120" i="225"/>
  <c r="K120" i="225" s="1"/>
  <c r="A121" i="225"/>
  <c r="K121" i="225" s="1"/>
  <c r="A122" i="225"/>
  <c r="A123" i="225"/>
  <c r="A124" i="225"/>
  <c r="K124" i="225" s="1"/>
  <c r="A125" i="225"/>
  <c r="K125" i="225" s="1"/>
  <c r="A126" i="225"/>
  <c r="K126" i="225" s="1"/>
  <c r="A127" i="225"/>
  <c r="K127" i="225" s="1"/>
  <c r="A128" i="225"/>
  <c r="K128" i="225" s="1"/>
  <c r="A129" i="225"/>
  <c r="K129" i="225" s="1"/>
  <c r="A130" i="225"/>
  <c r="K130" i="225" s="1"/>
  <c r="A131" i="225"/>
  <c r="K131" i="225" s="1"/>
  <c r="A132" i="225"/>
  <c r="K132" i="225" s="1"/>
  <c r="A133" i="225"/>
  <c r="K133" i="225" s="1"/>
  <c r="A134" i="225"/>
  <c r="K134" i="225" s="1"/>
  <c r="A135" i="225"/>
  <c r="K135" i="225" s="1"/>
  <c r="A136" i="225"/>
  <c r="K136" i="225" s="1"/>
  <c r="A137" i="225"/>
  <c r="K137" i="225" s="1"/>
  <c r="A138" i="225"/>
  <c r="K138" i="225" s="1"/>
  <c r="A139" i="225"/>
  <c r="K139" i="225" s="1"/>
  <c r="A140" i="225"/>
  <c r="K140" i="225" s="1"/>
  <c r="A141" i="225"/>
  <c r="K141" i="225" s="1"/>
  <c r="A142" i="225"/>
  <c r="A143" i="225"/>
  <c r="A144" i="225"/>
  <c r="K144" i="225" s="1"/>
  <c r="A145" i="225"/>
  <c r="K145" i="225" s="1"/>
  <c r="A146" i="225"/>
  <c r="K146" i="225" s="1"/>
  <c r="A147" i="225"/>
  <c r="K147" i="225" s="1"/>
  <c r="A148" i="225"/>
  <c r="K148" i="225" s="1"/>
  <c r="A149" i="225"/>
  <c r="K149" i="225" s="1"/>
  <c r="A150" i="225"/>
  <c r="K150" i="225" s="1"/>
  <c r="A151" i="225"/>
  <c r="K151" i="225" s="1"/>
  <c r="A152" i="225"/>
  <c r="K152" i="225" s="1"/>
  <c r="A153" i="225"/>
  <c r="K153" i="225" s="1"/>
  <c r="A154" i="225"/>
  <c r="K154" i="225" s="1"/>
  <c r="A155" i="225"/>
  <c r="K155" i="225" s="1"/>
  <c r="A156" i="225"/>
  <c r="A157" i="225"/>
  <c r="A158" i="225"/>
  <c r="K158" i="225" s="1"/>
  <c r="A159" i="225"/>
  <c r="K159" i="225" s="1"/>
  <c r="A160" i="225"/>
  <c r="K160" i="225" s="1"/>
  <c r="A161" i="225"/>
  <c r="K161" i="225" s="1"/>
  <c r="A162" i="225"/>
  <c r="K162" i="225" s="1"/>
  <c r="A163" i="225"/>
  <c r="K163" i="225" s="1"/>
  <c r="A164" i="225"/>
  <c r="K164" i="225" s="1"/>
  <c r="A165" i="225"/>
  <c r="K165" i="225" s="1"/>
  <c r="A166" i="225"/>
  <c r="K166" i="225" s="1"/>
  <c r="A167" i="225"/>
  <c r="K167" i="225" s="1"/>
  <c r="A168" i="225"/>
  <c r="K168" i="225" s="1"/>
  <c r="A169" i="225"/>
  <c r="K169" i="225" s="1"/>
  <c r="A170" i="225"/>
  <c r="K170" i="225" s="1"/>
  <c r="A171" i="225"/>
  <c r="K171" i="225" s="1"/>
  <c r="A172" i="225"/>
  <c r="K172" i="225" s="1"/>
  <c r="A173" i="225"/>
  <c r="K173" i="225" s="1"/>
  <c r="A174" i="225"/>
  <c r="K174" i="225" s="1"/>
  <c r="A175" i="225"/>
  <c r="K175" i="225" s="1"/>
  <c r="A176" i="225"/>
  <c r="K176" i="225" s="1"/>
  <c r="A177" i="225"/>
  <c r="K177" i="225" s="1"/>
  <c r="A178" i="225"/>
  <c r="K178" i="225" s="1"/>
  <c r="A179" i="225"/>
  <c r="K179" i="225" s="1"/>
  <c r="A180" i="225"/>
  <c r="K180" i="225" s="1"/>
  <c r="A181" i="225"/>
  <c r="K181" i="225" s="1"/>
  <c r="A182" i="225"/>
  <c r="A183" i="225"/>
  <c r="A184" i="225"/>
  <c r="K184" i="225" s="1"/>
  <c r="A185" i="225"/>
  <c r="K185" i="225" s="1"/>
  <c r="A186" i="225"/>
  <c r="K186" i="225" s="1"/>
  <c r="A187" i="225"/>
  <c r="K187" i="225" s="1"/>
  <c r="A188" i="225"/>
  <c r="K188" i="225" s="1"/>
  <c r="A189" i="225"/>
  <c r="K189" i="225" s="1"/>
  <c r="A190" i="225"/>
  <c r="K190" i="225" s="1"/>
  <c r="A191" i="225"/>
  <c r="K191" i="225" s="1"/>
  <c r="A192" i="225"/>
  <c r="K192" i="225" s="1"/>
  <c r="A193" i="225"/>
  <c r="K193" i="225" s="1"/>
  <c r="A194" i="225"/>
  <c r="K194" i="225" s="1"/>
  <c r="A195" i="225"/>
  <c r="K195" i="225" s="1"/>
  <c r="A196" i="225"/>
  <c r="K196" i="225" s="1"/>
  <c r="A197" i="225"/>
  <c r="K197" i="225" s="1"/>
  <c r="A198" i="225"/>
  <c r="K198" i="225" s="1"/>
  <c r="A199" i="225"/>
  <c r="K199" i="225" s="1"/>
  <c r="A200" i="225"/>
  <c r="K200" i="225" s="1"/>
  <c r="A201" i="225"/>
  <c r="K201" i="225" s="1"/>
  <c r="A202" i="225"/>
  <c r="K202" i="225" s="1"/>
  <c r="A203" i="225"/>
  <c r="K203" i="225" s="1"/>
  <c r="A204" i="225"/>
  <c r="K204" i="225" s="1"/>
  <c r="A205" i="225"/>
  <c r="K205" i="225" s="1"/>
  <c r="A206" i="225"/>
  <c r="K206" i="225" s="1"/>
  <c r="A207" i="225"/>
  <c r="K207" i="225" s="1"/>
  <c r="A208" i="225"/>
  <c r="K208" i="225" s="1"/>
  <c r="A209" i="225"/>
  <c r="K209" i="225" s="1"/>
  <c r="A210" i="225"/>
  <c r="K210" i="225" s="1"/>
  <c r="A211" i="225"/>
  <c r="K211" i="225" s="1"/>
  <c r="A212" i="225"/>
  <c r="K212" i="225" s="1"/>
  <c r="A213" i="225"/>
  <c r="K213" i="225" s="1"/>
  <c r="A214" i="225"/>
  <c r="K214" i="225" s="1"/>
  <c r="A215" i="225"/>
  <c r="K215" i="225" s="1"/>
  <c r="A216" i="225"/>
  <c r="K216" i="225" s="1"/>
  <c r="A217" i="225"/>
  <c r="K217" i="225" s="1"/>
  <c r="A218" i="225"/>
  <c r="K218" i="225" s="1"/>
  <c r="A219" i="225"/>
  <c r="K219" i="225" s="1"/>
  <c r="A220" i="225"/>
  <c r="K220" i="225" s="1"/>
  <c r="A221" i="225"/>
  <c r="K221" i="225" s="1"/>
  <c r="A222" i="225"/>
  <c r="A223" i="225"/>
  <c r="A224" i="225"/>
  <c r="K224" i="225" s="1"/>
  <c r="A225" i="225"/>
  <c r="K225" i="225" s="1"/>
  <c r="A226" i="225"/>
  <c r="K226" i="225" s="1"/>
  <c r="A227" i="225"/>
  <c r="K227" i="225" s="1"/>
  <c r="A228" i="225"/>
  <c r="K228" i="225" s="1"/>
  <c r="A229" i="225"/>
  <c r="K229" i="225" s="1"/>
  <c r="A230" i="225"/>
  <c r="K230" i="225" s="1"/>
  <c r="A231" i="225"/>
  <c r="K231" i="225" s="1"/>
  <c r="A232" i="225"/>
  <c r="K232" i="225" s="1"/>
  <c r="A233" i="225"/>
  <c r="K233" i="225" s="1"/>
  <c r="A234" i="225"/>
  <c r="K234" i="225" s="1"/>
  <c r="A235" i="225"/>
  <c r="K235" i="225" s="1"/>
  <c r="A236" i="225"/>
  <c r="K236" i="225" s="1"/>
  <c r="A237" i="225"/>
  <c r="K237" i="225" s="1"/>
  <c r="A238" i="225"/>
  <c r="K238" i="225" s="1"/>
  <c r="A239" i="225"/>
  <c r="K239" i="225" s="1"/>
  <c r="A240" i="225"/>
  <c r="K240" i="225" s="1"/>
  <c r="A241" i="225"/>
  <c r="K241" i="225" s="1"/>
  <c r="A242" i="225"/>
  <c r="A243" i="225"/>
  <c r="A244" i="225"/>
  <c r="K244" i="225" s="1"/>
  <c r="A245" i="225"/>
  <c r="K245" i="225" s="1"/>
  <c r="A246" i="225"/>
  <c r="K246" i="225" s="1"/>
  <c r="A247" i="225"/>
  <c r="K247" i="225" s="1"/>
  <c r="A248" i="225"/>
  <c r="K248" i="225" s="1"/>
  <c r="A249" i="225"/>
  <c r="K249" i="225" s="1"/>
  <c r="A250" i="225"/>
  <c r="K250" i="225" s="1"/>
  <c r="A251" i="225"/>
  <c r="K251" i="225" s="1"/>
  <c r="A252" i="225"/>
  <c r="K252" i="225" s="1"/>
  <c r="A253" i="225"/>
  <c r="K253" i="225" s="1"/>
  <c r="A254" i="225"/>
  <c r="K254" i="225" s="1"/>
  <c r="A255" i="225"/>
  <c r="K255" i="225" s="1"/>
  <c r="A256" i="225"/>
  <c r="A257" i="225"/>
  <c r="A258" i="225"/>
  <c r="K258" i="225" s="1"/>
  <c r="A259" i="225"/>
  <c r="K259" i="225" s="1"/>
  <c r="A260" i="225"/>
  <c r="K260" i="225" s="1"/>
  <c r="A261" i="225"/>
  <c r="K261" i="225" s="1"/>
  <c r="A262" i="225"/>
  <c r="K262" i="225" s="1"/>
  <c r="A263" i="225"/>
  <c r="K263" i="225" s="1"/>
  <c r="A264" i="225"/>
  <c r="K264" i="225" s="1"/>
  <c r="A265" i="225"/>
  <c r="K265" i="225" s="1"/>
  <c r="A266" i="225"/>
  <c r="K266" i="225" s="1"/>
  <c r="A267" i="225"/>
  <c r="K267" i="225" s="1"/>
  <c r="A268" i="225"/>
  <c r="K268" i="225" s="1"/>
  <c r="A269" i="225"/>
  <c r="K269" i="225" s="1"/>
  <c r="A270" i="225"/>
  <c r="K270" i="225" s="1"/>
  <c r="A271" i="225"/>
  <c r="K271" i="225" s="1"/>
  <c r="A272" i="225"/>
  <c r="K272" i="225" s="1"/>
  <c r="A273" i="225"/>
  <c r="K273" i="225" s="1"/>
  <c r="A274" i="225"/>
  <c r="K274" i="225" s="1"/>
  <c r="A275" i="225"/>
  <c r="K275" i="225" s="1"/>
  <c r="A276" i="225"/>
  <c r="K276" i="225" s="1"/>
  <c r="A277" i="225"/>
  <c r="K277" i="225" s="1"/>
  <c r="A278" i="225"/>
  <c r="K278" i="225" s="1"/>
  <c r="A279" i="225"/>
  <c r="K279" i="225" s="1"/>
  <c r="A280" i="225"/>
  <c r="K280" i="225" s="1"/>
  <c r="A281" i="225"/>
  <c r="K281" i="225" s="1"/>
  <c r="A282" i="225"/>
  <c r="A283" i="225"/>
  <c r="A284" i="225"/>
  <c r="K284" i="225" s="1"/>
  <c r="A285" i="225"/>
  <c r="K285" i="225" s="1"/>
  <c r="A286" i="225"/>
  <c r="K286" i="225" s="1"/>
  <c r="A287" i="225"/>
  <c r="K287" i="225" s="1"/>
  <c r="A288" i="225"/>
  <c r="K288" i="225" s="1"/>
  <c r="A289" i="225"/>
  <c r="K289" i="225" s="1"/>
  <c r="A290" i="225"/>
  <c r="K290" i="225" s="1"/>
  <c r="A291" i="225"/>
  <c r="K291" i="225" s="1"/>
  <c r="A292" i="225"/>
  <c r="K292" i="225" s="1"/>
  <c r="A293" i="225"/>
  <c r="K293" i="225" s="1"/>
  <c r="A294" i="225"/>
  <c r="K294" i="225" s="1"/>
  <c r="A295" i="225"/>
  <c r="K295" i="225" s="1"/>
  <c r="A296" i="225"/>
  <c r="K296" i="225" s="1"/>
  <c r="A297" i="225"/>
  <c r="K297" i="225" s="1"/>
  <c r="A298" i="225"/>
  <c r="K298" i="225" s="1"/>
  <c r="A299" i="225"/>
  <c r="K299" i="225" s="1"/>
  <c r="A300" i="225"/>
  <c r="K300" i="225" s="1"/>
  <c r="A301" i="225"/>
  <c r="K301" i="225" s="1"/>
  <c r="A302" i="225"/>
  <c r="K302" i="225" s="1"/>
  <c r="A303" i="225"/>
  <c r="K303" i="225" s="1"/>
  <c r="A304" i="225"/>
  <c r="K304" i="225" s="1"/>
  <c r="A305" i="225"/>
  <c r="K305" i="225" s="1"/>
  <c r="A306" i="225"/>
  <c r="K306" i="225" s="1"/>
  <c r="A307" i="225"/>
  <c r="K307" i="225" s="1"/>
  <c r="A308" i="225"/>
  <c r="K308" i="225" s="1"/>
  <c r="A309" i="225"/>
  <c r="K309" i="225" s="1"/>
  <c r="A310" i="225"/>
  <c r="K310" i="225" s="1"/>
  <c r="A3" i="225"/>
  <c r="K3" i="225" s="1"/>
  <c r="J310" i="225"/>
  <c r="J309" i="225"/>
  <c r="J308" i="225"/>
  <c r="J307" i="225"/>
  <c r="J306" i="225"/>
  <c r="J305" i="225"/>
  <c r="J304" i="225"/>
  <c r="J303" i="225"/>
  <c r="J302" i="225"/>
  <c r="J301" i="225"/>
  <c r="J300" i="225"/>
  <c r="J299" i="225"/>
  <c r="J298" i="225"/>
  <c r="J297" i="225"/>
  <c r="J296" i="225"/>
  <c r="J295" i="225"/>
  <c r="J294" i="225"/>
  <c r="J293" i="225"/>
  <c r="J292" i="225"/>
  <c r="J291" i="225"/>
  <c r="J290" i="225"/>
  <c r="J289" i="225"/>
  <c r="J288" i="225"/>
  <c r="J287" i="225"/>
  <c r="J286" i="225"/>
  <c r="J285" i="225"/>
  <c r="J284" i="225"/>
  <c r="J283" i="225"/>
  <c r="J282" i="225"/>
  <c r="J281" i="225"/>
  <c r="J280" i="225"/>
  <c r="J279" i="225"/>
  <c r="J278" i="225"/>
  <c r="J277" i="225"/>
  <c r="J276" i="225"/>
  <c r="J275" i="225"/>
  <c r="J274" i="225"/>
  <c r="J273" i="225"/>
  <c r="J272" i="225"/>
  <c r="J271" i="225"/>
  <c r="J270" i="225"/>
  <c r="J269" i="225"/>
  <c r="J268" i="225"/>
  <c r="J267" i="225"/>
  <c r="J266" i="225"/>
  <c r="J265" i="225"/>
  <c r="J264" i="225"/>
  <c r="J263" i="225"/>
  <c r="J262" i="225"/>
  <c r="J261" i="225"/>
  <c r="J260" i="225"/>
  <c r="J259" i="225"/>
  <c r="J258" i="225"/>
  <c r="J257" i="225"/>
  <c r="J256" i="225"/>
  <c r="J255" i="225"/>
  <c r="J254" i="225"/>
  <c r="J253" i="225"/>
  <c r="J252" i="225"/>
  <c r="J251" i="225"/>
  <c r="J250" i="225"/>
  <c r="J249" i="225"/>
  <c r="J248" i="225"/>
  <c r="J247" i="225"/>
  <c r="J246" i="225"/>
  <c r="J245" i="225"/>
  <c r="J244" i="225"/>
  <c r="J243" i="225"/>
  <c r="J242" i="225"/>
  <c r="J241" i="225"/>
  <c r="J240" i="225"/>
  <c r="J239" i="225"/>
  <c r="J238" i="225"/>
  <c r="J237" i="225"/>
  <c r="J236" i="225"/>
  <c r="J235" i="225"/>
  <c r="J234" i="225"/>
  <c r="J233" i="225"/>
  <c r="J232" i="225"/>
  <c r="J231" i="225"/>
  <c r="J230" i="225"/>
  <c r="J229" i="225"/>
  <c r="J228" i="225"/>
  <c r="J227" i="225"/>
  <c r="J226" i="225"/>
  <c r="J225" i="225"/>
  <c r="J224" i="225"/>
  <c r="J223" i="225"/>
  <c r="J222" i="225"/>
  <c r="J221" i="225"/>
  <c r="J220" i="225"/>
  <c r="J219" i="225"/>
  <c r="J218" i="225"/>
  <c r="J217" i="225"/>
  <c r="J216" i="225"/>
  <c r="J215" i="225"/>
  <c r="J214" i="225"/>
  <c r="J213" i="225"/>
  <c r="J212" i="225"/>
  <c r="J211" i="225"/>
  <c r="J210" i="225"/>
  <c r="J209" i="225"/>
  <c r="J208" i="225"/>
  <c r="J207" i="225"/>
  <c r="J206" i="225"/>
  <c r="J205" i="225"/>
  <c r="J204" i="225"/>
  <c r="J203" i="225"/>
  <c r="J202" i="225"/>
  <c r="J201" i="225"/>
  <c r="J200" i="225"/>
  <c r="J199" i="225"/>
  <c r="J198" i="225"/>
  <c r="J197" i="225"/>
  <c r="J196" i="225"/>
  <c r="J195" i="225"/>
  <c r="J194" i="225"/>
  <c r="J193" i="225"/>
  <c r="J192" i="225"/>
  <c r="J191" i="225"/>
  <c r="J190" i="225"/>
  <c r="J189" i="225"/>
  <c r="J188" i="225"/>
  <c r="J187" i="225"/>
  <c r="J186" i="225"/>
  <c r="J185" i="225"/>
  <c r="J184" i="225"/>
  <c r="J183" i="225"/>
  <c r="J182" i="225"/>
  <c r="J181" i="225"/>
  <c r="J180" i="225"/>
  <c r="J179" i="225"/>
  <c r="J178" i="225"/>
  <c r="J177" i="225"/>
  <c r="J176" i="225"/>
  <c r="J175" i="225"/>
  <c r="J174" i="225"/>
  <c r="J173" i="225"/>
  <c r="J172" i="225"/>
  <c r="J171" i="225"/>
  <c r="J170" i="225"/>
  <c r="J169" i="225"/>
  <c r="J168" i="225"/>
  <c r="J167" i="225"/>
  <c r="J166" i="225"/>
  <c r="J165" i="225"/>
  <c r="J164" i="225"/>
  <c r="J163" i="225"/>
  <c r="J162" i="225"/>
  <c r="J161" i="225"/>
  <c r="J160" i="225"/>
  <c r="J159" i="225"/>
  <c r="J158" i="225"/>
  <c r="J157" i="225"/>
  <c r="J156" i="225"/>
  <c r="J155" i="225"/>
  <c r="J154" i="225"/>
  <c r="J153" i="225"/>
  <c r="J152" i="225"/>
  <c r="J151" i="225"/>
  <c r="J150" i="225"/>
  <c r="J149" i="225"/>
  <c r="J148" i="225"/>
  <c r="J147" i="225"/>
  <c r="J146" i="225"/>
  <c r="J145" i="225"/>
  <c r="J144" i="225"/>
  <c r="J143" i="225"/>
  <c r="J142" i="225"/>
  <c r="J141" i="225"/>
  <c r="J140" i="225"/>
  <c r="J139" i="225"/>
  <c r="J138" i="225"/>
  <c r="J137" i="225"/>
  <c r="J136" i="225"/>
  <c r="J135" i="225"/>
  <c r="J134" i="225"/>
  <c r="J133" i="225"/>
  <c r="J132" i="225"/>
  <c r="J131" i="225"/>
  <c r="J130" i="225"/>
  <c r="J129" i="225"/>
  <c r="J128" i="225"/>
  <c r="J127" i="225"/>
  <c r="J126" i="225"/>
  <c r="J125" i="225"/>
  <c r="J124" i="225"/>
  <c r="J123" i="225"/>
  <c r="J122" i="225"/>
  <c r="J121" i="225"/>
  <c r="J120" i="225"/>
  <c r="J119" i="225"/>
  <c r="J118" i="225"/>
  <c r="J117" i="225"/>
  <c r="J116" i="225"/>
  <c r="J115" i="225"/>
  <c r="J114" i="225"/>
  <c r="J113" i="225"/>
  <c r="J112" i="225"/>
  <c r="J111" i="225"/>
  <c r="J110" i="225"/>
  <c r="J109" i="225"/>
  <c r="J108" i="225"/>
  <c r="J107" i="225"/>
  <c r="J106" i="225"/>
  <c r="J105" i="225"/>
  <c r="J104" i="225"/>
  <c r="J103" i="225"/>
  <c r="J102" i="225"/>
  <c r="J101" i="225"/>
  <c r="J100" i="225"/>
  <c r="J99" i="225"/>
  <c r="J98" i="225"/>
  <c r="J97" i="225"/>
  <c r="J96" i="225"/>
  <c r="J95" i="225"/>
  <c r="J94" i="225"/>
  <c r="J93" i="225"/>
  <c r="J92" i="225"/>
  <c r="J91" i="225"/>
  <c r="J90" i="225"/>
  <c r="J89" i="225"/>
  <c r="J88" i="225"/>
  <c r="J87" i="225"/>
  <c r="J86" i="225"/>
  <c r="J85" i="225"/>
  <c r="J84" i="225"/>
  <c r="J83" i="225"/>
  <c r="J82" i="225"/>
  <c r="J81" i="225"/>
  <c r="J80" i="225"/>
  <c r="J79" i="225"/>
  <c r="J78" i="225"/>
  <c r="J77" i="225"/>
  <c r="J76" i="225"/>
  <c r="J75" i="225"/>
  <c r="J74" i="225"/>
  <c r="J73" i="225"/>
  <c r="J72" i="225"/>
  <c r="J71" i="225"/>
  <c r="J70" i="225"/>
  <c r="J69" i="225"/>
  <c r="J68" i="225"/>
  <c r="J67" i="225"/>
  <c r="J66" i="225"/>
  <c r="J65" i="225"/>
  <c r="J64" i="225"/>
  <c r="J63" i="225"/>
  <c r="J62" i="225"/>
  <c r="J61" i="225"/>
  <c r="J60" i="225"/>
  <c r="J59" i="225"/>
  <c r="J58" i="225"/>
  <c r="J57" i="225"/>
  <c r="J56" i="225"/>
  <c r="J55" i="225"/>
  <c r="J54" i="225"/>
  <c r="J53" i="225"/>
  <c r="J52" i="225"/>
  <c r="J51" i="225"/>
  <c r="J50" i="225"/>
  <c r="J49" i="225"/>
  <c r="J48" i="225"/>
  <c r="J47" i="225"/>
  <c r="J46" i="225"/>
  <c r="J45" i="225"/>
  <c r="J44" i="225"/>
  <c r="J43" i="225"/>
  <c r="J42" i="225"/>
  <c r="J41" i="225"/>
  <c r="J40" i="225"/>
  <c r="J39" i="225"/>
  <c r="J38" i="225"/>
  <c r="J37" i="225"/>
  <c r="J36" i="225"/>
  <c r="J35" i="225"/>
  <c r="J34" i="225"/>
  <c r="J33" i="225"/>
  <c r="J32" i="225"/>
  <c r="J31" i="225"/>
  <c r="J30" i="225"/>
  <c r="J29" i="225"/>
  <c r="J28" i="225"/>
  <c r="J27" i="225"/>
  <c r="J26" i="225"/>
  <c r="J25" i="225"/>
  <c r="J24" i="225"/>
  <c r="J23" i="225"/>
  <c r="J22" i="225"/>
  <c r="J21" i="225"/>
  <c r="J20" i="225"/>
  <c r="J19" i="225"/>
  <c r="J18" i="225"/>
  <c r="J17" i="225"/>
  <c r="J16" i="225"/>
  <c r="J15" i="225"/>
  <c r="J14" i="225"/>
  <c r="J13" i="225"/>
  <c r="J12" i="225"/>
  <c r="J11" i="225"/>
  <c r="J10" i="225"/>
  <c r="J9" i="225"/>
  <c r="J8" i="225"/>
  <c r="J7" i="225"/>
  <c r="J6" i="225"/>
  <c r="J5" i="225"/>
  <c r="J4" i="225"/>
  <c r="J3" i="225"/>
  <c r="A4" i="224"/>
  <c r="K4" i="224" s="1"/>
  <c r="A5" i="224"/>
  <c r="K5" i="224" s="1"/>
  <c r="A6" i="224"/>
  <c r="K6" i="224" s="1"/>
  <c r="A7" i="224"/>
  <c r="K7" i="224" s="1"/>
  <c r="A8" i="224"/>
  <c r="K8" i="224" s="1"/>
  <c r="A9" i="224"/>
  <c r="K9" i="224" s="1"/>
  <c r="A10" i="224"/>
  <c r="K10" i="224" s="1"/>
  <c r="A11" i="224"/>
  <c r="K11" i="224" s="1"/>
  <c r="A12" i="224"/>
  <c r="K12" i="224" s="1"/>
  <c r="A13" i="224"/>
  <c r="K13" i="224" s="1"/>
  <c r="A14" i="224"/>
  <c r="K14" i="224" s="1"/>
  <c r="A15" i="224"/>
  <c r="K15" i="224" s="1"/>
  <c r="A16" i="224"/>
  <c r="K16" i="224" s="1"/>
  <c r="A17" i="224"/>
  <c r="K17" i="224" s="1"/>
  <c r="A18" i="224"/>
  <c r="K18" i="224" s="1"/>
  <c r="A19" i="224"/>
  <c r="K19" i="224" s="1"/>
  <c r="A20" i="224"/>
  <c r="K20" i="224" s="1"/>
  <c r="A21" i="224"/>
  <c r="K21" i="224" s="1"/>
  <c r="A22" i="224"/>
  <c r="K22" i="224" s="1"/>
  <c r="A23" i="224"/>
  <c r="K23" i="224" s="1"/>
  <c r="A24" i="224"/>
  <c r="K24" i="224" s="1"/>
  <c r="A25" i="224"/>
  <c r="K25" i="224" s="1"/>
  <c r="A26" i="224"/>
  <c r="K26" i="224" s="1"/>
  <c r="A27" i="224"/>
  <c r="K27" i="224" s="1"/>
  <c r="A28" i="224"/>
  <c r="K28" i="224" s="1"/>
  <c r="A29" i="224"/>
  <c r="K29" i="224" s="1"/>
  <c r="A30" i="224"/>
  <c r="K30" i="224" s="1"/>
  <c r="A31" i="224"/>
  <c r="K31" i="224" s="1"/>
  <c r="A32" i="224"/>
  <c r="K32" i="224" s="1"/>
  <c r="A33" i="224"/>
  <c r="K33" i="224" s="1"/>
  <c r="A34" i="224"/>
  <c r="K34" i="224" s="1"/>
  <c r="A35" i="224"/>
  <c r="K35" i="224" s="1"/>
  <c r="A36" i="224"/>
  <c r="K36" i="224" s="1"/>
  <c r="A37" i="224"/>
  <c r="K37" i="224" s="1"/>
  <c r="A38" i="224"/>
  <c r="K38" i="224" s="1"/>
  <c r="A39" i="224"/>
  <c r="K39" i="224" s="1"/>
  <c r="A40" i="224"/>
  <c r="K40" i="224" s="1"/>
  <c r="A41" i="224"/>
  <c r="K41" i="224" s="1"/>
  <c r="A42" i="224"/>
  <c r="K42" i="224" s="1"/>
  <c r="A43" i="224"/>
  <c r="K43" i="224" s="1"/>
  <c r="A44" i="224"/>
  <c r="K44" i="224" s="1"/>
  <c r="A45" i="224"/>
  <c r="K45" i="224" s="1"/>
  <c r="A46" i="224"/>
  <c r="K46" i="224" s="1"/>
  <c r="A47" i="224"/>
  <c r="K47" i="224" s="1"/>
  <c r="A48" i="224"/>
  <c r="K48" i="224" s="1"/>
  <c r="A49" i="224"/>
  <c r="K49" i="224" s="1"/>
  <c r="A50" i="224"/>
  <c r="K50" i="224" s="1"/>
  <c r="A51" i="224"/>
  <c r="K51" i="224" s="1"/>
  <c r="A52" i="224"/>
  <c r="K52" i="224" s="1"/>
  <c r="A53" i="224"/>
  <c r="K53" i="224" s="1"/>
  <c r="A54" i="224"/>
  <c r="K54" i="224" s="1"/>
  <c r="A55" i="224"/>
  <c r="K55" i="224" s="1"/>
  <c r="A56" i="224"/>
  <c r="K56" i="224" s="1"/>
  <c r="A57" i="224"/>
  <c r="K57" i="224" s="1"/>
  <c r="A58" i="224"/>
  <c r="K58" i="224" s="1"/>
  <c r="A59" i="224"/>
  <c r="K59" i="224" s="1"/>
  <c r="A60" i="224"/>
  <c r="K60" i="224" s="1"/>
  <c r="A61" i="224"/>
  <c r="K61" i="224" s="1"/>
  <c r="A62" i="224"/>
  <c r="K62" i="224" s="1"/>
  <c r="A63" i="224"/>
  <c r="K63" i="224" s="1"/>
  <c r="A64" i="224"/>
  <c r="K64" i="224" s="1"/>
  <c r="A65" i="224"/>
  <c r="K65" i="224" s="1"/>
  <c r="A66" i="224"/>
  <c r="K66" i="224" s="1"/>
  <c r="A67" i="224"/>
  <c r="K67" i="224" s="1"/>
  <c r="A68" i="224"/>
  <c r="K68" i="224" s="1"/>
  <c r="A69" i="224"/>
  <c r="K69" i="224" s="1"/>
  <c r="A70" i="224"/>
  <c r="K70" i="224" s="1"/>
  <c r="A71" i="224"/>
  <c r="K71" i="224" s="1"/>
  <c r="A72" i="224"/>
  <c r="K72" i="224" s="1"/>
  <c r="A73" i="224"/>
  <c r="K73" i="224" s="1"/>
  <c r="A74" i="224"/>
  <c r="K74" i="224" s="1"/>
  <c r="A75" i="224"/>
  <c r="K75" i="224" s="1"/>
  <c r="A76" i="224"/>
  <c r="K76" i="224" s="1"/>
  <c r="A77" i="224"/>
  <c r="K77" i="224" s="1"/>
  <c r="A78" i="224"/>
  <c r="K78" i="224" s="1"/>
  <c r="A79" i="224"/>
  <c r="K79" i="224" s="1"/>
  <c r="A80" i="224"/>
  <c r="K80" i="224" s="1"/>
  <c r="A81" i="224"/>
  <c r="K81" i="224" s="1"/>
  <c r="A82" i="224"/>
  <c r="K82" i="224" s="1"/>
  <c r="A83" i="224"/>
  <c r="K83" i="224" s="1"/>
  <c r="A84" i="224"/>
  <c r="K84" i="224" s="1"/>
  <c r="A85" i="224"/>
  <c r="K85" i="224" s="1"/>
  <c r="A86" i="224"/>
  <c r="K86" i="224" s="1"/>
  <c r="A87" i="224"/>
  <c r="K87" i="224" s="1"/>
  <c r="A88" i="224"/>
  <c r="K88" i="224" s="1"/>
  <c r="A89" i="224"/>
  <c r="K89" i="224" s="1"/>
  <c r="A90" i="224"/>
  <c r="K90" i="224" s="1"/>
  <c r="A91" i="224"/>
  <c r="K91" i="224" s="1"/>
  <c r="A92" i="224"/>
  <c r="K92" i="224" s="1"/>
  <c r="A93" i="224"/>
  <c r="K93" i="224" s="1"/>
  <c r="A94" i="224"/>
  <c r="K94" i="224" s="1"/>
  <c r="A95" i="224"/>
  <c r="K95" i="224" s="1"/>
  <c r="A96" i="224"/>
  <c r="K96" i="224" s="1"/>
  <c r="A97" i="224"/>
  <c r="K97" i="224" s="1"/>
  <c r="A98" i="224"/>
  <c r="K98" i="224" s="1"/>
  <c r="A99" i="224"/>
  <c r="K99" i="224" s="1"/>
  <c r="A100" i="224"/>
  <c r="K100" i="224" s="1"/>
  <c r="A101" i="224"/>
  <c r="K101" i="224" s="1"/>
  <c r="A102" i="224"/>
  <c r="K102" i="224" s="1"/>
  <c r="A103" i="224"/>
  <c r="K103" i="224" s="1"/>
  <c r="A104" i="224"/>
  <c r="K104" i="224" s="1"/>
  <c r="A105" i="224"/>
  <c r="K105" i="224" s="1"/>
  <c r="A106" i="224"/>
  <c r="K106" i="224" s="1"/>
  <c r="A107" i="224"/>
  <c r="K107" i="224" s="1"/>
  <c r="A108" i="224"/>
  <c r="K108" i="224" s="1"/>
  <c r="A109" i="224"/>
  <c r="K109" i="224" s="1"/>
  <c r="A110" i="224"/>
  <c r="K110" i="224" s="1"/>
  <c r="A111" i="224"/>
  <c r="K111" i="224" s="1"/>
  <c r="A112" i="224"/>
  <c r="K112" i="224" s="1"/>
  <c r="A113" i="224"/>
  <c r="K113" i="224" s="1"/>
  <c r="A114" i="224"/>
  <c r="K114" i="224" s="1"/>
  <c r="A115" i="224"/>
  <c r="K115" i="224" s="1"/>
  <c r="A116" i="224"/>
  <c r="K116" i="224" s="1"/>
  <c r="A117" i="224"/>
  <c r="K117" i="224" s="1"/>
  <c r="A118" i="224"/>
  <c r="K118" i="224" s="1"/>
  <c r="A119" i="224"/>
  <c r="K119" i="224" s="1"/>
  <c r="A120" i="224"/>
  <c r="K120" i="224" s="1"/>
  <c r="A121" i="224"/>
  <c r="K121" i="224" s="1"/>
  <c r="A122" i="224"/>
  <c r="K122" i="224" s="1"/>
  <c r="A123" i="224"/>
  <c r="K123" i="224" s="1"/>
  <c r="A124" i="224"/>
  <c r="K124" i="224" s="1"/>
  <c r="A125" i="224"/>
  <c r="K125" i="224" s="1"/>
  <c r="A126" i="224"/>
  <c r="K126" i="224" s="1"/>
  <c r="A127" i="224"/>
  <c r="K127" i="224" s="1"/>
  <c r="A128" i="224"/>
  <c r="K128" i="224" s="1"/>
  <c r="A129" i="224"/>
  <c r="K129" i="224" s="1"/>
  <c r="A130" i="224"/>
  <c r="K130" i="224" s="1"/>
  <c r="A131" i="224"/>
  <c r="K131" i="224" s="1"/>
  <c r="A132" i="224"/>
  <c r="K132" i="224" s="1"/>
  <c r="A133" i="224"/>
  <c r="K133" i="224" s="1"/>
  <c r="A134" i="224"/>
  <c r="K134" i="224" s="1"/>
  <c r="A135" i="224"/>
  <c r="K135" i="224" s="1"/>
  <c r="A136" i="224"/>
  <c r="K136" i="224" s="1"/>
  <c r="A137" i="224"/>
  <c r="K137" i="224" s="1"/>
  <c r="A138" i="224"/>
  <c r="K138" i="224" s="1"/>
  <c r="A139" i="224"/>
  <c r="K139" i="224" s="1"/>
  <c r="A140" i="224"/>
  <c r="K140" i="224" s="1"/>
  <c r="A141" i="224"/>
  <c r="K141" i="224" s="1"/>
  <c r="A142" i="224"/>
  <c r="K142" i="224" s="1"/>
  <c r="A143" i="224"/>
  <c r="K143" i="224" s="1"/>
  <c r="A144" i="224"/>
  <c r="K144" i="224" s="1"/>
  <c r="A145" i="224"/>
  <c r="K145" i="224" s="1"/>
  <c r="A146" i="224"/>
  <c r="K146" i="224" s="1"/>
  <c r="A147" i="224"/>
  <c r="K147" i="224" s="1"/>
  <c r="A148" i="224"/>
  <c r="K148" i="224" s="1"/>
  <c r="A149" i="224"/>
  <c r="K149" i="224" s="1"/>
  <c r="A150" i="224"/>
  <c r="K150" i="224" s="1"/>
  <c r="A151" i="224"/>
  <c r="K151" i="224" s="1"/>
  <c r="A152" i="224"/>
  <c r="K152" i="224" s="1"/>
  <c r="A153" i="224"/>
  <c r="K153" i="224" s="1"/>
  <c r="A154" i="224"/>
  <c r="K154" i="224" s="1"/>
  <c r="A155" i="224"/>
  <c r="K155" i="224" s="1"/>
  <c r="A156" i="224"/>
  <c r="K156" i="224" s="1"/>
  <c r="A157" i="224"/>
  <c r="K157" i="224" s="1"/>
  <c r="A158" i="224"/>
  <c r="K158" i="224" s="1"/>
  <c r="A159" i="224"/>
  <c r="K159" i="224" s="1"/>
  <c r="A160" i="224"/>
  <c r="K160" i="224" s="1"/>
  <c r="A161" i="224"/>
  <c r="K161" i="224" s="1"/>
  <c r="A162" i="224"/>
  <c r="K162" i="224" s="1"/>
  <c r="A163" i="224"/>
  <c r="K163" i="224" s="1"/>
  <c r="A164" i="224"/>
  <c r="K164" i="224" s="1"/>
  <c r="A165" i="224"/>
  <c r="K165" i="224" s="1"/>
  <c r="A166" i="224"/>
  <c r="K166" i="224" s="1"/>
  <c r="A167" i="224"/>
  <c r="K167" i="224" s="1"/>
  <c r="A168" i="224"/>
  <c r="K168" i="224" s="1"/>
  <c r="A169" i="224"/>
  <c r="K169" i="224" s="1"/>
  <c r="A170" i="224"/>
  <c r="K170" i="224" s="1"/>
  <c r="A171" i="224"/>
  <c r="K171" i="224" s="1"/>
  <c r="A172" i="224"/>
  <c r="K172" i="224" s="1"/>
  <c r="A173" i="224"/>
  <c r="K173" i="224" s="1"/>
  <c r="A174" i="224"/>
  <c r="K174" i="224" s="1"/>
  <c r="A175" i="224"/>
  <c r="K175" i="224" s="1"/>
  <c r="A176" i="224"/>
  <c r="K176" i="224" s="1"/>
  <c r="A177" i="224"/>
  <c r="K177" i="224" s="1"/>
  <c r="A178" i="224"/>
  <c r="K178" i="224" s="1"/>
  <c r="A179" i="224"/>
  <c r="K179" i="224" s="1"/>
  <c r="A180" i="224"/>
  <c r="K180" i="224" s="1"/>
  <c r="A181" i="224"/>
  <c r="K181" i="224" s="1"/>
  <c r="A182" i="224"/>
  <c r="K182" i="224" s="1"/>
  <c r="A183" i="224"/>
  <c r="K183" i="224" s="1"/>
  <c r="A184" i="224"/>
  <c r="K184" i="224" s="1"/>
  <c r="A185" i="224"/>
  <c r="K185" i="224" s="1"/>
  <c r="A186" i="224"/>
  <c r="K186" i="224" s="1"/>
  <c r="A187" i="224"/>
  <c r="K187" i="224" s="1"/>
  <c r="A188" i="224"/>
  <c r="K188" i="224" s="1"/>
  <c r="A189" i="224"/>
  <c r="K189" i="224" s="1"/>
  <c r="A190" i="224"/>
  <c r="K190" i="224" s="1"/>
  <c r="A191" i="224"/>
  <c r="K191" i="224" s="1"/>
  <c r="A192" i="224"/>
  <c r="K192" i="224" s="1"/>
  <c r="A193" i="224"/>
  <c r="K193" i="224" s="1"/>
  <c r="A194" i="224"/>
  <c r="K194" i="224" s="1"/>
  <c r="A195" i="224"/>
  <c r="K195" i="224" s="1"/>
  <c r="A196" i="224"/>
  <c r="K196" i="224" s="1"/>
  <c r="A197" i="224"/>
  <c r="K197" i="224" s="1"/>
  <c r="A198" i="224"/>
  <c r="K198" i="224" s="1"/>
  <c r="A199" i="224"/>
  <c r="K199" i="224" s="1"/>
  <c r="A200" i="224"/>
  <c r="K200" i="224" s="1"/>
  <c r="A201" i="224"/>
  <c r="K201" i="224" s="1"/>
  <c r="A202" i="224"/>
  <c r="K202" i="224" s="1"/>
  <c r="A203" i="224"/>
  <c r="K203" i="224" s="1"/>
  <c r="A204" i="224"/>
  <c r="K204" i="224" s="1"/>
  <c r="A205" i="224"/>
  <c r="K205" i="224" s="1"/>
  <c r="A206" i="224"/>
  <c r="K206" i="224" s="1"/>
  <c r="A207" i="224"/>
  <c r="K207" i="224" s="1"/>
  <c r="A208" i="224"/>
  <c r="K208" i="224" s="1"/>
  <c r="A209" i="224"/>
  <c r="K209" i="224" s="1"/>
  <c r="A210" i="224"/>
  <c r="K210" i="224" s="1"/>
  <c r="A211" i="224"/>
  <c r="K211" i="224" s="1"/>
  <c r="A212" i="224"/>
  <c r="K212" i="224" s="1"/>
  <c r="A213" i="224"/>
  <c r="K213" i="224" s="1"/>
  <c r="A214" i="224"/>
  <c r="K214" i="224" s="1"/>
  <c r="A215" i="224"/>
  <c r="K215" i="224" s="1"/>
  <c r="A216" i="224"/>
  <c r="K216" i="224" s="1"/>
  <c r="A217" i="224"/>
  <c r="K217" i="224" s="1"/>
  <c r="A218" i="224"/>
  <c r="K218" i="224" s="1"/>
  <c r="A219" i="224"/>
  <c r="K219" i="224" s="1"/>
  <c r="A220" i="224"/>
  <c r="K220" i="224" s="1"/>
  <c r="A221" i="224"/>
  <c r="K221" i="224" s="1"/>
  <c r="A222" i="224"/>
  <c r="K222" i="224" s="1"/>
  <c r="A223" i="224"/>
  <c r="K223" i="224" s="1"/>
  <c r="A224" i="224"/>
  <c r="K224" i="224" s="1"/>
  <c r="A225" i="224"/>
  <c r="K225" i="224" s="1"/>
  <c r="A226" i="224"/>
  <c r="K226" i="224" s="1"/>
  <c r="A227" i="224"/>
  <c r="K227" i="224" s="1"/>
  <c r="A228" i="224"/>
  <c r="K228" i="224" s="1"/>
  <c r="A229" i="224"/>
  <c r="K229" i="224" s="1"/>
  <c r="A230" i="224"/>
  <c r="K230" i="224" s="1"/>
  <c r="A231" i="224"/>
  <c r="K231" i="224" s="1"/>
  <c r="A232" i="224"/>
  <c r="K232" i="224" s="1"/>
  <c r="A233" i="224"/>
  <c r="K233" i="224" s="1"/>
  <c r="A234" i="224"/>
  <c r="K234" i="224" s="1"/>
  <c r="A235" i="224"/>
  <c r="K235" i="224" s="1"/>
  <c r="A236" i="224"/>
  <c r="K236" i="224" s="1"/>
  <c r="A237" i="224"/>
  <c r="K237" i="224" s="1"/>
  <c r="A238" i="224"/>
  <c r="K238" i="224" s="1"/>
  <c r="A239" i="224"/>
  <c r="K239" i="224" s="1"/>
  <c r="A240" i="224"/>
  <c r="K240" i="224" s="1"/>
  <c r="A241" i="224"/>
  <c r="K241" i="224" s="1"/>
  <c r="A242" i="224"/>
  <c r="K242" i="224" s="1"/>
  <c r="A243" i="224"/>
  <c r="K243" i="224" s="1"/>
  <c r="A244" i="224"/>
  <c r="K244" i="224" s="1"/>
  <c r="A245" i="224"/>
  <c r="K245" i="224" s="1"/>
  <c r="A246" i="224"/>
  <c r="K246" i="224" s="1"/>
  <c r="A247" i="224"/>
  <c r="K247" i="224" s="1"/>
  <c r="A248" i="224"/>
  <c r="K248" i="224" s="1"/>
  <c r="A249" i="224"/>
  <c r="K249" i="224" s="1"/>
  <c r="A250" i="224"/>
  <c r="K250" i="224" s="1"/>
  <c r="A251" i="224"/>
  <c r="K251" i="224" s="1"/>
  <c r="A252" i="224"/>
  <c r="K252" i="224" s="1"/>
  <c r="A253" i="224"/>
  <c r="K253" i="224" s="1"/>
  <c r="A254" i="224"/>
  <c r="K254" i="224" s="1"/>
  <c r="A255" i="224"/>
  <c r="K255" i="224" s="1"/>
  <c r="A256" i="224"/>
  <c r="K256" i="224" s="1"/>
  <c r="A257" i="224"/>
  <c r="K257" i="224" s="1"/>
  <c r="A258" i="224"/>
  <c r="K258" i="224" s="1"/>
  <c r="A259" i="224"/>
  <c r="K259" i="224" s="1"/>
  <c r="A260" i="224"/>
  <c r="K260" i="224" s="1"/>
  <c r="A261" i="224"/>
  <c r="K261" i="224" s="1"/>
  <c r="A262" i="224"/>
  <c r="K262" i="224" s="1"/>
  <c r="A263" i="224"/>
  <c r="K263" i="224" s="1"/>
  <c r="A264" i="224"/>
  <c r="K264" i="224" s="1"/>
  <c r="A265" i="224"/>
  <c r="K265" i="224" s="1"/>
  <c r="A266" i="224"/>
  <c r="K266" i="224" s="1"/>
  <c r="A267" i="224"/>
  <c r="K267" i="224" s="1"/>
  <c r="A268" i="224"/>
  <c r="K268" i="224" s="1"/>
  <c r="A269" i="224"/>
  <c r="K269" i="224" s="1"/>
  <c r="A270" i="224"/>
  <c r="K270" i="224" s="1"/>
  <c r="A271" i="224"/>
  <c r="K271" i="224" s="1"/>
  <c r="A272" i="224"/>
  <c r="K272" i="224" s="1"/>
  <c r="A273" i="224"/>
  <c r="K273" i="224" s="1"/>
  <c r="A274" i="224"/>
  <c r="K274" i="224" s="1"/>
  <c r="A275" i="224"/>
  <c r="K275" i="224" s="1"/>
  <c r="A276" i="224"/>
  <c r="K276" i="224" s="1"/>
  <c r="A277" i="224"/>
  <c r="K277" i="224" s="1"/>
  <c r="A278" i="224"/>
  <c r="K278" i="224" s="1"/>
  <c r="A279" i="224"/>
  <c r="K279" i="224" s="1"/>
  <c r="A280" i="224"/>
  <c r="K280" i="224" s="1"/>
  <c r="A281" i="224"/>
  <c r="K281" i="224" s="1"/>
  <c r="A282" i="224"/>
  <c r="K282" i="224" s="1"/>
  <c r="A283" i="224"/>
  <c r="K283" i="224" s="1"/>
  <c r="A284" i="224"/>
  <c r="K284" i="224" s="1"/>
  <c r="A285" i="224"/>
  <c r="K285" i="224" s="1"/>
  <c r="A286" i="224"/>
  <c r="K286" i="224" s="1"/>
  <c r="A287" i="224"/>
  <c r="K287" i="224" s="1"/>
  <c r="A288" i="224"/>
  <c r="K288" i="224" s="1"/>
  <c r="A289" i="224"/>
  <c r="K289" i="224" s="1"/>
  <c r="A290" i="224"/>
  <c r="K290" i="224" s="1"/>
  <c r="A291" i="224"/>
  <c r="K291" i="224" s="1"/>
  <c r="A292" i="224"/>
  <c r="K292" i="224" s="1"/>
  <c r="A293" i="224"/>
  <c r="K293" i="224" s="1"/>
  <c r="A294" i="224"/>
  <c r="K294" i="224" s="1"/>
  <c r="A295" i="224"/>
  <c r="K295" i="224" s="1"/>
  <c r="A296" i="224"/>
  <c r="K296" i="224" s="1"/>
  <c r="A297" i="224"/>
  <c r="K297" i="224" s="1"/>
  <c r="A298" i="224"/>
  <c r="K298" i="224" s="1"/>
  <c r="A299" i="224"/>
  <c r="K299" i="224" s="1"/>
  <c r="A300" i="224"/>
  <c r="K300" i="224" s="1"/>
  <c r="A301" i="224"/>
  <c r="K301" i="224" s="1"/>
  <c r="A302" i="224"/>
  <c r="K302" i="224" s="1"/>
  <c r="A3" i="224"/>
  <c r="K3" i="224" s="1"/>
  <c r="J302" i="224"/>
  <c r="J301" i="224"/>
  <c r="J300" i="224"/>
  <c r="J299" i="224"/>
  <c r="J298" i="224"/>
  <c r="J297" i="224"/>
  <c r="J296" i="224"/>
  <c r="J295" i="224"/>
  <c r="J294" i="224"/>
  <c r="J293" i="224"/>
  <c r="J292" i="224"/>
  <c r="J291" i="224"/>
  <c r="J290" i="224"/>
  <c r="J289" i="224"/>
  <c r="J288" i="224"/>
  <c r="J287" i="224"/>
  <c r="J286" i="224"/>
  <c r="J285" i="224"/>
  <c r="J284" i="224"/>
  <c r="J283" i="224"/>
  <c r="J282" i="224"/>
  <c r="J281" i="224"/>
  <c r="J280" i="224"/>
  <c r="J279" i="224"/>
  <c r="J278" i="224"/>
  <c r="J277" i="224"/>
  <c r="J276" i="224"/>
  <c r="J275" i="224"/>
  <c r="J274" i="224"/>
  <c r="J273" i="224"/>
  <c r="J272" i="224"/>
  <c r="J271" i="224"/>
  <c r="J270" i="224"/>
  <c r="J269" i="224"/>
  <c r="J268" i="224"/>
  <c r="J267" i="224"/>
  <c r="J266" i="224"/>
  <c r="J265" i="224"/>
  <c r="J264" i="224"/>
  <c r="J263" i="224"/>
  <c r="J262" i="224"/>
  <c r="J261" i="224"/>
  <c r="J260" i="224"/>
  <c r="J259" i="224"/>
  <c r="J258" i="224"/>
  <c r="J257" i="224"/>
  <c r="J256" i="224"/>
  <c r="J255" i="224"/>
  <c r="J254" i="224"/>
  <c r="J253" i="224"/>
  <c r="J252" i="224"/>
  <c r="J251" i="224"/>
  <c r="J250" i="224"/>
  <c r="J249" i="224"/>
  <c r="J248" i="224"/>
  <c r="J247" i="224"/>
  <c r="J246" i="224"/>
  <c r="J245" i="224"/>
  <c r="J244" i="224"/>
  <c r="J243" i="224"/>
  <c r="J242" i="224"/>
  <c r="J241" i="224"/>
  <c r="J240" i="224"/>
  <c r="J239" i="224"/>
  <c r="J238" i="224"/>
  <c r="J237" i="224"/>
  <c r="J236" i="224"/>
  <c r="J235" i="224"/>
  <c r="J234" i="224"/>
  <c r="J233" i="224"/>
  <c r="J232" i="224"/>
  <c r="J231" i="224"/>
  <c r="J230" i="224"/>
  <c r="J229" i="224"/>
  <c r="J228" i="224"/>
  <c r="J227" i="224"/>
  <c r="J226" i="224"/>
  <c r="J225" i="224"/>
  <c r="J224" i="224"/>
  <c r="J223" i="224"/>
  <c r="J222" i="224"/>
  <c r="J221" i="224"/>
  <c r="J220" i="224"/>
  <c r="J219" i="224"/>
  <c r="J218" i="224"/>
  <c r="J217" i="224"/>
  <c r="J216" i="224"/>
  <c r="J215" i="224"/>
  <c r="J214" i="224"/>
  <c r="J213" i="224"/>
  <c r="J212" i="224"/>
  <c r="J211" i="224"/>
  <c r="J210" i="224"/>
  <c r="J209" i="224"/>
  <c r="J208" i="224"/>
  <c r="J207" i="224"/>
  <c r="J206" i="224"/>
  <c r="J205" i="224"/>
  <c r="J204" i="224"/>
  <c r="J203" i="224"/>
  <c r="J202" i="224"/>
  <c r="J201" i="224"/>
  <c r="J200" i="224"/>
  <c r="J199" i="224"/>
  <c r="J198" i="224"/>
  <c r="J197" i="224"/>
  <c r="J196" i="224"/>
  <c r="J195" i="224"/>
  <c r="J194" i="224"/>
  <c r="J193" i="224"/>
  <c r="J192" i="224"/>
  <c r="J191" i="224"/>
  <c r="J190" i="224"/>
  <c r="J189" i="224"/>
  <c r="J188" i="224"/>
  <c r="J187" i="224"/>
  <c r="J186" i="224"/>
  <c r="J185" i="224"/>
  <c r="J184" i="224"/>
  <c r="J183" i="224"/>
  <c r="J182" i="224"/>
  <c r="J181" i="224"/>
  <c r="J180" i="224"/>
  <c r="J179" i="224"/>
  <c r="J178" i="224"/>
  <c r="J177" i="224"/>
  <c r="J176" i="224"/>
  <c r="J175" i="224"/>
  <c r="J174" i="224"/>
  <c r="J173" i="224"/>
  <c r="J172" i="224"/>
  <c r="J171" i="224"/>
  <c r="J170" i="224"/>
  <c r="J169" i="224"/>
  <c r="J168" i="224"/>
  <c r="J167" i="224"/>
  <c r="J166" i="224"/>
  <c r="J165" i="224"/>
  <c r="J164" i="224"/>
  <c r="J163" i="224"/>
  <c r="J162" i="224"/>
  <c r="J161" i="224"/>
  <c r="J160" i="224"/>
  <c r="J159" i="224"/>
  <c r="J158" i="224"/>
  <c r="J157" i="224"/>
  <c r="J156" i="224"/>
  <c r="J155" i="224"/>
  <c r="J154" i="224"/>
  <c r="J153" i="224"/>
  <c r="J152" i="224"/>
  <c r="J151" i="224"/>
  <c r="J150" i="224"/>
  <c r="J149" i="224"/>
  <c r="J148" i="224"/>
  <c r="J147" i="224"/>
  <c r="J146" i="224"/>
  <c r="J145" i="224"/>
  <c r="J144" i="224"/>
  <c r="J143" i="224"/>
  <c r="J142" i="224"/>
  <c r="J141" i="224"/>
  <c r="J140" i="224"/>
  <c r="J139" i="224"/>
  <c r="J138" i="224"/>
  <c r="J137" i="224"/>
  <c r="J136" i="224"/>
  <c r="J135" i="224"/>
  <c r="J134" i="224"/>
  <c r="J133" i="224"/>
  <c r="J132" i="224"/>
  <c r="J131" i="224"/>
  <c r="J130" i="224"/>
  <c r="J129" i="224"/>
  <c r="J128" i="224"/>
  <c r="J127" i="224"/>
  <c r="J126" i="224"/>
  <c r="J125" i="224"/>
  <c r="J124" i="224"/>
  <c r="J123" i="224"/>
  <c r="J122" i="224"/>
  <c r="J121" i="224"/>
  <c r="J120" i="224"/>
  <c r="J119" i="224"/>
  <c r="J118" i="224"/>
  <c r="J117" i="224"/>
  <c r="J116" i="224"/>
  <c r="J115" i="224"/>
  <c r="J114" i="224"/>
  <c r="J113" i="224"/>
  <c r="J112" i="224"/>
  <c r="J111" i="224"/>
  <c r="J110" i="224"/>
  <c r="J109" i="224"/>
  <c r="J108" i="224"/>
  <c r="J107" i="224"/>
  <c r="J106" i="224"/>
  <c r="J105" i="224"/>
  <c r="J104" i="224"/>
  <c r="J103" i="224"/>
  <c r="J102" i="224"/>
  <c r="J101" i="224"/>
  <c r="J100" i="224"/>
  <c r="J99" i="224"/>
  <c r="J98" i="224"/>
  <c r="J97" i="224"/>
  <c r="J96" i="224"/>
  <c r="J95" i="224"/>
  <c r="J94" i="224"/>
  <c r="J93" i="224"/>
  <c r="J92" i="224"/>
  <c r="J91" i="224"/>
  <c r="J90" i="224"/>
  <c r="J89" i="224"/>
  <c r="J88" i="224"/>
  <c r="J87" i="224"/>
  <c r="J86" i="224"/>
  <c r="J85" i="224"/>
  <c r="J84" i="224"/>
  <c r="J83" i="224"/>
  <c r="J82" i="224"/>
  <c r="J81" i="224"/>
  <c r="J80" i="224"/>
  <c r="J79" i="224"/>
  <c r="J78" i="224"/>
  <c r="J77" i="224"/>
  <c r="J76" i="224"/>
  <c r="J75" i="224"/>
  <c r="J74" i="224"/>
  <c r="J73" i="224"/>
  <c r="J72" i="224"/>
  <c r="J71" i="224"/>
  <c r="J70" i="224"/>
  <c r="J69" i="224"/>
  <c r="J68" i="224"/>
  <c r="J67" i="224"/>
  <c r="J66" i="224"/>
  <c r="J65" i="224"/>
  <c r="J64" i="224"/>
  <c r="J63" i="224"/>
  <c r="J62" i="224"/>
  <c r="J61" i="224"/>
  <c r="J60" i="224"/>
  <c r="J59" i="224"/>
  <c r="J58" i="224"/>
  <c r="J57" i="224"/>
  <c r="J56" i="224"/>
  <c r="J55" i="224"/>
  <c r="J54" i="224"/>
  <c r="J53" i="224"/>
  <c r="J52" i="224"/>
  <c r="J51" i="224"/>
  <c r="J50" i="224"/>
  <c r="J49" i="224"/>
  <c r="J48" i="224"/>
  <c r="J47" i="224"/>
  <c r="J46" i="224"/>
  <c r="J45" i="224"/>
  <c r="J44" i="224"/>
  <c r="J43" i="224"/>
  <c r="J42" i="224"/>
  <c r="J41" i="224"/>
  <c r="J40" i="224"/>
  <c r="J39" i="224"/>
  <c r="J38" i="224"/>
  <c r="J37" i="224"/>
  <c r="J36" i="224"/>
  <c r="J35" i="224"/>
  <c r="J34" i="224"/>
  <c r="J33" i="224"/>
  <c r="J32" i="224"/>
  <c r="J31" i="224"/>
  <c r="J30" i="224"/>
  <c r="J29" i="224"/>
  <c r="J28" i="224"/>
  <c r="J27" i="224"/>
  <c r="J26" i="224"/>
  <c r="J25" i="224"/>
  <c r="J24" i="224"/>
  <c r="J23" i="224"/>
  <c r="J22" i="224"/>
  <c r="J21" i="224"/>
  <c r="J20" i="224"/>
  <c r="J19" i="224"/>
  <c r="J18" i="224"/>
  <c r="J17" i="224"/>
  <c r="J16" i="224"/>
  <c r="J15" i="224"/>
  <c r="J14" i="224"/>
  <c r="J13" i="224"/>
  <c r="J12" i="224"/>
  <c r="J11" i="224"/>
  <c r="J10" i="224"/>
  <c r="J9" i="224"/>
  <c r="J8" i="224"/>
  <c r="J7" i="224"/>
  <c r="J6" i="224"/>
  <c r="J5" i="224"/>
  <c r="J4" i="224"/>
  <c r="J3" i="224"/>
  <c r="K4" i="223" l="1"/>
  <c r="K5" i="223"/>
  <c r="K6" i="223"/>
  <c r="K7" i="223"/>
  <c r="K8" i="223"/>
  <c r="K9" i="223"/>
  <c r="K10" i="223"/>
  <c r="K11" i="223"/>
  <c r="K12" i="223"/>
  <c r="K13" i="223"/>
  <c r="K14" i="223"/>
  <c r="K15" i="223"/>
  <c r="K16" i="223"/>
  <c r="K17" i="223"/>
  <c r="K18" i="223"/>
  <c r="K19" i="223"/>
  <c r="K20" i="223"/>
  <c r="K21" i="223"/>
  <c r="K22" i="223"/>
  <c r="K23" i="223"/>
  <c r="K24" i="223"/>
  <c r="K25" i="223"/>
  <c r="K26" i="223"/>
  <c r="K27" i="223"/>
  <c r="K28" i="223"/>
  <c r="K29" i="223"/>
  <c r="K30" i="223"/>
  <c r="K31" i="223"/>
  <c r="K32" i="223"/>
  <c r="K33" i="223"/>
  <c r="K34" i="223"/>
  <c r="K35" i="223"/>
  <c r="K36" i="223"/>
  <c r="K37" i="223"/>
  <c r="K38" i="223"/>
  <c r="K39" i="223"/>
  <c r="K40" i="223"/>
  <c r="K41" i="223"/>
  <c r="K42" i="223"/>
  <c r="K43" i="223"/>
  <c r="K45" i="223"/>
  <c r="K46" i="223"/>
  <c r="K47" i="223"/>
  <c r="K48" i="223"/>
  <c r="K49" i="223"/>
  <c r="K50" i="223"/>
  <c r="K51" i="223"/>
  <c r="K52" i="223"/>
  <c r="K53" i="223"/>
  <c r="K54" i="223"/>
  <c r="K55" i="223"/>
  <c r="K56" i="223"/>
  <c r="K57" i="223"/>
  <c r="K58" i="223"/>
  <c r="K59" i="223"/>
  <c r="K60" i="223"/>
  <c r="K61" i="223"/>
  <c r="K62" i="223"/>
  <c r="K63" i="223"/>
  <c r="K64" i="223"/>
  <c r="K65" i="223"/>
  <c r="K66" i="223"/>
  <c r="K67" i="223"/>
  <c r="K68" i="223"/>
  <c r="K69" i="223"/>
  <c r="K70" i="223"/>
  <c r="K71" i="223"/>
  <c r="K72" i="223"/>
  <c r="K73" i="223"/>
  <c r="K74" i="223"/>
  <c r="K75" i="223"/>
  <c r="K76" i="223"/>
  <c r="K77" i="223"/>
  <c r="K78" i="223"/>
  <c r="K79" i="223"/>
  <c r="K80" i="223"/>
  <c r="K81" i="223"/>
  <c r="K82" i="223"/>
  <c r="K83" i="223"/>
  <c r="K84" i="223"/>
  <c r="K85" i="223"/>
  <c r="K86" i="223"/>
  <c r="K87" i="223"/>
  <c r="K88" i="223"/>
  <c r="K89" i="223"/>
  <c r="K90" i="223"/>
  <c r="K91" i="223"/>
  <c r="K92" i="223"/>
  <c r="K93" i="223"/>
  <c r="K94" i="223"/>
  <c r="K95" i="223"/>
  <c r="K96" i="223"/>
  <c r="K97" i="223"/>
  <c r="K98" i="223"/>
  <c r="K99" i="223"/>
  <c r="K100" i="223"/>
  <c r="K101" i="223"/>
  <c r="K102" i="223"/>
  <c r="K103" i="223"/>
  <c r="K104" i="223"/>
  <c r="K105" i="223"/>
  <c r="K106" i="223"/>
  <c r="K107" i="223"/>
  <c r="K108" i="223"/>
  <c r="K110" i="223"/>
  <c r="K111" i="223"/>
  <c r="K112" i="223"/>
  <c r="K113" i="223"/>
  <c r="K114" i="223"/>
  <c r="K115" i="223"/>
  <c r="K116" i="223"/>
  <c r="K117" i="223"/>
  <c r="K118" i="223"/>
  <c r="K119" i="223"/>
  <c r="K120" i="223"/>
  <c r="K121" i="223"/>
  <c r="K122" i="223"/>
  <c r="K123" i="223"/>
  <c r="K124" i="223"/>
  <c r="K125" i="223"/>
  <c r="K126" i="223"/>
  <c r="K127" i="223"/>
  <c r="K128" i="223"/>
  <c r="K129" i="223"/>
  <c r="K130" i="223"/>
  <c r="K131" i="223"/>
  <c r="K132" i="223"/>
  <c r="K133" i="223"/>
  <c r="K134" i="223"/>
  <c r="K135" i="223"/>
  <c r="K136" i="223"/>
  <c r="K137" i="223"/>
  <c r="K138" i="223"/>
  <c r="K139" i="223"/>
  <c r="K140" i="223"/>
  <c r="K141" i="223"/>
  <c r="K142" i="223"/>
  <c r="K143" i="223"/>
  <c r="K144" i="223"/>
  <c r="K145" i="223"/>
  <c r="K146" i="223"/>
  <c r="K147" i="223"/>
  <c r="K153" i="223"/>
  <c r="K154" i="223"/>
  <c r="K155" i="223"/>
  <c r="K157" i="223"/>
  <c r="K158" i="223"/>
  <c r="K159" i="223"/>
  <c r="K160" i="223"/>
  <c r="K161" i="223"/>
  <c r="K162" i="223"/>
  <c r="K163" i="223"/>
  <c r="K164" i="223"/>
  <c r="K165" i="223"/>
  <c r="K166" i="223"/>
  <c r="K167" i="223"/>
  <c r="K168" i="223"/>
  <c r="K169" i="223"/>
  <c r="K170" i="223"/>
  <c r="K171" i="223"/>
  <c r="K172" i="223"/>
  <c r="K173" i="223"/>
  <c r="K174" i="223"/>
  <c r="K175" i="223"/>
  <c r="K176" i="223"/>
  <c r="K177" i="223"/>
  <c r="K178" i="223"/>
  <c r="K179" i="223"/>
  <c r="K180" i="223"/>
  <c r="K181" i="223"/>
  <c r="K182" i="223"/>
  <c r="K183" i="223"/>
  <c r="K184" i="223"/>
  <c r="K185" i="223"/>
  <c r="K186" i="223"/>
  <c r="K187" i="223"/>
  <c r="K188" i="223"/>
  <c r="K189" i="223"/>
  <c r="K190" i="223"/>
  <c r="K191" i="223"/>
  <c r="K192" i="223"/>
  <c r="K193" i="223"/>
  <c r="K194" i="223"/>
  <c r="K195" i="223"/>
  <c r="K196" i="223"/>
  <c r="K198" i="223"/>
  <c r="K199" i="223"/>
  <c r="K200" i="223"/>
  <c r="K201" i="223"/>
  <c r="K202" i="223"/>
  <c r="K203" i="223"/>
  <c r="K204" i="223"/>
  <c r="K205" i="223"/>
  <c r="K207" i="223"/>
  <c r="K208" i="223"/>
  <c r="K209" i="223"/>
  <c r="K210" i="223"/>
  <c r="K211" i="223"/>
  <c r="K212" i="223"/>
  <c r="K216" i="223"/>
  <c r="K217" i="223"/>
  <c r="K218" i="223"/>
  <c r="K219" i="223"/>
  <c r="K220" i="223"/>
  <c r="K221" i="223"/>
  <c r="K223" i="223"/>
  <c r="K224" i="223"/>
  <c r="K225" i="223"/>
  <c r="K226" i="223"/>
  <c r="K227" i="223"/>
  <c r="K228" i="223"/>
  <c r="K229" i="223"/>
  <c r="K230" i="223"/>
  <c r="K231" i="223"/>
  <c r="K232" i="223"/>
  <c r="K233" i="223"/>
  <c r="K234" i="223"/>
  <c r="K235" i="223"/>
  <c r="K236" i="223"/>
  <c r="K237" i="223"/>
  <c r="K238" i="223"/>
  <c r="K239" i="223"/>
  <c r="K240" i="223"/>
  <c r="K242" i="223"/>
  <c r="K243" i="223"/>
  <c r="K244" i="223"/>
  <c r="K245" i="223"/>
  <c r="K246" i="223"/>
  <c r="K247" i="223"/>
  <c r="K248" i="223"/>
  <c r="K249" i="223"/>
  <c r="K250" i="223"/>
  <c r="K251" i="223"/>
  <c r="K252" i="223"/>
  <c r="K253" i="223"/>
  <c r="K254" i="223"/>
  <c r="K255" i="223"/>
  <c r="K256" i="223"/>
  <c r="K257" i="223"/>
  <c r="K258" i="223"/>
  <c r="K259" i="223"/>
  <c r="K260" i="223"/>
  <c r="K261" i="223"/>
  <c r="K262" i="223"/>
  <c r="K263" i="223"/>
  <c r="K264" i="223"/>
  <c r="K265" i="223"/>
  <c r="K266" i="223"/>
  <c r="K267" i="223"/>
  <c r="K268" i="223"/>
  <c r="K269" i="223"/>
  <c r="K270" i="223"/>
  <c r="K271" i="223"/>
  <c r="K272" i="223"/>
  <c r="K3" i="223"/>
  <c r="A4" i="223"/>
  <c r="A5" i="223"/>
  <c r="A6" i="223"/>
  <c r="A7" i="223"/>
  <c r="A8" i="223"/>
  <c r="A9" i="223"/>
  <c r="A10" i="223"/>
  <c r="A11" i="223"/>
  <c r="A12" i="223"/>
  <c r="A13" i="223"/>
  <c r="A14" i="223"/>
  <c r="A15" i="223"/>
  <c r="A16" i="223"/>
  <c r="A17" i="223"/>
  <c r="A18" i="223"/>
  <c r="A19" i="223"/>
  <c r="A20" i="223"/>
  <c r="A21" i="223"/>
  <c r="A22" i="223"/>
  <c r="A23" i="223"/>
  <c r="A24" i="223"/>
  <c r="A25" i="223"/>
  <c r="A26" i="223"/>
  <c r="A27" i="223"/>
  <c r="A28" i="223"/>
  <c r="A29" i="223"/>
  <c r="A30" i="223"/>
  <c r="A31" i="223"/>
  <c r="A32" i="223"/>
  <c r="A33" i="223"/>
  <c r="A34" i="223"/>
  <c r="A35" i="223"/>
  <c r="A36" i="223"/>
  <c r="A37" i="223"/>
  <c r="A38" i="223"/>
  <c r="A39" i="223"/>
  <c r="A40" i="223"/>
  <c r="A41" i="223"/>
  <c r="A42" i="223"/>
  <c r="A43" i="223"/>
  <c r="A44" i="223"/>
  <c r="K44" i="223" s="1"/>
  <c r="A45" i="223"/>
  <c r="A46" i="223"/>
  <c r="A47" i="223"/>
  <c r="A48" i="223"/>
  <c r="A49" i="223"/>
  <c r="A50" i="223"/>
  <c r="A51" i="223"/>
  <c r="A52" i="223"/>
  <c r="A53" i="223"/>
  <c r="A54" i="223"/>
  <c r="A55" i="223"/>
  <c r="A56" i="223"/>
  <c r="A57" i="223"/>
  <c r="A58" i="223"/>
  <c r="A59" i="223"/>
  <c r="A60" i="223"/>
  <c r="A61" i="223"/>
  <c r="A62" i="223"/>
  <c r="A63" i="223"/>
  <c r="A64" i="223"/>
  <c r="A65" i="223"/>
  <c r="A66" i="223"/>
  <c r="A67" i="223"/>
  <c r="A68" i="223"/>
  <c r="A69" i="223"/>
  <c r="A70" i="223"/>
  <c r="A71" i="223"/>
  <c r="A72" i="223"/>
  <c r="A73" i="223"/>
  <c r="A74" i="223"/>
  <c r="A75" i="223"/>
  <c r="A76" i="223"/>
  <c r="A77" i="223"/>
  <c r="A78" i="223"/>
  <c r="A79" i="223"/>
  <c r="A80" i="223"/>
  <c r="A81" i="223"/>
  <c r="A82" i="223"/>
  <c r="A83" i="223"/>
  <c r="A84" i="223"/>
  <c r="A85" i="223"/>
  <c r="A86" i="223"/>
  <c r="A87" i="223"/>
  <c r="A88" i="223"/>
  <c r="A89" i="223"/>
  <c r="A90" i="223"/>
  <c r="A91" i="223"/>
  <c r="A92" i="223"/>
  <c r="A93" i="223"/>
  <c r="A94" i="223"/>
  <c r="A95" i="223"/>
  <c r="A96" i="223"/>
  <c r="A97" i="223"/>
  <c r="A98" i="223"/>
  <c r="A99" i="223"/>
  <c r="A100" i="223"/>
  <c r="A101" i="223"/>
  <c r="A102" i="223"/>
  <c r="A103" i="223"/>
  <c r="A104" i="223"/>
  <c r="A105" i="223"/>
  <c r="A106" i="223"/>
  <c r="A107" i="223"/>
  <c r="A108" i="223"/>
  <c r="A109" i="223"/>
  <c r="K109" i="223" s="1"/>
  <c r="A110" i="223"/>
  <c r="A111" i="223"/>
  <c r="A112" i="223"/>
  <c r="A113" i="223"/>
  <c r="A114" i="223"/>
  <c r="A115" i="223"/>
  <c r="A116" i="223"/>
  <c r="A117" i="223"/>
  <c r="A118" i="223"/>
  <c r="A119" i="223"/>
  <c r="A120" i="223"/>
  <c r="A121" i="223"/>
  <c r="A122" i="223"/>
  <c r="A123" i="223"/>
  <c r="A124" i="223"/>
  <c r="A125" i="223"/>
  <c r="A126" i="223"/>
  <c r="A127" i="223"/>
  <c r="A128" i="223"/>
  <c r="A129" i="223"/>
  <c r="A130" i="223"/>
  <c r="A131" i="223"/>
  <c r="A132" i="223"/>
  <c r="A133" i="223"/>
  <c r="A134" i="223"/>
  <c r="A135" i="223"/>
  <c r="A136" i="223"/>
  <c r="A137" i="223"/>
  <c r="A138" i="223"/>
  <c r="A139" i="223"/>
  <c r="A140" i="223"/>
  <c r="A141" i="223"/>
  <c r="A142" i="223"/>
  <c r="A143" i="223"/>
  <c r="A144" i="223"/>
  <c r="A145" i="223"/>
  <c r="A146" i="223"/>
  <c r="A147" i="223"/>
  <c r="A148" i="223"/>
  <c r="K148" i="223" s="1"/>
  <c r="A149" i="223"/>
  <c r="K149" i="223" s="1"/>
  <c r="A150" i="223"/>
  <c r="K150" i="223" s="1"/>
  <c r="A151" i="223"/>
  <c r="K151" i="223" s="1"/>
  <c r="A152" i="223"/>
  <c r="K152" i="223" s="1"/>
  <c r="A153" i="223"/>
  <c r="A154" i="223"/>
  <c r="A155" i="223"/>
  <c r="A156" i="223"/>
  <c r="K156" i="223" s="1"/>
  <c r="A157" i="223"/>
  <c r="A158" i="223"/>
  <c r="A159" i="223"/>
  <c r="A160" i="223"/>
  <c r="A161" i="223"/>
  <c r="A162" i="223"/>
  <c r="A163" i="223"/>
  <c r="A164" i="223"/>
  <c r="A165" i="223"/>
  <c r="A166" i="223"/>
  <c r="A167" i="223"/>
  <c r="A168" i="223"/>
  <c r="A169" i="223"/>
  <c r="A170" i="223"/>
  <c r="A171" i="223"/>
  <c r="A172" i="223"/>
  <c r="A173" i="223"/>
  <c r="A174" i="223"/>
  <c r="A175" i="223"/>
  <c r="A176" i="223"/>
  <c r="A177" i="223"/>
  <c r="A178" i="223"/>
  <c r="A179" i="223"/>
  <c r="A180" i="223"/>
  <c r="A181" i="223"/>
  <c r="A182" i="223"/>
  <c r="A183" i="223"/>
  <c r="A184" i="223"/>
  <c r="A185" i="223"/>
  <c r="A186" i="223"/>
  <c r="A187" i="223"/>
  <c r="A188" i="223"/>
  <c r="A189" i="223"/>
  <c r="A190" i="223"/>
  <c r="A191" i="223"/>
  <c r="A192" i="223"/>
  <c r="A193" i="223"/>
  <c r="A194" i="223"/>
  <c r="A195" i="223"/>
  <c r="A196" i="223"/>
  <c r="A197" i="223"/>
  <c r="K197" i="223" s="1"/>
  <c r="A198" i="223"/>
  <c r="A199" i="223"/>
  <c r="A200" i="223"/>
  <c r="A201" i="223"/>
  <c r="A202" i="223"/>
  <c r="A203" i="223"/>
  <c r="A204" i="223"/>
  <c r="A205" i="223"/>
  <c r="A206" i="223"/>
  <c r="K206" i="223" s="1"/>
  <c r="A207" i="223"/>
  <c r="A208" i="223"/>
  <c r="A209" i="223"/>
  <c r="A210" i="223"/>
  <c r="A211" i="223"/>
  <c r="A212" i="223"/>
  <c r="A213" i="223"/>
  <c r="K213" i="223" s="1"/>
  <c r="A214" i="223"/>
  <c r="K214" i="223" s="1"/>
  <c r="A215" i="223"/>
  <c r="K215" i="223" s="1"/>
  <c r="A216" i="223"/>
  <c r="A217" i="223"/>
  <c r="A218" i="223"/>
  <c r="A219" i="223"/>
  <c r="A220" i="223"/>
  <c r="A221" i="223"/>
  <c r="A222" i="223"/>
  <c r="K222" i="223" s="1"/>
  <c r="A223" i="223"/>
  <c r="A224" i="223"/>
  <c r="A225" i="223"/>
  <c r="A226" i="223"/>
  <c r="A227" i="223"/>
  <c r="A228" i="223"/>
  <c r="A229" i="223"/>
  <c r="A230" i="223"/>
  <c r="A231" i="223"/>
  <c r="A232" i="223"/>
  <c r="A233" i="223"/>
  <c r="A234" i="223"/>
  <c r="A235" i="223"/>
  <c r="A236" i="223"/>
  <c r="A237" i="223"/>
  <c r="A238" i="223"/>
  <c r="A239" i="223"/>
  <c r="A240" i="223"/>
  <c r="A241" i="223"/>
  <c r="K241" i="223" s="1"/>
  <c r="A242" i="223"/>
  <c r="A243" i="223"/>
  <c r="A244" i="223"/>
  <c r="A245" i="223"/>
  <c r="A246" i="223"/>
  <c r="A247" i="223"/>
  <c r="A248" i="223"/>
  <c r="A249" i="223"/>
  <c r="A250" i="223"/>
  <c r="A251" i="223"/>
  <c r="A252" i="223"/>
  <c r="A253" i="223"/>
  <c r="A254" i="223"/>
  <c r="A255" i="223"/>
  <c r="A256" i="223"/>
  <c r="A257" i="223"/>
  <c r="A258" i="223"/>
  <c r="A259" i="223"/>
  <c r="A260" i="223"/>
  <c r="A261" i="223"/>
  <c r="A262" i="223"/>
  <c r="A263" i="223"/>
  <c r="A264" i="223"/>
  <c r="A265" i="223"/>
  <c r="A266" i="223"/>
  <c r="A267" i="223"/>
  <c r="A268" i="223"/>
  <c r="A269" i="223"/>
  <c r="A270" i="223"/>
  <c r="A271" i="223"/>
  <c r="A272" i="223"/>
  <c r="A3" i="223"/>
  <c r="J4" i="223"/>
  <c r="J5" i="223"/>
  <c r="J6" i="223"/>
  <c r="J7" i="223"/>
  <c r="J8" i="223"/>
  <c r="J9" i="223"/>
  <c r="J10" i="223"/>
  <c r="J11" i="223"/>
  <c r="J12" i="223"/>
  <c r="J13" i="223"/>
  <c r="J14" i="223"/>
  <c r="J15" i="223"/>
  <c r="J16" i="223"/>
  <c r="J17" i="223"/>
  <c r="J18" i="223"/>
  <c r="J19" i="223"/>
  <c r="J20" i="223"/>
  <c r="J21" i="223"/>
  <c r="J22" i="223"/>
  <c r="J23" i="223"/>
  <c r="J24" i="223"/>
  <c r="J25" i="223"/>
  <c r="J26" i="223"/>
  <c r="J27" i="223"/>
  <c r="J28" i="223"/>
  <c r="J29" i="223"/>
  <c r="J30" i="223"/>
  <c r="J31" i="223"/>
  <c r="J32" i="223"/>
  <c r="J33" i="223"/>
  <c r="J34" i="223"/>
  <c r="J35" i="223"/>
  <c r="J36" i="223"/>
  <c r="J37" i="223"/>
  <c r="J38" i="223"/>
  <c r="J39" i="223"/>
  <c r="J40" i="223"/>
  <c r="J41" i="223"/>
  <c r="J42" i="223"/>
  <c r="J43" i="223"/>
  <c r="J44" i="223"/>
  <c r="J45" i="223"/>
  <c r="J46" i="223"/>
  <c r="J47" i="223"/>
  <c r="J48" i="223"/>
  <c r="J49" i="223"/>
  <c r="J50" i="223"/>
  <c r="J51" i="223"/>
  <c r="J52" i="223"/>
  <c r="J53" i="223"/>
  <c r="J54" i="223"/>
  <c r="J55" i="223"/>
  <c r="J56" i="223"/>
  <c r="J57" i="223"/>
  <c r="J58" i="223"/>
  <c r="J59" i="223"/>
  <c r="J60" i="223"/>
  <c r="J61" i="223"/>
  <c r="J62" i="223"/>
  <c r="J63" i="223"/>
  <c r="J64" i="223"/>
  <c r="J65" i="223"/>
  <c r="J66" i="223"/>
  <c r="J67" i="223"/>
  <c r="J68" i="223"/>
  <c r="J69" i="223"/>
  <c r="J70" i="223"/>
  <c r="J71" i="223"/>
  <c r="J72" i="223"/>
  <c r="J73" i="223"/>
  <c r="J74" i="223"/>
  <c r="J75" i="223"/>
  <c r="J76" i="223"/>
  <c r="J77" i="223"/>
  <c r="J78" i="223"/>
  <c r="J79" i="223"/>
  <c r="J80" i="223"/>
  <c r="J81" i="223"/>
  <c r="J82" i="223"/>
  <c r="J83" i="223"/>
  <c r="J84" i="223"/>
  <c r="J85" i="223"/>
  <c r="J86" i="223"/>
  <c r="J87" i="223"/>
  <c r="J88" i="223"/>
  <c r="J89" i="223"/>
  <c r="J90" i="223"/>
  <c r="J91" i="223"/>
  <c r="J92" i="223"/>
  <c r="J93" i="223"/>
  <c r="J94" i="223"/>
  <c r="J95" i="223"/>
  <c r="J96" i="223"/>
  <c r="J97" i="223"/>
  <c r="J98" i="223"/>
  <c r="J99" i="223"/>
  <c r="J100" i="223"/>
  <c r="J101" i="223"/>
  <c r="J102" i="223"/>
  <c r="J103" i="223"/>
  <c r="J104" i="223"/>
  <c r="J105" i="223"/>
  <c r="J106" i="223"/>
  <c r="J107" i="223"/>
  <c r="J108" i="223"/>
  <c r="J109" i="223"/>
  <c r="J110" i="223"/>
  <c r="J111" i="223"/>
  <c r="J112" i="223"/>
  <c r="J113" i="223"/>
  <c r="J114" i="223"/>
  <c r="J115" i="223"/>
  <c r="J116" i="223"/>
  <c r="J117" i="223"/>
  <c r="J118" i="223"/>
  <c r="J119" i="223"/>
  <c r="J120" i="223"/>
  <c r="J121" i="223"/>
  <c r="J122" i="223"/>
  <c r="J123" i="223"/>
  <c r="J124" i="223"/>
  <c r="J125" i="223"/>
  <c r="J126" i="223"/>
  <c r="J127" i="223"/>
  <c r="J128" i="223"/>
  <c r="J129" i="223"/>
  <c r="J130" i="223"/>
  <c r="J131" i="223"/>
  <c r="J132" i="223"/>
  <c r="J133" i="223"/>
  <c r="J134" i="223"/>
  <c r="J135" i="223"/>
  <c r="J136" i="223"/>
  <c r="J137" i="223"/>
  <c r="J138" i="223"/>
  <c r="J139" i="223"/>
  <c r="J140" i="223"/>
  <c r="J141" i="223"/>
  <c r="J142" i="223"/>
  <c r="J143" i="223"/>
  <c r="J144" i="223"/>
  <c r="J145" i="223"/>
  <c r="J146" i="223"/>
  <c r="J147" i="223"/>
  <c r="J148" i="223"/>
  <c r="J149" i="223"/>
  <c r="J150" i="223"/>
  <c r="J151" i="223"/>
  <c r="J152" i="223"/>
  <c r="J153" i="223"/>
  <c r="J154" i="223"/>
  <c r="J155" i="223"/>
  <c r="J156" i="223"/>
  <c r="J157" i="223"/>
  <c r="J158" i="223"/>
  <c r="J159" i="223"/>
  <c r="J160" i="223"/>
  <c r="J161" i="223"/>
  <c r="J162" i="223"/>
  <c r="J163" i="223"/>
  <c r="J164" i="223"/>
  <c r="J165" i="223"/>
  <c r="J166" i="223"/>
  <c r="J167" i="223"/>
  <c r="J168" i="223"/>
  <c r="J169" i="223"/>
  <c r="J170" i="223"/>
  <c r="J171" i="223"/>
  <c r="J172" i="223"/>
  <c r="J173" i="223"/>
  <c r="J174" i="223"/>
  <c r="J175" i="223"/>
  <c r="J176" i="223"/>
  <c r="J177" i="223"/>
  <c r="J178" i="223"/>
  <c r="J179" i="223"/>
  <c r="J180" i="223"/>
  <c r="J181" i="223"/>
  <c r="J182" i="223"/>
  <c r="J183" i="223"/>
  <c r="J184" i="223"/>
  <c r="J185" i="223"/>
  <c r="J186" i="223"/>
  <c r="J187" i="223"/>
  <c r="J188" i="223"/>
  <c r="J189" i="223"/>
  <c r="J190" i="223"/>
  <c r="J191" i="223"/>
  <c r="J192" i="223"/>
  <c r="J193" i="223"/>
  <c r="J194" i="223"/>
  <c r="J195" i="223"/>
  <c r="J196" i="223"/>
  <c r="J197" i="223"/>
  <c r="J198" i="223"/>
  <c r="J199" i="223"/>
  <c r="J200" i="223"/>
  <c r="J201" i="223"/>
  <c r="J202" i="223"/>
  <c r="J203" i="223"/>
  <c r="J204" i="223"/>
  <c r="J205" i="223"/>
  <c r="J206" i="223"/>
  <c r="J207" i="223"/>
  <c r="J208" i="223"/>
  <c r="J209" i="223"/>
  <c r="J210" i="223"/>
  <c r="J211" i="223"/>
  <c r="J212" i="223"/>
  <c r="J213" i="223"/>
  <c r="J214" i="223"/>
  <c r="J215" i="223"/>
  <c r="J216" i="223"/>
  <c r="J217" i="223"/>
  <c r="J218" i="223"/>
  <c r="J219" i="223"/>
  <c r="J220" i="223"/>
  <c r="J221" i="223"/>
  <c r="J222" i="223"/>
  <c r="J223" i="223"/>
  <c r="J224" i="223"/>
  <c r="J225" i="223"/>
  <c r="J226" i="223"/>
  <c r="J227" i="223"/>
  <c r="J228" i="223"/>
  <c r="J229" i="223"/>
  <c r="J230" i="223"/>
  <c r="J231" i="223"/>
  <c r="J232" i="223"/>
  <c r="J233" i="223"/>
  <c r="J234" i="223"/>
  <c r="J235" i="223"/>
  <c r="J236" i="223"/>
  <c r="J237" i="223"/>
  <c r="J238" i="223"/>
  <c r="J239" i="223"/>
  <c r="J240" i="223"/>
  <c r="J241" i="223"/>
  <c r="J242" i="223"/>
  <c r="J243" i="223"/>
  <c r="J244" i="223"/>
  <c r="J245" i="223"/>
  <c r="J246" i="223"/>
  <c r="J247" i="223"/>
  <c r="J248" i="223"/>
  <c r="J249" i="223"/>
  <c r="J250" i="223"/>
  <c r="J251" i="223"/>
  <c r="J252" i="223"/>
  <c r="J253" i="223"/>
  <c r="J254" i="223"/>
  <c r="J255" i="223"/>
  <c r="J256" i="223"/>
  <c r="J257" i="223"/>
  <c r="J258" i="223"/>
  <c r="J259" i="223"/>
  <c r="J260" i="223"/>
  <c r="J261" i="223"/>
  <c r="J262" i="223"/>
  <c r="J263" i="223"/>
  <c r="J264" i="223"/>
  <c r="J265" i="223"/>
  <c r="J266" i="223"/>
  <c r="J267" i="223"/>
  <c r="J268" i="223"/>
  <c r="J269" i="223"/>
  <c r="J270" i="223"/>
  <c r="J271" i="223"/>
  <c r="J272" i="223"/>
  <c r="J3" i="223"/>
  <c r="K4" i="222" l="1"/>
  <c r="K5" i="222"/>
  <c r="K6" i="222"/>
  <c r="K7" i="222"/>
  <c r="K8" i="222"/>
  <c r="K9" i="222"/>
  <c r="K10" i="222"/>
  <c r="K11" i="222"/>
  <c r="K12" i="222"/>
  <c r="K13" i="222"/>
  <c r="K14" i="222"/>
  <c r="K15" i="222"/>
  <c r="K16" i="222"/>
  <c r="K17" i="222"/>
  <c r="K18" i="222"/>
  <c r="K19" i="222"/>
  <c r="K20" i="222"/>
  <c r="K21" i="222"/>
  <c r="K22" i="222"/>
  <c r="K23" i="222"/>
  <c r="K24" i="222"/>
  <c r="K25" i="222"/>
  <c r="K26" i="222"/>
  <c r="K27" i="222"/>
  <c r="K28" i="222"/>
  <c r="K29" i="222"/>
  <c r="K30" i="222"/>
  <c r="K31" i="222"/>
  <c r="K32" i="222"/>
  <c r="K33" i="222"/>
  <c r="K34" i="222"/>
  <c r="K35" i="222"/>
  <c r="K36" i="222"/>
  <c r="K37" i="222"/>
  <c r="K38" i="222"/>
  <c r="K39" i="222"/>
  <c r="K40" i="222"/>
  <c r="K41" i="222"/>
  <c r="K42" i="222"/>
  <c r="K43" i="222"/>
  <c r="K44" i="222"/>
  <c r="K45" i="222"/>
  <c r="K46" i="222"/>
  <c r="K47" i="222"/>
  <c r="K48" i="222"/>
  <c r="K50" i="222"/>
  <c r="K52" i="222"/>
  <c r="K53" i="222"/>
  <c r="K54" i="222"/>
  <c r="K55" i="222"/>
  <c r="K56" i="222"/>
  <c r="K57" i="222"/>
  <c r="K58" i="222"/>
  <c r="K59" i="222"/>
  <c r="K60" i="222"/>
  <c r="K61" i="222"/>
  <c r="K62" i="222"/>
  <c r="K63" i="222"/>
  <c r="K64" i="222"/>
  <c r="K65" i="222"/>
  <c r="K66" i="222"/>
  <c r="K67" i="222"/>
  <c r="K68" i="222"/>
  <c r="K69" i="222"/>
  <c r="K70" i="222"/>
  <c r="K71" i="222"/>
  <c r="K72" i="222"/>
  <c r="K73" i="222"/>
  <c r="K74" i="222"/>
  <c r="K75" i="222"/>
  <c r="K76" i="222"/>
  <c r="K77" i="222"/>
  <c r="K78" i="222"/>
  <c r="K79" i="222"/>
  <c r="K80" i="222"/>
  <c r="K81" i="222"/>
  <c r="K82" i="222"/>
  <c r="K83" i="222"/>
  <c r="K84" i="222"/>
  <c r="K85" i="222"/>
  <c r="K86" i="222"/>
  <c r="K87" i="222"/>
  <c r="K88" i="222"/>
  <c r="K89" i="222"/>
  <c r="K90" i="222"/>
  <c r="K91" i="222"/>
  <c r="K92" i="222"/>
  <c r="K93" i="222"/>
  <c r="K94" i="222"/>
  <c r="K95" i="222"/>
  <c r="K96" i="222"/>
  <c r="K97" i="222"/>
  <c r="K98" i="222"/>
  <c r="K99" i="222"/>
  <c r="K100" i="222"/>
  <c r="K101" i="222"/>
  <c r="K102" i="222"/>
  <c r="K103" i="222"/>
  <c r="K104" i="222"/>
  <c r="K105" i="222"/>
  <c r="K106" i="222"/>
  <c r="K107" i="222"/>
  <c r="K108" i="222"/>
  <c r="K109" i="222"/>
  <c r="K110" i="222"/>
  <c r="K111" i="222"/>
  <c r="K112" i="222"/>
  <c r="K113" i="222"/>
  <c r="K114" i="222"/>
  <c r="K116" i="222"/>
  <c r="K117" i="222"/>
  <c r="K118" i="222"/>
  <c r="K119" i="222"/>
  <c r="K120" i="222"/>
  <c r="K121" i="222"/>
  <c r="K122" i="222"/>
  <c r="K123" i="222"/>
  <c r="K124" i="222"/>
  <c r="K125" i="222"/>
  <c r="K126" i="222"/>
  <c r="K127" i="222"/>
  <c r="K128" i="222"/>
  <c r="K129" i="222"/>
  <c r="K130" i="222"/>
  <c r="K131" i="222"/>
  <c r="K132" i="222"/>
  <c r="K133" i="222"/>
  <c r="K134" i="222"/>
  <c r="K135" i="222"/>
  <c r="K136" i="222"/>
  <c r="K137" i="222"/>
  <c r="K138" i="222"/>
  <c r="K139" i="222"/>
  <c r="K140" i="222"/>
  <c r="K141" i="222"/>
  <c r="K145" i="222"/>
  <c r="K146" i="222"/>
  <c r="K147" i="222"/>
  <c r="K148" i="222"/>
  <c r="K150" i="222"/>
  <c r="K151" i="222"/>
  <c r="K152" i="222"/>
  <c r="K153" i="222"/>
  <c r="K154" i="222"/>
  <c r="K155" i="222"/>
  <c r="K157" i="222"/>
  <c r="K158" i="222"/>
  <c r="K159" i="222"/>
  <c r="K160" i="222"/>
  <c r="K161" i="222"/>
  <c r="K162" i="222"/>
  <c r="K163" i="222"/>
  <c r="K164" i="222"/>
  <c r="K165" i="222"/>
  <c r="K166" i="222"/>
  <c r="K167" i="222"/>
  <c r="K168" i="222"/>
  <c r="K169" i="222"/>
  <c r="K170" i="222"/>
  <c r="K171" i="222"/>
  <c r="K172" i="222"/>
  <c r="K173" i="222"/>
  <c r="K174" i="222"/>
  <c r="K175" i="222"/>
  <c r="K176" i="222"/>
  <c r="K177" i="222"/>
  <c r="K178" i="222"/>
  <c r="K179" i="222"/>
  <c r="K180" i="222"/>
  <c r="K181" i="222"/>
  <c r="K182" i="222"/>
  <c r="K183" i="222"/>
  <c r="K184" i="222"/>
  <c r="K185" i="222"/>
  <c r="K186" i="222"/>
  <c r="K187" i="222"/>
  <c r="K188" i="222"/>
  <c r="K189" i="222"/>
  <c r="K190" i="222"/>
  <c r="K191" i="222"/>
  <c r="K192" i="222"/>
  <c r="K193" i="222"/>
  <c r="K194" i="222"/>
  <c r="K195" i="222"/>
  <c r="K196" i="222"/>
  <c r="K197" i="222"/>
  <c r="K198" i="222"/>
  <c r="K199" i="222"/>
  <c r="K200" i="222"/>
  <c r="K201" i="222"/>
  <c r="K202" i="222"/>
  <c r="K203" i="222"/>
  <c r="K204" i="222"/>
  <c r="K205" i="222"/>
  <c r="K206" i="222"/>
  <c r="K207" i="222"/>
  <c r="K208" i="222"/>
  <c r="K209" i="222"/>
  <c r="K210" i="222"/>
  <c r="K211" i="222"/>
  <c r="K212" i="222"/>
  <c r="K213" i="222"/>
  <c r="K214" i="222"/>
  <c r="K215" i="222"/>
  <c r="K216" i="222"/>
  <c r="K217" i="222"/>
  <c r="K219" i="222"/>
  <c r="K220" i="222"/>
  <c r="K221" i="222"/>
  <c r="K222" i="222"/>
  <c r="K223" i="222"/>
  <c r="K225" i="222"/>
  <c r="K226" i="222"/>
  <c r="K227" i="222"/>
  <c r="K228" i="222"/>
  <c r="K229" i="222"/>
  <c r="K230" i="222"/>
  <c r="K231" i="222"/>
  <c r="K232" i="222"/>
  <c r="K233" i="222"/>
  <c r="K234" i="222"/>
  <c r="K235" i="222"/>
  <c r="K236" i="222"/>
  <c r="K237" i="222"/>
  <c r="K238" i="222"/>
  <c r="K239" i="222"/>
  <c r="K240" i="222"/>
  <c r="K241" i="222"/>
  <c r="K242" i="222"/>
  <c r="K243" i="222"/>
  <c r="K244" i="222"/>
  <c r="K245" i="222"/>
  <c r="K246" i="222"/>
  <c r="K247" i="222"/>
  <c r="K248" i="222"/>
  <c r="K249" i="222"/>
  <c r="K250" i="222"/>
  <c r="K251" i="222"/>
  <c r="K252" i="222"/>
  <c r="K253" i="222"/>
  <c r="K254" i="222"/>
  <c r="K255" i="222"/>
  <c r="K256" i="222"/>
  <c r="K257" i="222"/>
  <c r="K258" i="222"/>
  <c r="K259" i="222"/>
  <c r="K260" i="222"/>
  <c r="K261" i="222"/>
  <c r="K262" i="222"/>
  <c r="K263" i="222"/>
  <c r="K264" i="222"/>
  <c r="K265" i="222"/>
  <c r="K266" i="222"/>
  <c r="A4" i="222"/>
  <c r="A5" i="222"/>
  <c r="A6" i="222"/>
  <c r="A7" i="222"/>
  <c r="A8" i="222"/>
  <c r="A9" i="222"/>
  <c r="A10" i="222"/>
  <c r="A11" i="222"/>
  <c r="A12" i="222"/>
  <c r="A13" i="222"/>
  <c r="A14" i="222"/>
  <c r="A15" i="222"/>
  <c r="A16" i="222"/>
  <c r="A17" i="222"/>
  <c r="A18" i="222"/>
  <c r="A19" i="222"/>
  <c r="A20" i="222"/>
  <c r="A21" i="222"/>
  <c r="A22" i="222"/>
  <c r="A23" i="222"/>
  <c r="A24" i="222"/>
  <c r="A25" i="222"/>
  <c r="A26" i="222"/>
  <c r="A27" i="222"/>
  <c r="A28" i="222"/>
  <c r="A29" i="222"/>
  <c r="A30" i="222"/>
  <c r="A31" i="222"/>
  <c r="A32" i="222"/>
  <c r="A33" i="222"/>
  <c r="A34" i="222"/>
  <c r="A35" i="222"/>
  <c r="A36" i="222"/>
  <c r="A37" i="222"/>
  <c r="A38" i="222"/>
  <c r="A39" i="222"/>
  <c r="A40" i="222"/>
  <c r="A41" i="222"/>
  <c r="A42" i="222"/>
  <c r="A43" i="222"/>
  <c r="A44" i="222"/>
  <c r="A45" i="222"/>
  <c r="A46" i="222"/>
  <c r="A47" i="222"/>
  <c r="A48" i="222"/>
  <c r="A49" i="222"/>
  <c r="K49" i="222" s="1"/>
  <c r="A50" i="222"/>
  <c r="A51" i="222"/>
  <c r="K51" i="222" s="1"/>
  <c r="A52" i="222"/>
  <c r="A53" i="222"/>
  <c r="A54" i="222"/>
  <c r="A55" i="222"/>
  <c r="A56" i="222"/>
  <c r="A57" i="222"/>
  <c r="A58" i="222"/>
  <c r="A59" i="222"/>
  <c r="A60" i="222"/>
  <c r="A61" i="222"/>
  <c r="A62" i="222"/>
  <c r="A63" i="222"/>
  <c r="A64" i="222"/>
  <c r="A65" i="222"/>
  <c r="A66" i="222"/>
  <c r="A67" i="222"/>
  <c r="A68" i="222"/>
  <c r="A69" i="222"/>
  <c r="A70" i="222"/>
  <c r="A71" i="222"/>
  <c r="A72" i="222"/>
  <c r="A73" i="222"/>
  <c r="A74" i="222"/>
  <c r="A75" i="222"/>
  <c r="A76" i="222"/>
  <c r="A77" i="222"/>
  <c r="A78" i="222"/>
  <c r="A79" i="222"/>
  <c r="A80" i="222"/>
  <c r="A81" i="222"/>
  <c r="A82" i="222"/>
  <c r="A83" i="222"/>
  <c r="A84" i="222"/>
  <c r="A85" i="222"/>
  <c r="A86" i="222"/>
  <c r="A87" i="222"/>
  <c r="A88" i="222"/>
  <c r="A89" i="222"/>
  <c r="A90" i="222"/>
  <c r="A91" i="222"/>
  <c r="A92" i="222"/>
  <c r="A93" i="222"/>
  <c r="A94" i="222"/>
  <c r="A95" i="222"/>
  <c r="A96" i="222"/>
  <c r="A97" i="222"/>
  <c r="A98" i="222"/>
  <c r="A99" i="222"/>
  <c r="A100" i="222"/>
  <c r="A101" i="222"/>
  <c r="A102" i="222"/>
  <c r="A103" i="222"/>
  <c r="A104" i="222"/>
  <c r="A105" i="222"/>
  <c r="A106" i="222"/>
  <c r="A107" i="222"/>
  <c r="A108" i="222"/>
  <c r="A109" i="222"/>
  <c r="A110" i="222"/>
  <c r="A111" i="222"/>
  <c r="A112" i="222"/>
  <c r="A113" i="222"/>
  <c r="A114" i="222"/>
  <c r="A115" i="222"/>
  <c r="K115" i="222" s="1"/>
  <c r="A116" i="222"/>
  <c r="A117" i="222"/>
  <c r="A118" i="222"/>
  <c r="A119" i="222"/>
  <c r="A120" i="222"/>
  <c r="A121" i="222"/>
  <c r="A122" i="222"/>
  <c r="A123" i="222"/>
  <c r="A124" i="222"/>
  <c r="A125" i="222"/>
  <c r="A126" i="222"/>
  <c r="A127" i="222"/>
  <c r="A128" i="222"/>
  <c r="A129" i="222"/>
  <c r="A130" i="222"/>
  <c r="A131" i="222"/>
  <c r="A132" i="222"/>
  <c r="A133" i="222"/>
  <c r="A134" i="222"/>
  <c r="A135" i="222"/>
  <c r="A136" i="222"/>
  <c r="A137" i="222"/>
  <c r="A138" i="222"/>
  <c r="A139" i="222"/>
  <c r="A140" i="222"/>
  <c r="A141" i="222"/>
  <c r="A142" i="222"/>
  <c r="K142" i="222" s="1"/>
  <c r="A143" i="222"/>
  <c r="K143" i="222" s="1"/>
  <c r="A144" i="222"/>
  <c r="K144" i="222" s="1"/>
  <c r="A145" i="222"/>
  <c r="A146" i="222"/>
  <c r="A147" i="222"/>
  <c r="A148" i="222"/>
  <c r="A149" i="222"/>
  <c r="K149" i="222" s="1"/>
  <c r="A150" i="222"/>
  <c r="A151" i="222"/>
  <c r="A152" i="222"/>
  <c r="A153" i="222"/>
  <c r="A154" i="222"/>
  <c r="A155" i="222"/>
  <c r="A156" i="222"/>
  <c r="K156" i="222" s="1"/>
  <c r="A157" i="222"/>
  <c r="A158" i="222"/>
  <c r="A159" i="222"/>
  <c r="A160" i="222"/>
  <c r="A161" i="222"/>
  <c r="A162" i="222"/>
  <c r="A163" i="222"/>
  <c r="A164" i="222"/>
  <c r="A165" i="222"/>
  <c r="A166" i="222"/>
  <c r="A167" i="222"/>
  <c r="A168" i="222"/>
  <c r="A169" i="222"/>
  <c r="A170" i="222"/>
  <c r="A171" i="222"/>
  <c r="A172" i="222"/>
  <c r="A173" i="222"/>
  <c r="A174" i="222"/>
  <c r="A175" i="222"/>
  <c r="A176" i="222"/>
  <c r="A177" i="222"/>
  <c r="A178" i="222"/>
  <c r="A179" i="222"/>
  <c r="A180" i="222"/>
  <c r="A181" i="222"/>
  <c r="A182" i="222"/>
  <c r="A183" i="222"/>
  <c r="A184" i="222"/>
  <c r="A185" i="222"/>
  <c r="A186" i="222"/>
  <c r="A187" i="222"/>
  <c r="A188" i="222"/>
  <c r="A189" i="222"/>
  <c r="A190" i="222"/>
  <c r="A191" i="222"/>
  <c r="A192" i="222"/>
  <c r="A193" i="222"/>
  <c r="A194" i="222"/>
  <c r="A195" i="222"/>
  <c r="A196" i="222"/>
  <c r="A197" i="222"/>
  <c r="A198" i="222"/>
  <c r="A199" i="222"/>
  <c r="A200" i="222"/>
  <c r="A201" i="222"/>
  <c r="A202" i="222"/>
  <c r="A203" i="222"/>
  <c r="A204" i="222"/>
  <c r="A205" i="222"/>
  <c r="A206" i="222"/>
  <c r="A207" i="222"/>
  <c r="A208" i="222"/>
  <c r="A209" i="222"/>
  <c r="A210" i="222"/>
  <c r="A211" i="222"/>
  <c r="A212" i="222"/>
  <c r="A213" i="222"/>
  <c r="A214" i="222"/>
  <c r="A215" i="222"/>
  <c r="A216" i="222"/>
  <c r="A217" i="222"/>
  <c r="A218" i="222"/>
  <c r="K218" i="222" s="1"/>
  <c r="A219" i="222"/>
  <c r="A220" i="222"/>
  <c r="A221" i="222"/>
  <c r="A222" i="222"/>
  <c r="A223" i="222"/>
  <c r="A224" i="222"/>
  <c r="K224" i="222" s="1"/>
  <c r="A225" i="222"/>
  <c r="A226" i="222"/>
  <c r="A227" i="222"/>
  <c r="A228" i="222"/>
  <c r="A229" i="222"/>
  <c r="A230" i="222"/>
  <c r="A231" i="222"/>
  <c r="A232" i="222"/>
  <c r="A233" i="222"/>
  <c r="A234" i="222"/>
  <c r="A235" i="222"/>
  <c r="A236" i="222"/>
  <c r="A237" i="222"/>
  <c r="A238" i="222"/>
  <c r="A239" i="222"/>
  <c r="A240" i="222"/>
  <c r="A241" i="222"/>
  <c r="A242" i="222"/>
  <c r="A243" i="222"/>
  <c r="A244" i="222"/>
  <c r="A245" i="222"/>
  <c r="A246" i="222"/>
  <c r="A247" i="222"/>
  <c r="A248" i="222"/>
  <c r="A249" i="222"/>
  <c r="A250" i="222"/>
  <c r="A251" i="222"/>
  <c r="A252" i="222"/>
  <c r="A253" i="222"/>
  <c r="A254" i="222"/>
  <c r="A255" i="222"/>
  <c r="A256" i="222"/>
  <c r="A257" i="222"/>
  <c r="A258" i="222"/>
  <c r="A259" i="222"/>
  <c r="A260" i="222"/>
  <c r="A261" i="222"/>
  <c r="A262" i="222"/>
  <c r="A263" i="222"/>
  <c r="A264" i="222"/>
  <c r="A265" i="222"/>
  <c r="A266" i="222"/>
  <c r="A3" i="222"/>
  <c r="K3" i="222" s="1"/>
  <c r="J4" i="222"/>
  <c r="J5" i="222"/>
  <c r="J6" i="222"/>
  <c r="J7" i="222"/>
  <c r="J8" i="222"/>
  <c r="J9" i="222"/>
  <c r="J10" i="222"/>
  <c r="J11" i="222"/>
  <c r="J12" i="222"/>
  <c r="J13" i="222"/>
  <c r="J14" i="222"/>
  <c r="J15" i="222"/>
  <c r="J16" i="222"/>
  <c r="J17" i="222"/>
  <c r="J18" i="222"/>
  <c r="J19" i="222"/>
  <c r="J20" i="222"/>
  <c r="J21" i="222"/>
  <c r="J22" i="222"/>
  <c r="J23" i="222"/>
  <c r="J24" i="222"/>
  <c r="J25" i="222"/>
  <c r="J26" i="222"/>
  <c r="J27" i="222"/>
  <c r="J28" i="222"/>
  <c r="J29" i="222"/>
  <c r="J30" i="222"/>
  <c r="J31" i="222"/>
  <c r="J32" i="222"/>
  <c r="J33" i="222"/>
  <c r="J34" i="222"/>
  <c r="J35" i="222"/>
  <c r="J36" i="222"/>
  <c r="J37" i="222"/>
  <c r="J38" i="222"/>
  <c r="J39" i="222"/>
  <c r="J40" i="222"/>
  <c r="J41" i="222"/>
  <c r="J42" i="222"/>
  <c r="J43" i="222"/>
  <c r="J44" i="222"/>
  <c r="J45" i="222"/>
  <c r="J46" i="222"/>
  <c r="J47" i="222"/>
  <c r="J48" i="222"/>
  <c r="J49" i="222"/>
  <c r="J50" i="222"/>
  <c r="J51" i="222"/>
  <c r="J52" i="222"/>
  <c r="J53" i="222"/>
  <c r="J54" i="222"/>
  <c r="J55" i="222"/>
  <c r="J56" i="222"/>
  <c r="J57" i="222"/>
  <c r="J58" i="222"/>
  <c r="J59" i="222"/>
  <c r="J60" i="222"/>
  <c r="J61" i="222"/>
  <c r="J62" i="222"/>
  <c r="J63" i="222"/>
  <c r="J64" i="222"/>
  <c r="J65" i="222"/>
  <c r="J66" i="222"/>
  <c r="J67" i="222"/>
  <c r="J68" i="222"/>
  <c r="J69" i="222"/>
  <c r="J70" i="222"/>
  <c r="J71" i="222"/>
  <c r="J72" i="222"/>
  <c r="J73" i="222"/>
  <c r="J74" i="222"/>
  <c r="J75" i="222"/>
  <c r="J76" i="222"/>
  <c r="J77" i="222"/>
  <c r="J78" i="222"/>
  <c r="J79" i="222"/>
  <c r="J80" i="222"/>
  <c r="J81" i="222"/>
  <c r="J82" i="222"/>
  <c r="J83" i="222"/>
  <c r="J84" i="222"/>
  <c r="J85" i="222"/>
  <c r="J86" i="222"/>
  <c r="J87" i="222"/>
  <c r="J88" i="222"/>
  <c r="J89" i="222"/>
  <c r="J90" i="222"/>
  <c r="J91" i="222"/>
  <c r="J92" i="222"/>
  <c r="J93" i="222"/>
  <c r="J94" i="222"/>
  <c r="J95" i="222"/>
  <c r="J96" i="222"/>
  <c r="J97" i="222"/>
  <c r="J98" i="222"/>
  <c r="J99" i="222"/>
  <c r="J100" i="222"/>
  <c r="J101" i="222"/>
  <c r="J102" i="222"/>
  <c r="J103" i="222"/>
  <c r="J104" i="222"/>
  <c r="J105" i="222"/>
  <c r="J106" i="222"/>
  <c r="J107" i="222"/>
  <c r="J108" i="222"/>
  <c r="J109" i="222"/>
  <c r="J110" i="222"/>
  <c r="J111" i="222"/>
  <c r="J112" i="222"/>
  <c r="J113" i="222"/>
  <c r="J114" i="222"/>
  <c r="J115" i="222"/>
  <c r="J116" i="222"/>
  <c r="J117" i="222"/>
  <c r="J118" i="222"/>
  <c r="J119" i="222"/>
  <c r="J120" i="222"/>
  <c r="J121" i="222"/>
  <c r="J122" i="222"/>
  <c r="J123" i="222"/>
  <c r="J124" i="222"/>
  <c r="J125" i="222"/>
  <c r="J126" i="222"/>
  <c r="J127" i="222"/>
  <c r="J128" i="222"/>
  <c r="J129" i="222"/>
  <c r="J130" i="222"/>
  <c r="J131" i="222"/>
  <c r="J132" i="222"/>
  <c r="J133" i="222"/>
  <c r="J134" i="222"/>
  <c r="J135" i="222"/>
  <c r="J136" i="222"/>
  <c r="J137" i="222"/>
  <c r="J138" i="222"/>
  <c r="J139" i="222"/>
  <c r="J140" i="222"/>
  <c r="J141" i="222"/>
  <c r="J142" i="222"/>
  <c r="J143" i="222"/>
  <c r="J144" i="222"/>
  <c r="J145" i="222"/>
  <c r="J146" i="222"/>
  <c r="J147" i="222"/>
  <c r="J148" i="222"/>
  <c r="J149" i="222"/>
  <c r="J150" i="222"/>
  <c r="J151" i="222"/>
  <c r="J152" i="222"/>
  <c r="J153" i="222"/>
  <c r="J154" i="222"/>
  <c r="J155" i="222"/>
  <c r="J156" i="222"/>
  <c r="J157" i="222"/>
  <c r="J158" i="222"/>
  <c r="J159" i="222"/>
  <c r="J160" i="222"/>
  <c r="J161" i="222"/>
  <c r="J162" i="222"/>
  <c r="J163" i="222"/>
  <c r="J164" i="222"/>
  <c r="J165" i="222"/>
  <c r="J166" i="222"/>
  <c r="J167" i="222"/>
  <c r="J168" i="222"/>
  <c r="J169" i="222"/>
  <c r="J170" i="222"/>
  <c r="J171" i="222"/>
  <c r="J172" i="222"/>
  <c r="J173" i="222"/>
  <c r="J174" i="222"/>
  <c r="J175" i="222"/>
  <c r="J176" i="222"/>
  <c r="J177" i="222"/>
  <c r="J178" i="222"/>
  <c r="J179" i="222"/>
  <c r="J180" i="222"/>
  <c r="J181" i="222"/>
  <c r="J182" i="222"/>
  <c r="J183" i="222"/>
  <c r="J184" i="222"/>
  <c r="J185" i="222"/>
  <c r="J186" i="222"/>
  <c r="J187" i="222"/>
  <c r="J188" i="222"/>
  <c r="J189" i="222"/>
  <c r="J190" i="222"/>
  <c r="J191" i="222"/>
  <c r="J192" i="222"/>
  <c r="J193" i="222"/>
  <c r="J194" i="222"/>
  <c r="J195" i="222"/>
  <c r="J196" i="222"/>
  <c r="J197" i="222"/>
  <c r="J198" i="222"/>
  <c r="J199" i="222"/>
  <c r="J200" i="222"/>
  <c r="J201" i="222"/>
  <c r="J202" i="222"/>
  <c r="J203" i="222"/>
  <c r="J204" i="222"/>
  <c r="J205" i="222"/>
  <c r="J206" i="222"/>
  <c r="J207" i="222"/>
  <c r="J208" i="222"/>
  <c r="J209" i="222"/>
  <c r="J210" i="222"/>
  <c r="J211" i="222"/>
  <c r="J212" i="222"/>
  <c r="J213" i="222"/>
  <c r="J214" i="222"/>
  <c r="J215" i="222"/>
  <c r="J216" i="222"/>
  <c r="J217" i="222"/>
  <c r="J218" i="222"/>
  <c r="J219" i="222"/>
  <c r="J220" i="222"/>
  <c r="J221" i="222"/>
  <c r="J222" i="222"/>
  <c r="J223" i="222"/>
  <c r="J224" i="222"/>
  <c r="J225" i="222"/>
  <c r="J226" i="222"/>
  <c r="J227" i="222"/>
  <c r="J228" i="222"/>
  <c r="J229" i="222"/>
  <c r="J230" i="222"/>
  <c r="J231" i="222"/>
  <c r="J232" i="222"/>
  <c r="J233" i="222"/>
  <c r="J234" i="222"/>
  <c r="J235" i="222"/>
  <c r="J236" i="222"/>
  <c r="J237" i="222"/>
  <c r="J238" i="222"/>
  <c r="J239" i="222"/>
  <c r="J240" i="222"/>
  <c r="J241" i="222"/>
  <c r="J242" i="222"/>
  <c r="J243" i="222"/>
  <c r="J244" i="222"/>
  <c r="J245" i="222"/>
  <c r="J246" i="222"/>
  <c r="J247" i="222"/>
  <c r="J248" i="222"/>
  <c r="J249" i="222"/>
  <c r="J250" i="222"/>
  <c r="J251" i="222"/>
  <c r="J252" i="222"/>
  <c r="J253" i="222"/>
  <c r="J254" i="222"/>
  <c r="J255" i="222"/>
  <c r="J256" i="222"/>
  <c r="J257" i="222"/>
  <c r="J258" i="222"/>
  <c r="J259" i="222"/>
  <c r="J260" i="222"/>
  <c r="J261" i="222"/>
  <c r="J262" i="222"/>
  <c r="J263" i="222"/>
  <c r="J264" i="222"/>
  <c r="J265" i="222"/>
  <c r="J266" i="222"/>
  <c r="J3" i="222"/>
  <c r="A4" i="221"/>
  <c r="K4" i="221" s="1"/>
  <c r="A5" i="221"/>
  <c r="K5" i="221" s="1"/>
  <c r="A6" i="221"/>
  <c r="K6" i="221" s="1"/>
  <c r="A7" i="221"/>
  <c r="K7" i="221" s="1"/>
  <c r="A8" i="221"/>
  <c r="K8" i="221" s="1"/>
  <c r="A9" i="221"/>
  <c r="K9" i="221" s="1"/>
  <c r="A10" i="221"/>
  <c r="K10" i="221" s="1"/>
  <c r="A11" i="221"/>
  <c r="K11" i="221" s="1"/>
  <c r="A12" i="221"/>
  <c r="K12" i="221" s="1"/>
  <c r="A13" i="221"/>
  <c r="K13" i="221" s="1"/>
  <c r="A14" i="221"/>
  <c r="K14" i="221" s="1"/>
  <c r="A15" i="221"/>
  <c r="K15" i="221" s="1"/>
  <c r="A16" i="221"/>
  <c r="K16" i="221" s="1"/>
  <c r="A17" i="221"/>
  <c r="K17" i="221" s="1"/>
  <c r="A18" i="221"/>
  <c r="K18" i="221" s="1"/>
  <c r="A19" i="221"/>
  <c r="K19" i="221" s="1"/>
  <c r="A20" i="221"/>
  <c r="K20" i="221" s="1"/>
  <c r="A21" i="221"/>
  <c r="K21" i="221" s="1"/>
  <c r="A22" i="221"/>
  <c r="K22" i="221" s="1"/>
  <c r="A23" i="221"/>
  <c r="K23" i="221" s="1"/>
  <c r="A24" i="221"/>
  <c r="K24" i="221" s="1"/>
  <c r="A25" i="221"/>
  <c r="K25" i="221" s="1"/>
  <c r="A26" i="221"/>
  <c r="K26" i="221" s="1"/>
  <c r="A27" i="221"/>
  <c r="K27" i="221" s="1"/>
  <c r="A28" i="221"/>
  <c r="K28" i="221" s="1"/>
  <c r="A29" i="221"/>
  <c r="K29" i="221" s="1"/>
  <c r="A30" i="221"/>
  <c r="K30" i="221" s="1"/>
  <c r="A31" i="221"/>
  <c r="K31" i="221" s="1"/>
  <c r="A32" i="221"/>
  <c r="K32" i="221" s="1"/>
  <c r="A33" i="221"/>
  <c r="K33" i="221" s="1"/>
  <c r="A34" i="221"/>
  <c r="K34" i="221" s="1"/>
  <c r="A35" i="221"/>
  <c r="K35" i="221" s="1"/>
  <c r="A36" i="221"/>
  <c r="K36" i="221" s="1"/>
  <c r="A37" i="221"/>
  <c r="K37" i="221" s="1"/>
  <c r="A38" i="221"/>
  <c r="K38" i="221" s="1"/>
  <c r="A39" i="221"/>
  <c r="K39" i="221" s="1"/>
  <c r="A40" i="221"/>
  <c r="K40" i="221" s="1"/>
  <c r="A41" i="221"/>
  <c r="K41" i="221" s="1"/>
  <c r="A42" i="221"/>
  <c r="K42" i="221" s="1"/>
  <c r="A43" i="221"/>
  <c r="K43" i="221" s="1"/>
  <c r="A44" i="221"/>
  <c r="K44" i="221" s="1"/>
  <c r="A45" i="221"/>
  <c r="K45" i="221" s="1"/>
  <c r="A46" i="221"/>
  <c r="K46" i="221" s="1"/>
  <c r="A47" i="221"/>
  <c r="K47" i="221" s="1"/>
  <c r="A48" i="221"/>
  <c r="K48" i="221" s="1"/>
  <c r="A49" i="221"/>
  <c r="K49" i="221" s="1"/>
  <c r="A50" i="221"/>
  <c r="K50" i="221" s="1"/>
  <c r="A51" i="221"/>
  <c r="K51" i="221" s="1"/>
  <c r="A52" i="221"/>
  <c r="K52" i="221" s="1"/>
  <c r="A53" i="221"/>
  <c r="K53" i="221" s="1"/>
  <c r="A54" i="221"/>
  <c r="K54" i="221" s="1"/>
  <c r="A55" i="221"/>
  <c r="K55" i="221" s="1"/>
  <c r="A56" i="221"/>
  <c r="K56" i="221" s="1"/>
  <c r="A57" i="221"/>
  <c r="K57" i="221" s="1"/>
  <c r="A58" i="221"/>
  <c r="K58" i="221" s="1"/>
  <c r="A59" i="221"/>
  <c r="K59" i="221" s="1"/>
  <c r="A60" i="221"/>
  <c r="K60" i="221" s="1"/>
  <c r="A61" i="221"/>
  <c r="K61" i="221" s="1"/>
  <c r="A62" i="221"/>
  <c r="K62" i="221" s="1"/>
  <c r="A63" i="221"/>
  <c r="K63" i="221" s="1"/>
  <c r="A64" i="221"/>
  <c r="K64" i="221" s="1"/>
  <c r="A65" i="221"/>
  <c r="K65" i="221" s="1"/>
  <c r="A66" i="221"/>
  <c r="K66" i="221" s="1"/>
  <c r="A67" i="221"/>
  <c r="K67" i="221" s="1"/>
  <c r="A68" i="221"/>
  <c r="K68" i="221" s="1"/>
  <c r="A69" i="221"/>
  <c r="K69" i="221" s="1"/>
  <c r="A70" i="221"/>
  <c r="K70" i="221" s="1"/>
  <c r="A71" i="221"/>
  <c r="K71" i="221" s="1"/>
  <c r="A72" i="221"/>
  <c r="K72" i="221" s="1"/>
  <c r="A73" i="221"/>
  <c r="K73" i="221" s="1"/>
  <c r="A74" i="221"/>
  <c r="K74" i="221" s="1"/>
  <c r="A75" i="221"/>
  <c r="K75" i="221" s="1"/>
  <c r="A76" i="221"/>
  <c r="K76" i="221" s="1"/>
  <c r="A77" i="221"/>
  <c r="K77" i="221" s="1"/>
  <c r="A78" i="221"/>
  <c r="K78" i="221" s="1"/>
  <c r="A79" i="221"/>
  <c r="K79" i="221" s="1"/>
  <c r="A80" i="221"/>
  <c r="K80" i="221" s="1"/>
  <c r="A81" i="221"/>
  <c r="K81" i="221" s="1"/>
  <c r="A82" i="221"/>
  <c r="K82" i="221" s="1"/>
  <c r="A83" i="221"/>
  <c r="K83" i="221" s="1"/>
  <c r="A84" i="221"/>
  <c r="K84" i="221" s="1"/>
  <c r="A85" i="221"/>
  <c r="K85" i="221" s="1"/>
  <c r="A86" i="221"/>
  <c r="K86" i="221" s="1"/>
  <c r="A87" i="221"/>
  <c r="K87" i="221" s="1"/>
  <c r="A88" i="221"/>
  <c r="K88" i="221" s="1"/>
  <c r="A89" i="221"/>
  <c r="K89" i="221" s="1"/>
  <c r="A90" i="221"/>
  <c r="K90" i="221" s="1"/>
  <c r="A91" i="221"/>
  <c r="K91" i="221" s="1"/>
  <c r="A92" i="221"/>
  <c r="K92" i="221" s="1"/>
  <c r="A93" i="221"/>
  <c r="K93" i="221" s="1"/>
  <c r="A94" i="221"/>
  <c r="K94" i="221" s="1"/>
  <c r="A95" i="221"/>
  <c r="K95" i="221" s="1"/>
  <c r="A96" i="221"/>
  <c r="K96" i="221" s="1"/>
  <c r="A97" i="221"/>
  <c r="K97" i="221" s="1"/>
  <c r="A98" i="221"/>
  <c r="K98" i="221" s="1"/>
  <c r="A99" i="221"/>
  <c r="K99" i="221" s="1"/>
  <c r="A100" i="221"/>
  <c r="K100" i="221" s="1"/>
  <c r="A101" i="221"/>
  <c r="K101" i="221" s="1"/>
  <c r="A102" i="221"/>
  <c r="K102" i="221" s="1"/>
  <c r="A103" i="221"/>
  <c r="K103" i="221" s="1"/>
  <c r="A104" i="221"/>
  <c r="K104" i="221" s="1"/>
  <c r="A105" i="221"/>
  <c r="K105" i="221" s="1"/>
  <c r="A106" i="221"/>
  <c r="K106" i="221" s="1"/>
  <c r="A107" i="221"/>
  <c r="K107" i="221" s="1"/>
  <c r="A108" i="221"/>
  <c r="K108" i="221" s="1"/>
  <c r="A109" i="221"/>
  <c r="K109" i="221" s="1"/>
  <c r="A110" i="221"/>
  <c r="K110" i="221" s="1"/>
  <c r="A111" i="221"/>
  <c r="K111" i="221" s="1"/>
  <c r="A112" i="221"/>
  <c r="K112" i="221" s="1"/>
  <c r="A113" i="221"/>
  <c r="K113" i="221" s="1"/>
  <c r="A114" i="221"/>
  <c r="K114" i="221" s="1"/>
  <c r="A115" i="221"/>
  <c r="K115" i="221" s="1"/>
  <c r="A116" i="221"/>
  <c r="K116" i="221" s="1"/>
  <c r="A117" i="221"/>
  <c r="K117" i="221" s="1"/>
  <c r="A118" i="221"/>
  <c r="K118" i="221" s="1"/>
  <c r="A119" i="221"/>
  <c r="K119" i="221" s="1"/>
  <c r="A120" i="221"/>
  <c r="K120" i="221" s="1"/>
  <c r="A121" i="221"/>
  <c r="K121" i="221" s="1"/>
  <c r="A122" i="221"/>
  <c r="K122" i="221" s="1"/>
  <c r="A123" i="221"/>
  <c r="K123" i="221" s="1"/>
  <c r="A124" i="221"/>
  <c r="K124" i="221" s="1"/>
  <c r="A125" i="221"/>
  <c r="K125" i="221" s="1"/>
  <c r="A126" i="221"/>
  <c r="K126" i="221" s="1"/>
  <c r="A127" i="221"/>
  <c r="K127" i="221" s="1"/>
  <c r="A128" i="221"/>
  <c r="K128" i="221" s="1"/>
  <c r="A129" i="221"/>
  <c r="K129" i="221" s="1"/>
  <c r="A130" i="221"/>
  <c r="K130" i="221" s="1"/>
  <c r="A131" i="221"/>
  <c r="K131" i="221" s="1"/>
  <c r="A132" i="221"/>
  <c r="K132" i="221" s="1"/>
  <c r="A133" i="221"/>
  <c r="K133" i="221" s="1"/>
  <c r="A134" i="221"/>
  <c r="K134" i="221" s="1"/>
  <c r="A135" i="221"/>
  <c r="K135" i="221" s="1"/>
  <c r="A136" i="221"/>
  <c r="K136" i="221" s="1"/>
  <c r="A137" i="221"/>
  <c r="K137" i="221" s="1"/>
  <c r="A138" i="221"/>
  <c r="K138" i="221" s="1"/>
  <c r="A139" i="221"/>
  <c r="K139" i="221" s="1"/>
  <c r="A140" i="221"/>
  <c r="K140" i="221" s="1"/>
  <c r="A141" i="221"/>
  <c r="K141" i="221" s="1"/>
  <c r="A142" i="221"/>
  <c r="K142" i="221" s="1"/>
  <c r="A143" i="221"/>
  <c r="K143" i="221" s="1"/>
  <c r="A144" i="221"/>
  <c r="K144" i="221" s="1"/>
  <c r="A145" i="221"/>
  <c r="K145" i="221" s="1"/>
  <c r="A146" i="221"/>
  <c r="K146" i="221" s="1"/>
  <c r="A147" i="221"/>
  <c r="K147" i="221" s="1"/>
  <c r="A148" i="221"/>
  <c r="K148" i="221" s="1"/>
  <c r="A149" i="221"/>
  <c r="K149" i="221" s="1"/>
  <c r="A150" i="221"/>
  <c r="K150" i="221" s="1"/>
  <c r="A151" i="221"/>
  <c r="K151" i="221" s="1"/>
  <c r="A152" i="221"/>
  <c r="K152" i="221" s="1"/>
  <c r="A153" i="221"/>
  <c r="K153" i="221" s="1"/>
  <c r="A154" i="221"/>
  <c r="K154" i="221" s="1"/>
  <c r="A155" i="221"/>
  <c r="K155" i="221" s="1"/>
  <c r="A156" i="221"/>
  <c r="K156" i="221" s="1"/>
  <c r="A157" i="221"/>
  <c r="K157" i="221" s="1"/>
  <c r="A158" i="221"/>
  <c r="K158" i="221" s="1"/>
  <c r="A159" i="221"/>
  <c r="K159" i="221" s="1"/>
  <c r="A160" i="221"/>
  <c r="K160" i="221" s="1"/>
  <c r="A161" i="221"/>
  <c r="K161" i="221" s="1"/>
  <c r="A162" i="221"/>
  <c r="K162" i="221" s="1"/>
  <c r="A163" i="221"/>
  <c r="K163" i="221" s="1"/>
  <c r="A164" i="221"/>
  <c r="K164" i="221" s="1"/>
  <c r="A165" i="221"/>
  <c r="K165" i="221" s="1"/>
  <c r="A166" i="221"/>
  <c r="K166" i="221" s="1"/>
  <c r="A167" i="221"/>
  <c r="K167" i="221" s="1"/>
  <c r="A168" i="221"/>
  <c r="K168" i="221" s="1"/>
  <c r="A169" i="221"/>
  <c r="K169" i="221" s="1"/>
  <c r="A170" i="221"/>
  <c r="K170" i="221" s="1"/>
  <c r="A171" i="221"/>
  <c r="K171" i="221" s="1"/>
  <c r="A172" i="221"/>
  <c r="K172" i="221" s="1"/>
  <c r="A173" i="221"/>
  <c r="K173" i="221" s="1"/>
  <c r="A174" i="221"/>
  <c r="K174" i="221" s="1"/>
  <c r="A175" i="221"/>
  <c r="K175" i="221" s="1"/>
  <c r="A176" i="221"/>
  <c r="K176" i="221" s="1"/>
  <c r="A177" i="221"/>
  <c r="K177" i="221" s="1"/>
  <c r="A178" i="221"/>
  <c r="K178" i="221" s="1"/>
  <c r="A179" i="221"/>
  <c r="K179" i="221" s="1"/>
  <c r="A180" i="221"/>
  <c r="K180" i="221" s="1"/>
  <c r="A181" i="221"/>
  <c r="K181" i="221" s="1"/>
  <c r="A182" i="221"/>
  <c r="K182" i="221" s="1"/>
  <c r="A183" i="221"/>
  <c r="K183" i="221" s="1"/>
  <c r="A184" i="221"/>
  <c r="K184" i="221" s="1"/>
  <c r="A185" i="221"/>
  <c r="K185" i="221" s="1"/>
  <c r="A186" i="221"/>
  <c r="K186" i="221" s="1"/>
  <c r="A187" i="221"/>
  <c r="K187" i="221" s="1"/>
  <c r="A188" i="221"/>
  <c r="K188" i="221" s="1"/>
  <c r="A189" i="221"/>
  <c r="K189" i="221" s="1"/>
  <c r="A190" i="221"/>
  <c r="K190" i="221" s="1"/>
  <c r="A191" i="221"/>
  <c r="K191" i="221" s="1"/>
  <c r="A192" i="221"/>
  <c r="K192" i="221" s="1"/>
  <c r="A193" i="221"/>
  <c r="K193" i="221" s="1"/>
  <c r="A194" i="221"/>
  <c r="K194" i="221" s="1"/>
  <c r="A195" i="221"/>
  <c r="K195" i="221" s="1"/>
  <c r="A196" i="221"/>
  <c r="K196" i="221" s="1"/>
  <c r="A197" i="221"/>
  <c r="K197" i="221" s="1"/>
  <c r="A198" i="221"/>
  <c r="K198" i="221" s="1"/>
  <c r="A199" i="221"/>
  <c r="K199" i="221" s="1"/>
  <c r="A200" i="221"/>
  <c r="K200" i="221" s="1"/>
  <c r="A201" i="221"/>
  <c r="K201" i="221" s="1"/>
  <c r="A202" i="221"/>
  <c r="K202" i="221" s="1"/>
  <c r="A203" i="221"/>
  <c r="K203" i="221" s="1"/>
  <c r="A204" i="221"/>
  <c r="K204" i="221" s="1"/>
  <c r="A205" i="221"/>
  <c r="K205" i="221" s="1"/>
  <c r="A206" i="221"/>
  <c r="K206" i="221" s="1"/>
  <c r="A207" i="221"/>
  <c r="K207" i="221" s="1"/>
  <c r="A208" i="221"/>
  <c r="K208" i="221" s="1"/>
  <c r="A209" i="221"/>
  <c r="K209" i="221" s="1"/>
  <c r="A210" i="221"/>
  <c r="K210" i="221" s="1"/>
  <c r="A211" i="221"/>
  <c r="K211" i="221" s="1"/>
  <c r="A212" i="221"/>
  <c r="K212" i="221" s="1"/>
  <c r="A213" i="221"/>
  <c r="K213" i="221" s="1"/>
  <c r="A214" i="221"/>
  <c r="K214" i="221" s="1"/>
  <c r="A215" i="221"/>
  <c r="K215" i="221" s="1"/>
  <c r="A216" i="221"/>
  <c r="K216" i="221" s="1"/>
  <c r="A217" i="221"/>
  <c r="K217" i="221" s="1"/>
  <c r="A218" i="221"/>
  <c r="K218" i="221" s="1"/>
  <c r="A219" i="221"/>
  <c r="K219" i="221" s="1"/>
  <c r="A220" i="221"/>
  <c r="K220" i="221" s="1"/>
  <c r="A221" i="221"/>
  <c r="K221" i="221" s="1"/>
  <c r="A222" i="221"/>
  <c r="K222" i="221" s="1"/>
  <c r="A223" i="221"/>
  <c r="K223" i="221" s="1"/>
  <c r="A224" i="221"/>
  <c r="K224" i="221" s="1"/>
  <c r="A225" i="221"/>
  <c r="K225" i="221" s="1"/>
  <c r="A226" i="221"/>
  <c r="K226" i="221" s="1"/>
  <c r="A227" i="221"/>
  <c r="K227" i="221" s="1"/>
  <c r="A228" i="221"/>
  <c r="K228" i="221" s="1"/>
  <c r="A229" i="221"/>
  <c r="K229" i="221" s="1"/>
  <c r="A230" i="221"/>
  <c r="K230" i="221" s="1"/>
  <c r="A231" i="221"/>
  <c r="K231" i="221" s="1"/>
  <c r="A232" i="221"/>
  <c r="K232" i="221" s="1"/>
  <c r="A233" i="221"/>
  <c r="K233" i="221" s="1"/>
  <c r="A234" i="221"/>
  <c r="K234" i="221" s="1"/>
  <c r="A235" i="221"/>
  <c r="K235" i="221" s="1"/>
  <c r="A236" i="221"/>
  <c r="K236" i="221" s="1"/>
  <c r="A237" i="221"/>
  <c r="K237" i="221" s="1"/>
  <c r="A238" i="221"/>
  <c r="K238" i="221" s="1"/>
  <c r="A239" i="221"/>
  <c r="K239" i="221" s="1"/>
  <c r="A240" i="221"/>
  <c r="K240" i="221" s="1"/>
  <c r="A241" i="221"/>
  <c r="K241" i="221" s="1"/>
  <c r="A242" i="221"/>
  <c r="K242" i="221" s="1"/>
  <c r="A243" i="221"/>
  <c r="K243" i="221" s="1"/>
  <c r="A244" i="221"/>
  <c r="K244" i="221" s="1"/>
  <c r="A245" i="221"/>
  <c r="K245" i="221" s="1"/>
  <c r="A246" i="221"/>
  <c r="K246" i="221" s="1"/>
  <c r="A247" i="221"/>
  <c r="K247" i="221" s="1"/>
  <c r="A248" i="221"/>
  <c r="K248" i="221" s="1"/>
  <c r="A249" i="221"/>
  <c r="K249" i="221" s="1"/>
  <c r="A250" i="221"/>
  <c r="K250" i="221" s="1"/>
  <c r="A251" i="221"/>
  <c r="K251" i="221" s="1"/>
  <c r="A252" i="221"/>
  <c r="K252" i="221" s="1"/>
  <c r="A253" i="221"/>
  <c r="K253" i="221" s="1"/>
  <c r="A254" i="221"/>
  <c r="K254" i="221" s="1"/>
  <c r="A255" i="221"/>
  <c r="K255" i="221" s="1"/>
  <c r="A256" i="221"/>
  <c r="K256" i="221" s="1"/>
  <c r="A257" i="221"/>
  <c r="K257" i="221" s="1"/>
  <c r="A258" i="221"/>
  <c r="K258" i="221" s="1"/>
  <c r="A259" i="221"/>
  <c r="K259" i="221" s="1"/>
  <c r="A260" i="221"/>
  <c r="K260" i="221" s="1"/>
  <c r="A261" i="221"/>
  <c r="K261" i="221" s="1"/>
  <c r="A262" i="221"/>
  <c r="K262" i="221" s="1"/>
  <c r="A3" i="221"/>
  <c r="K3" i="221" s="1"/>
  <c r="J4" i="221"/>
  <c r="J5" i="221"/>
  <c r="J6" i="221"/>
  <c r="J7" i="221"/>
  <c r="J8" i="221"/>
  <c r="J9" i="221"/>
  <c r="J10" i="221"/>
  <c r="J11" i="221"/>
  <c r="J12" i="221"/>
  <c r="J13" i="221"/>
  <c r="J14" i="221"/>
  <c r="J15" i="221"/>
  <c r="J16" i="221"/>
  <c r="J17" i="221"/>
  <c r="J18" i="221"/>
  <c r="J19" i="221"/>
  <c r="J20" i="221"/>
  <c r="J21" i="221"/>
  <c r="J22" i="221"/>
  <c r="J23" i="221"/>
  <c r="J24" i="221"/>
  <c r="J25" i="221"/>
  <c r="J26" i="221"/>
  <c r="J27" i="221"/>
  <c r="J28" i="221"/>
  <c r="J29" i="221"/>
  <c r="J30" i="221"/>
  <c r="J31" i="221"/>
  <c r="J32" i="221"/>
  <c r="J33" i="221"/>
  <c r="J34" i="221"/>
  <c r="J35" i="221"/>
  <c r="J36" i="221"/>
  <c r="J37" i="221"/>
  <c r="J38" i="221"/>
  <c r="J39" i="221"/>
  <c r="J40" i="221"/>
  <c r="J41" i="221"/>
  <c r="J42" i="221"/>
  <c r="J43" i="221"/>
  <c r="J44" i="221"/>
  <c r="J45" i="221"/>
  <c r="J46" i="221"/>
  <c r="J47" i="221"/>
  <c r="J48" i="221"/>
  <c r="J49" i="221"/>
  <c r="J50" i="221"/>
  <c r="J51" i="221"/>
  <c r="J52" i="221"/>
  <c r="J53" i="221"/>
  <c r="J54" i="221"/>
  <c r="J55" i="221"/>
  <c r="J56" i="221"/>
  <c r="J57" i="221"/>
  <c r="J58" i="221"/>
  <c r="J59" i="221"/>
  <c r="J60" i="221"/>
  <c r="J61" i="221"/>
  <c r="J62" i="221"/>
  <c r="J63" i="221"/>
  <c r="J64" i="221"/>
  <c r="J65" i="221"/>
  <c r="J66" i="221"/>
  <c r="J67" i="221"/>
  <c r="J68" i="221"/>
  <c r="J69" i="221"/>
  <c r="J70" i="221"/>
  <c r="J71" i="221"/>
  <c r="J72" i="221"/>
  <c r="J73" i="221"/>
  <c r="J74" i="221"/>
  <c r="J75" i="221"/>
  <c r="J76" i="221"/>
  <c r="J77" i="221"/>
  <c r="J78" i="221"/>
  <c r="J79" i="221"/>
  <c r="J80" i="221"/>
  <c r="J81" i="221"/>
  <c r="J82" i="221"/>
  <c r="J83" i="221"/>
  <c r="J84" i="221"/>
  <c r="J85" i="221"/>
  <c r="J86" i="221"/>
  <c r="J87" i="221"/>
  <c r="J88" i="221"/>
  <c r="J89" i="221"/>
  <c r="J90" i="221"/>
  <c r="J91" i="221"/>
  <c r="J92" i="221"/>
  <c r="J93" i="221"/>
  <c r="J94" i="221"/>
  <c r="J95" i="221"/>
  <c r="J96" i="221"/>
  <c r="J97" i="221"/>
  <c r="J98" i="221"/>
  <c r="J99" i="221"/>
  <c r="J100" i="221"/>
  <c r="J101" i="221"/>
  <c r="J102" i="221"/>
  <c r="J103" i="221"/>
  <c r="J104" i="221"/>
  <c r="J105" i="221"/>
  <c r="J106" i="221"/>
  <c r="J107" i="221"/>
  <c r="J108" i="221"/>
  <c r="J109" i="221"/>
  <c r="J110" i="221"/>
  <c r="J111" i="221"/>
  <c r="J112" i="221"/>
  <c r="J113" i="221"/>
  <c r="J114" i="221"/>
  <c r="J115" i="221"/>
  <c r="J116" i="221"/>
  <c r="J117" i="221"/>
  <c r="J118" i="221"/>
  <c r="J119" i="221"/>
  <c r="J120" i="221"/>
  <c r="J121" i="221"/>
  <c r="J122" i="221"/>
  <c r="J123" i="221"/>
  <c r="J124" i="221"/>
  <c r="J125" i="221"/>
  <c r="J126" i="221"/>
  <c r="J127" i="221"/>
  <c r="J128" i="221"/>
  <c r="J129" i="221"/>
  <c r="J130" i="221"/>
  <c r="J131" i="221"/>
  <c r="J132" i="221"/>
  <c r="J133" i="221"/>
  <c r="J134" i="221"/>
  <c r="J135" i="221"/>
  <c r="J136" i="221"/>
  <c r="J137" i="221"/>
  <c r="J138" i="221"/>
  <c r="J139" i="221"/>
  <c r="J140" i="221"/>
  <c r="J141" i="221"/>
  <c r="J142" i="221"/>
  <c r="J143" i="221"/>
  <c r="J144" i="221"/>
  <c r="J145" i="221"/>
  <c r="J146" i="221"/>
  <c r="J147" i="221"/>
  <c r="J148" i="221"/>
  <c r="J149" i="221"/>
  <c r="J150" i="221"/>
  <c r="J151" i="221"/>
  <c r="J152" i="221"/>
  <c r="J153" i="221"/>
  <c r="J154" i="221"/>
  <c r="J155" i="221"/>
  <c r="J156" i="221"/>
  <c r="J157" i="221"/>
  <c r="J158" i="221"/>
  <c r="J159" i="221"/>
  <c r="J160" i="221"/>
  <c r="J161" i="221"/>
  <c r="J162" i="221"/>
  <c r="J163" i="221"/>
  <c r="J164" i="221"/>
  <c r="J165" i="221"/>
  <c r="J166" i="221"/>
  <c r="J167" i="221"/>
  <c r="J168" i="221"/>
  <c r="J169" i="221"/>
  <c r="J170" i="221"/>
  <c r="J171" i="221"/>
  <c r="J172" i="221"/>
  <c r="J173" i="221"/>
  <c r="J174" i="221"/>
  <c r="J175" i="221"/>
  <c r="J176" i="221"/>
  <c r="J177" i="221"/>
  <c r="J178" i="221"/>
  <c r="J179" i="221"/>
  <c r="J180" i="221"/>
  <c r="J181" i="221"/>
  <c r="J182" i="221"/>
  <c r="J183" i="221"/>
  <c r="J184" i="221"/>
  <c r="J185" i="221"/>
  <c r="J186" i="221"/>
  <c r="J187" i="221"/>
  <c r="J188" i="221"/>
  <c r="J189" i="221"/>
  <c r="J190" i="221"/>
  <c r="J191" i="221"/>
  <c r="J192" i="221"/>
  <c r="J193" i="221"/>
  <c r="J194" i="221"/>
  <c r="J195" i="221"/>
  <c r="J196" i="221"/>
  <c r="J197" i="221"/>
  <c r="J198" i="221"/>
  <c r="J199" i="221"/>
  <c r="J200" i="221"/>
  <c r="J201" i="221"/>
  <c r="J202" i="221"/>
  <c r="J203" i="221"/>
  <c r="J204" i="221"/>
  <c r="J205" i="221"/>
  <c r="J206" i="221"/>
  <c r="J207" i="221"/>
  <c r="J208" i="221"/>
  <c r="J209" i="221"/>
  <c r="J210" i="221"/>
  <c r="J211" i="221"/>
  <c r="J212" i="221"/>
  <c r="J213" i="221"/>
  <c r="J214" i="221"/>
  <c r="J215" i="221"/>
  <c r="J216" i="221"/>
  <c r="J217" i="221"/>
  <c r="J218" i="221"/>
  <c r="J219" i="221"/>
  <c r="J220" i="221"/>
  <c r="J221" i="221"/>
  <c r="J222" i="221"/>
  <c r="J223" i="221"/>
  <c r="J224" i="221"/>
  <c r="J225" i="221"/>
  <c r="J226" i="221"/>
  <c r="J227" i="221"/>
  <c r="J228" i="221"/>
  <c r="J229" i="221"/>
  <c r="J230" i="221"/>
  <c r="J231" i="221"/>
  <c r="J232" i="221"/>
  <c r="J233" i="221"/>
  <c r="J234" i="221"/>
  <c r="J235" i="221"/>
  <c r="J236" i="221"/>
  <c r="J237" i="221"/>
  <c r="J238" i="221"/>
  <c r="J239" i="221"/>
  <c r="J240" i="221"/>
  <c r="J241" i="221"/>
  <c r="J242" i="221"/>
  <c r="J243" i="221"/>
  <c r="J244" i="221"/>
  <c r="J245" i="221"/>
  <c r="J246" i="221"/>
  <c r="J247" i="221"/>
  <c r="J248" i="221"/>
  <c r="J249" i="221"/>
  <c r="J250" i="221"/>
  <c r="J251" i="221"/>
  <c r="J252" i="221"/>
  <c r="J253" i="221"/>
  <c r="J254" i="221"/>
  <c r="J255" i="221"/>
  <c r="J256" i="221"/>
  <c r="J257" i="221"/>
  <c r="J258" i="221"/>
  <c r="J259" i="221"/>
  <c r="J260" i="221"/>
  <c r="J261" i="221"/>
  <c r="J262" i="221"/>
  <c r="J3" i="221"/>
  <c r="K4" i="219"/>
  <c r="K5" i="219"/>
  <c r="K6" i="219"/>
  <c r="K7" i="219"/>
  <c r="K8" i="219"/>
  <c r="K9" i="219"/>
  <c r="K10" i="219"/>
  <c r="K11" i="219"/>
  <c r="K12" i="219"/>
  <c r="K13" i="219"/>
  <c r="K14" i="219"/>
  <c r="K15" i="219"/>
  <c r="K16" i="219"/>
  <c r="K17" i="219"/>
  <c r="K18" i="219"/>
  <c r="K19" i="219"/>
  <c r="K20" i="219"/>
  <c r="K21" i="219"/>
  <c r="K22" i="219"/>
  <c r="K23" i="219"/>
  <c r="K24" i="219"/>
  <c r="K25" i="219"/>
  <c r="K26" i="219"/>
  <c r="K27" i="219"/>
  <c r="K28" i="219"/>
  <c r="K29" i="219"/>
  <c r="K30" i="219"/>
  <c r="K31" i="219"/>
  <c r="K32" i="219"/>
  <c r="K33" i="219"/>
  <c r="K34" i="219"/>
  <c r="K35" i="219"/>
  <c r="K36" i="219"/>
  <c r="K37" i="219"/>
  <c r="K38" i="219"/>
  <c r="K39" i="219"/>
  <c r="K40" i="219"/>
  <c r="K41" i="219"/>
  <c r="K42" i="219"/>
  <c r="K43" i="219"/>
  <c r="K44" i="219"/>
  <c r="K45" i="219"/>
  <c r="K46" i="219"/>
  <c r="K47" i="219"/>
  <c r="K48" i="219"/>
  <c r="K49" i="219"/>
  <c r="K50" i="219"/>
  <c r="K51" i="219"/>
  <c r="K52" i="219"/>
  <c r="K53" i="219"/>
  <c r="K54" i="219"/>
  <c r="K55" i="219"/>
  <c r="K56" i="219"/>
  <c r="K57" i="219"/>
  <c r="K58" i="219"/>
  <c r="K59" i="219"/>
  <c r="K60" i="219"/>
  <c r="K61" i="219"/>
  <c r="K62" i="219"/>
  <c r="K63" i="219"/>
  <c r="K64" i="219"/>
  <c r="K65" i="219"/>
  <c r="K66" i="219"/>
  <c r="K67" i="219"/>
  <c r="K68" i="219"/>
  <c r="K69" i="219"/>
  <c r="K70" i="219"/>
  <c r="K71" i="219"/>
  <c r="K72" i="219"/>
  <c r="K73" i="219"/>
  <c r="K74" i="219"/>
  <c r="K75" i="219"/>
  <c r="K76" i="219"/>
  <c r="K77" i="219"/>
  <c r="K78" i="219"/>
  <c r="K79" i="219"/>
  <c r="K80" i="219"/>
  <c r="K81" i="219"/>
  <c r="K82" i="219"/>
  <c r="K83" i="219"/>
  <c r="K84" i="219"/>
  <c r="K85" i="219"/>
  <c r="K86" i="219"/>
  <c r="K87" i="219"/>
  <c r="K88" i="219"/>
  <c r="K89" i="219"/>
  <c r="K90" i="219"/>
  <c r="K91" i="219"/>
  <c r="K92" i="219"/>
  <c r="K93" i="219"/>
  <c r="K94" i="219"/>
  <c r="K95" i="219"/>
  <c r="K96" i="219"/>
  <c r="K97" i="219"/>
  <c r="K98" i="219"/>
  <c r="K99" i="219"/>
  <c r="K100" i="219"/>
  <c r="K101" i="219"/>
  <c r="K102" i="219"/>
  <c r="K103" i="219"/>
  <c r="K104" i="219"/>
  <c r="K105" i="219"/>
  <c r="K106" i="219"/>
  <c r="K107" i="219"/>
  <c r="K108" i="219"/>
  <c r="K109" i="219"/>
  <c r="K110" i="219"/>
  <c r="K111" i="219"/>
  <c r="K112" i="219"/>
  <c r="K113" i="219"/>
  <c r="K114" i="219"/>
  <c r="K115" i="219"/>
  <c r="K116" i="219"/>
  <c r="K117" i="219"/>
  <c r="K118" i="219"/>
  <c r="K119" i="219"/>
  <c r="K120" i="219"/>
  <c r="K121" i="219"/>
  <c r="K122" i="219"/>
  <c r="K123" i="219"/>
  <c r="K124" i="219"/>
  <c r="K125" i="219"/>
  <c r="K126" i="219"/>
  <c r="K127" i="219"/>
  <c r="K128" i="219"/>
  <c r="K129" i="219"/>
  <c r="K130" i="219"/>
  <c r="K131" i="219"/>
  <c r="K132" i="219"/>
  <c r="K133" i="219"/>
  <c r="K134" i="219"/>
  <c r="K135" i="219"/>
  <c r="K136" i="219"/>
  <c r="K137" i="219"/>
  <c r="K138" i="219"/>
  <c r="K139" i="219"/>
  <c r="K140" i="219"/>
  <c r="K141" i="219"/>
  <c r="K142" i="219"/>
  <c r="K143" i="219"/>
  <c r="K144" i="219"/>
  <c r="K145" i="219"/>
  <c r="K146" i="219"/>
  <c r="K147" i="219"/>
  <c r="K148" i="219"/>
  <c r="K149" i="219"/>
  <c r="K150" i="219"/>
  <c r="K151" i="219"/>
  <c r="K152" i="219"/>
  <c r="K153" i="219"/>
  <c r="K154" i="219"/>
  <c r="K155" i="219"/>
  <c r="K156" i="219"/>
  <c r="K157" i="219"/>
  <c r="K158" i="219"/>
  <c r="K159" i="219"/>
  <c r="K160" i="219"/>
  <c r="K161" i="219"/>
  <c r="K162" i="219"/>
  <c r="K163" i="219"/>
  <c r="K164" i="219"/>
  <c r="K165" i="219"/>
  <c r="K166" i="219"/>
  <c r="K167" i="219"/>
  <c r="K168" i="219"/>
  <c r="K169" i="219"/>
  <c r="K170" i="219"/>
  <c r="K171" i="219"/>
  <c r="K172" i="219"/>
  <c r="K173" i="219"/>
  <c r="K174" i="219"/>
  <c r="K175" i="219"/>
  <c r="K176" i="219"/>
  <c r="K177" i="219"/>
  <c r="K178" i="219"/>
  <c r="K179" i="219"/>
  <c r="K180" i="219"/>
  <c r="K181" i="219"/>
  <c r="K182" i="219"/>
  <c r="K183" i="219"/>
  <c r="K184" i="219"/>
  <c r="K185" i="219"/>
  <c r="K186" i="219"/>
  <c r="K187" i="219"/>
  <c r="K188" i="219"/>
  <c r="K189" i="219"/>
  <c r="K190" i="219"/>
  <c r="K191" i="219"/>
  <c r="K192" i="219"/>
  <c r="K193" i="219"/>
  <c r="K194" i="219"/>
  <c r="K195" i="219"/>
  <c r="K196" i="219"/>
  <c r="K197" i="219"/>
  <c r="K198" i="219"/>
  <c r="K199" i="219"/>
  <c r="K200" i="219"/>
  <c r="K201" i="219"/>
  <c r="K202" i="219"/>
  <c r="K203" i="219"/>
  <c r="K204" i="219"/>
  <c r="K205" i="219"/>
  <c r="K206" i="219"/>
  <c r="K207" i="219"/>
  <c r="K208" i="219"/>
  <c r="K209" i="219"/>
  <c r="K210" i="219"/>
  <c r="K211" i="219"/>
  <c r="K212" i="219"/>
  <c r="K213" i="219"/>
  <c r="K214" i="219"/>
  <c r="K215" i="219"/>
  <c r="K216" i="219"/>
  <c r="K217" i="219"/>
  <c r="K218" i="219"/>
  <c r="K219" i="219"/>
  <c r="K220" i="219"/>
  <c r="K221" i="219"/>
  <c r="K222" i="219"/>
  <c r="K223" i="219"/>
  <c r="K224" i="219"/>
  <c r="K225" i="219"/>
  <c r="K226" i="219"/>
  <c r="K227" i="219"/>
  <c r="K228" i="219"/>
  <c r="K229" i="219"/>
  <c r="K230" i="219"/>
  <c r="K231" i="219"/>
  <c r="K232" i="219"/>
  <c r="K233" i="219"/>
  <c r="K234" i="219"/>
  <c r="K235" i="219"/>
  <c r="K236" i="219"/>
  <c r="K237" i="219"/>
  <c r="K238" i="219"/>
  <c r="K239" i="219"/>
  <c r="K240" i="219"/>
  <c r="K241" i="219"/>
  <c r="K242" i="219"/>
  <c r="K243" i="219"/>
  <c r="K244" i="219"/>
  <c r="K245" i="219"/>
  <c r="K246" i="219"/>
  <c r="K247" i="219"/>
  <c r="K248" i="219"/>
  <c r="K249" i="219"/>
  <c r="K250" i="219"/>
  <c r="K251" i="219"/>
  <c r="K252" i="219"/>
  <c r="K253" i="219"/>
  <c r="K254" i="219"/>
  <c r="K255" i="219"/>
  <c r="K256" i="219"/>
  <c r="K257" i="219"/>
  <c r="K258" i="219"/>
  <c r="K259" i="219"/>
  <c r="K260" i="219"/>
  <c r="K261" i="219"/>
  <c r="K262" i="219"/>
  <c r="K263" i="219"/>
  <c r="K264" i="219"/>
  <c r="K265" i="219"/>
  <c r="K266" i="219"/>
  <c r="K267" i="219"/>
  <c r="K268" i="219"/>
  <c r="K269" i="219"/>
  <c r="K270" i="219"/>
  <c r="K271" i="219"/>
  <c r="K272" i="219"/>
  <c r="K273" i="219"/>
  <c r="K274" i="219"/>
  <c r="K275" i="219"/>
  <c r="K276" i="219"/>
  <c r="K277" i="219"/>
  <c r="K278" i="219"/>
  <c r="K279" i="219"/>
  <c r="K280" i="219"/>
  <c r="K281" i="219"/>
  <c r="K282" i="219"/>
  <c r="K283" i="219"/>
  <c r="K284" i="219"/>
  <c r="K285" i="219"/>
  <c r="K3" i="219"/>
  <c r="A4" i="220" l="1"/>
  <c r="K4" i="220" s="1"/>
  <c r="A5" i="220"/>
  <c r="K5" i="220" s="1"/>
  <c r="A6" i="220"/>
  <c r="K6" i="220" s="1"/>
  <c r="A7" i="220"/>
  <c r="K7" i="220" s="1"/>
  <c r="A8" i="220"/>
  <c r="K8" i="220" s="1"/>
  <c r="A9" i="220"/>
  <c r="K9" i="220" s="1"/>
  <c r="A10" i="220"/>
  <c r="K10" i="220" s="1"/>
  <c r="A11" i="220"/>
  <c r="K11" i="220" s="1"/>
  <c r="A12" i="220"/>
  <c r="K12" i="220" s="1"/>
  <c r="A13" i="220"/>
  <c r="K13" i="220" s="1"/>
  <c r="A14" i="220"/>
  <c r="K14" i="220" s="1"/>
  <c r="A15" i="220"/>
  <c r="K15" i="220" s="1"/>
  <c r="A16" i="220"/>
  <c r="K16" i="220" s="1"/>
  <c r="A17" i="220"/>
  <c r="K17" i="220" s="1"/>
  <c r="A18" i="220"/>
  <c r="K18" i="220" s="1"/>
  <c r="A19" i="220"/>
  <c r="K19" i="220" s="1"/>
  <c r="A20" i="220"/>
  <c r="K20" i="220" s="1"/>
  <c r="A21" i="220"/>
  <c r="K21" i="220" s="1"/>
  <c r="A22" i="220"/>
  <c r="K22" i="220" s="1"/>
  <c r="A23" i="220"/>
  <c r="K23" i="220" s="1"/>
  <c r="A24" i="220"/>
  <c r="K24" i="220" s="1"/>
  <c r="A25" i="220"/>
  <c r="K25" i="220" s="1"/>
  <c r="A26" i="220"/>
  <c r="K26" i="220" s="1"/>
  <c r="A27" i="220"/>
  <c r="K27" i="220" s="1"/>
  <c r="A28" i="220"/>
  <c r="K28" i="220" s="1"/>
  <c r="A29" i="220"/>
  <c r="K29" i="220" s="1"/>
  <c r="A30" i="220"/>
  <c r="K30" i="220" s="1"/>
  <c r="A31" i="220"/>
  <c r="K31" i="220" s="1"/>
  <c r="A32" i="220"/>
  <c r="K32" i="220" s="1"/>
  <c r="A33" i="220"/>
  <c r="K33" i="220" s="1"/>
  <c r="A34" i="220"/>
  <c r="K34" i="220" s="1"/>
  <c r="A35" i="220"/>
  <c r="K35" i="220" s="1"/>
  <c r="A36" i="220"/>
  <c r="K36" i="220" s="1"/>
  <c r="A37" i="220"/>
  <c r="K37" i="220" s="1"/>
  <c r="A38" i="220"/>
  <c r="K38" i="220" s="1"/>
  <c r="A39" i="220"/>
  <c r="K39" i="220" s="1"/>
  <c r="A40" i="220"/>
  <c r="K40" i="220" s="1"/>
  <c r="A41" i="220"/>
  <c r="K41" i="220" s="1"/>
  <c r="A42" i="220"/>
  <c r="K42" i="220" s="1"/>
  <c r="A43" i="220"/>
  <c r="K43" i="220" s="1"/>
  <c r="A44" i="220"/>
  <c r="K44" i="220" s="1"/>
  <c r="A45" i="220"/>
  <c r="K45" i="220" s="1"/>
  <c r="A46" i="220"/>
  <c r="K46" i="220" s="1"/>
  <c r="A47" i="220"/>
  <c r="K47" i="220" s="1"/>
  <c r="A48" i="220"/>
  <c r="K48" i="220" s="1"/>
  <c r="A49" i="220"/>
  <c r="K49" i="220" s="1"/>
  <c r="A50" i="220"/>
  <c r="K50" i="220" s="1"/>
  <c r="A51" i="220"/>
  <c r="K51" i="220" s="1"/>
  <c r="A52" i="220"/>
  <c r="K52" i="220" s="1"/>
  <c r="A53" i="220"/>
  <c r="K53" i="220" s="1"/>
  <c r="A54" i="220"/>
  <c r="K54" i="220" s="1"/>
  <c r="A55" i="220"/>
  <c r="K55" i="220" s="1"/>
  <c r="A56" i="220"/>
  <c r="K56" i="220" s="1"/>
  <c r="A57" i="220"/>
  <c r="K57" i="220" s="1"/>
  <c r="A58" i="220"/>
  <c r="K58" i="220" s="1"/>
  <c r="A59" i="220"/>
  <c r="K59" i="220" s="1"/>
  <c r="A60" i="220"/>
  <c r="K60" i="220" s="1"/>
  <c r="A61" i="220"/>
  <c r="K61" i="220" s="1"/>
  <c r="A62" i="220"/>
  <c r="K62" i="220" s="1"/>
  <c r="A63" i="220"/>
  <c r="K63" i="220" s="1"/>
  <c r="A64" i="220"/>
  <c r="K64" i="220" s="1"/>
  <c r="A65" i="220"/>
  <c r="K65" i="220" s="1"/>
  <c r="A66" i="220"/>
  <c r="K66" i="220" s="1"/>
  <c r="A67" i="220"/>
  <c r="K67" i="220" s="1"/>
  <c r="A68" i="220"/>
  <c r="K68" i="220" s="1"/>
  <c r="A69" i="220"/>
  <c r="K69" i="220" s="1"/>
  <c r="A70" i="220"/>
  <c r="K70" i="220" s="1"/>
  <c r="A71" i="220"/>
  <c r="K71" i="220" s="1"/>
  <c r="A72" i="220"/>
  <c r="K72" i="220" s="1"/>
  <c r="A73" i="220"/>
  <c r="K73" i="220" s="1"/>
  <c r="A74" i="220"/>
  <c r="K74" i="220" s="1"/>
  <c r="A75" i="220"/>
  <c r="K75" i="220" s="1"/>
  <c r="A76" i="220"/>
  <c r="K76" i="220" s="1"/>
  <c r="A77" i="220"/>
  <c r="K77" i="220" s="1"/>
  <c r="A78" i="220"/>
  <c r="K78" i="220" s="1"/>
  <c r="A79" i="220"/>
  <c r="K79" i="220" s="1"/>
  <c r="A80" i="220"/>
  <c r="K80" i="220" s="1"/>
  <c r="A81" i="220"/>
  <c r="K81" i="220" s="1"/>
  <c r="A82" i="220"/>
  <c r="K82" i="220" s="1"/>
  <c r="A83" i="220"/>
  <c r="K83" i="220" s="1"/>
  <c r="A84" i="220"/>
  <c r="K84" i="220" s="1"/>
  <c r="A85" i="220"/>
  <c r="K85" i="220" s="1"/>
  <c r="A86" i="220"/>
  <c r="K86" i="220" s="1"/>
  <c r="A87" i="220"/>
  <c r="K87" i="220" s="1"/>
  <c r="A88" i="220"/>
  <c r="K88" i="220" s="1"/>
  <c r="A89" i="220"/>
  <c r="K89" i="220" s="1"/>
  <c r="A90" i="220"/>
  <c r="K90" i="220" s="1"/>
  <c r="A91" i="220"/>
  <c r="K91" i="220" s="1"/>
  <c r="A92" i="220"/>
  <c r="K92" i="220" s="1"/>
  <c r="A93" i="220"/>
  <c r="K93" i="220" s="1"/>
  <c r="A94" i="220"/>
  <c r="K94" i="220" s="1"/>
  <c r="A95" i="220"/>
  <c r="K95" i="220" s="1"/>
  <c r="A96" i="220"/>
  <c r="K96" i="220" s="1"/>
  <c r="A97" i="220"/>
  <c r="K97" i="220" s="1"/>
  <c r="A98" i="220"/>
  <c r="K98" i="220" s="1"/>
  <c r="A99" i="220"/>
  <c r="K99" i="220" s="1"/>
  <c r="A100" i="220"/>
  <c r="K100" i="220" s="1"/>
  <c r="A101" i="220"/>
  <c r="K101" i="220" s="1"/>
  <c r="A102" i="220"/>
  <c r="K102" i="220" s="1"/>
  <c r="A103" i="220"/>
  <c r="K103" i="220" s="1"/>
  <c r="A104" i="220"/>
  <c r="K104" i="220" s="1"/>
  <c r="A105" i="220"/>
  <c r="K105" i="220" s="1"/>
  <c r="A106" i="220"/>
  <c r="K106" i="220" s="1"/>
  <c r="A107" i="220"/>
  <c r="K107" i="220" s="1"/>
  <c r="A108" i="220"/>
  <c r="K108" i="220" s="1"/>
  <c r="A109" i="220"/>
  <c r="K109" i="220" s="1"/>
  <c r="A110" i="220"/>
  <c r="K110" i="220" s="1"/>
  <c r="A111" i="220"/>
  <c r="K111" i="220" s="1"/>
  <c r="A112" i="220"/>
  <c r="K112" i="220" s="1"/>
  <c r="A113" i="220"/>
  <c r="K113" i="220" s="1"/>
  <c r="A114" i="220"/>
  <c r="K114" i="220" s="1"/>
  <c r="A115" i="220"/>
  <c r="K115" i="220" s="1"/>
  <c r="A116" i="220"/>
  <c r="K116" i="220" s="1"/>
  <c r="A117" i="220"/>
  <c r="K117" i="220" s="1"/>
  <c r="A118" i="220"/>
  <c r="K118" i="220" s="1"/>
  <c r="A119" i="220"/>
  <c r="K119" i="220" s="1"/>
  <c r="A120" i="220"/>
  <c r="K120" i="220" s="1"/>
  <c r="A121" i="220"/>
  <c r="K121" i="220" s="1"/>
  <c r="A122" i="220"/>
  <c r="K122" i="220" s="1"/>
  <c r="A123" i="220"/>
  <c r="K123" i="220" s="1"/>
  <c r="A124" i="220"/>
  <c r="K124" i="220" s="1"/>
  <c r="A125" i="220"/>
  <c r="K125" i="220" s="1"/>
  <c r="A126" i="220"/>
  <c r="K126" i="220" s="1"/>
  <c r="A127" i="220"/>
  <c r="K127" i="220" s="1"/>
  <c r="A128" i="220"/>
  <c r="K128" i="220" s="1"/>
  <c r="A129" i="220"/>
  <c r="K129" i="220" s="1"/>
  <c r="A130" i="220"/>
  <c r="K130" i="220" s="1"/>
  <c r="A131" i="220"/>
  <c r="K131" i="220" s="1"/>
  <c r="A132" i="220"/>
  <c r="K132" i="220" s="1"/>
  <c r="A133" i="220"/>
  <c r="K133" i="220" s="1"/>
  <c r="A134" i="220"/>
  <c r="K134" i="220" s="1"/>
  <c r="A135" i="220"/>
  <c r="K135" i="220" s="1"/>
  <c r="A136" i="220"/>
  <c r="K136" i="220" s="1"/>
  <c r="A137" i="220"/>
  <c r="K137" i="220" s="1"/>
  <c r="A138" i="220"/>
  <c r="K138" i="220" s="1"/>
  <c r="A139" i="220"/>
  <c r="K139" i="220" s="1"/>
  <c r="A140" i="220"/>
  <c r="K140" i="220" s="1"/>
  <c r="A141" i="220"/>
  <c r="K141" i="220" s="1"/>
  <c r="A142" i="220"/>
  <c r="K142" i="220" s="1"/>
  <c r="A143" i="220"/>
  <c r="K143" i="220" s="1"/>
  <c r="A144" i="220"/>
  <c r="K144" i="220" s="1"/>
  <c r="A145" i="220"/>
  <c r="K145" i="220" s="1"/>
  <c r="A146" i="220"/>
  <c r="K146" i="220" s="1"/>
  <c r="A147" i="220"/>
  <c r="K147" i="220" s="1"/>
  <c r="A148" i="220"/>
  <c r="K148" i="220" s="1"/>
  <c r="A149" i="220"/>
  <c r="K149" i="220" s="1"/>
  <c r="A150" i="220"/>
  <c r="K150" i="220" s="1"/>
  <c r="A151" i="220"/>
  <c r="K151" i="220" s="1"/>
  <c r="A152" i="220"/>
  <c r="K152" i="220" s="1"/>
  <c r="A153" i="220"/>
  <c r="K153" i="220" s="1"/>
  <c r="A154" i="220"/>
  <c r="K154" i="220" s="1"/>
  <c r="A155" i="220"/>
  <c r="K155" i="220" s="1"/>
  <c r="A156" i="220"/>
  <c r="K156" i="220" s="1"/>
  <c r="A157" i="220"/>
  <c r="K157" i="220" s="1"/>
  <c r="A158" i="220"/>
  <c r="K158" i="220" s="1"/>
  <c r="A159" i="220"/>
  <c r="K159" i="220" s="1"/>
  <c r="A160" i="220"/>
  <c r="K160" i="220" s="1"/>
  <c r="A161" i="220"/>
  <c r="K161" i="220" s="1"/>
  <c r="A162" i="220"/>
  <c r="K162" i="220" s="1"/>
  <c r="A163" i="220"/>
  <c r="K163" i="220" s="1"/>
  <c r="A164" i="220"/>
  <c r="K164" i="220" s="1"/>
  <c r="A165" i="220"/>
  <c r="K165" i="220" s="1"/>
  <c r="A166" i="220"/>
  <c r="K166" i="220" s="1"/>
  <c r="A167" i="220"/>
  <c r="K167" i="220" s="1"/>
  <c r="A168" i="220"/>
  <c r="K168" i="220" s="1"/>
  <c r="A169" i="220"/>
  <c r="K169" i="220" s="1"/>
  <c r="A170" i="220"/>
  <c r="K170" i="220" s="1"/>
  <c r="A171" i="220"/>
  <c r="K171" i="220" s="1"/>
  <c r="A172" i="220"/>
  <c r="K172" i="220" s="1"/>
  <c r="A173" i="220"/>
  <c r="K173" i="220" s="1"/>
  <c r="A174" i="220"/>
  <c r="K174" i="220" s="1"/>
  <c r="A175" i="220"/>
  <c r="K175" i="220" s="1"/>
  <c r="A176" i="220"/>
  <c r="K176" i="220" s="1"/>
  <c r="A177" i="220"/>
  <c r="K177" i="220" s="1"/>
  <c r="A178" i="220"/>
  <c r="K178" i="220" s="1"/>
  <c r="A179" i="220"/>
  <c r="K179" i="220" s="1"/>
  <c r="A180" i="220"/>
  <c r="K180" i="220" s="1"/>
  <c r="A181" i="220"/>
  <c r="K181" i="220" s="1"/>
  <c r="A182" i="220"/>
  <c r="K182" i="220" s="1"/>
  <c r="A183" i="220"/>
  <c r="K183" i="220" s="1"/>
  <c r="A184" i="220"/>
  <c r="K184" i="220" s="1"/>
  <c r="A185" i="220"/>
  <c r="K185" i="220" s="1"/>
  <c r="A186" i="220"/>
  <c r="K186" i="220" s="1"/>
  <c r="A187" i="220"/>
  <c r="K187" i="220" s="1"/>
  <c r="A188" i="220"/>
  <c r="K188" i="220" s="1"/>
  <c r="A189" i="220"/>
  <c r="K189" i="220" s="1"/>
  <c r="A190" i="220"/>
  <c r="K190" i="220" s="1"/>
  <c r="A191" i="220"/>
  <c r="K191" i="220" s="1"/>
  <c r="A192" i="220"/>
  <c r="K192" i="220" s="1"/>
  <c r="A193" i="220"/>
  <c r="K193" i="220" s="1"/>
  <c r="A194" i="220"/>
  <c r="K194" i="220" s="1"/>
  <c r="A195" i="220"/>
  <c r="K195" i="220" s="1"/>
  <c r="A196" i="220"/>
  <c r="K196" i="220" s="1"/>
  <c r="A197" i="220"/>
  <c r="K197" i="220" s="1"/>
  <c r="A198" i="220"/>
  <c r="K198" i="220" s="1"/>
  <c r="A199" i="220"/>
  <c r="K199" i="220" s="1"/>
  <c r="A200" i="220"/>
  <c r="K200" i="220" s="1"/>
  <c r="A201" i="220"/>
  <c r="K201" i="220" s="1"/>
  <c r="A202" i="220"/>
  <c r="K202" i="220" s="1"/>
  <c r="A203" i="220"/>
  <c r="K203" i="220" s="1"/>
  <c r="A204" i="220"/>
  <c r="K204" i="220" s="1"/>
  <c r="A205" i="220"/>
  <c r="K205" i="220" s="1"/>
  <c r="A206" i="220"/>
  <c r="K206" i="220" s="1"/>
  <c r="A207" i="220"/>
  <c r="K207" i="220" s="1"/>
  <c r="A208" i="220"/>
  <c r="K208" i="220" s="1"/>
  <c r="A209" i="220"/>
  <c r="K209" i="220" s="1"/>
  <c r="A210" i="220"/>
  <c r="K210" i="220" s="1"/>
  <c r="A211" i="220"/>
  <c r="K211" i="220" s="1"/>
  <c r="A212" i="220"/>
  <c r="K212" i="220" s="1"/>
  <c r="A213" i="220"/>
  <c r="K213" i="220" s="1"/>
  <c r="A214" i="220"/>
  <c r="K214" i="220" s="1"/>
  <c r="A215" i="220"/>
  <c r="K215" i="220" s="1"/>
  <c r="A216" i="220"/>
  <c r="K216" i="220" s="1"/>
  <c r="A217" i="220"/>
  <c r="K217" i="220" s="1"/>
  <c r="A218" i="220"/>
  <c r="K218" i="220" s="1"/>
  <c r="A219" i="220"/>
  <c r="K219" i="220" s="1"/>
  <c r="A220" i="220"/>
  <c r="K220" i="220" s="1"/>
  <c r="A221" i="220"/>
  <c r="K221" i="220" s="1"/>
  <c r="A222" i="220"/>
  <c r="K222" i="220" s="1"/>
  <c r="A223" i="220"/>
  <c r="K223" i="220" s="1"/>
  <c r="A224" i="220"/>
  <c r="K224" i="220" s="1"/>
  <c r="A225" i="220"/>
  <c r="K225" i="220" s="1"/>
  <c r="A226" i="220"/>
  <c r="K226" i="220" s="1"/>
  <c r="A227" i="220"/>
  <c r="K227" i="220" s="1"/>
  <c r="A228" i="220"/>
  <c r="K228" i="220" s="1"/>
  <c r="A229" i="220"/>
  <c r="K229" i="220" s="1"/>
  <c r="A230" i="220"/>
  <c r="K230" i="220" s="1"/>
  <c r="A231" i="220"/>
  <c r="K231" i="220" s="1"/>
  <c r="A232" i="220"/>
  <c r="K232" i="220" s="1"/>
  <c r="A233" i="220"/>
  <c r="K233" i="220" s="1"/>
  <c r="A234" i="220"/>
  <c r="K234" i="220" s="1"/>
  <c r="A235" i="220"/>
  <c r="K235" i="220" s="1"/>
  <c r="A236" i="220"/>
  <c r="K236" i="220" s="1"/>
  <c r="A237" i="220"/>
  <c r="K237" i="220" s="1"/>
  <c r="A238" i="220"/>
  <c r="K238" i="220" s="1"/>
  <c r="A239" i="220"/>
  <c r="K239" i="220" s="1"/>
  <c r="A240" i="220"/>
  <c r="K240" i="220" s="1"/>
  <c r="A241" i="220"/>
  <c r="K241" i="220" s="1"/>
  <c r="A242" i="220"/>
  <c r="K242" i="220" s="1"/>
  <c r="A243" i="220"/>
  <c r="K243" i="220" s="1"/>
  <c r="A244" i="220"/>
  <c r="K244" i="220" s="1"/>
  <c r="A245" i="220"/>
  <c r="K245" i="220" s="1"/>
  <c r="A246" i="220"/>
  <c r="K246" i="220" s="1"/>
  <c r="A247" i="220"/>
  <c r="K247" i="220" s="1"/>
  <c r="A248" i="220"/>
  <c r="K248" i="220" s="1"/>
  <c r="A249" i="220"/>
  <c r="K249" i="220" s="1"/>
  <c r="A250" i="220"/>
  <c r="K250" i="220" s="1"/>
  <c r="A251" i="220"/>
  <c r="K251" i="220" s="1"/>
  <c r="A252" i="220"/>
  <c r="K252" i="220" s="1"/>
  <c r="A253" i="220"/>
  <c r="K253" i="220" s="1"/>
  <c r="A254" i="220"/>
  <c r="K254" i="220" s="1"/>
  <c r="A255" i="220"/>
  <c r="K255" i="220" s="1"/>
  <c r="A256" i="220"/>
  <c r="K256" i="220" s="1"/>
  <c r="A257" i="220"/>
  <c r="K257" i="220" s="1"/>
  <c r="A258" i="220"/>
  <c r="K258" i="220" s="1"/>
  <c r="A259" i="220"/>
  <c r="K259" i="220" s="1"/>
  <c r="A260" i="220"/>
  <c r="K260" i="220" s="1"/>
  <c r="A261" i="220"/>
  <c r="K261" i="220" s="1"/>
  <c r="A3" i="220"/>
  <c r="K3" i="220" s="1"/>
  <c r="J4" i="220"/>
  <c r="J5" i="220"/>
  <c r="J6" i="220"/>
  <c r="J7" i="220"/>
  <c r="J8" i="220"/>
  <c r="J9" i="220"/>
  <c r="J10" i="220"/>
  <c r="J11" i="220"/>
  <c r="J12" i="220"/>
  <c r="J13" i="220"/>
  <c r="J14" i="220"/>
  <c r="J15" i="220"/>
  <c r="J16" i="220"/>
  <c r="J17" i="220"/>
  <c r="J18" i="220"/>
  <c r="J19" i="220"/>
  <c r="J20" i="220"/>
  <c r="J21" i="220"/>
  <c r="J22" i="220"/>
  <c r="J23" i="220"/>
  <c r="J24" i="220"/>
  <c r="J25" i="220"/>
  <c r="J26" i="220"/>
  <c r="J27" i="220"/>
  <c r="J28" i="220"/>
  <c r="J29" i="220"/>
  <c r="J30" i="220"/>
  <c r="J31" i="220"/>
  <c r="J32" i="220"/>
  <c r="J33" i="220"/>
  <c r="J34" i="220"/>
  <c r="J35" i="220"/>
  <c r="J36" i="220"/>
  <c r="J37" i="220"/>
  <c r="J38" i="220"/>
  <c r="J39" i="220"/>
  <c r="J40" i="220"/>
  <c r="J41" i="220"/>
  <c r="J42" i="220"/>
  <c r="J43" i="220"/>
  <c r="J44" i="220"/>
  <c r="J45" i="220"/>
  <c r="J46" i="220"/>
  <c r="J47" i="220"/>
  <c r="J48" i="220"/>
  <c r="J49" i="220"/>
  <c r="J50" i="220"/>
  <c r="J51" i="220"/>
  <c r="J52" i="220"/>
  <c r="J53" i="220"/>
  <c r="J54" i="220"/>
  <c r="J55" i="220"/>
  <c r="J56" i="220"/>
  <c r="J57" i="220"/>
  <c r="J58" i="220"/>
  <c r="J59" i="220"/>
  <c r="J60" i="220"/>
  <c r="J61" i="220"/>
  <c r="J62" i="220"/>
  <c r="J63" i="220"/>
  <c r="J64" i="220"/>
  <c r="J65" i="220"/>
  <c r="J66" i="220"/>
  <c r="J67" i="220"/>
  <c r="J68" i="220"/>
  <c r="J69" i="220"/>
  <c r="J70" i="220"/>
  <c r="J71" i="220"/>
  <c r="J72" i="220"/>
  <c r="J73" i="220"/>
  <c r="J74" i="220"/>
  <c r="J75" i="220"/>
  <c r="J76" i="220"/>
  <c r="J77" i="220"/>
  <c r="J78" i="220"/>
  <c r="J79" i="220"/>
  <c r="J80" i="220"/>
  <c r="J81" i="220"/>
  <c r="J82" i="220"/>
  <c r="J83" i="220"/>
  <c r="J84" i="220"/>
  <c r="J85" i="220"/>
  <c r="J86" i="220"/>
  <c r="J87" i="220"/>
  <c r="J88" i="220"/>
  <c r="J89" i="220"/>
  <c r="J90" i="220"/>
  <c r="J91" i="220"/>
  <c r="J92" i="220"/>
  <c r="J93" i="220"/>
  <c r="J94" i="220"/>
  <c r="J95" i="220"/>
  <c r="J96" i="220"/>
  <c r="J97" i="220"/>
  <c r="J98" i="220"/>
  <c r="J99" i="220"/>
  <c r="J100" i="220"/>
  <c r="J101" i="220"/>
  <c r="J102" i="220"/>
  <c r="J103" i="220"/>
  <c r="J104" i="220"/>
  <c r="J105" i="220"/>
  <c r="J106" i="220"/>
  <c r="J107" i="220"/>
  <c r="J108" i="220"/>
  <c r="J109" i="220"/>
  <c r="J110" i="220"/>
  <c r="J111" i="220"/>
  <c r="J112" i="220"/>
  <c r="J113" i="220"/>
  <c r="J114" i="220"/>
  <c r="J115" i="220"/>
  <c r="J116" i="220"/>
  <c r="J117" i="220"/>
  <c r="J118" i="220"/>
  <c r="J119" i="220"/>
  <c r="J120" i="220"/>
  <c r="J121" i="220"/>
  <c r="J122" i="220"/>
  <c r="J123" i="220"/>
  <c r="J124" i="220"/>
  <c r="J125" i="220"/>
  <c r="J126" i="220"/>
  <c r="J127" i="220"/>
  <c r="J128" i="220"/>
  <c r="J129" i="220"/>
  <c r="J130" i="220"/>
  <c r="J131" i="220"/>
  <c r="J132" i="220"/>
  <c r="J133" i="220"/>
  <c r="J134" i="220"/>
  <c r="J135" i="220"/>
  <c r="J136" i="220"/>
  <c r="J137" i="220"/>
  <c r="J138" i="220"/>
  <c r="J139" i="220"/>
  <c r="J140" i="220"/>
  <c r="J141" i="220"/>
  <c r="J142" i="220"/>
  <c r="J143" i="220"/>
  <c r="J144" i="220"/>
  <c r="J145" i="220"/>
  <c r="J146" i="220"/>
  <c r="J147" i="220"/>
  <c r="J148" i="220"/>
  <c r="J149" i="220"/>
  <c r="J150" i="220"/>
  <c r="J151" i="220"/>
  <c r="J152" i="220"/>
  <c r="J153" i="220"/>
  <c r="J154" i="220"/>
  <c r="J155" i="220"/>
  <c r="J156" i="220"/>
  <c r="J157" i="220"/>
  <c r="J158" i="220"/>
  <c r="J159" i="220"/>
  <c r="J160" i="220"/>
  <c r="J161" i="220"/>
  <c r="J162" i="220"/>
  <c r="J163" i="220"/>
  <c r="J164" i="220"/>
  <c r="J165" i="220"/>
  <c r="J166" i="220"/>
  <c r="J167" i="220"/>
  <c r="J168" i="220"/>
  <c r="J169" i="220"/>
  <c r="J170" i="220"/>
  <c r="J171" i="220"/>
  <c r="J172" i="220"/>
  <c r="J173" i="220"/>
  <c r="J174" i="220"/>
  <c r="J175" i="220"/>
  <c r="J176" i="220"/>
  <c r="J177" i="220"/>
  <c r="J178" i="220"/>
  <c r="J179" i="220"/>
  <c r="J180" i="220"/>
  <c r="J181" i="220"/>
  <c r="J182" i="220"/>
  <c r="J183" i="220"/>
  <c r="J184" i="220"/>
  <c r="J185" i="220"/>
  <c r="J186" i="220"/>
  <c r="J187" i="220"/>
  <c r="J188" i="220"/>
  <c r="J189" i="220"/>
  <c r="J190" i="220"/>
  <c r="J191" i="220"/>
  <c r="J192" i="220"/>
  <c r="J193" i="220"/>
  <c r="J194" i="220"/>
  <c r="J195" i="220"/>
  <c r="J196" i="220"/>
  <c r="J197" i="220"/>
  <c r="J198" i="220"/>
  <c r="J199" i="220"/>
  <c r="J200" i="220"/>
  <c r="J201" i="220"/>
  <c r="J202" i="220"/>
  <c r="J203" i="220"/>
  <c r="J204" i="220"/>
  <c r="J205" i="220"/>
  <c r="J206" i="220"/>
  <c r="J207" i="220"/>
  <c r="J208" i="220"/>
  <c r="J209" i="220"/>
  <c r="J210" i="220"/>
  <c r="J211" i="220"/>
  <c r="J212" i="220"/>
  <c r="J213" i="220"/>
  <c r="J214" i="220"/>
  <c r="J215" i="220"/>
  <c r="J216" i="220"/>
  <c r="J217" i="220"/>
  <c r="J218" i="220"/>
  <c r="J219" i="220"/>
  <c r="J220" i="220"/>
  <c r="J221" i="220"/>
  <c r="J222" i="220"/>
  <c r="J223" i="220"/>
  <c r="J224" i="220"/>
  <c r="J225" i="220"/>
  <c r="J226" i="220"/>
  <c r="J227" i="220"/>
  <c r="J228" i="220"/>
  <c r="J229" i="220"/>
  <c r="J230" i="220"/>
  <c r="J231" i="220"/>
  <c r="J232" i="220"/>
  <c r="J233" i="220"/>
  <c r="J234" i="220"/>
  <c r="J235" i="220"/>
  <c r="J236" i="220"/>
  <c r="J237" i="220"/>
  <c r="J238" i="220"/>
  <c r="J239" i="220"/>
  <c r="J240" i="220"/>
  <c r="J241" i="220"/>
  <c r="J242" i="220"/>
  <c r="J243" i="220"/>
  <c r="J244" i="220"/>
  <c r="J245" i="220"/>
  <c r="J246" i="220"/>
  <c r="J247" i="220"/>
  <c r="J248" i="220"/>
  <c r="J249" i="220"/>
  <c r="J250" i="220"/>
  <c r="J251" i="220"/>
  <c r="J252" i="220"/>
  <c r="J253" i="220"/>
  <c r="J254" i="220"/>
  <c r="J255" i="220"/>
  <c r="J256" i="220"/>
  <c r="J257" i="220"/>
  <c r="J258" i="220"/>
  <c r="J259" i="220"/>
  <c r="J260" i="220"/>
  <c r="J261" i="220"/>
  <c r="J3" i="220"/>
  <c r="J285" i="219" l="1"/>
  <c r="A285" i="219"/>
  <c r="J284" i="219"/>
  <c r="A284" i="219"/>
  <c r="J283" i="219"/>
  <c r="A283" i="219"/>
  <c r="J282" i="219"/>
  <c r="A282" i="219"/>
  <c r="J281" i="219"/>
  <c r="A281" i="219"/>
  <c r="J280" i="219"/>
  <c r="A280" i="219"/>
  <c r="J279" i="219"/>
  <c r="A279" i="219"/>
  <c r="J278" i="219"/>
  <c r="A278" i="219"/>
  <c r="J277" i="219"/>
  <c r="A277" i="219"/>
  <c r="J276" i="219"/>
  <c r="A276" i="219"/>
  <c r="J275" i="219"/>
  <c r="A275" i="219"/>
  <c r="J274" i="219"/>
  <c r="A274" i="219"/>
  <c r="J273" i="219"/>
  <c r="A273" i="219"/>
  <c r="J272" i="219"/>
  <c r="A272" i="219"/>
  <c r="J271" i="219"/>
  <c r="A271" i="219"/>
  <c r="J270" i="219"/>
  <c r="A270" i="219"/>
  <c r="J269" i="219"/>
  <c r="A269" i="219"/>
  <c r="J268" i="219"/>
  <c r="A268" i="219"/>
  <c r="J267" i="219"/>
  <c r="A267" i="219"/>
  <c r="J266" i="219"/>
  <c r="A266" i="219"/>
  <c r="J265" i="219"/>
  <c r="A265" i="219"/>
  <c r="J264" i="219"/>
  <c r="A264" i="219"/>
  <c r="J263" i="219"/>
  <c r="A263" i="219"/>
  <c r="J262" i="219"/>
  <c r="A262" i="219"/>
  <c r="J261" i="219"/>
  <c r="A261" i="219"/>
  <c r="J260" i="219"/>
  <c r="A260" i="219"/>
  <c r="J259" i="219"/>
  <c r="A259" i="219"/>
  <c r="J258" i="219"/>
  <c r="A258" i="219"/>
  <c r="J257" i="219"/>
  <c r="A257" i="219"/>
  <c r="J256" i="219"/>
  <c r="A256" i="219"/>
  <c r="J255" i="219"/>
  <c r="A255" i="219"/>
  <c r="J254" i="219"/>
  <c r="A254" i="219"/>
  <c r="J253" i="219"/>
  <c r="A253" i="219"/>
  <c r="J252" i="219"/>
  <c r="A252" i="219"/>
  <c r="J251" i="219"/>
  <c r="A251" i="219"/>
  <c r="J250" i="219"/>
  <c r="A250" i="219"/>
  <c r="J249" i="219"/>
  <c r="A249" i="219"/>
  <c r="J248" i="219"/>
  <c r="A248" i="219"/>
  <c r="J247" i="219"/>
  <c r="A247" i="219"/>
  <c r="J246" i="219"/>
  <c r="A246" i="219"/>
  <c r="J245" i="219"/>
  <c r="A245" i="219"/>
  <c r="J244" i="219"/>
  <c r="A244" i="219"/>
  <c r="J243" i="219"/>
  <c r="A243" i="219"/>
  <c r="J242" i="219"/>
  <c r="A242" i="219"/>
  <c r="J241" i="219"/>
  <c r="A241" i="219"/>
  <c r="J240" i="219"/>
  <c r="A240" i="219"/>
  <c r="J239" i="219"/>
  <c r="A239" i="219"/>
  <c r="J238" i="219"/>
  <c r="A238" i="219"/>
  <c r="J237" i="219"/>
  <c r="A237" i="219"/>
  <c r="J236" i="219"/>
  <c r="A236" i="219"/>
  <c r="J235" i="219"/>
  <c r="A235" i="219"/>
  <c r="J234" i="219"/>
  <c r="A234" i="219"/>
  <c r="J233" i="219"/>
  <c r="A233" i="219"/>
  <c r="J232" i="219"/>
  <c r="A232" i="219"/>
  <c r="J231" i="219"/>
  <c r="A231" i="219"/>
  <c r="J230" i="219"/>
  <c r="A230" i="219"/>
  <c r="J229" i="219"/>
  <c r="A229" i="219"/>
  <c r="J228" i="219"/>
  <c r="A228" i="219"/>
  <c r="J227" i="219"/>
  <c r="A227" i="219"/>
  <c r="J226" i="219"/>
  <c r="A226" i="219"/>
  <c r="J225" i="219"/>
  <c r="A225" i="219"/>
  <c r="J224" i="219"/>
  <c r="A224" i="219"/>
  <c r="J223" i="219"/>
  <c r="A223" i="219"/>
  <c r="J222" i="219"/>
  <c r="A222" i="219"/>
  <c r="J221" i="219"/>
  <c r="A221" i="219"/>
  <c r="J220" i="219"/>
  <c r="A220" i="219"/>
  <c r="J219" i="219"/>
  <c r="A219" i="219"/>
  <c r="J218" i="219"/>
  <c r="A218" i="219"/>
  <c r="J217" i="219"/>
  <c r="A217" i="219"/>
  <c r="J216" i="219"/>
  <c r="A216" i="219"/>
  <c r="J215" i="219"/>
  <c r="A215" i="219"/>
  <c r="J214" i="219"/>
  <c r="A214" i="219"/>
  <c r="J213" i="219"/>
  <c r="A213" i="219"/>
  <c r="J212" i="219"/>
  <c r="A212" i="219"/>
  <c r="J211" i="219"/>
  <c r="A211" i="219"/>
  <c r="J210" i="219"/>
  <c r="A210" i="219"/>
  <c r="J209" i="219"/>
  <c r="A209" i="219"/>
  <c r="J208" i="219"/>
  <c r="A208" i="219"/>
  <c r="J207" i="219"/>
  <c r="A207" i="219"/>
  <c r="J206" i="219"/>
  <c r="A206" i="219"/>
  <c r="J205" i="219"/>
  <c r="A205" i="219"/>
  <c r="J204" i="219"/>
  <c r="A204" i="219"/>
  <c r="J203" i="219"/>
  <c r="A203" i="219"/>
  <c r="J202" i="219"/>
  <c r="A202" i="219"/>
  <c r="J201" i="219"/>
  <c r="A201" i="219"/>
  <c r="J200" i="219"/>
  <c r="A200" i="219"/>
  <c r="J199" i="219"/>
  <c r="A199" i="219"/>
  <c r="J198" i="219"/>
  <c r="A198" i="219"/>
  <c r="J197" i="219"/>
  <c r="A197" i="219"/>
  <c r="J196" i="219"/>
  <c r="A196" i="219"/>
  <c r="J195" i="219"/>
  <c r="A195" i="219"/>
  <c r="J194" i="219"/>
  <c r="A194" i="219"/>
  <c r="J193" i="219"/>
  <c r="A193" i="219"/>
  <c r="J192" i="219"/>
  <c r="A192" i="219"/>
  <c r="J191" i="219"/>
  <c r="A191" i="219"/>
  <c r="J190" i="219"/>
  <c r="A190" i="219"/>
  <c r="J189" i="219"/>
  <c r="A189" i="219"/>
  <c r="J188" i="219"/>
  <c r="A188" i="219"/>
  <c r="J187" i="219"/>
  <c r="A187" i="219"/>
  <c r="J186" i="219"/>
  <c r="A186" i="219"/>
  <c r="J185" i="219"/>
  <c r="A185" i="219"/>
  <c r="J184" i="219"/>
  <c r="A184" i="219"/>
  <c r="J183" i="219"/>
  <c r="A183" i="219"/>
  <c r="J182" i="219"/>
  <c r="A182" i="219"/>
  <c r="J181" i="219"/>
  <c r="A181" i="219"/>
  <c r="J180" i="219"/>
  <c r="A180" i="219"/>
  <c r="J179" i="219"/>
  <c r="A179" i="219"/>
  <c r="J178" i="219"/>
  <c r="A178" i="219"/>
  <c r="J177" i="219"/>
  <c r="A177" i="219"/>
  <c r="J176" i="219"/>
  <c r="A176" i="219"/>
  <c r="J175" i="219"/>
  <c r="A175" i="219"/>
  <c r="J174" i="219"/>
  <c r="A174" i="219"/>
  <c r="J173" i="219"/>
  <c r="A173" i="219"/>
  <c r="J172" i="219"/>
  <c r="A172" i="219"/>
  <c r="J171" i="219"/>
  <c r="A171" i="219"/>
  <c r="J170" i="219"/>
  <c r="A170" i="219"/>
  <c r="J169" i="219"/>
  <c r="A169" i="219"/>
  <c r="J168" i="219"/>
  <c r="A168" i="219"/>
  <c r="J167" i="219"/>
  <c r="A167" i="219"/>
  <c r="J166" i="219"/>
  <c r="A166" i="219"/>
  <c r="J165" i="219"/>
  <c r="A165" i="219"/>
  <c r="J164" i="219"/>
  <c r="A164" i="219"/>
  <c r="J163" i="219"/>
  <c r="A163" i="219"/>
  <c r="J162" i="219"/>
  <c r="A162" i="219"/>
  <c r="J161" i="219"/>
  <c r="A161" i="219"/>
  <c r="J160" i="219"/>
  <c r="A160" i="219"/>
  <c r="J159" i="219"/>
  <c r="A159" i="219"/>
  <c r="J158" i="219"/>
  <c r="A158" i="219"/>
  <c r="J157" i="219"/>
  <c r="A157" i="219"/>
  <c r="J156" i="219"/>
  <c r="A156" i="219"/>
  <c r="J155" i="219"/>
  <c r="A155" i="219"/>
  <c r="J154" i="219"/>
  <c r="A154" i="219"/>
  <c r="J153" i="219"/>
  <c r="A153" i="219"/>
  <c r="J152" i="219"/>
  <c r="A152" i="219"/>
  <c r="J151" i="219"/>
  <c r="A151" i="219"/>
  <c r="J150" i="219"/>
  <c r="A150" i="219"/>
  <c r="J149" i="219"/>
  <c r="A149" i="219"/>
  <c r="J148" i="219"/>
  <c r="A148" i="219"/>
  <c r="J147" i="219"/>
  <c r="A147" i="219"/>
  <c r="J146" i="219"/>
  <c r="A146" i="219"/>
  <c r="J145" i="219"/>
  <c r="A145" i="219"/>
  <c r="J144" i="219"/>
  <c r="A144" i="219"/>
  <c r="J143" i="219"/>
  <c r="A143" i="219"/>
  <c r="J142" i="219"/>
  <c r="A142" i="219"/>
  <c r="J141" i="219"/>
  <c r="A141" i="219"/>
  <c r="J140" i="219"/>
  <c r="A140" i="219"/>
  <c r="J139" i="219"/>
  <c r="A139" i="219"/>
  <c r="J138" i="219"/>
  <c r="A138" i="219"/>
  <c r="J137" i="219"/>
  <c r="A137" i="219"/>
  <c r="J136" i="219"/>
  <c r="A136" i="219"/>
  <c r="J135" i="219"/>
  <c r="A135" i="219"/>
  <c r="J134" i="219"/>
  <c r="A134" i="219"/>
  <c r="J133" i="219"/>
  <c r="A133" i="219"/>
  <c r="J132" i="219"/>
  <c r="A132" i="219"/>
  <c r="J131" i="219"/>
  <c r="A131" i="219"/>
  <c r="J130" i="219"/>
  <c r="A130" i="219"/>
  <c r="J129" i="219"/>
  <c r="A129" i="219"/>
  <c r="J128" i="219"/>
  <c r="A128" i="219"/>
  <c r="J127" i="219"/>
  <c r="A127" i="219"/>
  <c r="J126" i="219"/>
  <c r="A126" i="219"/>
  <c r="J125" i="219"/>
  <c r="A125" i="219"/>
  <c r="J124" i="219"/>
  <c r="A124" i="219"/>
  <c r="J123" i="219"/>
  <c r="A123" i="219"/>
  <c r="J122" i="219"/>
  <c r="A122" i="219"/>
  <c r="J121" i="219"/>
  <c r="A121" i="219"/>
  <c r="J120" i="219"/>
  <c r="A120" i="219"/>
  <c r="J119" i="219"/>
  <c r="A119" i="219"/>
  <c r="J118" i="219"/>
  <c r="A118" i="219"/>
  <c r="J117" i="219"/>
  <c r="A117" i="219"/>
  <c r="J116" i="219"/>
  <c r="A116" i="219"/>
  <c r="J115" i="219"/>
  <c r="A115" i="219"/>
  <c r="J114" i="219"/>
  <c r="A114" i="219"/>
  <c r="J113" i="219"/>
  <c r="A113" i="219"/>
  <c r="J112" i="219"/>
  <c r="A112" i="219"/>
  <c r="J111" i="219"/>
  <c r="A111" i="219"/>
  <c r="J110" i="219"/>
  <c r="A110" i="219"/>
  <c r="J109" i="219"/>
  <c r="A109" i="219"/>
  <c r="J108" i="219"/>
  <c r="A108" i="219"/>
  <c r="J107" i="219"/>
  <c r="A107" i="219"/>
  <c r="J106" i="219"/>
  <c r="A106" i="219"/>
  <c r="J105" i="219"/>
  <c r="A105" i="219"/>
  <c r="J104" i="219"/>
  <c r="A104" i="219"/>
  <c r="J103" i="219"/>
  <c r="A103" i="219"/>
  <c r="J102" i="219"/>
  <c r="A102" i="219"/>
  <c r="J101" i="219"/>
  <c r="A101" i="219"/>
  <c r="J100" i="219"/>
  <c r="A100" i="219"/>
  <c r="J99" i="219"/>
  <c r="A99" i="219"/>
  <c r="J98" i="219"/>
  <c r="A98" i="219"/>
  <c r="J97" i="219"/>
  <c r="A97" i="219"/>
  <c r="J96" i="219"/>
  <c r="A96" i="219"/>
  <c r="J95" i="219"/>
  <c r="A95" i="219"/>
  <c r="J94" i="219"/>
  <c r="A94" i="219"/>
  <c r="J93" i="219"/>
  <c r="A93" i="219"/>
  <c r="J92" i="219"/>
  <c r="A92" i="219"/>
  <c r="J91" i="219"/>
  <c r="A91" i="219"/>
  <c r="J90" i="219"/>
  <c r="A90" i="219"/>
  <c r="J89" i="219"/>
  <c r="A89" i="219"/>
  <c r="J88" i="219"/>
  <c r="A88" i="219"/>
  <c r="J87" i="219"/>
  <c r="A87" i="219"/>
  <c r="J86" i="219"/>
  <c r="A86" i="219"/>
  <c r="J85" i="219"/>
  <c r="A85" i="219"/>
  <c r="J84" i="219"/>
  <c r="A84" i="219"/>
  <c r="J83" i="219"/>
  <c r="A83" i="219"/>
  <c r="J82" i="219"/>
  <c r="A82" i="219"/>
  <c r="J81" i="219"/>
  <c r="A81" i="219"/>
  <c r="J80" i="219"/>
  <c r="A80" i="219"/>
  <c r="J79" i="219"/>
  <c r="A79" i="219"/>
  <c r="J78" i="219"/>
  <c r="A78" i="219"/>
  <c r="J77" i="219"/>
  <c r="A77" i="219"/>
  <c r="J76" i="219"/>
  <c r="A76" i="219"/>
  <c r="J75" i="219"/>
  <c r="A75" i="219"/>
  <c r="J74" i="219"/>
  <c r="A74" i="219"/>
  <c r="J73" i="219"/>
  <c r="A73" i="219"/>
  <c r="J72" i="219"/>
  <c r="A72" i="219"/>
  <c r="J71" i="219"/>
  <c r="A71" i="219"/>
  <c r="J70" i="219"/>
  <c r="A70" i="219"/>
  <c r="J69" i="219"/>
  <c r="A69" i="219"/>
  <c r="J68" i="219"/>
  <c r="A68" i="219"/>
  <c r="J67" i="219"/>
  <c r="A67" i="219"/>
  <c r="J66" i="219"/>
  <c r="A66" i="219"/>
  <c r="J65" i="219"/>
  <c r="A65" i="219"/>
  <c r="J64" i="219"/>
  <c r="A64" i="219"/>
  <c r="J63" i="219"/>
  <c r="A63" i="219"/>
  <c r="J62" i="219"/>
  <c r="A62" i="219"/>
  <c r="J61" i="219"/>
  <c r="A61" i="219"/>
  <c r="J60" i="219"/>
  <c r="A60" i="219"/>
  <c r="J59" i="219"/>
  <c r="A59" i="219"/>
  <c r="J58" i="219"/>
  <c r="A58" i="219"/>
  <c r="J57" i="219"/>
  <c r="A57" i="219"/>
  <c r="J56" i="219"/>
  <c r="A56" i="219"/>
  <c r="J55" i="219"/>
  <c r="A55" i="219"/>
  <c r="J54" i="219"/>
  <c r="A54" i="219"/>
  <c r="J53" i="219"/>
  <c r="A53" i="219"/>
  <c r="J52" i="219"/>
  <c r="A52" i="219"/>
  <c r="J51" i="219"/>
  <c r="A51" i="219"/>
  <c r="J50" i="219"/>
  <c r="A50" i="219"/>
  <c r="J49" i="219"/>
  <c r="A49" i="219"/>
  <c r="J48" i="219"/>
  <c r="A48" i="219"/>
  <c r="J47" i="219"/>
  <c r="A47" i="219"/>
  <c r="J46" i="219"/>
  <c r="A46" i="219"/>
  <c r="J45" i="219"/>
  <c r="A45" i="219"/>
  <c r="J44" i="219"/>
  <c r="A44" i="219"/>
  <c r="J43" i="219"/>
  <c r="A43" i="219"/>
  <c r="J42" i="219"/>
  <c r="A42" i="219"/>
  <c r="J41" i="219"/>
  <c r="A41" i="219"/>
  <c r="J40" i="219"/>
  <c r="A40" i="219"/>
  <c r="J39" i="219"/>
  <c r="A39" i="219"/>
  <c r="J38" i="219"/>
  <c r="A38" i="219"/>
  <c r="J37" i="219"/>
  <c r="A37" i="219"/>
  <c r="J36" i="219"/>
  <c r="A36" i="219"/>
  <c r="J35" i="219"/>
  <c r="A35" i="219"/>
  <c r="J34" i="219"/>
  <c r="A34" i="219"/>
  <c r="J33" i="219"/>
  <c r="A33" i="219"/>
  <c r="J32" i="219"/>
  <c r="A32" i="219"/>
  <c r="J31" i="219"/>
  <c r="A31" i="219"/>
  <c r="J30" i="219"/>
  <c r="A30" i="219"/>
  <c r="J29" i="219"/>
  <c r="A29" i="219"/>
  <c r="J28" i="219"/>
  <c r="A28" i="219"/>
  <c r="J27" i="219"/>
  <c r="A27" i="219"/>
  <c r="J26" i="219"/>
  <c r="A26" i="219"/>
  <c r="J25" i="219"/>
  <c r="A25" i="219"/>
  <c r="J24" i="219"/>
  <c r="A24" i="219"/>
  <c r="J23" i="219"/>
  <c r="A23" i="219"/>
  <c r="J22" i="219"/>
  <c r="A22" i="219"/>
  <c r="J21" i="219"/>
  <c r="A21" i="219"/>
  <c r="J20" i="219"/>
  <c r="A20" i="219"/>
  <c r="J19" i="219"/>
  <c r="A19" i="219"/>
  <c r="J18" i="219"/>
  <c r="A18" i="219"/>
  <c r="J17" i="219"/>
  <c r="A17" i="219"/>
  <c r="J16" i="219"/>
  <c r="A16" i="219"/>
  <c r="J15" i="219"/>
  <c r="A15" i="219"/>
  <c r="J14" i="219"/>
  <c r="A14" i="219"/>
  <c r="J13" i="219"/>
  <c r="A13" i="219"/>
  <c r="J12" i="219"/>
  <c r="A12" i="219"/>
  <c r="J11" i="219"/>
  <c r="A11" i="219"/>
  <c r="J10" i="219"/>
  <c r="A10" i="219"/>
  <c r="J9" i="219"/>
  <c r="A9" i="219"/>
  <c r="J8" i="219"/>
  <c r="A8" i="219"/>
  <c r="J7" i="219"/>
  <c r="A7" i="219"/>
  <c r="J6" i="219"/>
  <c r="A6" i="219"/>
  <c r="J5" i="219"/>
  <c r="A5" i="219"/>
  <c r="J4" i="219"/>
  <c r="A4" i="219"/>
  <c r="J3" i="219"/>
  <c r="A3" i="219"/>
  <c r="J281" i="218"/>
  <c r="A281" i="218"/>
  <c r="K281" i="218" s="1"/>
  <c r="J280" i="218"/>
  <c r="A280" i="218"/>
  <c r="K280" i="218" s="1"/>
  <c r="J279" i="218"/>
  <c r="A279" i="218"/>
  <c r="K279" i="218" s="1"/>
  <c r="J278" i="218"/>
  <c r="A278" i="218"/>
  <c r="K278" i="218" s="1"/>
  <c r="K277" i="218"/>
  <c r="J277" i="218"/>
  <c r="A277" i="218"/>
  <c r="J276" i="218"/>
  <c r="A276" i="218"/>
  <c r="K276" i="218" s="1"/>
  <c r="K275" i="218"/>
  <c r="J275" i="218"/>
  <c r="A275" i="218"/>
  <c r="J274" i="218"/>
  <c r="A274" i="218"/>
  <c r="K274" i="218" s="1"/>
  <c r="J273" i="218"/>
  <c r="A273" i="218"/>
  <c r="K273" i="218" s="1"/>
  <c r="J272" i="218"/>
  <c r="A272" i="218"/>
  <c r="K272" i="218" s="1"/>
  <c r="J271" i="218"/>
  <c r="A271" i="218"/>
  <c r="K271" i="218" s="1"/>
  <c r="J270" i="218"/>
  <c r="A270" i="218"/>
  <c r="K270" i="218" s="1"/>
  <c r="J269" i="218"/>
  <c r="A269" i="218"/>
  <c r="K269" i="218" s="1"/>
  <c r="J268" i="218"/>
  <c r="A268" i="218"/>
  <c r="K268" i="218" s="1"/>
  <c r="J267" i="218"/>
  <c r="A267" i="218"/>
  <c r="K267" i="218" s="1"/>
  <c r="J266" i="218"/>
  <c r="A266" i="218"/>
  <c r="K266" i="218" s="1"/>
  <c r="J265" i="218"/>
  <c r="A265" i="218"/>
  <c r="K265" i="218" s="1"/>
  <c r="K264" i="218"/>
  <c r="J264" i="218"/>
  <c r="A264" i="218"/>
  <c r="J263" i="218"/>
  <c r="A263" i="218"/>
  <c r="K263" i="218" s="1"/>
  <c r="K262" i="218"/>
  <c r="J262" i="218"/>
  <c r="A262" i="218"/>
  <c r="J261" i="218"/>
  <c r="A261" i="218"/>
  <c r="K261" i="218" s="1"/>
  <c r="J260" i="218"/>
  <c r="A260" i="218"/>
  <c r="K260" i="218" s="1"/>
  <c r="J259" i="218"/>
  <c r="A259" i="218"/>
  <c r="K259" i="218" s="1"/>
  <c r="J258" i="218"/>
  <c r="A258" i="218"/>
  <c r="K258" i="218" s="1"/>
  <c r="K257" i="218"/>
  <c r="J257" i="218"/>
  <c r="A257" i="218"/>
  <c r="J256" i="218"/>
  <c r="A256" i="218"/>
  <c r="K256" i="218" s="1"/>
  <c r="K255" i="218"/>
  <c r="J255" i="218"/>
  <c r="A255" i="218"/>
  <c r="J254" i="218"/>
  <c r="A254" i="218"/>
  <c r="K254" i="218" s="1"/>
  <c r="J253" i="218"/>
  <c r="A253" i="218"/>
  <c r="K253" i="218" s="1"/>
  <c r="J252" i="218"/>
  <c r="A252" i="218"/>
  <c r="K252" i="218" s="1"/>
  <c r="J251" i="218"/>
  <c r="A251" i="218"/>
  <c r="K251" i="218" s="1"/>
  <c r="J250" i="218"/>
  <c r="A250" i="218"/>
  <c r="K250" i="218" s="1"/>
  <c r="J249" i="218"/>
  <c r="A249" i="218"/>
  <c r="K249" i="218" s="1"/>
  <c r="J248" i="218"/>
  <c r="A248" i="218"/>
  <c r="K248" i="218" s="1"/>
  <c r="J247" i="218"/>
  <c r="A247" i="218"/>
  <c r="K247" i="218" s="1"/>
  <c r="J246" i="218"/>
  <c r="A246" i="218"/>
  <c r="K246" i="218" s="1"/>
  <c r="J245" i="218"/>
  <c r="A245" i="218"/>
  <c r="K245" i="218" s="1"/>
  <c r="K244" i="218"/>
  <c r="J244" i="218"/>
  <c r="A244" i="218"/>
  <c r="J243" i="218"/>
  <c r="A243" i="218"/>
  <c r="K243" i="218" s="1"/>
  <c r="K242" i="218"/>
  <c r="J242" i="218"/>
  <c r="A242" i="218"/>
  <c r="J241" i="218"/>
  <c r="A241" i="218"/>
  <c r="K241" i="218" s="1"/>
  <c r="J240" i="218"/>
  <c r="A240" i="218"/>
  <c r="K240" i="218" s="1"/>
  <c r="J239" i="218"/>
  <c r="A239" i="218"/>
  <c r="K239" i="218" s="1"/>
  <c r="J238" i="218"/>
  <c r="A238" i="218"/>
  <c r="K238" i="218" s="1"/>
  <c r="K237" i="218"/>
  <c r="J237" i="218"/>
  <c r="A237" i="218"/>
  <c r="J236" i="218"/>
  <c r="A236" i="218"/>
  <c r="K236" i="218" s="1"/>
  <c r="K235" i="218"/>
  <c r="J235" i="218"/>
  <c r="A235" i="218"/>
  <c r="J234" i="218"/>
  <c r="A234" i="218"/>
  <c r="K234" i="218" s="1"/>
  <c r="J233" i="218"/>
  <c r="A233" i="218"/>
  <c r="K233" i="218" s="1"/>
  <c r="J232" i="218"/>
  <c r="A232" i="218"/>
  <c r="K232" i="218" s="1"/>
  <c r="J231" i="218"/>
  <c r="A231" i="218"/>
  <c r="K231" i="218" s="1"/>
  <c r="J230" i="218"/>
  <c r="A230" i="218"/>
  <c r="K230" i="218" s="1"/>
  <c r="J229" i="218"/>
  <c r="A229" i="218"/>
  <c r="K229" i="218" s="1"/>
  <c r="J228" i="218"/>
  <c r="A228" i="218"/>
  <c r="K228" i="218" s="1"/>
  <c r="J227" i="218"/>
  <c r="A227" i="218"/>
  <c r="K227" i="218" s="1"/>
  <c r="J226" i="218"/>
  <c r="A226" i="218"/>
  <c r="K226" i="218" s="1"/>
  <c r="J225" i="218"/>
  <c r="A225" i="218"/>
  <c r="K225" i="218" s="1"/>
  <c r="K224" i="218"/>
  <c r="J224" i="218"/>
  <c r="A224" i="218"/>
  <c r="J223" i="218"/>
  <c r="A223" i="218"/>
  <c r="K223" i="218" s="1"/>
  <c r="K222" i="218"/>
  <c r="J222" i="218"/>
  <c r="A222" i="218"/>
  <c r="J221" i="218"/>
  <c r="A221" i="218"/>
  <c r="K221" i="218" s="1"/>
  <c r="J220" i="218"/>
  <c r="A220" i="218"/>
  <c r="K220" i="218" s="1"/>
  <c r="J219" i="218"/>
  <c r="A219" i="218"/>
  <c r="K219" i="218" s="1"/>
  <c r="J218" i="218"/>
  <c r="A218" i="218"/>
  <c r="K218" i="218" s="1"/>
  <c r="K217" i="218"/>
  <c r="J217" i="218"/>
  <c r="A217" i="218"/>
  <c r="J216" i="218"/>
  <c r="A216" i="218"/>
  <c r="K216" i="218" s="1"/>
  <c r="K215" i="218"/>
  <c r="J215" i="218"/>
  <c r="A215" i="218"/>
  <c r="J214" i="218"/>
  <c r="A214" i="218"/>
  <c r="K214" i="218" s="1"/>
  <c r="J213" i="218"/>
  <c r="A213" i="218"/>
  <c r="K213" i="218" s="1"/>
  <c r="J212" i="218"/>
  <c r="A212" i="218"/>
  <c r="K212" i="218" s="1"/>
  <c r="J211" i="218"/>
  <c r="A211" i="218"/>
  <c r="K211" i="218" s="1"/>
  <c r="J210" i="218"/>
  <c r="A210" i="218"/>
  <c r="K210" i="218" s="1"/>
  <c r="J209" i="218"/>
  <c r="A209" i="218"/>
  <c r="K209" i="218" s="1"/>
  <c r="J208" i="218"/>
  <c r="A208" i="218"/>
  <c r="K208" i="218" s="1"/>
  <c r="J207" i="218"/>
  <c r="A207" i="218"/>
  <c r="K207" i="218" s="1"/>
  <c r="J206" i="218"/>
  <c r="A206" i="218"/>
  <c r="K206" i="218" s="1"/>
  <c r="J205" i="218"/>
  <c r="A205" i="218"/>
  <c r="K205" i="218" s="1"/>
  <c r="K204" i="218"/>
  <c r="J204" i="218"/>
  <c r="A204" i="218"/>
  <c r="J203" i="218"/>
  <c r="A203" i="218"/>
  <c r="K203" i="218" s="1"/>
  <c r="K202" i="218"/>
  <c r="J202" i="218"/>
  <c r="A202" i="218"/>
  <c r="J201" i="218"/>
  <c r="A201" i="218"/>
  <c r="K201" i="218" s="1"/>
  <c r="J200" i="218"/>
  <c r="A200" i="218"/>
  <c r="K200" i="218" s="1"/>
  <c r="J199" i="218"/>
  <c r="A199" i="218"/>
  <c r="K199" i="218" s="1"/>
  <c r="J198" i="218"/>
  <c r="A198" i="218"/>
  <c r="K198" i="218" s="1"/>
  <c r="K197" i="218"/>
  <c r="J197" i="218"/>
  <c r="A197" i="218"/>
  <c r="J196" i="218"/>
  <c r="A196" i="218"/>
  <c r="K196" i="218" s="1"/>
  <c r="K195" i="218"/>
  <c r="J195" i="218"/>
  <c r="A195" i="218"/>
  <c r="J194" i="218"/>
  <c r="A194" i="218"/>
  <c r="K194" i="218" s="1"/>
  <c r="J193" i="218"/>
  <c r="A193" i="218"/>
  <c r="K193" i="218" s="1"/>
  <c r="J192" i="218"/>
  <c r="A192" i="218"/>
  <c r="K192" i="218" s="1"/>
  <c r="J191" i="218"/>
  <c r="A191" i="218"/>
  <c r="K191" i="218" s="1"/>
  <c r="J190" i="218"/>
  <c r="A190" i="218"/>
  <c r="K190" i="218" s="1"/>
  <c r="J189" i="218"/>
  <c r="A189" i="218"/>
  <c r="K189" i="218" s="1"/>
  <c r="J188" i="218"/>
  <c r="A188" i="218"/>
  <c r="K188" i="218" s="1"/>
  <c r="J187" i="218"/>
  <c r="A187" i="218"/>
  <c r="K187" i="218" s="1"/>
  <c r="J186" i="218"/>
  <c r="A186" i="218"/>
  <c r="K186" i="218" s="1"/>
  <c r="J185" i="218"/>
  <c r="A185" i="218"/>
  <c r="K185" i="218" s="1"/>
  <c r="K184" i="218"/>
  <c r="J184" i="218"/>
  <c r="A184" i="218"/>
  <c r="J183" i="218"/>
  <c r="A183" i="218"/>
  <c r="K183" i="218" s="1"/>
  <c r="K182" i="218"/>
  <c r="J182" i="218"/>
  <c r="A182" i="218"/>
  <c r="J181" i="218"/>
  <c r="A181" i="218"/>
  <c r="K181" i="218" s="1"/>
  <c r="J180" i="218"/>
  <c r="A180" i="218"/>
  <c r="K180" i="218" s="1"/>
  <c r="J179" i="218"/>
  <c r="A179" i="218"/>
  <c r="K179" i="218" s="1"/>
  <c r="J178" i="218"/>
  <c r="A178" i="218"/>
  <c r="K178" i="218" s="1"/>
  <c r="K177" i="218"/>
  <c r="J177" i="218"/>
  <c r="A177" i="218"/>
  <c r="J176" i="218"/>
  <c r="A176" i="218"/>
  <c r="K176" i="218" s="1"/>
  <c r="K175" i="218"/>
  <c r="J175" i="218"/>
  <c r="A175" i="218"/>
  <c r="J174" i="218"/>
  <c r="A174" i="218"/>
  <c r="K174" i="218" s="1"/>
  <c r="J173" i="218"/>
  <c r="A173" i="218"/>
  <c r="K173" i="218" s="1"/>
  <c r="J172" i="218"/>
  <c r="A172" i="218"/>
  <c r="K172" i="218" s="1"/>
  <c r="J171" i="218"/>
  <c r="A171" i="218"/>
  <c r="K171" i="218" s="1"/>
  <c r="J170" i="218"/>
  <c r="A170" i="218"/>
  <c r="K170" i="218" s="1"/>
  <c r="J169" i="218"/>
  <c r="A169" i="218"/>
  <c r="K169" i="218" s="1"/>
  <c r="J168" i="218"/>
  <c r="A168" i="218"/>
  <c r="K168" i="218" s="1"/>
  <c r="J167" i="218"/>
  <c r="A167" i="218"/>
  <c r="K167" i="218" s="1"/>
  <c r="J166" i="218"/>
  <c r="A166" i="218"/>
  <c r="K166" i="218" s="1"/>
  <c r="J165" i="218"/>
  <c r="A165" i="218"/>
  <c r="K165" i="218" s="1"/>
  <c r="K164" i="218"/>
  <c r="J164" i="218"/>
  <c r="A164" i="218"/>
  <c r="J163" i="218"/>
  <c r="A163" i="218"/>
  <c r="K163" i="218" s="1"/>
  <c r="K162" i="218"/>
  <c r="J162" i="218"/>
  <c r="A162" i="218"/>
  <c r="J161" i="218"/>
  <c r="A161" i="218"/>
  <c r="K161" i="218" s="1"/>
  <c r="J160" i="218"/>
  <c r="A160" i="218"/>
  <c r="K160" i="218" s="1"/>
  <c r="J159" i="218"/>
  <c r="A159" i="218"/>
  <c r="K159" i="218" s="1"/>
  <c r="J158" i="218"/>
  <c r="A158" i="218"/>
  <c r="K158" i="218" s="1"/>
  <c r="K157" i="218"/>
  <c r="J157" i="218"/>
  <c r="A157" i="218"/>
  <c r="J156" i="218"/>
  <c r="A156" i="218"/>
  <c r="K156" i="218" s="1"/>
  <c r="K155" i="218"/>
  <c r="J155" i="218"/>
  <c r="A155" i="218"/>
  <c r="J154" i="218"/>
  <c r="A154" i="218"/>
  <c r="K154" i="218" s="1"/>
  <c r="J153" i="218"/>
  <c r="A153" i="218"/>
  <c r="K153" i="218" s="1"/>
  <c r="J152" i="218"/>
  <c r="A152" i="218"/>
  <c r="K152" i="218" s="1"/>
  <c r="J151" i="218"/>
  <c r="A151" i="218"/>
  <c r="K151" i="218" s="1"/>
  <c r="J150" i="218"/>
  <c r="A150" i="218"/>
  <c r="K150" i="218" s="1"/>
  <c r="J149" i="218"/>
  <c r="A149" i="218"/>
  <c r="K149" i="218" s="1"/>
  <c r="J148" i="218"/>
  <c r="A148" i="218"/>
  <c r="K148" i="218" s="1"/>
  <c r="J147" i="218"/>
  <c r="A147" i="218"/>
  <c r="K147" i="218" s="1"/>
  <c r="J146" i="218"/>
  <c r="A146" i="218"/>
  <c r="K146" i="218" s="1"/>
  <c r="J145" i="218"/>
  <c r="A145" i="218"/>
  <c r="K145" i="218" s="1"/>
  <c r="K144" i="218"/>
  <c r="J144" i="218"/>
  <c r="A144" i="218"/>
  <c r="J143" i="218"/>
  <c r="A143" i="218"/>
  <c r="K143" i="218" s="1"/>
  <c r="K142" i="218"/>
  <c r="J142" i="218"/>
  <c r="A142" i="218"/>
  <c r="J141" i="218"/>
  <c r="A141" i="218"/>
  <c r="K141" i="218" s="1"/>
  <c r="J140" i="218"/>
  <c r="A140" i="218"/>
  <c r="K140" i="218" s="1"/>
  <c r="J139" i="218"/>
  <c r="A139" i="218"/>
  <c r="K139" i="218" s="1"/>
  <c r="J138" i="218"/>
  <c r="A138" i="218"/>
  <c r="K138" i="218" s="1"/>
  <c r="K137" i="218"/>
  <c r="J137" i="218"/>
  <c r="A137" i="218"/>
  <c r="J136" i="218"/>
  <c r="A136" i="218"/>
  <c r="K136" i="218" s="1"/>
  <c r="K135" i="218"/>
  <c r="J135" i="218"/>
  <c r="A135" i="218"/>
  <c r="J134" i="218"/>
  <c r="A134" i="218"/>
  <c r="K134" i="218" s="1"/>
  <c r="J133" i="218"/>
  <c r="A133" i="218"/>
  <c r="K133" i="218" s="1"/>
  <c r="J132" i="218"/>
  <c r="A132" i="218"/>
  <c r="K132" i="218" s="1"/>
  <c r="J131" i="218"/>
  <c r="A131" i="218"/>
  <c r="K131" i="218" s="1"/>
  <c r="J130" i="218"/>
  <c r="A130" i="218"/>
  <c r="K130" i="218" s="1"/>
  <c r="J129" i="218"/>
  <c r="A129" i="218"/>
  <c r="K129" i="218" s="1"/>
  <c r="J128" i="218"/>
  <c r="A128" i="218"/>
  <c r="K128" i="218" s="1"/>
  <c r="J127" i="218"/>
  <c r="A127" i="218"/>
  <c r="K127" i="218" s="1"/>
  <c r="J126" i="218"/>
  <c r="A126" i="218"/>
  <c r="K126" i="218" s="1"/>
  <c r="J125" i="218"/>
  <c r="A125" i="218"/>
  <c r="K125" i="218" s="1"/>
  <c r="K124" i="218"/>
  <c r="J124" i="218"/>
  <c r="A124" i="218"/>
  <c r="J123" i="218"/>
  <c r="A123" i="218"/>
  <c r="K123" i="218" s="1"/>
  <c r="K122" i="218"/>
  <c r="J122" i="218"/>
  <c r="A122" i="218"/>
  <c r="J121" i="218"/>
  <c r="A121" i="218"/>
  <c r="K121" i="218" s="1"/>
  <c r="J120" i="218"/>
  <c r="A120" i="218"/>
  <c r="K120" i="218" s="1"/>
  <c r="J119" i="218"/>
  <c r="A119" i="218"/>
  <c r="K119" i="218" s="1"/>
  <c r="J118" i="218"/>
  <c r="A118" i="218"/>
  <c r="K118" i="218" s="1"/>
  <c r="K117" i="218"/>
  <c r="J117" i="218"/>
  <c r="A117" i="218"/>
  <c r="J116" i="218"/>
  <c r="A116" i="218"/>
  <c r="K116" i="218" s="1"/>
  <c r="K115" i="218"/>
  <c r="J115" i="218"/>
  <c r="A115" i="218"/>
  <c r="J114" i="218"/>
  <c r="A114" i="218"/>
  <c r="K114" i="218" s="1"/>
  <c r="J113" i="218"/>
  <c r="A113" i="218"/>
  <c r="K113" i="218" s="1"/>
  <c r="J112" i="218"/>
  <c r="A112" i="218"/>
  <c r="K112" i="218" s="1"/>
  <c r="J111" i="218"/>
  <c r="A111" i="218"/>
  <c r="K111" i="218" s="1"/>
  <c r="J110" i="218"/>
  <c r="A110" i="218"/>
  <c r="K110" i="218" s="1"/>
  <c r="J109" i="218"/>
  <c r="A109" i="218"/>
  <c r="K109" i="218" s="1"/>
  <c r="J108" i="218"/>
  <c r="A108" i="218"/>
  <c r="K108" i="218" s="1"/>
  <c r="J107" i="218"/>
  <c r="A107" i="218"/>
  <c r="K107" i="218" s="1"/>
  <c r="J106" i="218"/>
  <c r="A106" i="218"/>
  <c r="K106" i="218" s="1"/>
  <c r="J105" i="218"/>
  <c r="A105" i="218"/>
  <c r="K105" i="218" s="1"/>
  <c r="K104" i="218"/>
  <c r="J104" i="218"/>
  <c r="A104" i="218"/>
  <c r="J103" i="218"/>
  <c r="A103" i="218"/>
  <c r="K103" i="218" s="1"/>
  <c r="K102" i="218"/>
  <c r="J102" i="218"/>
  <c r="A102" i="218"/>
  <c r="J101" i="218"/>
  <c r="A101" i="218"/>
  <c r="K101" i="218" s="1"/>
  <c r="J100" i="218"/>
  <c r="A100" i="218"/>
  <c r="K100" i="218" s="1"/>
  <c r="J99" i="218"/>
  <c r="A99" i="218"/>
  <c r="K99" i="218" s="1"/>
  <c r="J98" i="218"/>
  <c r="A98" i="218"/>
  <c r="K98" i="218" s="1"/>
  <c r="K97" i="218"/>
  <c r="J97" i="218"/>
  <c r="A97" i="218"/>
  <c r="J96" i="218"/>
  <c r="A96" i="218"/>
  <c r="K96" i="218" s="1"/>
  <c r="K95" i="218"/>
  <c r="J95" i="218"/>
  <c r="A95" i="218"/>
  <c r="J94" i="218"/>
  <c r="A94" i="218"/>
  <c r="K94" i="218" s="1"/>
  <c r="J93" i="218"/>
  <c r="A93" i="218"/>
  <c r="K93" i="218" s="1"/>
  <c r="J92" i="218"/>
  <c r="A92" i="218"/>
  <c r="K92" i="218" s="1"/>
  <c r="J91" i="218"/>
  <c r="A91" i="218"/>
  <c r="K91" i="218" s="1"/>
  <c r="J90" i="218"/>
  <c r="A90" i="218"/>
  <c r="K90" i="218" s="1"/>
  <c r="J89" i="218"/>
  <c r="A89" i="218"/>
  <c r="K89" i="218" s="1"/>
  <c r="J88" i="218"/>
  <c r="A88" i="218"/>
  <c r="K88" i="218" s="1"/>
  <c r="J87" i="218"/>
  <c r="A87" i="218"/>
  <c r="K87" i="218" s="1"/>
  <c r="J86" i="218"/>
  <c r="A86" i="218"/>
  <c r="K86" i="218" s="1"/>
  <c r="J85" i="218"/>
  <c r="A85" i="218"/>
  <c r="K85" i="218" s="1"/>
  <c r="K84" i="218"/>
  <c r="J84" i="218"/>
  <c r="A84" i="218"/>
  <c r="J83" i="218"/>
  <c r="A83" i="218"/>
  <c r="K83" i="218" s="1"/>
  <c r="K82" i="218"/>
  <c r="J82" i="218"/>
  <c r="A82" i="218"/>
  <c r="J81" i="218"/>
  <c r="A81" i="218"/>
  <c r="K81" i="218" s="1"/>
  <c r="J80" i="218"/>
  <c r="A80" i="218"/>
  <c r="K80" i="218" s="1"/>
  <c r="J79" i="218"/>
  <c r="A79" i="218"/>
  <c r="K79" i="218" s="1"/>
  <c r="J78" i="218"/>
  <c r="A78" i="218"/>
  <c r="K78" i="218" s="1"/>
  <c r="K77" i="218"/>
  <c r="J77" i="218"/>
  <c r="A77" i="218"/>
  <c r="J76" i="218"/>
  <c r="A76" i="218"/>
  <c r="K76" i="218" s="1"/>
  <c r="K75" i="218"/>
  <c r="J75" i="218"/>
  <c r="A75" i="218"/>
  <c r="J74" i="218"/>
  <c r="A74" i="218"/>
  <c r="K74" i="218" s="1"/>
  <c r="J73" i="218"/>
  <c r="A73" i="218"/>
  <c r="K73" i="218" s="1"/>
  <c r="J72" i="218"/>
  <c r="A72" i="218"/>
  <c r="K72" i="218" s="1"/>
  <c r="J71" i="218"/>
  <c r="A71" i="218"/>
  <c r="K71" i="218" s="1"/>
  <c r="J70" i="218"/>
  <c r="A70" i="218"/>
  <c r="K70" i="218" s="1"/>
  <c r="J69" i="218"/>
  <c r="A69" i="218"/>
  <c r="K69" i="218" s="1"/>
  <c r="J68" i="218"/>
  <c r="A68" i="218"/>
  <c r="K68" i="218" s="1"/>
  <c r="J67" i="218"/>
  <c r="A67" i="218"/>
  <c r="K67" i="218" s="1"/>
  <c r="J66" i="218"/>
  <c r="A66" i="218"/>
  <c r="K66" i="218" s="1"/>
  <c r="J65" i="218"/>
  <c r="A65" i="218"/>
  <c r="K65" i="218" s="1"/>
  <c r="K64" i="218"/>
  <c r="J64" i="218"/>
  <c r="A64" i="218"/>
  <c r="J63" i="218"/>
  <c r="A63" i="218"/>
  <c r="K63" i="218" s="1"/>
  <c r="K62" i="218"/>
  <c r="J62" i="218"/>
  <c r="A62" i="218"/>
  <c r="J61" i="218"/>
  <c r="A61" i="218"/>
  <c r="K61" i="218" s="1"/>
  <c r="J60" i="218"/>
  <c r="A60" i="218"/>
  <c r="K60" i="218" s="1"/>
  <c r="J59" i="218"/>
  <c r="A59" i="218"/>
  <c r="K59" i="218" s="1"/>
  <c r="J58" i="218"/>
  <c r="A58" i="218"/>
  <c r="K58" i="218" s="1"/>
  <c r="K57" i="218"/>
  <c r="J57" i="218"/>
  <c r="A57" i="218"/>
  <c r="J56" i="218"/>
  <c r="A56" i="218"/>
  <c r="K56" i="218" s="1"/>
  <c r="K55" i="218"/>
  <c r="J55" i="218"/>
  <c r="A55" i="218"/>
  <c r="J54" i="218"/>
  <c r="A54" i="218"/>
  <c r="K54" i="218" s="1"/>
  <c r="J53" i="218"/>
  <c r="A53" i="218"/>
  <c r="K53" i="218" s="1"/>
  <c r="J52" i="218"/>
  <c r="A52" i="218"/>
  <c r="K52" i="218" s="1"/>
  <c r="J51" i="218"/>
  <c r="A51" i="218"/>
  <c r="K51" i="218" s="1"/>
  <c r="J50" i="218"/>
  <c r="A50" i="218"/>
  <c r="K50" i="218" s="1"/>
  <c r="J49" i="218"/>
  <c r="A49" i="218"/>
  <c r="K49" i="218" s="1"/>
  <c r="J48" i="218"/>
  <c r="A48" i="218"/>
  <c r="K48" i="218" s="1"/>
  <c r="J47" i="218"/>
  <c r="A47" i="218"/>
  <c r="K47" i="218" s="1"/>
  <c r="J46" i="218"/>
  <c r="A46" i="218"/>
  <c r="K46" i="218" s="1"/>
  <c r="J45" i="218"/>
  <c r="A45" i="218"/>
  <c r="K45" i="218" s="1"/>
  <c r="K44" i="218"/>
  <c r="J44" i="218"/>
  <c r="A44" i="218"/>
  <c r="J43" i="218"/>
  <c r="A43" i="218"/>
  <c r="K43" i="218" s="1"/>
  <c r="K42" i="218"/>
  <c r="J42" i="218"/>
  <c r="A42" i="218"/>
  <c r="J41" i="218"/>
  <c r="A41" i="218"/>
  <c r="K41" i="218" s="1"/>
  <c r="J40" i="218"/>
  <c r="A40" i="218"/>
  <c r="K40" i="218" s="1"/>
  <c r="J39" i="218"/>
  <c r="A39" i="218"/>
  <c r="K39" i="218" s="1"/>
  <c r="J38" i="218"/>
  <c r="A38" i="218"/>
  <c r="K38" i="218" s="1"/>
  <c r="K37" i="218"/>
  <c r="J37" i="218"/>
  <c r="A37" i="218"/>
  <c r="J36" i="218"/>
  <c r="A36" i="218"/>
  <c r="K36" i="218" s="1"/>
  <c r="K35" i="218"/>
  <c r="J35" i="218"/>
  <c r="A35" i="218"/>
  <c r="J34" i="218"/>
  <c r="A34" i="218"/>
  <c r="K34" i="218" s="1"/>
  <c r="J33" i="218"/>
  <c r="A33" i="218"/>
  <c r="K33" i="218" s="1"/>
  <c r="J32" i="218"/>
  <c r="A32" i="218"/>
  <c r="K32" i="218" s="1"/>
  <c r="J31" i="218"/>
  <c r="A31" i="218"/>
  <c r="K31" i="218" s="1"/>
  <c r="J30" i="218"/>
  <c r="A30" i="218"/>
  <c r="K30" i="218" s="1"/>
  <c r="J29" i="218"/>
  <c r="A29" i="218"/>
  <c r="K29" i="218" s="1"/>
  <c r="J28" i="218"/>
  <c r="A28" i="218"/>
  <c r="K28" i="218" s="1"/>
  <c r="J27" i="218"/>
  <c r="A27" i="218"/>
  <c r="K27" i="218" s="1"/>
  <c r="J26" i="218"/>
  <c r="A26" i="218"/>
  <c r="K26" i="218" s="1"/>
  <c r="J25" i="218"/>
  <c r="A25" i="218"/>
  <c r="K25" i="218" s="1"/>
  <c r="K24" i="218"/>
  <c r="J24" i="218"/>
  <c r="A24" i="218"/>
  <c r="J23" i="218"/>
  <c r="A23" i="218"/>
  <c r="K23" i="218" s="1"/>
  <c r="K22" i="218"/>
  <c r="J22" i="218"/>
  <c r="A22" i="218"/>
  <c r="J21" i="218"/>
  <c r="A21" i="218"/>
  <c r="K21" i="218" s="1"/>
  <c r="J20" i="218"/>
  <c r="A20" i="218"/>
  <c r="K20" i="218" s="1"/>
  <c r="J19" i="218"/>
  <c r="A19" i="218"/>
  <c r="K19" i="218" s="1"/>
  <c r="J18" i="218"/>
  <c r="A18" i="218"/>
  <c r="K18" i="218" s="1"/>
  <c r="K17" i="218"/>
  <c r="J17" i="218"/>
  <c r="A17" i="218"/>
  <c r="J16" i="218"/>
  <c r="A16" i="218"/>
  <c r="K16" i="218" s="1"/>
  <c r="K15" i="218"/>
  <c r="J15" i="218"/>
  <c r="A15" i="218"/>
  <c r="J14" i="218"/>
  <c r="A14" i="218"/>
  <c r="K14" i="218" s="1"/>
  <c r="J13" i="218"/>
  <c r="A13" i="218"/>
  <c r="K13" i="218" s="1"/>
  <c r="J12" i="218"/>
  <c r="A12" i="218"/>
  <c r="K12" i="218" s="1"/>
  <c r="J11" i="218"/>
  <c r="A11" i="218"/>
  <c r="K11" i="218" s="1"/>
  <c r="J10" i="218"/>
  <c r="A10" i="218"/>
  <c r="K10" i="218" s="1"/>
  <c r="J9" i="218"/>
  <c r="A9" i="218"/>
  <c r="K9" i="218" s="1"/>
  <c r="J8" i="218"/>
  <c r="A8" i="218"/>
  <c r="K8" i="218" s="1"/>
  <c r="J7" i="218"/>
  <c r="A7" i="218"/>
  <c r="K7" i="218" s="1"/>
  <c r="J6" i="218"/>
  <c r="A6" i="218"/>
  <c r="K6" i="218" s="1"/>
  <c r="J5" i="218"/>
  <c r="A5" i="218"/>
  <c r="K5" i="218" s="1"/>
  <c r="K4" i="218"/>
  <c r="J4" i="218"/>
  <c r="A4" i="218"/>
  <c r="J3" i="218"/>
  <c r="A3" i="218"/>
  <c r="K3" i="218" s="1"/>
</calcChain>
</file>

<file path=xl/sharedStrings.xml><?xml version="1.0" encoding="utf-8"?>
<sst xmlns="http://schemas.openxmlformats.org/spreadsheetml/2006/main" count="16261" uniqueCount="316">
  <si>
    <t>PO</t>
  </si>
  <si>
    <t>SO Item</t>
  </si>
  <si>
    <t>Type</t>
  </si>
  <si>
    <t>PN</t>
  </si>
  <si>
    <t>PRODUK</t>
  </si>
  <si>
    <t>ORDER</t>
  </si>
  <si>
    <t>HASIL</t>
  </si>
  <si>
    <t>MINUS</t>
  </si>
  <si>
    <t>GI DATE</t>
  </si>
  <si>
    <t>Syst Sts</t>
  </si>
  <si>
    <t>ZTEC</t>
  </si>
  <si>
    <t>REL  MSPT PRT  PCNF PRC  BASC BCRQ GMPS*</t>
  </si>
  <si>
    <t>CRTD MSPT BCRQ CNC  SETC</t>
  </si>
  <si>
    <t>REL  MSPT PRT  PRC  BASC BCRQ SETC</t>
  </si>
  <si>
    <t>CM-253:BASE PINK P2030C</t>
  </si>
  <si>
    <t>CM-290:COVER BEIGE PET 2ND COLOR</t>
  </si>
  <si>
    <t>CM-290:ENGINE BASE BEIGE</t>
  </si>
  <si>
    <t>CM-290:ENGINE COVER BEIGE</t>
  </si>
  <si>
    <t>REL  MSPT PCNF PRC  BASC BCRQ GMPS PDLV*</t>
  </si>
  <si>
    <t>FP-014:BASE CLEAR (PS) (CLINICS/TG-373)</t>
  </si>
  <si>
    <t>FP-014:COVER B.SHINY (NEW)</t>
  </si>
  <si>
    <t>LS-285:I-11 CUP (16) NAT SR2</t>
  </si>
  <si>
    <t>PT-097:CAP BLACK TRANS PTI 12A</t>
  </si>
  <si>
    <t>PT-097:HOUSING WHITE</t>
  </si>
  <si>
    <t>ZTER</t>
  </si>
  <si>
    <t>REL  MSPT PRC  BASC BCRQ SETC</t>
  </si>
  <si>
    <t>ST-011:SHIFTER NATURAL</t>
  </si>
  <si>
    <t>REL  MSPT PRC  BASC BCRQ GMPS SETC</t>
  </si>
  <si>
    <t>REL  MSPT PCNF DLV  PRC  BASC BCRQ GMPS*</t>
  </si>
  <si>
    <t>REL  MSPT PRT  PRC  BASC BCRQ GMPS SETC</t>
  </si>
  <si>
    <t>CM-290:RING BEIGE</t>
  </si>
  <si>
    <t>CM-253:BASE MAUVE P2342C</t>
  </si>
  <si>
    <t>LS-285:BASE (16) WHITE SR3</t>
  </si>
  <si>
    <t>CM-133:INSERT NAT (NSR2)</t>
  </si>
  <si>
    <t>REL  MSPT PRT  PCNF DLV  PRC  BASC BCRQ*</t>
  </si>
  <si>
    <t>CM-253:BASE PEACH P2344C</t>
  </si>
  <si>
    <t>CM-133:COVER GREEN NEW SR #1 NEW CORE</t>
  </si>
  <si>
    <t>PT-097B:CAP SR.2 BLUE TRANS PTI 12A</t>
  </si>
  <si>
    <t>PT-097B:HOUSING WHITE SR.2</t>
  </si>
  <si>
    <t>CM-315:BASE BLACK (VIRGIN)</t>
  </si>
  <si>
    <t>CM-315:COVER BLACK (VIRGIN)</t>
  </si>
  <si>
    <t>CM-105:COVER BLACK SHINY (VIRGIN)</t>
  </si>
  <si>
    <t>CM-099:BASE BEIGIE</t>
  </si>
  <si>
    <t>CM-099:COVER BEIGIE</t>
  </si>
  <si>
    <t>CM-253:BASE LIGHT PINK PTI</t>
  </si>
  <si>
    <t>CM-253:PLATE PINK P2030C</t>
  </si>
  <si>
    <t>CM-133:BASE BLACK NEW SR 1 (VIRGIN)</t>
  </si>
  <si>
    <t>CM-133:INSERT BLACK NEW SR 1 (VIRGIN)</t>
  </si>
  <si>
    <t>CM-099:INSERT E/S BEIGIE</t>
  </si>
  <si>
    <t>30.07.2024</t>
  </si>
  <si>
    <t>23.07.2024</t>
  </si>
  <si>
    <t>CM-101:COVER+BASE NEW GREEN MARBLE</t>
  </si>
  <si>
    <t>LS-285:BASE RUBINE RED C SR2</t>
  </si>
  <si>
    <t>CM-105:COVER NATURAL SR2 (B)</t>
  </si>
  <si>
    <t>CM-290:ENGINE BASE YELLOW</t>
  </si>
  <si>
    <t>CM-290:ENGINE COVER YELLOW</t>
  </si>
  <si>
    <t>CRTD MSPT BASC BCRQ CNC  SETC</t>
  </si>
  <si>
    <t>LS-285:SLEEVE RUBINE RED C SR2</t>
  </si>
  <si>
    <t>26.07.2024</t>
  </si>
  <si>
    <t>ST-010:SHIFTER NAT LIVING HINGE</t>
  </si>
  <si>
    <t>LS-285:SLEEVE L.BEIGIE PTI</t>
  </si>
  <si>
    <t>25.09.2024</t>
  </si>
  <si>
    <t>PT-097:BODY GREN HOUSE WHT TRANS PTI 12A</t>
  </si>
  <si>
    <t>PT-097:CAP GREN TRANS PTI 12A</t>
  </si>
  <si>
    <t>LS-092:NOSEPIECE NEW DESIGN BLUE</t>
  </si>
  <si>
    <t>PT-055:DRIVER NATURAL SR.3</t>
  </si>
  <si>
    <t>08.08.2024</t>
  </si>
  <si>
    <t>CM-101:INSERT BLUSH WHITE</t>
  </si>
  <si>
    <t>PT-055:CUP NATURAL MDF SR 2</t>
  </si>
  <si>
    <t>19.08.2024</t>
  </si>
  <si>
    <t>PT-055:INNER NATURAL SR2</t>
  </si>
  <si>
    <t>PT-055:PROTECTIVE CAP CLEAR SR.2</t>
  </si>
  <si>
    <t>18.08.2024</t>
  </si>
  <si>
    <t>20.08.2024</t>
  </si>
  <si>
    <t>31.08.2024</t>
  </si>
  <si>
    <t>LS-285:COVER ORANGE PTI SR2</t>
  </si>
  <si>
    <t>CM-253:COVER CLEAR (SAN LURAN)</t>
  </si>
  <si>
    <t>LS-245:SLEEVE (16) WHITE SR4</t>
  </si>
  <si>
    <t>16.08.2024</t>
  </si>
  <si>
    <t>02.09.2024</t>
  </si>
  <si>
    <t>LS-285:COVER STRAWBERRY P191C</t>
  </si>
  <si>
    <t>PT-055:BD BEIGIE CHASMERE W/CRODA SR.5</t>
  </si>
  <si>
    <t>21.08.2024</t>
  </si>
  <si>
    <t>PT-055:PLUG BEIGE CASHMERE EL</t>
  </si>
  <si>
    <t>09.09.2024</t>
  </si>
  <si>
    <t>10.09.2024</t>
  </si>
  <si>
    <t>FP-008 COVER LIGHT PINK SR1</t>
  </si>
  <si>
    <t>FP-008:RING B.SHINY (AS ABS 1:4) SR1</t>
  </si>
  <si>
    <t>FP-008:BS B.SHINY (AS ABS 1:4) SR1</t>
  </si>
  <si>
    <t>REL  MSPT PCNF PRC  BASC BCRQ GMPS SETC</t>
  </si>
  <si>
    <t>CM-105:BASE GREY NEW SR1</t>
  </si>
  <si>
    <t>CM-133:BASE GREEN (NSR2)</t>
  </si>
  <si>
    <t>CM-133:BASE NATURAL NEW SR1</t>
  </si>
  <si>
    <t>LS-285:COVER BLUE TRANS SR2</t>
  </si>
  <si>
    <t>PT-055:BODY DARK BLUE SR5</t>
  </si>
  <si>
    <t>18.09.2024</t>
  </si>
  <si>
    <t>03.09.2024</t>
  </si>
  <si>
    <t>20.09.2024</t>
  </si>
  <si>
    <t>16.09.2024</t>
  </si>
  <si>
    <t>FP-014:COVER BLUE INEZ (NEW)</t>
  </si>
  <si>
    <t>LS-086:CUP PETG NATURAL</t>
  </si>
  <si>
    <t>LS-285:BASE BLUE P2232C SR2</t>
  </si>
  <si>
    <t>LS-285:CVR ORANGE P1788C OPAQUE</t>
  </si>
  <si>
    <t>PT-097:BODY BLACK HOUSE WHT TRANS PTI12A</t>
  </si>
  <si>
    <t>PT-097B:BDSR.2 BLU HOUS WHT TRNS PTI12A</t>
  </si>
  <si>
    <t>05.09.2024</t>
  </si>
  <si>
    <t>17.09.2024</t>
  </si>
  <si>
    <t>19.09.2024</t>
  </si>
  <si>
    <t>CM-105:COVER GREY SR2 B</t>
  </si>
  <si>
    <t>17.10.2024</t>
  </si>
  <si>
    <t>CM-253:BASE BROWN VAR 06</t>
  </si>
  <si>
    <t>06.09.2024</t>
  </si>
  <si>
    <t>FP-014:BASE CLEAR (AS)</t>
  </si>
  <si>
    <t>REL  MSPT CNF  DLV  PRC  BASC BCRQ GMPS*</t>
  </si>
  <si>
    <t>FP-014 BASE CLEAR (PS) SR3</t>
  </si>
  <si>
    <t>PT-085:COVER BROWN PEARL SR 1</t>
  </si>
  <si>
    <t>04.09.2024</t>
  </si>
  <si>
    <t>REL  MSPT PRT  PRC  BASC BCRQ GMPS RESA*</t>
  </si>
  <si>
    <t>REL  PCNF DLV  PRC  BASC BCRQ GMPS MACM*</t>
  </si>
  <si>
    <t>CRTD MSPT BCRQ BNAS CNC  SETC</t>
  </si>
  <si>
    <t>REL  MSPT PRT  PRC  BASC BCRQ GMPS PDLV*</t>
  </si>
  <si>
    <t>CM-260:BASE EYE SHADOW BLACK SHINY</t>
  </si>
  <si>
    <t>CM-260:PIN HINGE  BLACK</t>
  </si>
  <si>
    <t>CM-290:ENGINE COVER RED OMG</t>
  </si>
  <si>
    <t>CM-290:PUSH BUTTON BLACK  PET</t>
  </si>
  <si>
    <t>FP-039 COVER WHITE</t>
  </si>
  <si>
    <t>FP-039 SIFTER WHITE</t>
  </si>
  <si>
    <t>LS-085:BASE WHITE</t>
  </si>
  <si>
    <t>LS-086:BASE IVORY SR.2</t>
  </si>
  <si>
    <t>LS-086:OUTER IVORY SR.2</t>
  </si>
  <si>
    <t>24.09.2024</t>
  </si>
  <si>
    <t>13.09.2024</t>
  </si>
  <si>
    <t>REL  PRT  PCNF PRC  BASC BCRQ GMPS MACM*</t>
  </si>
  <si>
    <t>CM-253:COVER BROWN VAR 06</t>
  </si>
  <si>
    <t>CM-253:PLATE MAUVE P2342C</t>
  </si>
  <si>
    <t>CM-290:ENGINE BASE BLACK</t>
  </si>
  <si>
    <t>CM-290:RING BLACK</t>
  </si>
  <si>
    <t>FP-039 RING WHITE ( MODIF )</t>
  </si>
  <si>
    <t>LS-285:BS (16) ORANGE P1788C OPAQ SR3</t>
  </si>
  <si>
    <t>LS-285:CVR RED P 1935 C OPAQ</t>
  </si>
  <si>
    <t>26.09.2024</t>
  </si>
  <si>
    <t>06.10.2024</t>
  </si>
  <si>
    <t>23.09.2024</t>
  </si>
  <si>
    <t>21.09.2024</t>
  </si>
  <si>
    <t>CM-133:BASE BRONZE PEARL NEW SR3</t>
  </si>
  <si>
    <t>CM-290:COVER 1PC BLACK EMBOSS</t>
  </si>
  <si>
    <t>CRTD BCRQ CNC  MACM SETC</t>
  </si>
  <si>
    <t>CM-133:INSERT NATURAL NEW SR1</t>
  </si>
  <si>
    <t>LC-011:STEM BLACK</t>
  </si>
  <si>
    <t>CM-253:PLATE BROWN VAR 06</t>
  </si>
  <si>
    <t>CM-290:BASE BLACK PET</t>
  </si>
  <si>
    <t>PT-100:BASE GREEN</t>
  </si>
  <si>
    <t>PT-100:COVER GREEN</t>
  </si>
  <si>
    <t>PT-100:INNER BASE GREEN</t>
  </si>
  <si>
    <t>02.10.2024</t>
  </si>
  <si>
    <t>30.09.2024</t>
  </si>
  <si>
    <t>04.10.2024</t>
  </si>
  <si>
    <t>11.10.2024</t>
  </si>
  <si>
    <t>FP-014:COVER NATURAL NEW (ABS)</t>
  </si>
  <si>
    <t>LS-085:COVER WHITE</t>
  </si>
  <si>
    <t>LS-085:INNER BASE WHITE</t>
  </si>
  <si>
    <t>26.10.2024</t>
  </si>
  <si>
    <t>08.10.2024</t>
  </si>
  <si>
    <t>CM-073:BASE GREY</t>
  </si>
  <si>
    <t>CM-073:BEZEL GREY</t>
  </si>
  <si>
    <t>CM-073:COVER GREY # 2</t>
  </si>
  <si>
    <t>CM-073:INSERT GREY</t>
  </si>
  <si>
    <t>CM-073:PUSH BUTTON GREY (CM-061)</t>
  </si>
  <si>
    <t>CM-319:BASE WHITE</t>
  </si>
  <si>
    <t>LS-285:CVR NEW PINK  OPAQ</t>
  </si>
  <si>
    <t>LS-285:SLEEVE (16) NEW PINK OPAQ</t>
  </si>
  <si>
    <t>LS-285:SLEEVE (16) ORANGE P1788C OPAQ</t>
  </si>
  <si>
    <t>PT-085:BASE WHITE</t>
  </si>
  <si>
    <t>PT-085:COVER WHITE</t>
  </si>
  <si>
    <t>PT-085/021:INSERT 15 GR WHITE</t>
  </si>
  <si>
    <t>22.09.2024</t>
  </si>
  <si>
    <t>21.10.2024</t>
  </si>
  <si>
    <t>15.10.2024</t>
  </si>
  <si>
    <t>05.10.2024</t>
  </si>
  <si>
    <t>10.10.2024</t>
  </si>
  <si>
    <t>27.09.2024</t>
  </si>
  <si>
    <t>CM-095:CVR B.SHINY ABS  (VIRGIN)</t>
  </si>
  <si>
    <t>CM-105:INSERT GREY NEW SR1</t>
  </si>
  <si>
    <t>CM-319:COVER WHITE</t>
  </si>
  <si>
    <t>CM-319:INSERT BLACK</t>
  </si>
  <si>
    <t>CP-090:INNER CAP WHITE</t>
  </si>
  <si>
    <t>CP-090:OUTER CAP PINK NO EMBOSS</t>
  </si>
  <si>
    <t>LS-092:RING BLUE</t>
  </si>
  <si>
    <t>LS-285:BS (16) NEW PINK OPAQ SR3</t>
  </si>
  <si>
    <t>PT-100:COVER BLUE</t>
  </si>
  <si>
    <t>PT-100:INNER BASE BLUE</t>
  </si>
  <si>
    <t>16.10.2024</t>
  </si>
  <si>
    <t>14.10.2024</t>
  </si>
  <si>
    <t>12.10.2024</t>
  </si>
  <si>
    <t>03.10.2024</t>
  </si>
  <si>
    <t>01.10.2024</t>
  </si>
  <si>
    <t>24.10.2024</t>
  </si>
  <si>
    <t>07.10.2024</t>
  </si>
  <si>
    <t>28.10.2024</t>
  </si>
  <si>
    <t>18.10.2024</t>
  </si>
  <si>
    <t>25.10.2024</t>
  </si>
  <si>
    <t>28.09.2024</t>
  </si>
  <si>
    <t>09.10.2024</t>
  </si>
  <si>
    <t>19.10.2024</t>
  </si>
  <si>
    <t>23.10.2024</t>
  </si>
  <si>
    <t>REL  PCNF PRC  BASC BCRQ MACM SETC</t>
  </si>
  <si>
    <t>CM-117:BASE (W/HOLE) B.SHINY</t>
  </si>
  <si>
    <t>22.10.2024</t>
  </si>
  <si>
    <t>CM-117:COVER BLACK SHINY (AS ABS)</t>
  </si>
  <si>
    <t>20.10.2024</t>
  </si>
  <si>
    <t>CM-117:INSERT B.SHINY</t>
  </si>
  <si>
    <t>21.11.2024</t>
  </si>
  <si>
    <t>CM-320:BASE WHITE</t>
  </si>
  <si>
    <t>CM-320:COVER WHITE</t>
  </si>
  <si>
    <t>CM-320:INSERT BLACK</t>
  </si>
  <si>
    <t>LS-092:CUP PET MITSUI CLEAR</t>
  </si>
  <si>
    <t>13.10.2024</t>
  </si>
  <si>
    <t>09.11.2024</t>
  </si>
  <si>
    <t>CM-040:PUSH BUTTOM BLK SHINY SR3 (MODIF)</t>
  </si>
  <si>
    <t>22.11.2024</t>
  </si>
  <si>
    <t>FP-039 BASE CLEAR</t>
  </si>
  <si>
    <t>PT-100:BASE BLUE</t>
  </si>
  <si>
    <t>LC-002:STEM PP WHITE (CONE) 32 CAV</t>
  </si>
  <si>
    <t>LC-004:STEM BLACK</t>
  </si>
  <si>
    <t>REL  MSPT PPRT PCNF PRC  BASC BCRQ GMPS*</t>
  </si>
  <si>
    <t>COOIS 30 SEPTEMBER  2024</t>
  </si>
  <si>
    <t>COOIS 1 OKTOBER  2024</t>
  </si>
  <si>
    <t>CM-108:COVER BRONZE PRL SR 4</t>
  </si>
  <si>
    <t>LC-004:STEM WHITE</t>
  </si>
  <si>
    <t>LS-285:SLEEVE (16) PINK P709C OPAQ</t>
  </si>
  <si>
    <t>LS-285:SLEEVE (16) RED P1935C OPAQ</t>
  </si>
  <si>
    <t>LS-285:SLEEVE BLUE P2232C SR2</t>
  </si>
  <si>
    <t>REL  MSPT PRT  CNF  DLV  PRC  BASC BCRQ*</t>
  </si>
  <si>
    <t>REL  PRT  PCNF DLV  PRC  BASC BCRQ GMPS*</t>
  </si>
  <si>
    <t>REL  MSPT DLV  PRC  BASC BCRQ GMPS SETC</t>
  </si>
  <si>
    <t>REL  MSPT PRC  BASC BCRQ GMPS PDLV SETC</t>
  </si>
  <si>
    <t>CM-260:COVER BLACK</t>
  </si>
  <si>
    <t>FP-014:BASE CLEAR (AS) SR3</t>
  </si>
  <si>
    <t>LS-285:CVR PINK P 709 C OPAQ</t>
  </si>
  <si>
    <t>REL  MSPT PRC  BASC BCRQ GMPS RESA SETC</t>
  </si>
  <si>
    <t>REL  MSPT PCNF PRC  BASC BCRQ SETC</t>
  </si>
  <si>
    <t>REL  PRT  PRC  BASC BCRQ GMPS MACM RESA*</t>
  </si>
  <si>
    <t>REL  PCNF PRC  BASC BCRQ GMPS MACM SETC</t>
  </si>
  <si>
    <t>REL  PRT  PCNF PRC  BASC BCRQ MACM SETC</t>
  </si>
  <si>
    <t>COOIS 2 OKTOBER  2024</t>
  </si>
  <si>
    <t>COOIS 3 OKTOBER  2024</t>
  </si>
  <si>
    <t>CM-253:PLATE LIGHT PINK PTI</t>
  </si>
  <si>
    <t>CM-290:COVER PINK P225C 1PC</t>
  </si>
  <si>
    <t>REL  MSPT PPRT PCNF DLV  PRC  BASC BCRQ*</t>
  </si>
  <si>
    <t>CRTD MSPT BCRQ BNAS CNC  RELR SETC</t>
  </si>
  <si>
    <t>COOIS 4 OKTOBER  2024</t>
  </si>
  <si>
    <t>CL-003:STEM WHITE</t>
  </si>
  <si>
    <t>ST-014:SIFTER NAT # 2</t>
  </si>
  <si>
    <t>31.10.2024</t>
  </si>
  <si>
    <t>REL  PRC  BASC BCRQ MACM SETC</t>
  </si>
  <si>
    <t>CM-105:COVER NATURAL ABS SR2 (B)</t>
  </si>
  <si>
    <t>CM-133:BASE PINK INSTA (NSR2)</t>
  </si>
  <si>
    <t>CP-090:OUTER CAP GREY NO EMBOSS</t>
  </si>
  <si>
    <t>COOIS 5 OKTOBER  2024</t>
  </si>
  <si>
    <t>COOIS 7 OKTOBER  2024</t>
  </si>
  <si>
    <t>CRTD MSPT DLFL BCRQ CNC  SETC</t>
  </si>
  <si>
    <t>CM-133:BASE BLACK (NEW SR 1)</t>
  </si>
  <si>
    <t>28.05.2024</t>
  </si>
  <si>
    <t>12.03.2024</t>
  </si>
  <si>
    <t>16.03.2024</t>
  </si>
  <si>
    <t>CM-156:INSERT WHITE</t>
  </si>
  <si>
    <t>06.05.2024</t>
  </si>
  <si>
    <t>CM-289:BASE BEIGE</t>
  </si>
  <si>
    <t>29.02.2024</t>
  </si>
  <si>
    <t>30.05.2024</t>
  </si>
  <si>
    <t>01.04.2024</t>
  </si>
  <si>
    <t>FP-014:COVER DARK GREY MATTE</t>
  </si>
  <si>
    <t>27.05.2024</t>
  </si>
  <si>
    <t>FP-047:JAR CLEAR</t>
  </si>
  <si>
    <t>17.08.2024</t>
  </si>
  <si>
    <t>LS-285:COVER YELLOW HONEY P130C</t>
  </si>
  <si>
    <t>04.06.2024</t>
  </si>
  <si>
    <t>PT-063:PLUG 25GR WHT GENERAL 12A</t>
  </si>
  <si>
    <t>CRTD MSPT DLFL BCRQ BNAS CNC  RELR SETC</t>
  </si>
  <si>
    <t>17.05.2024</t>
  </si>
  <si>
    <t>PT-085/063:PLUG 20 GR WHT GE</t>
  </si>
  <si>
    <t>16.05.2024</t>
  </si>
  <si>
    <t>23.05.2024</t>
  </si>
  <si>
    <t>06.06.2024</t>
  </si>
  <si>
    <t>08.05.2024</t>
  </si>
  <si>
    <t>REL  MSPT PRT  PRC  DLFL BASC BCRQ SETC</t>
  </si>
  <si>
    <t>03.06.2024</t>
  </si>
  <si>
    <t>29.08.2024</t>
  </si>
  <si>
    <t>PT-097B:CAP SR.2 GREN TRANS PTI 12A</t>
  </si>
  <si>
    <t>COOIS 8 OKTOBER  2024</t>
  </si>
  <si>
    <t>CM-253:COVER MAROON VAR 05</t>
  </si>
  <si>
    <t>CM-253:PLATE PINK VAR 04</t>
  </si>
  <si>
    <t>CM-290:BASE PINK P225C</t>
  </si>
  <si>
    <t>REL  PCNF PRC  BASC BCRQ GMPS MACM PDLV*</t>
  </si>
  <si>
    <t>COOIS 9 OKTOBER  2024</t>
  </si>
  <si>
    <t>CM-253:BASE PINK VAR 04</t>
  </si>
  <si>
    <t>LS-285:BASE GREEN</t>
  </si>
  <si>
    <t>LS-285:COVER L.BEIGIE PTI</t>
  </si>
  <si>
    <t>LS-285:COVER WHITE</t>
  </si>
  <si>
    <t>REL  PRC  BASC BCRQ GMPS MACM PDLV SETC</t>
  </si>
  <si>
    <t>COOIS 10 OKTOBER  2024</t>
  </si>
  <si>
    <t>COOIS 11 OKTOBER  2024</t>
  </si>
  <si>
    <t>29.10.2024</t>
  </si>
  <si>
    <t>FP-038:BASE AMBER</t>
  </si>
  <si>
    <t>30.10.2024</t>
  </si>
  <si>
    <t>FP-038:INNER JAR WHITE TRANS</t>
  </si>
  <si>
    <t>04.11.2024</t>
  </si>
  <si>
    <t>REL  PPRT PCNF PRC  BASC BCRQ GMPS MACM*</t>
  </si>
  <si>
    <t>REL  MSPT PRT  PCNF PRC  BASC BCRQ SETC</t>
  </si>
  <si>
    <t>COOIS 12 OKTOBER  2024</t>
  </si>
  <si>
    <t>REL  MSPT PRT  DLV  PRC  BASC BCRQ GMPS*</t>
  </si>
  <si>
    <t>REL  PRT  PRC  BASC BCRQ GMPS MACM PDLV*</t>
  </si>
  <si>
    <t>COOIS 14 OKTOBER  2024</t>
  </si>
  <si>
    <t>PT-085:BASE  DARK GREEN SR 2</t>
  </si>
  <si>
    <t>COOIS 15 OKTOBER  2024</t>
  </si>
  <si>
    <t>COOIS 16 OKTOBER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</si>
</sst>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3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0" borderId="7" applyNumberFormat="0" applyFill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6" fillId="8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</cellStyleXfs>
  <cellXfs count="16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 vertical="justify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justify"/>
    </xf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0" fillId="0" borderId="0" xfId="0"/>
    <xf numFmtId="0" fontId="0" fillId="0" borderId="1" xfId="0" applyBorder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2.%20Books%20Order%20BP\2024\9.SEPT%20'24\VA05202409231357.xlsx" TargetMode="External"/><Relationship Id="rId1" Type="http://schemas.openxmlformats.org/officeDocument/2006/relationships/externalLinkPath" Target="/12.%20Books%20Order%20BP/2024/9.SEPT%20'24/VA0520240923135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2.%20Books%20Order%20BP\2024\10.OKT%20'24\VA05202410011404_v1.xlsx" TargetMode="External"/><Relationship Id="rId1" Type="http://schemas.openxmlformats.org/officeDocument/2006/relationships/externalLinkPath" Target="/12.%20Books%20Order%20BP/2024/10.OKT%20'24/VA05202410011404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12.%20Books%20Order%20BP\2024\10.OKT%20'24\VA05202410041318.xlsx" TargetMode="External"/><Relationship Id="rId1" Type="http://schemas.openxmlformats.org/officeDocument/2006/relationships/externalLinkPath" Target="/12.%20Books%20Order%20BP/2024/10.OKT%20'24/VA0520241004131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12.%20Books%20Order%20BP\2024\10.OKT%20'24\VA05202410091423.xlsx" TargetMode="External"/><Relationship Id="rId1" Type="http://schemas.openxmlformats.org/officeDocument/2006/relationships/externalLinkPath" Target="/12.%20Books%20Order%20BP/2024/10.OKT%20'24/VA0520241009142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12.%20Books%20Order%20BP\2024\10.OKT%20'24\VA05202410111505.xlsx" TargetMode="External"/><Relationship Id="rId1" Type="http://schemas.openxmlformats.org/officeDocument/2006/relationships/externalLinkPath" Target="/12.%20Books%20Order%20BP/2024/10.OKT%20'24/VA05202410111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PLPV"/>
      <sheetName val="Summary"/>
      <sheetName val="VA05"/>
      <sheetName val="OpenSOwDel"/>
      <sheetName val="MB52FG"/>
      <sheetName val="ZEPLSOALL"/>
      <sheetName val="Ref2"/>
      <sheetName val="REFERENCE"/>
      <sheetName val="Routing"/>
      <sheetName val="UAP"/>
      <sheetName val="LIST MN BM"/>
      <sheetName val="Plot"/>
      <sheetName val="Work Center"/>
    </sheetNames>
    <sheetDataSet>
      <sheetData sheetId="0"/>
      <sheetData sheetId="1"/>
      <sheetData sheetId="2">
        <row r="1">
          <cell r="A1" t="str">
            <v>SORef2</v>
          </cell>
          <cell r="B1" t="str">
            <v>SaTy</v>
          </cell>
          <cell r="C1" t="str">
            <v>Doc. Date</v>
          </cell>
          <cell r="D1" t="str">
            <v>Status</v>
          </cell>
          <cell r="E1" t="str">
            <v>Document</v>
          </cell>
          <cell r="F1" t="str">
            <v>Item</v>
          </cell>
          <cell r="G1" t="str">
            <v>Material</v>
          </cell>
          <cell r="H1" t="str">
            <v>Description</v>
          </cell>
          <cell r="I1" t="str">
            <v xml:space="preserve">     Order Qty</v>
          </cell>
          <cell r="J1" t="str">
            <v>BUn</v>
          </cell>
          <cell r="K1" t="str">
            <v>GI Date</v>
          </cell>
        </row>
        <row r="2">
          <cell r="A2" t="str">
            <v>50714131980</v>
          </cell>
          <cell r="B2" t="str">
            <v>ZMTD</v>
          </cell>
          <cell r="C2">
            <v>45247</v>
          </cell>
          <cell r="D2" t="str">
            <v>Not delivered</v>
          </cell>
          <cell r="E2">
            <v>507141319</v>
          </cell>
          <cell r="F2">
            <v>80</v>
          </cell>
          <cell r="G2">
            <v>1393667</v>
          </cell>
          <cell r="H2" t="str">
            <v>CM-105:BLACK NO DC GENERAL 10A</v>
          </cell>
          <cell r="I2">
            <v>960</v>
          </cell>
          <cell r="J2" t="str">
            <v>UN</v>
          </cell>
          <cell r="K2">
            <v>45294</v>
          </cell>
        </row>
        <row r="3">
          <cell r="A3" t="str">
            <v>507141319130</v>
          </cell>
          <cell r="B3" t="str">
            <v>ZMTD</v>
          </cell>
          <cell r="C3">
            <v>45247</v>
          </cell>
          <cell r="D3" t="str">
            <v>Not delivered</v>
          </cell>
          <cell r="E3">
            <v>507141319</v>
          </cell>
          <cell r="F3">
            <v>130</v>
          </cell>
          <cell r="G3">
            <v>1395395</v>
          </cell>
          <cell r="H3" t="str">
            <v>FP-014:BS CLEAR NO DC GENERAL 12A</v>
          </cell>
          <cell r="I3">
            <v>1530</v>
          </cell>
          <cell r="J3" t="str">
            <v>UN</v>
          </cell>
          <cell r="K3">
            <v>45301</v>
          </cell>
        </row>
        <row r="4">
          <cell r="A4" t="str">
            <v>507141319140</v>
          </cell>
          <cell r="B4" t="str">
            <v>ZMTD</v>
          </cell>
          <cell r="C4">
            <v>45247</v>
          </cell>
          <cell r="D4" t="str">
            <v>Not delivered</v>
          </cell>
          <cell r="E4">
            <v>507141319</v>
          </cell>
          <cell r="F4">
            <v>140</v>
          </cell>
          <cell r="G4">
            <v>1395396</v>
          </cell>
          <cell r="H4" t="str">
            <v>FP-014:CVR BLCK NO DC GENERAL 12A</v>
          </cell>
          <cell r="I4">
            <v>1530</v>
          </cell>
          <cell r="J4" t="str">
            <v>UN</v>
          </cell>
          <cell r="K4">
            <v>45301</v>
          </cell>
        </row>
        <row r="5">
          <cell r="A5" t="str">
            <v>507141319150</v>
          </cell>
          <cell r="B5" t="str">
            <v>ZMTD</v>
          </cell>
          <cell r="C5">
            <v>45247</v>
          </cell>
          <cell r="D5" t="str">
            <v>Not delivered</v>
          </cell>
          <cell r="E5">
            <v>507141319</v>
          </cell>
          <cell r="F5">
            <v>150</v>
          </cell>
          <cell r="G5">
            <v>1395397</v>
          </cell>
          <cell r="H5" t="str">
            <v>FP-014:SFTR NAT W/ LABEL NODC GENERAL12A</v>
          </cell>
          <cell r="I5">
            <v>1530</v>
          </cell>
          <cell r="J5" t="str">
            <v>UN</v>
          </cell>
          <cell r="K5">
            <v>45301</v>
          </cell>
        </row>
        <row r="6">
          <cell r="A6" t="str">
            <v>507141319240</v>
          </cell>
          <cell r="B6" t="str">
            <v>ZMTD</v>
          </cell>
          <cell r="C6">
            <v>45247</v>
          </cell>
          <cell r="D6" t="str">
            <v>Not delivered</v>
          </cell>
          <cell r="E6">
            <v>507141319</v>
          </cell>
          <cell r="F6">
            <v>240</v>
          </cell>
          <cell r="G6">
            <v>1394201</v>
          </cell>
          <cell r="H6" t="str">
            <v>PT-099:BS-CVR BEIGE INS WHT12.5G GNRL12A</v>
          </cell>
          <cell r="I6">
            <v>2400</v>
          </cell>
          <cell r="J6" t="str">
            <v>UN</v>
          </cell>
          <cell r="K6">
            <v>45318</v>
          </cell>
        </row>
        <row r="7">
          <cell r="A7" t="str">
            <v>507141319250</v>
          </cell>
          <cell r="B7" t="str">
            <v>ZMTD</v>
          </cell>
          <cell r="C7">
            <v>45247</v>
          </cell>
          <cell r="D7" t="str">
            <v>Not delivered</v>
          </cell>
          <cell r="E7">
            <v>507141319</v>
          </cell>
          <cell r="F7">
            <v>250</v>
          </cell>
          <cell r="G7">
            <v>1174578</v>
          </cell>
          <cell r="H7" t="str">
            <v>FP-008:CVR WHT S/SLV NO DC,BASE WHT IMM</v>
          </cell>
          <cell r="I7">
            <v>1600</v>
          </cell>
          <cell r="J7" t="str">
            <v>UN</v>
          </cell>
          <cell r="K7">
            <v>45320</v>
          </cell>
        </row>
        <row r="8">
          <cell r="A8" t="str">
            <v>507141319260</v>
          </cell>
          <cell r="B8" t="str">
            <v>ZMTD</v>
          </cell>
          <cell r="C8">
            <v>45247</v>
          </cell>
          <cell r="D8" t="str">
            <v>Not delivered</v>
          </cell>
          <cell r="E8">
            <v>507141319</v>
          </cell>
          <cell r="F8">
            <v>260</v>
          </cell>
          <cell r="G8">
            <v>1173473</v>
          </cell>
          <cell r="H8" t="str">
            <v>FP-008:SIFTER NAT LIVINGHINGE W/LBL IMM</v>
          </cell>
          <cell r="I8">
            <v>1600</v>
          </cell>
          <cell r="J8" t="str">
            <v>UN</v>
          </cell>
          <cell r="K8">
            <v>45320</v>
          </cell>
        </row>
        <row r="9">
          <cell r="A9" t="str">
            <v>50714085410</v>
          </cell>
          <cell r="B9" t="str">
            <v>ZMTD</v>
          </cell>
          <cell r="C9">
            <v>45120</v>
          </cell>
          <cell r="D9" t="str">
            <v>Not delivered</v>
          </cell>
          <cell r="E9">
            <v>507140854</v>
          </cell>
          <cell r="F9">
            <v>10</v>
          </cell>
          <cell r="G9">
            <v>1319568</v>
          </cell>
          <cell r="H9" t="str">
            <v>FP-041:CVR WHT BS CLR SFTR W/LBL NDC 12A</v>
          </cell>
          <cell r="I9">
            <v>1056</v>
          </cell>
          <cell r="J9" t="str">
            <v>UN</v>
          </cell>
          <cell r="K9">
            <v>45322</v>
          </cell>
        </row>
        <row r="10">
          <cell r="A10" t="str">
            <v>507141319270</v>
          </cell>
          <cell r="B10" t="str">
            <v>ZMTD</v>
          </cell>
          <cell r="C10">
            <v>45247</v>
          </cell>
          <cell r="D10" t="str">
            <v>Not delivered</v>
          </cell>
          <cell r="E10">
            <v>507141319</v>
          </cell>
          <cell r="F10">
            <v>270</v>
          </cell>
          <cell r="G10">
            <v>1395871</v>
          </cell>
          <cell r="H10" t="str">
            <v>CL-003:CAP BEIGE WIPNAT NODC GENERAL 12A</v>
          </cell>
          <cell r="I10">
            <v>2772</v>
          </cell>
          <cell r="J10" t="str">
            <v>UN</v>
          </cell>
          <cell r="K10">
            <v>45331</v>
          </cell>
        </row>
        <row r="11">
          <cell r="A11" t="str">
            <v>507141319280</v>
          </cell>
          <cell r="B11" t="str">
            <v>ZMTD</v>
          </cell>
          <cell r="C11">
            <v>45247</v>
          </cell>
          <cell r="D11" t="str">
            <v>Not delivered</v>
          </cell>
          <cell r="E11">
            <v>507141319</v>
          </cell>
          <cell r="F11">
            <v>280</v>
          </cell>
          <cell r="G11">
            <v>1395831</v>
          </cell>
          <cell r="H11" t="str">
            <v>CL-003:BTL CLR COL BEIGE NODC GENERAL12A</v>
          </cell>
          <cell r="I11">
            <v>2772</v>
          </cell>
          <cell r="J11" t="str">
            <v>UN</v>
          </cell>
          <cell r="K11">
            <v>45331</v>
          </cell>
        </row>
        <row r="12">
          <cell r="A12" t="str">
            <v>507141319290</v>
          </cell>
          <cell r="B12" t="str">
            <v>ZMTD</v>
          </cell>
          <cell r="C12">
            <v>45247</v>
          </cell>
          <cell r="D12" t="str">
            <v>Not delivered</v>
          </cell>
          <cell r="E12">
            <v>507141319</v>
          </cell>
          <cell r="F12">
            <v>290</v>
          </cell>
          <cell r="G12">
            <v>1394095</v>
          </cell>
          <cell r="H12" t="str">
            <v>CM-133:CVR/BS GREN NODC GENERAL 12A</v>
          </cell>
          <cell r="I12">
            <v>960</v>
          </cell>
          <cell r="J12" t="str">
            <v>UN</v>
          </cell>
          <cell r="K12">
            <v>45332</v>
          </cell>
        </row>
        <row r="13">
          <cell r="A13" t="str">
            <v>507141319300</v>
          </cell>
          <cell r="B13" t="str">
            <v>ZMTD</v>
          </cell>
          <cell r="C13">
            <v>45247</v>
          </cell>
          <cell r="D13" t="str">
            <v>Not delivered</v>
          </cell>
          <cell r="E13">
            <v>507141319</v>
          </cell>
          <cell r="F13">
            <v>300</v>
          </cell>
          <cell r="G13">
            <v>1394099</v>
          </cell>
          <cell r="H13" t="str">
            <v>CM-253:CV CLR BS PINK NODC GENERAL 12A</v>
          </cell>
          <cell r="I13">
            <v>1620</v>
          </cell>
          <cell r="J13" t="str">
            <v>UN</v>
          </cell>
          <cell r="K13">
            <v>45337</v>
          </cell>
        </row>
        <row r="14">
          <cell r="A14" t="str">
            <v>50714131910</v>
          </cell>
          <cell r="B14" t="str">
            <v>ZMTD</v>
          </cell>
          <cell r="C14">
            <v>45247</v>
          </cell>
          <cell r="D14" t="str">
            <v>Not delivered</v>
          </cell>
          <cell r="E14">
            <v>507141319</v>
          </cell>
          <cell r="F14">
            <v>10</v>
          </cell>
          <cell r="G14">
            <v>1393662</v>
          </cell>
          <cell r="H14" t="str">
            <v>CM-290:1PC CVR/BS BEIGE NODC GENERAL 12A</v>
          </cell>
          <cell r="I14">
            <v>840</v>
          </cell>
          <cell r="J14" t="str">
            <v>UN</v>
          </cell>
          <cell r="K14">
            <v>45387</v>
          </cell>
        </row>
        <row r="15">
          <cell r="A15" t="str">
            <v>50714131920</v>
          </cell>
          <cell r="B15" t="str">
            <v>ZMTD</v>
          </cell>
          <cell r="C15">
            <v>45247</v>
          </cell>
          <cell r="D15" t="str">
            <v>Not delivered</v>
          </cell>
          <cell r="E15">
            <v>507141319</v>
          </cell>
          <cell r="F15">
            <v>20</v>
          </cell>
          <cell r="G15">
            <v>1393665</v>
          </cell>
          <cell r="H15" t="str">
            <v>CM-290:ENGINE BEIGE GENERAL 12A</v>
          </cell>
          <cell r="I15">
            <v>840</v>
          </cell>
          <cell r="J15" t="str">
            <v>UN</v>
          </cell>
          <cell r="K15">
            <v>45387</v>
          </cell>
        </row>
        <row r="16">
          <cell r="A16" t="str">
            <v>50714131930</v>
          </cell>
          <cell r="B16" t="str">
            <v>ZMTD</v>
          </cell>
          <cell r="C16">
            <v>45247</v>
          </cell>
          <cell r="D16" t="str">
            <v>Not delivered</v>
          </cell>
          <cell r="E16">
            <v>507141319</v>
          </cell>
          <cell r="F16">
            <v>30</v>
          </cell>
          <cell r="G16">
            <v>1393666</v>
          </cell>
          <cell r="H16" t="str">
            <v>CM-290:RING BEIGE GENERAL 12A</v>
          </cell>
          <cell r="I16">
            <v>1080</v>
          </cell>
          <cell r="J16" t="str">
            <v>UN</v>
          </cell>
          <cell r="K16">
            <v>45387</v>
          </cell>
        </row>
        <row r="17">
          <cell r="A17" t="str">
            <v>50714131940</v>
          </cell>
          <cell r="B17" t="str">
            <v>ZMTD</v>
          </cell>
          <cell r="C17">
            <v>45247</v>
          </cell>
          <cell r="D17" t="str">
            <v>Not delivered</v>
          </cell>
          <cell r="E17">
            <v>507141319</v>
          </cell>
          <cell r="F17">
            <v>40</v>
          </cell>
          <cell r="G17">
            <v>1183641</v>
          </cell>
          <cell r="H17" t="str">
            <v>PT-073:CV BS GOLD PEARL S/LIST SLV JHONY</v>
          </cell>
          <cell r="I17">
            <v>1200</v>
          </cell>
          <cell r="J17" t="str">
            <v>UN</v>
          </cell>
          <cell r="K17">
            <v>45399</v>
          </cell>
        </row>
        <row r="18">
          <cell r="A18" t="str">
            <v>50714131950</v>
          </cell>
          <cell r="B18" t="str">
            <v>ZMTD</v>
          </cell>
          <cell r="C18">
            <v>45247</v>
          </cell>
          <cell r="D18" t="str">
            <v>Not delivered</v>
          </cell>
          <cell r="E18">
            <v>507141319</v>
          </cell>
          <cell r="F18">
            <v>50</v>
          </cell>
          <cell r="G18">
            <v>1307478</v>
          </cell>
          <cell r="H18" t="str">
            <v>LS-085:BS CVR WHT NODC CEC 12A</v>
          </cell>
          <cell r="I18">
            <v>1815</v>
          </cell>
          <cell r="J18" t="str">
            <v>UN</v>
          </cell>
          <cell r="K18">
            <v>45401</v>
          </cell>
        </row>
        <row r="19">
          <cell r="A19" t="str">
            <v>50714175210</v>
          </cell>
          <cell r="B19" t="str">
            <v>ZMTD</v>
          </cell>
          <cell r="C19">
            <v>45342</v>
          </cell>
          <cell r="D19" t="str">
            <v>Partially delivered</v>
          </cell>
          <cell r="E19">
            <v>507141752</v>
          </cell>
          <cell r="F19">
            <v>10</v>
          </cell>
          <cell r="G19">
            <v>1333155</v>
          </cell>
          <cell r="H19" t="str">
            <v>LC-003:CAP P7605C VMRSGLD ESNZA 20V</v>
          </cell>
          <cell r="I19">
            <v>51660</v>
          </cell>
          <cell r="J19" t="str">
            <v>UN</v>
          </cell>
          <cell r="K19">
            <v>45429</v>
          </cell>
        </row>
        <row r="20">
          <cell r="A20" t="str">
            <v>50714175220</v>
          </cell>
          <cell r="B20" t="str">
            <v>ZMTD</v>
          </cell>
          <cell r="C20">
            <v>45342</v>
          </cell>
          <cell r="D20" t="str">
            <v>Partially delivered</v>
          </cell>
          <cell r="E20">
            <v>507141752</v>
          </cell>
          <cell r="F20">
            <v>20</v>
          </cell>
          <cell r="G20">
            <v>1333156</v>
          </cell>
          <cell r="H20" t="str">
            <v>LC-003:BTL CLR COL VMRSGLD P/MAHATIC 20X</v>
          </cell>
          <cell r="I20">
            <v>51660</v>
          </cell>
          <cell r="J20" t="str">
            <v>UN</v>
          </cell>
          <cell r="K20">
            <v>45429</v>
          </cell>
        </row>
        <row r="21">
          <cell r="A21" t="str">
            <v>50714192310</v>
          </cell>
          <cell r="B21" t="str">
            <v>ZMTD</v>
          </cell>
          <cell r="C21">
            <v>45372</v>
          </cell>
          <cell r="D21" t="str">
            <v>Not delivered</v>
          </cell>
          <cell r="E21">
            <v>507141923</v>
          </cell>
          <cell r="F21">
            <v>10</v>
          </cell>
          <cell r="G21">
            <v>1366375</v>
          </cell>
          <cell r="H21" t="str">
            <v>CM-253:CVBS GRNP580U S/EIDYL UVMT ENI40C</v>
          </cell>
          <cell r="I21">
            <v>10000</v>
          </cell>
          <cell r="J21" t="str">
            <v>UN</v>
          </cell>
          <cell r="K21">
            <v>45440</v>
          </cell>
        </row>
        <row r="22">
          <cell r="A22" t="str">
            <v>50714100170</v>
          </cell>
          <cell r="B22" t="str">
            <v>ZMTD</v>
          </cell>
          <cell r="C22">
            <v>45161</v>
          </cell>
          <cell r="D22" t="str">
            <v>Not delivered</v>
          </cell>
          <cell r="E22">
            <v>507141001</v>
          </cell>
          <cell r="F22">
            <v>70</v>
          </cell>
          <cell r="G22">
            <v>1179792</v>
          </cell>
          <cell r="H22" t="str">
            <v>LC-003:BTL CLR COL WHT NO DC GENERAL 12A</v>
          </cell>
          <cell r="I22">
            <v>3070</v>
          </cell>
          <cell r="J22" t="str">
            <v>UN</v>
          </cell>
          <cell r="K22">
            <v>45455</v>
          </cell>
        </row>
        <row r="23">
          <cell r="A23" t="str">
            <v>50714100180</v>
          </cell>
          <cell r="B23" t="str">
            <v>ZMTD</v>
          </cell>
          <cell r="C23">
            <v>45161</v>
          </cell>
          <cell r="D23" t="str">
            <v>Not delivered</v>
          </cell>
          <cell r="E23">
            <v>507141001</v>
          </cell>
          <cell r="F23">
            <v>80</v>
          </cell>
          <cell r="G23">
            <v>1179769</v>
          </cell>
          <cell r="H23" t="str">
            <v>LC-003:CVR WHT NO DC WIP NAT GENERAL 12A</v>
          </cell>
          <cell r="I23">
            <v>3070</v>
          </cell>
          <cell r="J23" t="str">
            <v>UN</v>
          </cell>
          <cell r="K23">
            <v>45455</v>
          </cell>
        </row>
        <row r="24">
          <cell r="A24" t="str">
            <v>50714187610</v>
          </cell>
          <cell r="B24" t="str">
            <v>ZMTD</v>
          </cell>
          <cell r="C24">
            <v>45363</v>
          </cell>
          <cell r="D24" t="str">
            <v>Not delivered</v>
          </cell>
          <cell r="E24">
            <v>507141876</v>
          </cell>
          <cell r="F24">
            <v>10</v>
          </cell>
          <cell r="G24">
            <v>1366242</v>
          </cell>
          <cell r="H24" t="str">
            <v>CM-297:CVBS GRNP580U S/EIDYL UVMT ENI40C</v>
          </cell>
          <cell r="I24">
            <v>10000</v>
          </cell>
          <cell r="J24" t="str">
            <v>UN</v>
          </cell>
          <cell r="K24">
            <v>45457</v>
          </cell>
        </row>
        <row r="25">
          <cell r="A25" t="str">
            <v>50714211010</v>
          </cell>
          <cell r="B25" t="str">
            <v>ZMTD</v>
          </cell>
          <cell r="C25">
            <v>45422</v>
          </cell>
          <cell r="D25" t="str">
            <v>Partially delivered</v>
          </cell>
          <cell r="E25">
            <v>507142110</v>
          </cell>
          <cell r="F25">
            <v>10</v>
          </cell>
          <cell r="G25">
            <v>1419205</v>
          </cell>
          <cell r="H25" t="str">
            <v>PT-099:CVR GREN BS PINK 12.5G CHARSM 12A</v>
          </cell>
          <cell r="I25">
            <v>50000</v>
          </cell>
          <cell r="J25" t="str">
            <v>UN</v>
          </cell>
          <cell r="K25">
            <v>45475</v>
          </cell>
        </row>
        <row r="26">
          <cell r="A26" t="str">
            <v>50714211020</v>
          </cell>
          <cell r="B26" t="str">
            <v>ZMTD</v>
          </cell>
          <cell r="C26">
            <v>45422</v>
          </cell>
          <cell r="D26" t="str">
            <v>Not delivered</v>
          </cell>
          <cell r="E26">
            <v>507142110</v>
          </cell>
          <cell r="F26">
            <v>20</v>
          </cell>
          <cell r="G26">
            <v>1419205</v>
          </cell>
          <cell r="H26" t="str">
            <v>PT-099:CVR GREN BS PINK 12.5G CHARSM 12A</v>
          </cell>
          <cell r="I26">
            <v>30000</v>
          </cell>
          <cell r="J26" t="str">
            <v>UN</v>
          </cell>
          <cell r="K26">
            <v>45477</v>
          </cell>
        </row>
        <row r="27">
          <cell r="A27" t="str">
            <v>50714108010</v>
          </cell>
          <cell r="B27" t="str">
            <v>ZMTD</v>
          </cell>
          <cell r="C27">
            <v>45187</v>
          </cell>
          <cell r="D27" t="str">
            <v>Not delivered</v>
          </cell>
          <cell r="E27">
            <v>507141080</v>
          </cell>
          <cell r="F27">
            <v>10</v>
          </cell>
          <cell r="G27">
            <v>1194582</v>
          </cell>
          <cell r="H27" t="str">
            <v>LC-002:BTL CLR COL WHT NO DC GENERAL</v>
          </cell>
          <cell r="I27">
            <v>1404</v>
          </cell>
          <cell r="J27" t="str">
            <v>UN</v>
          </cell>
          <cell r="K27">
            <v>45498</v>
          </cell>
        </row>
        <row r="28">
          <cell r="A28" t="str">
            <v>50714108020</v>
          </cell>
          <cell r="B28" t="str">
            <v>ZMTD</v>
          </cell>
          <cell r="C28">
            <v>45187</v>
          </cell>
          <cell r="D28" t="str">
            <v>Not delivered</v>
          </cell>
          <cell r="E28">
            <v>507141080</v>
          </cell>
          <cell r="F28">
            <v>20</v>
          </cell>
          <cell r="G28">
            <v>1194581</v>
          </cell>
          <cell r="H28" t="str">
            <v>LC-002:CAP WHT NO DC WIPER NAT GENERAL</v>
          </cell>
          <cell r="I28">
            <v>1404</v>
          </cell>
          <cell r="J28" t="str">
            <v>UN</v>
          </cell>
          <cell r="K28">
            <v>45498</v>
          </cell>
        </row>
        <row r="29">
          <cell r="A29" t="str">
            <v>50714209710</v>
          </cell>
          <cell r="B29" t="str">
            <v>ZMTD</v>
          </cell>
          <cell r="C29">
            <v>45418</v>
          </cell>
          <cell r="D29" t="str">
            <v>Not delivered</v>
          </cell>
          <cell r="E29">
            <v>507142097</v>
          </cell>
          <cell r="F29">
            <v>10</v>
          </cell>
          <cell r="G29">
            <v>1274637</v>
          </cell>
          <cell r="H29" t="str">
            <v>CP-094:OUT CLR VM SHY GLD NUTCAP EL_ISCC</v>
          </cell>
          <cell r="I29">
            <v>70272</v>
          </cell>
          <cell r="J29" t="str">
            <v>UN</v>
          </cell>
          <cell r="K29">
            <v>45505</v>
          </cell>
        </row>
        <row r="30">
          <cell r="A30" t="str">
            <v>50714253910</v>
          </cell>
          <cell r="B30" t="str">
            <v>ZMTD</v>
          </cell>
          <cell r="C30">
            <v>45490</v>
          </cell>
          <cell r="D30" t="str">
            <v>Not delivered</v>
          </cell>
          <cell r="E30">
            <v>507142539</v>
          </cell>
          <cell r="F30">
            <v>10</v>
          </cell>
          <cell r="G30">
            <v>1169047</v>
          </cell>
          <cell r="H30" t="str">
            <v>LS-285:B V/SL P/1PS SLEV H/SL BLM PTI20R</v>
          </cell>
          <cell r="I30">
            <v>25536</v>
          </cell>
          <cell r="J30" t="str">
            <v>UN</v>
          </cell>
          <cell r="K30">
            <v>45510</v>
          </cell>
        </row>
        <row r="31">
          <cell r="A31" t="str">
            <v>50714253920</v>
          </cell>
          <cell r="B31" t="str">
            <v>ZMTD</v>
          </cell>
          <cell r="C31">
            <v>45490</v>
          </cell>
          <cell r="D31" t="str">
            <v>Not delivered</v>
          </cell>
          <cell r="E31">
            <v>507142539</v>
          </cell>
          <cell r="F31">
            <v>20</v>
          </cell>
          <cell r="G31">
            <v>1171873</v>
          </cell>
          <cell r="H31" t="str">
            <v>LS-285:CV TRANS MATE 6 P/1PS VAR5 PTI40H</v>
          </cell>
          <cell r="I31">
            <v>25536</v>
          </cell>
          <cell r="J31" t="str">
            <v>UN</v>
          </cell>
          <cell r="K31">
            <v>45510</v>
          </cell>
        </row>
        <row r="32">
          <cell r="A32" t="str">
            <v>50714209720</v>
          </cell>
          <cell r="B32" t="str">
            <v>ZMTD</v>
          </cell>
          <cell r="C32">
            <v>45418</v>
          </cell>
          <cell r="D32" t="str">
            <v>Not delivered</v>
          </cell>
          <cell r="E32">
            <v>507142097</v>
          </cell>
          <cell r="F32">
            <v>20</v>
          </cell>
          <cell r="G32">
            <v>1274637</v>
          </cell>
          <cell r="H32" t="str">
            <v>CP-094:OUT CLR VM SHY GLD NUTCAP EL_ISCC</v>
          </cell>
          <cell r="I32">
            <v>70272</v>
          </cell>
          <cell r="J32" t="str">
            <v>UN</v>
          </cell>
          <cell r="K32">
            <v>45512</v>
          </cell>
        </row>
        <row r="33">
          <cell r="A33" t="str">
            <v>50714209730</v>
          </cell>
          <cell r="B33" t="str">
            <v>ZMTD</v>
          </cell>
          <cell r="C33">
            <v>45418</v>
          </cell>
          <cell r="D33" t="str">
            <v>Not delivered</v>
          </cell>
          <cell r="E33">
            <v>507142097</v>
          </cell>
          <cell r="F33">
            <v>30</v>
          </cell>
          <cell r="G33">
            <v>1274637</v>
          </cell>
          <cell r="H33" t="str">
            <v>CP-094:OUT CLR VM SHY GLD NUTCAP EL_ISCC</v>
          </cell>
          <cell r="I33">
            <v>70272</v>
          </cell>
          <cell r="J33" t="str">
            <v>UN</v>
          </cell>
          <cell r="K33">
            <v>45519</v>
          </cell>
        </row>
        <row r="34">
          <cell r="A34" t="str">
            <v>50714259110</v>
          </cell>
          <cell r="B34" t="str">
            <v>ZMTD</v>
          </cell>
          <cell r="C34">
            <v>45504</v>
          </cell>
          <cell r="D34" t="str">
            <v>Not delivered</v>
          </cell>
          <cell r="E34">
            <v>507142591</v>
          </cell>
          <cell r="F34">
            <v>10</v>
          </cell>
          <cell r="G34">
            <v>1414554</v>
          </cell>
          <cell r="H34" t="str">
            <v>SPIRAL SPRING MO SS304,11G,54.5MM PTI(T)</v>
          </cell>
          <cell r="I34">
            <v>200000</v>
          </cell>
          <cell r="J34" t="str">
            <v>UN</v>
          </cell>
          <cell r="K34">
            <v>45523</v>
          </cell>
        </row>
        <row r="35">
          <cell r="A35" t="str">
            <v>50714108030</v>
          </cell>
          <cell r="B35" t="str">
            <v>ZMTD</v>
          </cell>
          <cell r="C35">
            <v>45187</v>
          </cell>
          <cell r="D35" t="str">
            <v>Not delivered</v>
          </cell>
          <cell r="E35">
            <v>507141080</v>
          </cell>
          <cell r="F35">
            <v>30</v>
          </cell>
          <cell r="G35">
            <v>1181519</v>
          </cell>
          <cell r="H35" t="str">
            <v>LC-002:BTL CLR COL BLK NO DC GENERAL</v>
          </cell>
          <cell r="I35">
            <v>17904</v>
          </cell>
          <cell r="J35" t="str">
            <v>UN</v>
          </cell>
          <cell r="K35">
            <v>45523</v>
          </cell>
        </row>
        <row r="36">
          <cell r="A36" t="str">
            <v>50714108040</v>
          </cell>
          <cell r="B36" t="str">
            <v>ZMTD</v>
          </cell>
          <cell r="C36">
            <v>45187</v>
          </cell>
          <cell r="D36" t="str">
            <v>Not delivered</v>
          </cell>
          <cell r="E36">
            <v>507141080</v>
          </cell>
          <cell r="F36">
            <v>40</v>
          </cell>
          <cell r="G36">
            <v>1194673</v>
          </cell>
          <cell r="H36" t="str">
            <v>LC-002:CAP BLK NO DC WIPER NAT GENERAL</v>
          </cell>
          <cell r="I36">
            <v>17904</v>
          </cell>
          <cell r="J36" t="str">
            <v>UN</v>
          </cell>
          <cell r="K36">
            <v>45523</v>
          </cell>
        </row>
        <row r="37">
          <cell r="A37" t="str">
            <v>50714226310</v>
          </cell>
          <cell r="B37" t="str">
            <v>ZMTD</v>
          </cell>
          <cell r="C37">
            <v>45441</v>
          </cell>
          <cell r="D37" t="str">
            <v>Not delivered</v>
          </cell>
          <cell r="E37">
            <v>507142263</v>
          </cell>
          <cell r="F37">
            <v>10</v>
          </cell>
          <cell r="G37">
            <v>1368757</v>
          </cell>
          <cell r="H37" t="str">
            <v>LS-092:BS WHT P/BLU NP BLUE CSMX R01 60B</v>
          </cell>
          <cell r="I37">
            <v>50400</v>
          </cell>
          <cell r="J37" t="str">
            <v>UN</v>
          </cell>
          <cell r="K37">
            <v>45525</v>
          </cell>
        </row>
        <row r="38">
          <cell r="A38" t="str">
            <v>50714226320</v>
          </cell>
          <cell r="B38" t="str">
            <v>ZMTD</v>
          </cell>
          <cell r="C38">
            <v>45441</v>
          </cell>
          <cell r="D38" t="str">
            <v>Not delivered</v>
          </cell>
          <cell r="E38">
            <v>507142263</v>
          </cell>
          <cell r="F38">
            <v>20</v>
          </cell>
          <cell r="G38">
            <v>1210981</v>
          </cell>
          <cell r="H38" t="str">
            <v>LS-092:COVER CLEAR P/WHT CSMAX 60B</v>
          </cell>
          <cell r="I38">
            <v>50400</v>
          </cell>
          <cell r="J38" t="str">
            <v>UN</v>
          </cell>
          <cell r="K38">
            <v>45525</v>
          </cell>
        </row>
        <row r="39">
          <cell r="A39" t="str">
            <v>50900099710</v>
          </cell>
          <cell r="B39" t="str">
            <v>ZMRX</v>
          </cell>
          <cell r="C39">
            <v>45525</v>
          </cell>
          <cell r="D39" t="str">
            <v>Not delivered</v>
          </cell>
          <cell r="E39">
            <v>509000997</v>
          </cell>
          <cell r="F39">
            <v>10</v>
          </cell>
          <cell r="G39">
            <v>1279676</v>
          </cell>
          <cell r="H39" t="str">
            <v>CM-290:CVR/BS YELOW P/EMINA DAILY PTI60B</v>
          </cell>
          <cell r="I39">
            <v>2248</v>
          </cell>
          <cell r="J39" t="str">
            <v>UN</v>
          </cell>
          <cell r="K39">
            <v>45526</v>
          </cell>
        </row>
        <row r="40">
          <cell r="A40" t="str">
            <v>50900099810</v>
          </cell>
          <cell r="B40" t="str">
            <v>ZMRX</v>
          </cell>
          <cell r="C40">
            <v>45525</v>
          </cell>
          <cell r="D40" t="str">
            <v>Not delivered</v>
          </cell>
          <cell r="E40">
            <v>509000998</v>
          </cell>
          <cell r="F40">
            <v>10</v>
          </cell>
          <cell r="G40">
            <v>1279676</v>
          </cell>
          <cell r="H40" t="str">
            <v>CM-290:CVR/BS YELOW P/EMINA DAILY PTI60B</v>
          </cell>
          <cell r="I40">
            <v>3295</v>
          </cell>
          <cell r="J40" t="str">
            <v>UN</v>
          </cell>
          <cell r="K40">
            <v>45526</v>
          </cell>
        </row>
        <row r="41">
          <cell r="A41" t="str">
            <v>50714209740</v>
          </cell>
          <cell r="B41" t="str">
            <v>ZMTD</v>
          </cell>
          <cell r="C41">
            <v>45418</v>
          </cell>
          <cell r="D41" t="str">
            <v>Not delivered</v>
          </cell>
          <cell r="E41">
            <v>507142097</v>
          </cell>
          <cell r="F41">
            <v>40</v>
          </cell>
          <cell r="G41">
            <v>1274637</v>
          </cell>
          <cell r="H41" t="str">
            <v>CP-094:OUT CLR VM SHY GLD NUTCAP EL_ISCC</v>
          </cell>
          <cell r="I41">
            <v>42624</v>
          </cell>
          <cell r="J41" t="str">
            <v>UN</v>
          </cell>
          <cell r="K41">
            <v>45526</v>
          </cell>
        </row>
        <row r="42">
          <cell r="A42" t="str">
            <v>50714259120</v>
          </cell>
          <cell r="B42" t="str">
            <v>ZMTD</v>
          </cell>
          <cell r="C42">
            <v>45504</v>
          </cell>
          <cell r="D42" t="str">
            <v>Not delivered</v>
          </cell>
          <cell r="E42">
            <v>507142591</v>
          </cell>
          <cell r="F42">
            <v>20</v>
          </cell>
          <cell r="G42">
            <v>1414554</v>
          </cell>
          <cell r="H42" t="str">
            <v>SPIRAL SPRING MO SS304,11G,54.5MM PTI(T)</v>
          </cell>
          <cell r="I42">
            <v>100000</v>
          </cell>
          <cell r="J42" t="str">
            <v>UN</v>
          </cell>
          <cell r="K42">
            <v>45530</v>
          </cell>
        </row>
        <row r="43">
          <cell r="A43" t="str">
            <v>50714253310</v>
          </cell>
          <cell r="B43" t="str">
            <v>ZMTD</v>
          </cell>
          <cell r="C43">
            <v>45488</v>
          </cell>
          <cell r="D43" t="str">
            <v>Not delivered</v>
          </cell>
          <cell r="E43">
            <v>507142533</v>
          </cell>
          <cell r="F43">
            <v>10</v>
          </cell>
          <cell r="G43">
            <v>1425323</v>
          </cell>
          <cell r="H43" t="str">
            <v>CM-290:ENGINE BLACK RIDHA 12A</v>
          </cell>
          <cell r="I43">
            <v>10000</v>
          </cell>
          <cell r="J43" t="str">
            <v>UN</v>
          </cell>
          <cell r="K43">
            <v>45530</v>
          </cell>
        </row>
        <row r="44">
          <cell r="A44" t="str">
            <v>50714253320</v>
          </cell>
          <cell r="B44" t="str">
            <v>ZMTD</v>
          </cell>
          <cell r="C44">
            <v>45488</v>
          </cell>
          <cell r="D44" t="str">
            <v>Not delivered</v>
          </cell>
          <cell r="E44">
            <v>507142533</v>
          </cell>
          <cell r="F44">
            <v>20</v>
          </cell>
          <cell r="G44">
            <v>1425324</v>
          </cell>
          <cell r="H44" t="str">
            <v>CM-290:RING BLACK RIDHA 12A</v>
          </cell>
          <cell r="I44">
            <v>10000</v>
          </cell>
          <cell r="J44" t="str">
            <v>UN</v>
          </cell>
          <cell r="K44">
            <v>45530</v>
          </cell>
        </row>
        <row r="45">
          <cell r="A45" t="str">
            <v>50714253330</v>
          </cell>
          <cell r="B45" t="str">
            <v>ZMTD</v>
          </cell>
          <cell r="C45">
            <v>45488</v>
          </cell>
          <cell r="D45" t="str">
            <v>Not delivered</v>
          </cell>
          <cell r="E45">
            <v>507142533</v>
          </cell>
          <cell r="F45">
            <v>30</v>
          </cell>
          <cell r="G45">
            <v>1425325</v>
          </cell>
          <cell r="H45" t="str">
            <v>CM-290:1PC CV/BS BLCK P/FLAWLES RIDHA60B</v>
          </cell>
          <cell r="I45">
            <v>10000</v>
          </cell>
          <cell r="J45" t="str">
            <v>UN</v>
          </cell>
          <cell r="K45">
            <v>45530</v>
          </cell>
        </row>
        <row r="46">
          <cell r="A46" t="str">
            <v>50714253340</v>
          </cell>
          <cell r="B46" t="str">
            <v>ZMTD</v>
          </cell>
          <cell r="C46">
            <v>45488</v>
          </cell>
          <cell r="D46" t="str">
            <v>Not delivered</v>
          </cell>
          <cell r="E46">
            <v>507142533</v>
          </cell>
          <cell r="F46">
            <v>40</v>
          </cell>
          <cell r="G46">
            <v>1424308</v>
          </cell>
          <cell r="H46" t="str">
            <v>RUBICELL PUFF W/RIBBON P/RIDHA 60B (T)</v>
          </cell>
          <cell r="I46">
            <v>10000</v>
          </cell>
          <cell r="J46" t="str">
            <v>UN</v>
          </cell>
          <cell r="K46">
            <v>45530</v>
          </cell>
        </row>
        <row r="47">
          <cell r="A47" t="str">
            <v>50714253350</v>
          </cell>
          <cell r="B47" t="str">
            <v>ZMTD</v>
          </cell>
          <cell r="C47">
            <v>45488</v>
          </cell>
          <cell r="D47" t="str">
            <v>Not delivered</v>
          </cell>
          <cell r="E47">
            <v>507142533</v>
          </cell>
          <cell r="F47">
            <v>50</v>
          </cell>
          <cell r="G47">
            <v>1188806</v>
          </cell>
          <cell r="H47" t="str">
            <v>FILLER SPONGE DIA 50X11.5MM GNRL</v>
          </cell>
          <cell r="I47">
            <v>10000</v>
          </cell>
          <cell r="J47" t="str">
            <v>UN</v>
          </cell>
          <cell r="K47">
            <v>45530</v>
          </cell>
        </row>
        <row r="48">
          <cell r="A48" t="str">
            <v>50714221010</v>
          </cell>
          <cell r="B48" t="str">
            <v>ZMTD</v>
          </cell>
          <cell r="C48">
            <v>45434</v>
          </cell>
          <cell r="D48" t="str">
            <v>Partially delivered</v>
          </cell>
          <cell r="E48">
            <v>507142210</v>
          </cell>
          <cell r="F48">
            <v>10</v>
          </cell>
          <cell r="G48">
            <v>1383924</v>
          </cell>
          <cell r="H48" t="str">
            <v>LS-087:BS MTPEACH P/BLP L.BULET CSMAX40H</v>
          </cell>
          <cell r="I48">
            <v>25750</v>
          </cell>
          <cell r="J48" t="str">
            <v>UN</v>
          </cell>
          <cell r="K48">
            <v>45533</v>
          </cell>
        </row>
        <row r="49">
          <cell r="A49" t="str">
            <v>50714253010</v>
          </cell>
          <cell r="B49" t="str">
            <v>ZMTD</v>
          </cell>
          <cell r="C49">
            <v>45488</v>
          </cell>
          <cell r="D49" t="str">
            <v>Partially delivered</v>
          </cell>
          <cell r="E49">
            <v>507142530</v>
          </cell>
          <cell r="F49">
            <v>10</v>
          </cell>
          <cell r="G49">
            <v>1388803</v>
          </cell>
          <cell r="H49" t="str">
            <v>RX-067:CM-289 CVR BEIGE SP MATTE RV1</v>
          </cell>
          <cell r="I49">
            <v>100000</v>
          </cell>
          <cell r="J49" t="str">
            <v>UN</v>
          </cell>
          <cell r="K49">
            <v>45537</v>
          </cell>
        </row>
        <row r="50">
          <cell r="A50" t="str">
            <v>50714229310</v>
          </cell>
          <cell r="B50" t="str">
            <v>ZMTD</v>
          </cell>
          <cell r="C50">
            <v>45448</v>
          </cell>
          <cell r="D50" t="str">
            <v>Partially delivered</v>
          </cell>
          <cell r="E50">
            <v>507142293</v>
          </cell>
          <cell r="F50">
            <v>10</v>
          </cell>
          <cell r="G50">
            <v>1288811</v>
          </cell>
          <cell r="H50" t="str">
            <v>CP-065:FT 50 SNAP SLV GLOSSY ELSEVE</v>
          </cell>
          <cell r="I50">
            <v>110400</v>
          </cell>
          <cell r="J50" t="str">
            <v>UN</v>
          </cell>
          <cell r="K50">
            <v>45537</v>
          </cell>
        </row>
        <row r="51">
          <cell r="A51" t="str">
            <v>50714180310</v>
          </cell>
          <cell r="B51" t="str">
            <v>ZMTD</v>
          </cell>
          <cell r="C51">
            <v>45349</v>
          </cell>
          <cell r="D51" t="str">
            <v>Not delivered</v>
          </cell>
          <cell r="E51">
            <v>507141803</v>
          </cell>
          <cell r="F51">
            <v>10</v>
          </cell>
          <cell r="G51">
            <v>1404888</v>
          </cell>
          <cell r="H51" t="str">
            <v>LS-091:BS MGNTA P/SHEER COLOR ROHTO 60B</v>
          </cell>
          <cell r="I51">
            <v>27664</v>
          </cell>
          <cell r="J51" t="str">
            <v>UN</v>
          </cell>
          <cell r="K51">
            <v>45537</v>
          </cell>
        </row>
        <row r="52">
          <cell r="A52" t="str">
            <v>50714180320</v>
          </cell>
          <cell r="B52" t="str">
            <v>ZMTD</v>
          </cell>
          <cell r="C52">
            <v>45349</v>
          </cell>
          <cell r="D52" t="str">
            <v>Not delivered</v>
          </cell>
          <cell r="E52">
            <v>507141803</v>
          </cell>
          <cell r="F52">
            <v>20</v>
          </cell>
          <cell r="G52">
            <v>1407563</v>
          </cell>
          <cell r="H52" t="str">
            <v>LS-091:CVR MGNTA GRAD UV P/STRWBRY ROHTO</v>
          </cell>
          <cell r="I52">
            <v>27664</v>
          </cell>
          <cell r="J52" t="str">
            <v>UN</v>
          </cell>
          <cell r="K52">
            <v>45537</v>
          </cell>
        </row>
        <row r="53">
          <cell r="A53" t="str">
            <v>50714268110</v>
          </cell>
          <cell r="B53" t="str">
            <v>ZMTD</v>
          </cell>
          <cell r="C53">
            <v>45532</v>
          </cell>
          <cell r="D53" t="str">
            <v>Not delivered</v>
          </cell>
          <cell r="E53">
            <v>507142681</v>
          </cell>
          <cell r="F53">
            <v>10</v>
          </cell>
          <cell r="G53">
            <v>1141323</v>
          </cell>
          <cell r="H53" t="str">
            <v>CP-063:SPOUT CAP LOREAL</v>
          </cell>
          <cell r="I53">
            <v>1890000</v>
          </cell>
          <cell r="J53" t="str">
            <v>UN</v>
          </cell>
          <cell r="K53">
            <v>45538</v>
          </cell>
        </row>
        <row r="54">
          <cell r="A54" t="str">
            <v>50714255610</v>
          </cell>
          <cell r="B54" t="str">
            <v>ZMTD</v>
          </cell>
          <cell r="C54">
            <v>45495</v>
          </cell>
          <cell r="D54" t="str">
            <v>Not delivered</v>
          </cell>
          <cell r="E54">
            <v>507142556</v>
          </cell>
          <cell r="F54">
            <v>10</v>
          </cell>
          <cell r="G54">
            <v>1429645</v>
          </cell>
          <cell r="H54" t="str">
            <v>PT-055:BD CV D.BLUE P/100-1080 INVBIO60B</v>
          </cell>
          <cell r="I54">
            <v>5000</v>
          </cell>
          <cell r="J54" t="str">
            <v>UN</v>
          </cell>
          <cell r="K54">
            <v>45538</v>
          </cell>
        </row>
        <row r="55">
          <cell r="A55" t="str">
            <v>50714255620</v>
          </cell>
          <cell r="B55" t="str">
            <v>ZMTD</v>
          </cell>
          <cell r="C55">
            <v>45495</v>
          </cell>
          <cell r="D55" t="str">
            <v>Not delivered</v>
          </cell>
          <cell r="E55">
            <v>507142556</v>
          </cell>
          <cell r="F55">
            <v>20</v>
          </cell>
          <cell r="G55">
            <v>1282199</v>
          </cell>
          <cell r="H55" t="str">
            <v>PT-055:PLUG D.BLUE NO DC INVBIOCARE</v>
          </cell>
          <cell r="I55">
            <v>5000</v>
          </cell>
          <cell r="J55" t="str">
            <v>UN</v>
          </cell>
          <cell r="K55">
            <v>45538</v>
          </cell>
        </row>
        <row r="56">
          <cell r="A56" t="str">
            <v>50714253510</v>
          </cell>
          <cell r="B56" t="str">
            <v>ZMTD</v>
          </cell>
          <cell r="C56">
            <v>45489</v>
          </cell>
          <cell r="D56" t="str">
            <v>Not delivered</v>
          </cell>
          <cell r="E56">
            <v>507142535</v>
          </cell>
          <cell r="F56">
            <v>10</v>
          </cell>
          <cell r="G56">
            <v>1158837</v>
          </cell>
          <cell r="H56" t="str">
            <v>SD-007:SM16 WH SLDR D40 SCREW ORI7.5</v>
          </cell>
          <cell r="I56">
            <v>252000</v>
          </cell>
          <cell r="J56" t="str">
            <v>UN</v>
          </cell>
          <cell r="K56">
            <v>45538</v>
          </cell>
        </row>
        <row r="57">
          <cell r="A57" t="str">
            <v>50714248510</v>
          </cell>
          <cell r="B57" t="str">
            <v>ZMTD</v>
          </cell>
          <cell r="C57">
            <v>45484</v>
          </cell>
          <cell r="D57" t="str">
            <v>Not delivered</v>
          </cell>
          <cell r="E57">
            <v>507142485</v>
          </cell>
          <cell r="F57">
            <v>10</v>
          </cell>
          <cell r="G57">
            <v>1388036</v>
          </cell>
          <cell r="H57" t="str">
            <v>CM-253:CV BS MTMAUVE P/C.BLSH RV1 PTI40H</v>
          </cell>
          <cell r="I57">
            <v>33480</v>
          </cell>
          <cell r="J57" t="str">
            <v>UN</v>
          </cell>
          <cell r="K57">
            <v>45538</v>
          </cell>
        </row>
        <row r="58">
          <cell r="A58" t="str">
            <v>50714226420</v>
          </cell>
          <cell r="B58" t="str">
            <v>ZMTD</v>
          </cell>
          <cell r="C58">
            <v>45442</v>
          </cell>
          <cell r="D58" t="str">
            <v>Partially delivered</v>
          </cell>
          <cell r="E58">
            <v>507142264</v>
          </cell>
          <cell r="F58">
            <v>20</v>
          </cell>
          <cell r="G58">
            <v>1172318</v>
          </cell>
          <cell r="H58" t="str">
            <v>FP-014:BASE CLEAR NO DC ULTIMA II RUDY S</v>
          </cell>
          <cell r="I58">
            <v>30000</v>
          </cell>
          <cell r="J58" t="str">
            <v>UN</v>
          </cell>
          <cell r="K58">
            <v>45538</v>
          </cell>
        </row>
        <row r="59">
          <cell r="A59" t="str">
            <v>50714226430</v>
          </cell>
          <cell r="B59" t="str">
            <v>ZMTD</v>
          </cell>
          <cell r="C59">
            <v>45442</v>
          </cell>
          <cell r="D59" t="str">
            <v>Partially delivered</v>
          </cell>
          <cell r="E59">
            <v>507142264</v>
          </cell>
          <cell r="F59">
            <v>30</v>
          </cell>
          <cell r="G59">
            <v>1170826</v>
          </cell>
          <cell r="H59" t="str">
            <v>FP-014:SIFTER NT W/LBL NO DECO ULTIMA II</v>
          </cell>
          <cell r="I59">
            <v>30000</v>
          </cell>
          <cell r="J59" t="str">
            <v>UN</v>
          </cell>
          <cell r="K59">
            <v>45538</v>
          </cell>
        </row>
        <row r="60">
          <cell r="A60" t="str">
            <v>50714259130</v>
          </cell>
          <cell r="B60" t="str">
            <v>ZMTD</v>
          </cell>
          <cell r="C60">
            <v>45504</v>
          </cell>
          <cell r="D60" t="str">
            <v>Not delivered</v>
          </cell>
          <cell r="E60">
            <v>507142591</v>
          </cell>
          <cell r="F60">
            <v>30</v>
          </cell>
          <cell r="G60">
            <v>1414554</v>
          </cell>
          <cell r="H60" t="str">
            <v>SPIRAL SPRING MO SS304,11G,54.5MM PTI(T)</v>
          </cell>
          <cell r="I60">
            <v>100000</v>
          </cell>
          <cell r="J60" t="str">
            <v>UN</v>
          </cell>
          <cell r="K60">
            <v>45539</v>
          </cell>
        </row>
        <row r="61">
          <cell r="A61" t="str">
            <v>50714242810</v>
          </cell>
          <cell r="B61" t="str">
            <v>ZMTD</v>
          </cell>
          <cell r="C61">
            <v>45475</v>
          </cell>
          <cell r="D61" t="str">
            <v>Partially delivered</v>
          </cell>
          <cell r="E61">
            <v>507142428</v>
          </cell>
          <cell r="F61">
            <v>10</v>
          </cell>
          <cell r="G61">
            <v>1388036</v>
          </cell>
          <cell r="H61" t="str">
            <v>CM-253:CV BS MTMAUVE P/C.BLSH RV1 PTI40H</v>
          </cell>
          <cell r="I61">
            <v>16200</v>
          </cell>
          <cell r="J61" t="str">
            <v>UN</v>
          </cell>
          <cell r="K61">
            <v>45539</v>
          </cell>
        </row>
        <row r="62">
          <cell r="A62" t="str">
            <v>50714270410</v>
          </cell>
          <cell r="B62" t="str">
            <v>ZMTD</v>
          </cell>
          <cell r="C62">
            <v>45534</v>
          </cell>
          <cell r="D62" t="str">
            <v>Not delivered</v>
          </cell>
          <cell r="E62">
            <v>507142704</v>
          </cell>
          <cell r="F62">
            <v>10</v>
          </cell>
          <cell r="G62">
            <v>1255664</v>
          </cell>
          <cell r="H62" t="str">
            <v>LC-002:BTL MT VAR14 P/WRDH B.MARK PTI40H</v>
          </cell>
          <cell r="I62">
            <v>25200</v>
          </cell>
          <cell r="J62" t="str">
            <v>UN</v>
          </cell>
          <cell r="K62">
            <v>45540</v>
          </cell>
        </row>
        <row r="63">
          <cell r="A63" t="str">
            <v>50714270420</v>
          </cell>
          <cell r="B63" t="str">
            <v>ZMTD</v>
          </cell>
          <cell r="C63">
            <v>45534</v>
          </cell>
          <cell r="D63" t="str">
            <v>Not delivered</v>
          </cell>
          <cell r="E63">
            <v>507142704</v>
          </cell>
          <cell r="F63">
            <v>20</v>
          </cell>
          <cell r="G63">
            <v>1264032</v>
          </cell>
          <cell r="H63" t="str">
            <v>LC-002:CP S/MT VAR14 STM-WHT WNAT PTI40D</v>
          </cell>
          <cell r="I63">
            <v>25200</v>
          </cell>
          <cell r="J63" t="str">
            <v>UN</v>
          </cell>
          <cell r="K63">
            <v>45540</v>
          </cell>
        </row>
        <row r="64">
          <cell r="A64" t="str">
            <v>50800526510</v>
          </cell>
          <cell r="B64" t="str">
            <v>ZMFD</v>
          </cell>
          <cell r="C64">
            <v>45530</v>
          </cell>
          <cell r="D64" t="str">
            <v>Not delivered</v>
          </cell>
          <cell r="E64">
            <v>508005265</v>
          </cell>
          <cell r="F64">
            <v>10</v>
          </cell>
          <cell r="G64">
            <v>1413967</v>
          </cell>
          <cell r="H64" t="str">
            <v>CM-323:VM SILVER DIOR JUMBO M080</v>
          </cell>
          <cell r="I64">
            <v>6000</v>
          </cell>
          <cell r="J64" t="str">
            <v>UN</v>
          </cell>
          <cell r="K64">
            <v>45540</v>
          </cell>
        </row>
        <row r="65">
          <cell r="A65" t="str">
            <v>50714266710</v>
          </cell>
          <cell r="B65" t="str">
            <v>ZMTD</v>
          </cell>
          <cell r="C65">
            <v>45525</v>
          </cell>
          <cell r="D65" t="str">
            <v>Not delivered</v>
          </cell>
          <cell r="E65">
            <v>507142667</v>
          </cell>
          <cell r="F65">
            <v>10</v>
          </cell>
          <cell r="G65">
            <v>1141323</v>
          </cell>
          <cell r="H65" t="str">
            <v>CP-063:SPOUT CAP LOREAL</v>
          </cell>
          <cell r="I65">
            <v>210000</v>
          </cell>
          <cell r="J65" t="str">
            <v>UN</v>
          </cell>
          <cell r="K65">
            <v>45540</v>
          </cell>
        </row>
        <row r="66">
          <cell r="A66" t="str">
            <v>50714250210</v>
          </cell>
          <cell r="B66" t="str">
            <v>ZMTD</v>
          </cell>
          <cell r="C66">
            <v>45485</v>
          </cell>
          <cell r="D66" t="str">
            <v>Partially delivered</v>
          </cell>
          <cell r="E66">
            <v>507142502</v>
          </cell>
          <cell r="F66">
            <v>10</v>
          </cell>
          <cell r="G66">
            <v>1209355</v>
          </cell>
          <cell r="H66" t="str">
            <v>CP-092:VM SLVR WRDH TREAT ESSENCE PTI20F</v>
          </cell>
          <cell r="I66">
            <v>25200</v>
          </cell>
          <cell r="J66" t="str">
            <v>UN</v>
          </cell>
          <cell r="K66">
            <v>45540</v>
          </cell>
        </row>
        <row r="67">
          <cell r="A67" t="str">
            <v>50714246310</v>
          </cell>
          <cell r="B67" t="str">
            <v>ZMTD</v>
          </cell>
          <cell r="C67">
            <v>45481</v>
          </cell>
          <cell r="D67" t="str">
            <v>Partially delivered</v>
          </cell>
          <cell r="E67">
            <v>507142463</v>
          </cell>
          <cell r="F67">
            <v>10</v>
          </cell>
          <cell r="G67">
            <v>1420925</v>
          </cell>
          <cell r="H67" t="str">
            <v>CM-253:CV BS MT ROSE 04 P/C.BLSH PTI40H</v>
          </cell>
          <cell r="I67">
            <v>30240</v>
          </cell>
          <cell r="J67" t="str">
            <v>UN</v>
          </cell>
          <cell r="K67">
            <v>45540</v>
          </cell>
        </row>
        <row r="68">
          <cell r="A68" t="str">
            <v>50714226910</v>
          </cell>
          <cell r="B68" t="str">
            <v>ZMTD</v>
          </cell>
          <cell r="C68">
            <v>45443</v>
          </cell>
          <cell r="D68" t="str">
            <v>Partially delivered</v>
          </cell>
          <cell r="E68">
            <v>507142269</v>
          </cell>
          <cell r="F68">
            <v>10</v>
          </cell>
          <cell r="G68">
            <v>1187758</v>
          </cell>
          <cell r="H68" t="str">
            <v>CM-105:VM RAINBOW P/ULTIMA II RUDYS 40C</v>
          </cell>
          <cell r="I68">
            <v>22000</v>
          </cell>
          <cell r="J68" t="str">
            <v>UN</v>
          </cell>
          <cell r="K68">
            <v>45540</v>
          </cell>
        </row>
        <row r="69">
          <cell r="A69" t="str">
            <v>50714226410</v>
          </cell>
          <cell r="B69" t="str">
            <v>ZMTD</v>
          </cell>
          <cell r="C69">
            <v>45442</v>
          </cell>
          <cell r="D69" t="str">
            <v>Partially delivered</v>
          </cell>
          <cell r="E69">
            <v>507142264</v>
          </cell>
          <cell r="F69">
            <v>10</v>
          </cell>
          <cell r="G69">
            <v>1187960</v>
          </cell>
          <cell r="H69" t="str">
            <v>FP-014:CVR VMRAINBOW P/ULTM II RUDYS 40C</v>
          </cell>
          <cell r="I69">
            <v>30000</v>
          </cell>
          <cell r="J69" t="str">
            <v>UN</v>
          </cell>
          <cell r="K69">
            <v>45540</v>
          </cell>
        </row>
        <row r="70">
          <cell r="A70" t="str">
            <v>50714250310</v>
          </cell>
          <cell r="B70" t="str">
            <v>ZMTD</v>
          </cell>
          <cell r="C70">
            <v>45485</v>
          </cell>
          <cell r="D70" t="str">
            <v>Partially delivered</v>
          </cell>
          <cell r="E70">
            <v>507142503</v>
          </cell>
          <cell r="F70">
            <v>10</v>
          </cell>
          <cell r="G70">
            <v>1425335</v>
          </cell>
          <cell r="H70" t="str">
            <v>LC-003:BTL MT ROSINLOVE P/PXMOU CSMAX40H</v>
          </cell>
          <cell r="I70">
            <v>25830</v>
          </cell>
          <cell r="J70" t="str">
            <v>UN</v>
          </cell>
          <cell r="K70">
            <v>45541</v>
          </cell>
        </row>
        <row r="71">
          <cell r="A71" t="str">
            <v>50714180330</v>
          </cell>
          <cell r="B71" t="str">
            <v>ZMTD</v>
          </cell>
          <cell r="C71">
            <v>45349</v>
          </cell>
          <cell r="D71" t="str">
            <v>Not delivered</v>
          </cell>
          <cell r="E71">
            <v>507141803</v>
          </cell>
          <cell r="F71">
            <v>30</v>
          </cell>
          <cell r="G71">
            <v>1404888</v>
          </cell>
          <cell r="H71" t="str">
            <v>LS-091:BS MGNTA P/SHEER COLOR ROHTO 60B</v>
          </cell>
          <cell r="I71">
            <v>27664</v>
          </cell>
          <cell r="J71" t="str">
            <v>UN</v>
          </cell>
          <cell r="K71">
            <v>45541</v>
          </cell>
        </row>
        <row r="72">
          <cell r="A72" t="str">
            <v>50714180340</v>
          </cell>
          <cell r="B72" t="str">
            <v>ZMTD</v>
          </cell>
          <cell r="C72">
            <v>45349</v>
          </cell>
          <cell r="D72" t="str">
            <v>Not delivered</v>
          </cell>
          <cell r="E72">
            <v>507141803</v>
          </cell>
          <cell r="F72">
            <v>40</v>
          </cell>
          <cell r="G72">
            <v>1407563</v>
          </cell>
          <cell r="H72" t="str">
            <v>LS-091:CVR MGNTA GRAD UV P/STRWBRY ROHTO</v>
          </cell>
          <cell r="I72">
            <v>27664</v>
          </cell>
          <cell r="J72" t="str">
            <v>UN</v>
          </cell>
          <cell r="K72">
            <v>45541</v>
          </cell>
        </row>
        <row r="73">
          <cell r="A73" t="str">
            <v>50714271510</v>
          </cell>
          <cell r="B73" t="str">
            <v>ZMTD</v>
          </cell>
          <cell r="C73">
            <v>45538</v>
          </cell>
          <cell r="D73" t="str">
            <v>Not delivered</v>
          </cell>
          <cell r="E73">
            <v>507142715</v>
          </cell>
          <cell r="F73">
            <v>10</v>
          </cell>
          <cell r="G73">
            <v>1382368</v>
          </cell>
          <cell r="H73" t="str">
            <v>CP-067R:FT CAP35 SNAP BLK MATTE  Ø5 LRL</v>
          </cell>
          <cell r="I73">
            <v>300000</v>
          </cell>
          <cell r="J73" t="str">
            <v>UN</v>
          </cell>
          <cell r="K73">
            <v>45544</v>
          </cell>
        </row>
        <row r="74">
          <cell r="A74" t="str">
            <v>50714254630</v>
          </cell>
          <cell r="B74" t="str">
            <v>ZMTD</v>
          </cell>
          <cell r="C74">
            <v>45492</v>
          </cell>
          <cell r="D74" t="str">
            <v>Not delivered</v>
          </cell>
          <cell r="E74">
            <v>507142546</v>
          </cell>
          <cell r="F74">
            <v>30</v>
          </cell>
          <cell r="G74">
            <v>1169703</v>
          </cell>
          <cell r="H74" t="str">
            <v>CP-064:CAP 25 SCREW WHITE MT TR L'OREAL</v>
          </cell>
          <cell r="I74">
            <v>324000</v>
          </cell>
          <cell r="J74" t="str">
            <v>UN</v>
          </cell>
          <cell r="K74">
            <v>45544</v>
          </cell>
        </row>
        <row r="75">
          <cell r="A75" t="str">
            <v>50714254710</v>
          </cell>
          <cell r="B75" t="str">
            <v>ZMTD</v>
          </cell>
          <cell r="C75">
            <v>45492</v>
          </cell>
          <cell r="D75" t="str">
            <v>Not delivered</v>
          </cell>
          <cell r="E75">
            <v>507142547</v>
          </cell>
          <cell r="F75">
            <v>10</v>
          </cell>
          <cell r="G75">
            <v>1159912</v>
          </cell>
          <cell r="H75" t="str">
            <v>CP-064:CAP 25 SCREW BLK MT L'OREAL</v>
          </cell>
          <cell r="I75">
            <v>102000</v>
          </cell>
          <cell r="J75" t="str">
            <v>UN</v>
          </cell>
          <cell r="K75">
            <v>45544</v>
          </cell>
        </row>
        <row r="76">
          <cell r="A76" t="str">
            <v>50714253610</v>
          </cell>
          <cell r="B76" t="str">
            <v>ZMTD</v>
          </cell>
          <cell r="C76">
            <v>45489</v>
          </cell>
          <cell r="D76" t="str">
            <v>Not delivered</v>
          </cell>
          <cell r="E76">
            <v>507142536</v>
          </cell>
          <cell r="F76">
            <v>10</v>
          </cell>
          <cell r="G76">
            <v>1158837</v>
          </cell>
          <cell r="H76" t="str">
            <v>SD-007:SM16 WH SLDR D40 SCREW ORI7.5</v>
          </cell>
          <cell r="I76">
            <v>252000</v>
          </cell>
          <cell r="J76" t="str">
            <v>UN</v>
          </cell>
          <cell r="K76">
            <v>45544</v>
          </cell>
        </row>
        <row r="77">
          <cell r="A77" t="str">
            <v>50714180640</v>
          </cell>
          <cell r="B77" t="str">
            <v>ZMTD</v>
          </cell>
          <cell r="C77">
            <v>45350</v>
          </cell>
          <cell r="D77" t="str">
            <v>Not delivered</v>
          </cell>
          <cell r="E77">
            <v>507141806</v>
          </cell>
          <cell r="F77">
            <v>40</v>
          </cell>
          <cell r="G77">
            <v>1407562</v>
          </cell>
          <cell r="H77" t="str">
            <v>LS-091:CVR MGNTA GRAD UV P/MIXBRIE ROHTO</v>
          </cell>
          <cell r="I77">
            <v>14820</v>
          </cell>
          <cell r="J77" t="str">
            <v>UN</v>
          </cell>
          <cell r="K77">
            <v>45544</v>
          </cell>
        </row>
        <row r="78">
          <cell r="A78" t="str">
            <v>50714263310</v>
          </cell>
          <cell r="B78" t="str">
            <v>ZMTD</v>
          </cell>
          <cell r="C78">
            <v>45517</v>
          </cell>
          <cell r="D78" t="str">
            <v>Not delivered</v>
          </cell>
          <cell r="E78">
            <v>507142633</v>
          </cell>
          <cell r="F78">
            <v>10</v>
          </cell>
          <cell r="G78">
            <v>1388803</v>
          </cell>
          <cell r="H78" t="str">
            <v>RX-067:CM-289 CVR BEIGE SP MATTE RV1</v>
          </cell>
          <cell r="I78">
            <v>90000</v>
          </cell>
          <cell r="J78" t="str">
            <v>UN</v>
          </cell>
          <cell r="K78">
            <v>45545</v>
          </cell>
        </row>
        <row r="79">
          <cell r="A79" t="str">
            <v>50714235110</v>
          </cell>
          <cell r="B79" t="str">
            <v>ZMTD</v>
          </cell>
          <cell r="C79">
            <v>45462</v>
          </cell>
          <cell r="D79" t="str">
            <v>Partially delivered</v>
          </cell>
          <cell r="E79">
            <v>507142351</v>
          </cell>
          <cell r="F79">
            <v>10</v>
          </cell>
          <cell r="G79">
            <v>1388326</v>
          </cell>
          <cell r="H79" t="str">
            <v>CM-253:CV BS MTPEACH P/C.BLSH RV1 PTI40H</v>
          </cell>
          <cell r="I79">
            <v>15120</v>
          </cell>
          <cell r="J79" t="str">
            <v>UN</v>
          </cell>
          <cell r="K79">
            <v>45545</v>
          </cell>
        </row>
        <row r="80">
          <cell r="A80" t="str">
            <v>50714233410</v>
          </cell>
          <cell r="B80" t="str">
            <v>ZMTD</v>
          </cell>
          <cell r="C80">
            <v>45461</v>
          </cell>
          <cell r="D80" t="str">
            <v>Not delivered</v>
          </cell>
          <cell r="E80">
            <v>507142334</v>
          </cell>
          <cell r="F80">
            <v>10</v>
          </cell>
          <cell r="G80">
            <v>1333579</v>
          </cell>
          <cell r="H80" t="str">
            <v>CM-306:COTY BURBERRY COMPACT NEW VM GLD</v>
          </cell>
          <cell r="I80">
            <v>30096</v>
          </cell>
          <cell r="J80" t="str">
            <v>UN</v>
          </cell>
          <cell r="K80">
            <v>45545</v>
          </cell>
        </row>
        <row r="81">
          <cell r="A81" t="str">
            <v>50714233510</v>
          </cell>
          <cell r="B81" t="str">
            <v>ZMTD</v>
          </cell>
          <cell r="C81">
            <v>45461</v>
          </cell>
          <cell r="D81" t="str">
            <v>Not delivered</v>
          </cell>
          <cell r="E81">
            <v>507142335</v>
          </cell>
          <cell r="F81">
            <v>10</v>
          </cell>
          <cell r="G81">
            <v>1333899</v>
          </cell>
          <cell r="H81" t="str">
            <v>CM-306:COTY BURBERRY PLATFORM MONO NEW</v>
          </cell>
          <cell r="I81">
            <v>30000</v>
          </cell>
          <cell r="J81" t="str">
            <v>UN</v>
          </cell>
          <cell r="K81">
            <v>45545</v>
          </cell>
        </row>
        <row r="82">
          <cell r="A82" t="str">
            <v>50800507610</v>
          </cell>
          <cell r="B82" t="str">
            <v>ZMFD</v>
          </cell>
          <cell r="C82">
            <v>45433</v>
          </cell>
          <cell r="D82" t="str">
            <v>Not delivered</v>
          </cell>
          <cell r="E82">
            <v>508005076</v>
          </cell>
          <cell r="F82">
            <v>10</v>
          </cell>
          <cell r="G82">
            <v>1153319</v>
          </cell>
          <cell r="H82" t="str">
            <v>LS-285:BS/SPRL BEIGE P/WRDH PTI 40H</v>
          </cell>
          <cell r="I82">
            <v>25536</v>
          </cell>
          <cell r="J82" t="str">
            <v>UN</v>
          </cell>
          <cell r="K82">
            <v>45545</v>
          </cell>
        </row>
        <row r="83">
          <cell r="A83" t="str">
            <v>50800507620</v>
          </cell>
          <cell r="B83" t="str">
            <v>ZMFD</v>
          </cell>
          <cell r="C83">
            <v>45433</v>
          </cell>
          <cell r="D83" t="str">
            <v>Not delivered</v>
          </cell>
          <cell r="E83">
            <v>508005076</v>
          </cell>
          <cell r="F83">
            <v>20</v>
          </cell>
          <cell r="G83">
            <v>1153467</v>
          </cell>
          <cell r="H83" t="str">
            <v>LS-285:CVR MT BEIGE P/S.SEOUL PTI40H</v>
          </cell>
          <cell r="I83">
            <v>25536</v>
          </cell>
          <cell r="J83" t="str">
            <v>UN</v>
          </cell>
          <cell r="K83">
            <v>45545</v>
          </cell>
        </row>
        <row r="84">
          <cell r="A84" t="str">
            <v>50714263730</v>
          </cell>
          <cell r="B84" t="str">
            <v>ZMTD</v>
          </cell>
          <cell r="C84">
            <v>45519</v>
          </cell>
          <cell r="D84" t="str">
            <v>Not delivered</v>
          </cell>
          <cell r="E84">
            <v>507142637</v>
          </cell>
          <cell r="F84">
            <v>30</v>
          </cell>
          <cell r="G84">
            <v>1408740</v>
          </cell>
          <cell r="H84" t="str">
            <v>PT-097B:BDSR.2 BLU HOUS WHT TRNS PTI12A</v>
          </cell>
          <cell r="I84">
            <v>110160</v>
          </cell>
          <cell r="J84" t="str">
            <v>UN</v>
          </cell>
          <cell r="K84">
            <v>45546</v>
          </cell>
        </row>
        <row r="85">
          <cell r="A85" t="str">
            <v>50714263740</v>
          </cell>
          <cell r="B85" t="str">
            <v>ZMTD</v>
          </cell>
          <cell r="C85">
            <v>45519</v>
          </cell>
          <cell r="D85" t="str">
            <v>Not delivered</v>
          </cell>
          <cell r="E85">
            <v>507142637</v>
          </cell>
          <cell r="F85">
            <v>40</v>
          </cell>
          <cell r="G85">
            <v>1408739</v>
          </cell>
          <cell r="H85" t="str">
            <v>PT-097B:CAP SR.2 BLUE TRANS PTI 12A</v>
          </cell>
          <cell r="I85">
            <v>110160</v>
          </cell>
          <cell r="J85" t="str">
            <v>UN</v>
          </cell>
          <cell r="K85">
            <v>45546</v>
          </cell>
        </row>
        <row r="86">
          <cell r="A86" t="str">
            <v>50714159630</v>
          </cell>
          <cell r="B86" t="str">
            <v>ZMTD</v>
          </cell>
          <cell r="C86">
            <v>45308</v>
          </cell>
          <cell r="D86" t="str">
            <v>Not delivered</v>
          </cell>
          <cell r="E86">
            <v>507141596</v>
          </cell>
          <cell r="F86">
            <v>30</v>
          </cell>
          <cell r="G86">
            <v>1194713</v>
          </cell>
          <cell r="H86" t="str">
            <v>LC-003:BTL CLR COL BLK NO DC GENERAL 12A</v>
          </cell>
          <cell r="I86">
            <v>1180</v>
          </cell>
          <cell r="J86" t="str">
            <v>UN</v>
          </cell>
          <cell r="K86">
            <v>45546</v>
          </cell>
        </row>
        <row r="87">
          <cell r="A87" t="str">
            <v>50714159640</v>
          </cell>
          <cell r="B87" t="str">
            <v>ZMTD</v>
          </cell>
          <cell r="C87">
            <v>45308</v>
          </cell>
          <cell r="D87" t="str">
            <v>Not delivered</v>
          </cell>
          <cell r="E87">
            <v>507141596</v>
          </cell>
          <cell r="F87">
            <v>40</v>
          </cell>
          <cell r="G87">
            <v>1173440</v>
          </cell>
          <cell r="H87" t="str">
            <v>LC-003:CVR BLK NO DC WIP NAT GENERAL 12A</v>
          </cell>
          <cell r="I87">
            <v>1180</v>
          </cell>
          <cell r="J87" t="str">
            <v>UN</v>
          </cell>
          <cell r="K87">
            <v>45546</v>
          </cell>
        </row>
        <row r="88">
          <cell r="A88" t="str">
            <v>50714274710</v>
          </cell>
          <cell r="B88" t="str">
            <v>ZMTD</v>
          </cell>
          <cell r="C88">
            <v>45545</v>
          </cell>
          <cell r="D88" t="str">
            <v>Not delivered</v>
          </cell>
          <cell r="E88">
            <v>507142747</v>
          </cell>
          <cell r="F88">
            <v>10</v>
          </cell>
          <cell r="G88">
            <v>1141323</v>
          </cell>
          <cell r="H88" t="str">
            <v>CP-063:SPOUT CAP LOREAL</v>
          </cell>
          <cell r="I88">
            <v>1890000</v>
          </cell>
          <cell r="J88" t="str">
            <v>UN</v>
          </cell>
          <cell r="K88">
            <v>45547</v>
          </cell>
        </row>
        <row r="89">
          <cell r="A89" t="str">
            <v>50714269110</v>
          </cell>
          <cell r="B89" t="str">
            <v>ZMTD</v>
          </cell>
          <cell r="C89">
            <v>45532</v>
          </cell>
          <cell r="D89" t="str">
            <v>Not delivered</v>
          </cell>
          <cell r="E89">
            <v>507142691</v>
          </cell>
          <cell r="F89">
            <v>10</v>
          </cell>
          <cell r="G89">
            <v>1168132</v>
          </cell>
          <cell r="H89" t="str">
            <v>LS-285:BS WHT NO DC WARDAH</v>
          </cell>
          <cell r="I89">
            <v>50008</v>
          </cell>
          <cell r="J89" t="str">
            <v>UN</v>
          </cell>
          <cell r="K89">
            <v>45547</v>
          </cell>
        </row>
        <row r="90">
          <cell r="A90" t="str">
            <v>50714269120</v>
          </cell>
          <cell r="B90" t="str">
            <v>ZMTD</v>
          </cell>
          <cell r="C90">
            <v>45532</v>
          </cell>
          <cell r="D90" t="str">
            <v>Not delivered</v>
          </cell>
          <cell r="E90">
            <v>507142691</v>
          </cell>
          <cell r="F90">
            <v>20</v>
          </cell>
          <cell r="G90">
            <v>1421510</v>
          </cell>
          <cell r="H90" t="str">
            <v>LS-285:CV PINK P/WHT UV P.BLOSOM PTI 30O</v>
          </cell>
          <cell r="I90">
            <v>50008</v>
          </cell>
          <cell r="J90" t="str">
            <v>UN</v>
          </cell>
          <cell r="K90">
            <v>45547</v>
          </cell>
        </row>
        <row r="91">
          <cell r="A91" t="str">
            <v>50714263930</v>
          </cell>
          <cell r="B91" t="str">
            <v>ZMTD</v>
          </cell>
          <cell r="C91">
            <v>45519</v>
          </cell>
          <cell r="D91" t="str">
            <v>Not delivered</v>
          </cell>
          <cell r="E91">
            <v>507142639</v>
          </cell>
          <cell r="F91">
            <v>30</v>
          </cell>
          <cell r="G91">
            <v>1367372</v>
          </cell>
          <cell r="H91" t="str">
            <v>PT-097:BODY GREN HOUSE WHT TRANS PTI 12A</v>
          </cell>
          <cell r="I91">
            <v>99900</v>
          </cell>
          <cell r="J91" t="str">
            <v>UN</v>
          </cell>
          <cell r="K91">
            <v>45547</v>
          </cell>
        </row>
        <row r="92">
          <cell r="A92" t="str">
            <v>50714263940</v>
          </cell>
          <cell r="B92" t="str">
            <v>ZMTD</v>
          </cell>
          <cell r="C92">
            <v>45519</v>
          </cell>
          <cell r="D92" t="str">
            <v>Not delivered</v>
          </cell>
          <cell r="E92">
            <v>507142639</v>
          </cell>
          <cell r="F92">
            <v>40</v>
          </cell>
          <cell r="G92">
            <v>1367370</v>
          </cell>
          <cell r="H92" t="str">
            <v>PT-097:CAP GREN TRANS PTI 12A</v>
          </cell>
          <cell r="I92">
            <v>99900</v>
          </cell>
          <cell r="J92" t="str">
            <v>UN</v>
          </cell>
          <cell r="K92">
            <v>45547</v>
          </cell>
        </row>
        <row r="93">
          <cell r="A93" t="str">
            <v>50714256010</v>
          </cell>
          <cell r="B93" t="str">
            <v>ZMTD</v>
          </cell>
          <cell r="C93">
            <v>45496</v>
          </cell>
          <cell r="D93" t="str">
            <v>Partially delivered</v>
          </cell>
          <cell r="E93">
            <v>507142560</v>
          </cell>
          <cell r="F93">
            <v>10</v>
          </cell>
          <cell r="G93">
            <v>1430741</v>
          </cell>
          <cell r="H93" t="str">
            <v>LS-095:CVR/BS GREEN DP/DEBYURIN CEC 80A</v>
          </cell>
          <cell r="I93">
            <v>10000</v>
          </cell>
          <cell r="J93" t="str">
            <v>UN</v>
          </cell>
          <cell r="K93">
            <v>45547</v>
          </cell>
        </row>
        <row r="94">
          <cell r="A94" t="str">
            <v>50714250390</v>
          </cell>
          <cell r="B94" t="str">
            <v>ZMTD</v>
          </cell>
          <cell r="C94">
            <v>45485</v>
          </cell>
          <cell r="D94" t="str">
            <v>Not delivered</v>
          </cell>
          <cell r="E94">
            <v>507142503</v>
          </cell>
          <cell r="F94">
            <v>90</v>
          </cell>
          <cell r="G94">
            <v>1425335</v>
          </cell>
          <cell r="H94" t="str">
            <v>LC-003:BTL MT ROSINLOVE P/PXMOU CSMAX40H</v>
          </cell>
          <cell r="I94">
            <v>24670</v>
          </cell>
          <cell r="J94" t="str">
            <v>UN</v>
          </cell>
          <cell r="K94">
            <v>45547</v>
          </cell>
        </row>
        <row r="95">
          <cell r="A95" t="str">
            <v>507142503100</v>
          </cell>
          <cell r="B95" t="str">
            <v>ZMTD</v>
          </cell>
          <cell r="C95">
            <v>45485</v>
          </cell>
          <cell r="D95" t="str">
            <v>Not delivered</v>
          </cell>
          <cell r="E95">
            <v>507142503</v>
          </cell>
          <cell r="F95">
            <v>100</v>
          </cell>
          <cell r="G95">
            <v>1425336</v>
          </cell>
          <cell r="H95" t="str">
            <v>LC-003:CAP MT ROSINLOVE PX MOU CSMAX 40D</v>
          </cell>
          <cell r="I95">
            <v>24859</v>
          </cell>
          <cell r="J95" t="str">
            <v>UN</v>
          </cell>
          <cell r="K95">
            <v>45547</v>
          </cell>
        </row>
        <row r="96">
          <cell r="A96" t="str">
            <v>50714240810</v>
          </cell>
          <cell r="B96" t="str">
            <v>ZMTD</v>
          </cell>
          <cell r="C96">
            <v>45470</v>
          </cell>
          <cell r="D96" t="str">
            <v>Partially delivered</v>
          </cell>
          <cell r="E96">
            <v>507142408</v>
          </cell>
          <cell r="F96">
            <v>10</v>
          </cell>
          <cell r="G96">
            <v>1387199</v>
          </cell>
          <cell r="H96" t="str">
            <v>CM-290:CVR MT BEIGE BS P/CFIT RV2 PTI40H</v>
          </cell>
          <cell r="I96">
            <v>53288</v>
          </cell>
          <cell r="J96" t="str">
            <v>UN</v>
          </cell>
          <cell r="K96">
            <v>45547</v>
          </cell>
        </row>
        <row r="97">
          <cell r="A97" t="str">
            <v>50714240820</v>
          </cell>
          <cell r="B97" t="str">
            <v>ZMTD</v>
          </cell>
          <cell r="C97">
            <v>45470</v>
          </cell>
          <cell r="D97" t="str">
            <v>Partially delivered</v>
          </cell>
          <cell r="E97">
            <v>507142408</v>
          </cell>
          <cell r="F97">
            <v>20</v>
          </cell>
          <cell r="G97">
            <v>1242768</v>
          </cell>
          <cell r="H97" t="str">
            <v>CM-290:ENGINE BEIGE WRDH C.FIT 12A</v>
          </cell>
          <cell r="I97">
            <v>53288</v>
          </cell>
          <cell r="J97" t="str">
            <v>UN</v>
          </cell>
          <cell r="K97">
            <v>45547</v>
          </cell>
        </row>
        <row r="98">
          <cell r="A98" t="str">
            <v>50714240830</v>
          </cell>
          <cell r="B98" t="str">
            <v>ZMTD</v>
          </cell>
          <cell r="C98">
            <v>45470</v>
          </cell>
          <cell r="D98" t="str">
            <v>Partially delivered</v>
          </cell>
          <cell r="E98">
            <v>507142408</v>
          </cell>
          <cell r="F98">
            <v>30</v>
          </cell>
          <cell r="G98">
            <v>1212300</v>
          </cell>
          <cell r="H98" t="str">
            <v>CM-290:RING BEIGE WRDH C.FIT 12A</v>
          </cell>
          <cell r="I98">
            <v>53288</v>
          </cell>
          <cell r="J98" t="str">
            <v>UN</v>
          </cell>
          <cell r="K98">
            <v>45547</v>
          </cell>
        </row>
        <row r="99">
          <cell r="A99" t="str">
            <v>50714234410</v>
          </cell>
          <cell r="B99" t="str">
            <v>ZMTD</v>
          </cell>
          <cell r="C99">
            <v>45462</v>
          </cell>
          <cell r="D99" t="str">
            <v>Partially delivered</v>
          </cell>
          <cell r="E99">
            <v>507142344</v>
          </cell>
          <cell r="F99">
            <v>10</v>
          </cell>
          <cell r="G99">
            <v>1420605</v>
          </cell>
          <cell r="H99" t="str">
            <v>CM-253:CV BS MT BRICK 06 P/C.BLSH PTI40H</v>
          </cell>
          <cell r="I99">
            <v>50220</v>
          </cell>
          <cell r="J99" t="str">
            <v>UN</v>
          </cell>
          <cell r="K99">
            <v>45547</v>
          </cell>
        </row>
        <row r="100">
          <cell r="A100" t="str">
            <v>50714226620</v>
          </cell>
          <cell r="B100" t="str">
            <v>ZMTD</v>
          </cell>
          <cell r="C100">
            <v>45443</v>
          </cell>
          <cell r="D100" t="str">
            <v>Partially delivered</v>
          </cell>
          <cell r="E100">
            <v>507142266</v>
          </cell>
          <cell r="F100">
            <v>20</v>
          </cell>
          <cell r="G100">
            <v>1215637</v>
          </cell>
          <cell r="H100" t="str">
            <v>CM-105:UV DBRW P/P8022C WWGLAM RUDYS 40C</v>
          </cell>
          <cell r="I100">
            <v>10000</v>
          </cell>
          <cell r="J100" t="str">
            <v>UN</v>
          </cell>
          <cell r="K100">
            <v>45547</v>
          </cell>
        </row>
        <row r="101">
          <cell r="A101" t="str">
            <v>50714242010</v>
          </cell>
          <cell r="B101" t="str">
            <v>ZMTD</v>
          </cell>
          <cell r="C101">
            <v>45474</v>
          </cell>
          <cell r="D101" t="str">
            <v>Not delivered</v>
          </cell>
          <cell r="E101">
            <v>507142420</v>
          </cell>
          <cell r="F101">
            <v>10</v>
          </cell>
          <cell r="G101">
            <v>1286626</v>
          </cell>
          <cell r="H101" t="str">
            <v>FP-038:BASE AMBER GWLT010705 EL</v>
          </cell>
          <cell r="I101">
            <v>50040</v>
          </cell>
          <cell r="J101" t="str">
            <v>UN</v>
          </cell>
          <cell r="K101">
            <v>45548</v>
          </cell>
        </row>
        <row r="102">
          <cell r="A102" t="str">
            <v>50714242110</v>
          </cell>
          <cell r="B102" t="str">
            <v>ZMTD</v>
          </cell>
          <cell r="C102">
            <v>45474</v>
          </cell>
          <cell r="D102" t="str">
            <v>Not delivered</v>
          </cell>
          <cell r="E102">
            <v>507142421</v>
          </cell>
          <cell r="F102">
            <v>10</v>
          </cell>
          <cell r="G102">
            <v>1170578</v>
          </cell>
          <cell r="H102" t="str">
            <v>FP-029:CAP VM GOLD S/MATTE REEY010073</v>
          </cell>
          <cell r="I102">
            <v>25080</v>
          </cell>
          <cell r="J102" t="str">
            <v>UN</v>
          </cell>
          <cell r="K102">
            <v>45548</v>
          </cell>
        </row>
        <row r="103">
          <cell r="A103" t="str">
            <v>50714240020</v>
          </cell>
          <cell r="B103" t="str">
            <v>ZMTD</v>
          </cell>
          <cell r="C103">
            <v>45468</v>
          </cell>
          <cell r="D103" t="str">
            <v>Not delivered</v>
          </cell>
          <cell r="E103">
            <v>507142400</v>
          </cell>
          <cell r="F103">
            <v>20</v>
          </cell>
          <cell r="G103">
            <v>1170578</v>
          </cell>
          <cell r="H103" t="str">
            <v>FP-029:CAP VM GOLD S/MATTE REEY010073</v>
          </cell>
          <cell r="I103">
            <v>25080</v>
          </cell>
          <cell r="J103" t="str">
            <v>UN</v>
          </cell>
          <cell r="K103">
            <v>45548</v>
          </cell>
        </row>
        <row r="104">
          <cell r="A104" t="str">
            <v>50714212010</v>
          </cell>
          <cell r="B104" t="str">
            <v>ZMTD</v>
          </cell>
          <cell r="C104">
            <v>45425</v>
          </cell>
          <cell r="D104" t="str">
            <v>Partially delivered</v>
          </cell>
          <cell r="E104">
            <v>507142120</v>
          </cell>
          <cell r="F104">
            <v>10</v>
          </cell>
          <cell r="G104">
            <v>1420101</v>
          </cell>
          <cell r="H104" t="str">
            <v>LS-091:BS RED P/RED FRTY CHERRY NEW 60B</v>
          </cell>
          <cell r="I104">
            <v>14820</v>
          </cell>
          <cell r="J104" t="str">
            <v>UN</v>
          </cell>
          <cell r="K104">
            <v>45548</v>
          </cell>
        </row>
        <row r="105">
          <cell r="A105" t="str">
            <v>50714180630</v>
          </cell>
          <cell r="B105" t="str">
            <v>ZMTD</v>
          </cell>
          <cell r="C105">
            <v>45350</v>
          </cell>
          <cell r="D105" t="str">
            <v>Not delivered</v>
          </cell>
          <cell r="E105">
            <v>507141806</v>
          </cell>
          <cell r="F105">
            <v>30</v>
          </cell>
          <cell r="G105">
            <v>1404888</v>
          </cell>
          <cell r="H105" t="str">
            <v>LS-091:BS MGNTA P/SHEER COLOR ROHTO 60B</v>
          </cell>
          <cell r="I105">
            <v>14820</v>
          </cell>
          <cell r="J105" t="str">
            <v>UN</v>
          </cell>
          <cell r="K105">
            <v>45548</v>
          </cell>
        </row>
        <row r="106">
          <cell r="A106" t="str">
            <v>50714180350</v>
          </cell>
          <cell r="B106" t="str">
            <v>ZMTD</v>
          </cell>
          <cell r="C106">
            <v>45349</v>
          </cell>
          <cell r="D106" t="str">
            <v>Not delivered</v>
          </cell>
          <cell r="E106">
            <v>507141803</v>
          </cell>
          <cell r="F106">
            <v>50</v>
          </cell>
          <cell r="G106">
            <v>1404888</v>
          </cell>
          <cell r="H106" t="str">
            <v>LS-091:BS MGNTA P/SHEER COLOR ROHTO 60B</v>
          </cell>
          <cell r="I106">
            <v>27664</v>
          </cell>
          <cell r="J106" t="str">
            <v>UN</v>
          </cell>
          <cell r="K106">
            <v>45548</v>
          </cell>
        </row>
        <row r="107">
          <cell r="A107" t="str">
            <v>50714180360</v>
          </cell>
          <cell r="B107" t="str">
            <v>ZMTD</v>
          </cell>
          <cell r="C107">
            <v>45349</v>
          </cell>
          <cell r="D107" t="str">
            <v>Not delivered</v>
          </cell>
          <cell r="E107">
            <v>507141803</v>
          </cell>
          <cell r="F107">
            <v>60</v>
          </cell>
          <cell r="G107">
            <v>1404885</v>
          </cell>
          <cell r="H107" t="str">
            <v>LS-091:CVR MGNTA GRAD UV P/NATURAL ROHTO</v>
          </cell>
          <cell r="I107">
            <v>27664</v>
          </cell>
          <cell r="J107" t="str">
            <v>UN</v>
          </cell>
          <cell r="K107">
            <v>45548</v>
          </cell>
        </row>
        <row r="108">
          <cell r="A108" t="str">
            <v>50714212020</v>
          </cell>
          <cell r="B108" t="str">
            <v>ZMTD</v>
          </cell>
          <cell r="C108">
            <v>45425</v>
          </cell>
          <cell r="D108" t="str">
            <v>Partially delivered</v>
          </cell>
          <cell r="E108">
            <v>507142120</v>
          </cell>
          <cell r="F108">
            <v>20</v>
          </cell>
          <cell r="G108">
            <v>1420102</v>
          </cell>
          <cell r="H108" t="str">
            <v>LS-091:CV WHT P/ICE FRUITY CHERRY 60B</v>
          </cell>
          <cell r="I108">
            <v>14820</v>
          </cell>
          <cell r="J108" t="str">
            <v>UN</v>
          </cell>
          <cell r="K108">
            <v>45551</v>
          </cell>
        </row>
        <row r="109">
          <cell r="A109" t="str">
            <v>50714274810</v>
          </cell>
          <cell r="B109" t="str">
            <v>ZMTD</v>
          </cell>
          <cell r="C109">
            <v>45545</v>
          </cell>
          <cell r="D109" t="str">
            <v>Not delivered</v>
          </cell>
          <cell r="E109">
            <v>507142748</v>
          </cell>
          <cell r="F109">
            <v>10</v>
          </cell>
          <cell r="G109">
            <v>1141323</v>
          </cell>
          <cell r="H109" t="str">
            <v>CP-063:SPOUT CAP LOREAL</v>
          </cell>
          <cell r="I109">
            <v>1890000</v>
          </cell>
          <cell r="J109" t="str">
            <v>UN</v>
          </cell>
          <cell r="K109">
            <v>45552</v>
          </cell>
        </row>
        <row r="110">
          <cell r="A110" t="str">
            <v>50714272810</v>
          </cell>
          <cell r="B110" t="str">
            <v>ZMTD</v>
          </cell>
          <cell r="C110">
            <v>45541</v>
          </cell>
          <cell r="D110" t="str">
            <v>Not delivered</v>
          </cell>
          <cell r="E110">
            <v>507142728</v>
          </cell>
          <cell r="F110">
            <v>10</v>
          </cell>
          <cell r="G110">
            <v>1333579</v>
          </cell>
          <cell r="H110" t="str">
            <v>CM-306:COTY BURBERRY COMPACT NEW VM GLD</v>
          </cell>
          <cell r="I110">
            <v>288</v>
          </cell>
          <cell r="J110" t="str">
            <v>UN</v>
          </cell>
          <cell r="K110">
            <v>45552</v>
          </cell>
        </row>
        <row r="111">
          <cell r="A111" t="str">
            <v>50714271520</v>
          </cell>
          <cell r="B111" t="str">
            <v>ZMTD</v>
          </cell>
          <cell r="C111">
            <v>45538</v>
          </cell>
          <cell r="D111" t="str">
            <v>Not delivered</v>
          </cell>
          <cell r="E111">
            <v>507142715</v>
          </cell>
          <cell r="F111">
            <v>20</v>
          </cell>
          <cell r="G111">
            <v>1382368</v>
          </cell>
          <cell r="H111" t="str">
            <v>CP-067R:FT CAP35 SNAP BLK MATTE  Ø5 LRL</v>
          </cell>
          <cell r="I111">
            <v>300000</v>
          </cell>
          <cell r="J111" t="str">
            <v>UN</v>
          </cell>
          <cell r="K111">
            <v>45552</v>
          </cell>
        </row>
        <row r="112">
          <cell r="A112" t="str">
            <v>50714269610</v>
          </cell>
          <cell r="B112" t="str">
            <v>ZMTD</v>
          </cell>
          <cell r="C112">
            <v>45533</v>
          </cell>
          <cell r="D112" t="str">
            <v>Not delivered</v>
          </cell>
          <cell r="E112">
            <v>507142696</v>
          </cell>
          <cell r="F112">
            <v>10</v>
          </cell>
          <cell r="G112">
            <v>1340516</v>
          </cell>
          <cell r="H112" t="str">
            <v>CM-133:CVR BS MTLC GRN UV DP S/WARDH 30T</v>
          </cell>
          <cell r="I112">
            <v>10080</v>
          </cell>
          <cell r="J112" t="str">
            <v>UN</v>
          </cell>
          <cell r="K112">
            <v>45552</v>
          </cell>
        </row>
        <row r="113">
          <cell r="A113" t="str">
            <v>50714265410</v>
          </cell>
          <cell r="B113" t="str">
            <v>ZMTD</v>
          </cell>
          <cell r="C113">
            <v>45523</v>
          </cell>
          <cell r="D113" t="str">
            <v>Not delivered</v>
          </cell>
          <cell r="E113">
            <v>507142654</v>
          </cell>
          <cell r="F113">
            <v>10</v>
          </cell>
          <cell r="G113">
            <v>1420605</v>
          </cell>
          <cell r="H113" t="str">
            <v>CM-253:CV BS MT BRICK 06 P/C.BLSH PTI40H</v>
          </cell>
          <cell r="I113">
            <v>15120</v>
          </cell>
          <cell r="J113" t="str">
            <v>UN</v>
          </cell>
          <cell r="K113">
            <v>45552</v>
          </cell>
        </row>
        <row r="114">
          <cell r="A114" t="str">
            <v>50714265610</v>
          </cell>
          <cell r="B114" t="str">
            <v>ZMTD</v>
          </cell>
          <cell r="C114">
            <v>45523</v>
          </cell>
          <cell r="D114" t="str">
            <v>Not delivered</v>
          </cell>
          <cell r="E114">
            <v>507142656</v>
          </cell>
          <cell r="F114">
            <v>10</v>
          </cell>
          <cell r="G114">
            <v>1420925</v>
          </cell>
          <cell r="H114" t="str">
            <v>CM-253:CV BS MT ROSE 04 P/C.BLSH PTI40H</v>
          </cell>
          <cell r="I114">
            <v>15120</v>
          </cell>
          <cell r="J114" t="str">
            <v>UN</v>
          </cell>
          <cell r="K114">
            <v>45552</v>
          </cell>
        </row>
        <row r="115">
          <cell r="A115" t="str">
            <v>50714263750</v>
          </cell>
          <cell r="B115" t="str">
            <v>ZMTD</v>
          </cell>
          <cell r="C115">
            <v>45519</v>
          </cell>
          <cell r="D115" t="str">
            <v>Not delivered</v>
          </cell>
          <cell r="E115">
            <v>507142637</v>
          </cell>
          <cell r="F115">
            <v>50</v>
          </cell>
          <cell r="G115">
            <v>1408740</v>
          </cell>
          <cell r="H115" t="str">
            <v>PT-097B:BDSR.2 BLU HOUS WHT TRNS PTI12A</v>
          </cell>
          <cell r="I115">
            <v>109890</v>
          </cell>
          <cell r="J115" t="str">
            <v>UN</v>
          </cell>
          <cell r="K115">
            <v>45552</v>
          </cell>
        </row>
        <row r="116">
          <cell r="A116" t="str">
            <v>50714263610</v>
          </cell>
          <cell r="B116" t="str">
            <v>ZMTD</v>
          </cell>
          <cell r="C116">
            <v>45518</v>
          </cell>
          <cell r="D116" t="str">
            <v>Not delivered</v>
          </cell>
          <cell r="E116">
            <v>507142636</v>
          </cell>
          <cell r="F116">
            <v>10</v>
          </cell>
          <cell r="G116">
            <v>1437046</v>
          </cell>
          <cell r="H116" t="str">
            <v>PT-085:BS MTGRN CV BRWNPLZ P/HNI HRBA40H</v>
          </cell>
          <cell r="I116">
            <v>50000</v>
          </cell>
          <cell r="J116" t="str">
            <v>UN</v>
          </cell>
          <cell r="K116">
            <v>45552</v>
          </cell>
        </row>
        <row r="117">
          <cell r="A117" t="str">
            <v>50714263410</v>
          </cell>
          <cell r="B117" t="str">
            <v>ZMTD</v>
          </cell>
          <cell r="C117">
            <v>45517</v>
          </cell>
          <cell r="D117" t="str">
            <v>Not delivered</v>
          </cell>
          <cell r="E117">
            <v>507142634</v>
          </cell>
          <cell r="F117">
            <v>10</v>
          </cell>
          <cell r="G117">
            <v>1388803</v>
          </cell>
          <cell r="H117" t="str">
            <v>RX-067:CM-289 CVR BEIGE SP MATTE RV1</v>
          </cell>
          <cell r="I117">
            <v>80000</v>
          </cell>
          <cell r="J117" t="str">
            <v>UN</v>
          </cell>
          <cell r="K117">
            <v>45552</v>
          </cell>
        </row>
        <row r="118">
          <cell r="A118" t="str">
            <v>50714260110</v>
          </cell>
          <cell r="B118" t="str">
            <v>ZMTD</v>
          </cell>
          <cell r="C118">
            <v>45509</v>
          </cell>
          <cell r="D118" t="str">
            <v>Not delivered</v>
          </cell>
          <cell r="E118">
            <v>507142601</v>
          </cell>
          <cell r="F118">
            <v>10</v>
          </cell>
          <cell r="G118">
            <v>1158837</v>
          </cell>
          <cell r="H118" t="str">
            <v>SD-007:SM16 WH SLDR D40 SCREW ORI7.5</v>
          </cell>
          <cell r="I118">
            <v>252000</v>
          </cell>
          <cell r="J118" t="str">
            <v>UN</v>
          </cell>
          <cell r="K118">
            <v>45552</v>
          </cell>
        </row>
        <row r="119">
          <cell r="A119" t="str">
            <v>50714259410</v>
          </cell>
          <cell r="B119" t="str">
            <v>ZMTD</v>
          </cell>
          <cell r="C119">
            <v>45505</v>
          </cell>
          <cell r="D119" t="str">
            <v>Not delivered</v>
          </cell>
          <cell r="E119">
            <v>507142594</v>
          </cell>
          <cell r="F119">
            <v>10</v>
          </cell>
          <cell r="G119">
            <v>1307478</v>
          </cell>
          <cell r="H119" t="str">
            <v>LS-085:BS CVR WHT NODC CEC 12A</v>
          </cell>
          <cell r="I119">
            <v>5000</v>
          </cell>
          <cell r="J119" t="str">
            <v>UN</v>
          </cell>
          <cell r="K119">
            <v>45552</v>
          </cell>
        </row>
        <row r="120">
          <cell r="A120" t="str">
            <v>50714259420</v>
          </cell>
          <cell r="B120" t="str">
            <v>ZMTD</v>
          </cell>
          <cell r="C120">
            <v>45505</v>
          </cell>
          <cell r="D120" t="str">
            <v>Not delivered</v>
          </cell>
          <cell r="E120">
            <v>507142594</v>
          </cell>
          <cell r="F120">
            <v>20</v>
          </cell>
          <cell r="G120">
            <v>1307478</v>
          </cell>
          <cell r="H120" t="str">
            <v>LS-085:BS CVR WHT NODC CEC 12A</v>
          </cell>
          <cell r="I120">
            <v>5000</v>
          </cell>
          <cell r="J120" t="str">
            <v>UN</v>
          </cell>
          <cell r="K120">
            <v>45552</v>
          </cell>
        </row>
        <row r="121">
          <cell r="A121" t="str">
            <v>50714241610</v>
          </cell>
          <cell r="B121" t="str">
            <v>ZMTD</v>
          </cell>
          <cell r="C121">
            <v>45474</v>
          </cell>
          <cell r="D121" t="str">
            <v>Not delivered</v>
          </cell>
          <cell r="E121">
            <v>507142416</v>
          </cell>
          <cell r="F121">
            <v>10</v>
          </cell>
          <cell r="G121">
            <v>1267279</v>
          </cell>
          <cell r="H121" t="str">
            <v>LS-285:CVR ORANGE PX LCC NO DC MNDOM 12A</v>
          </cell>
          <cell r="I121">
            <v>10000</v>
          </cell>
          <cell r="J121" t="str">
            <v>UN</v>
          </cell>
          <cell r="K121">
            <v>45552</v>
          </cell>
        </row>
        <row r="122">
          <cell r="A122" t="str">
            <v>50714241620</v>
          </cell>
          <cell r="B122" t="str">
            <v>ZMTD</v>
          </cell>
          <cell r="C122">
            <v>45474</v>
          </cell>
          <cell r="D122" t="str">
            <v>Not delivered</v>
          </cell>
          <cell r="E122">
            <v>507142416</v>
          </cell>
          <cell r="F122">
            <v>20</v>
          </cell>
          <cell r="G122">
            <v>1393254</v>
          </cell>
          <cell r="H122" t="str">
            <v>LS-285:BS ORNG PX LCC P/BLK MNDOM RV160B</v>
          </cell>
          <cell r="I122">
            <v>10000</v>
          </cell>
          <cell r="J122" t="str">
            <v>UN</v>
          </cell>
          <cell r="K122">
            <v>45552</v>
          </cell>
        </row>
        <row r="123">
          <cell r="A123" t="str">
            <v>50714241510</v>
          </cell>
          <cell r="B123" t="str">
            <v>ZMTD</v>
          </cell>
          <cell r="C123">
            <v>45471</v>
          </cell>
          <cell r="D123" t="str">
            <v>Not delivered</v>
          </cell>
          <cell r="E123">
            <v>507142415</v>
          </cell>
          <cell r="F123">
            <v>10</v>
          </cell>
          <cell r="G123">
            <v>1333579</v>
          </cell>
          <cell r="H123" t="str">
            <v>CM-306:COTY BURBERRY COMPACT NEW VM GLD</v>
          </cell>
          <cell r="I123">
            <v>30096</v>
          </cell>
          <cell r="J123" t="str">
            <v>UN</v>
          </cell>
          <cell r="K123">
            <v>45552</v>
          </cell>
        </row>
        <row r="124">
          <cell r="A124" t="str">
            <v>50714220110</v>
          </cell>
          <cell r="B124" t="str">
            <v>ZMTD</v>
          </cell>
          <cell r="C124">
            <v>45432</v>
          </cell>
          <cell r="D124" t="str">
            <v>Partially delivered</v>
          </cell>
          <cell r="E124">
            <v>507142201</v>
          </cell>
          <cell r="F124">
            <v>10</v>
          </cell>
          <cell r="G124">
            <v>1160334</v>
          </cell>
          <cell r="H124" t="str">
            <v>CP-071:CP8364 RL RED 200ML MASS TINT 407</v>
          </cell>
          <cell r="I124">
            <v>43500</v>
          </cell>
          <cell r="J124" t="str">
            <v>UN</v>
          </cell>
          <cell r="K124">
            <v>45552</v>
          </cell>
        </row>
        <row r="125">
          <cell r="A125" t="str">
            <v>50714272210</v>
          </cell>
          <cell r="B125" t="str">
            <v>ZMTD</v>
          </cell>
          <cell r="C125">
            <v>45541</v>
          </cell>
          <cell r="D125" t="str">
            <v>Not delivered</v>
          </cell>
          <cell r="E125">
            <v>507142722</v>
          </cell>
          <cell r="F125">
            <v>10</v>
          </cell>
          <cell r="G125">
            <v>1361869</v>
          </cell>
          <cell r="H125" t="str">
            <v>CP-091:NATURAL BETTS</v>
          </cell>
          <cell r="I125">
            <v>51300</v>
          </cell>
          <cell r="J125" t="str">
            <v>UN</v>
          </cell>
          <cell r="K125">
            <v>45553</v>
          </cell>
        </row>
        <row r="126">
          <cell r="A126" t="str">
            <v>50714269810</v>
          </cell>
          <cell r="B126" t="str">
            <v>ZMTD</v>
          </cell>
          <cell r="C126">
            <v>45533</v>
          </cell>
          <cell r="D126" t="str">
            <v>Not delivered</v>
          </cell>
          <cell r="E126">
            <v>507142698</v>
          </cell>
          <cell r="F126">
            <v>10</v>
          </cell>
          <cell r="G126">
            <v>1408740</v>
          </cell>
          <cell r="H126" t="str">
            <v>PT-097B:BDSR.2 BLU HOUS WHT TRNS PTI12A</v>
          </cell>
          <cell r="I126">
            <v>110160</v>
          </cell>
          <cell r="J126" t="str">
            <v>UN</v>
          </cell>
          <cell r="K126">
            <v>45553</v>
          </cell>
        </row>
        <row r="127">
          <cell r="A127" t="str">
            <v>50714269820</v>
          </cell>
          <cell r="B127" t="str">
            <v>ZMTD</v>
          </cell>
          <cell r="C127">
            <v>45533</v>
          </cell>
          <cell r="D127" t="str">
            <v>Not delivered</v>
          </cell>
          <cell r="E127">
            <v>507142698</v>
          </cell>
          <cell r="F127">
            <v>20</v>
          </cell>
          <cell r="G127">
            <v>1408739</v>
          </cell>
          <cell r="H127" t="str">
            <v>PT-097B:CAP SR.2 BLUE TRANS PTI 12A</v>
          </cell>
          <cell r="I127">
            <v>110160</v>
          </cell>
          <cell r="J127" t="str">
            <v>UN</v>
          </cell>
          <cell r="K127">
            <v>45553</v>
          </cell>
        </row>
        <row r="128">
          <cell r="A128" t="str">
            <v>50714263760</v>
          </cell>
          <cell r="B128" t="str">
            <v>ZMTD</v>
          </cell>
          <cell r="C128">
            <v>45519</v>
          </cell>
          <cell r="D128" t="str">
            <v>Not delivered</v>
          </cell>
          <cell r="E128">
            <v>507142637</v>
          </cell>
          <cell r="F128">
            <v>60</v>
          </cell>
          <cell r="G128">
            <v>1408739</v>
          </cell>
          <cell r="H128" t="str">
            <v>PT-097B:CAP SR.2 BLUE TRANS PTI 12A</v>
          </cell>
          <cell r="I128">
            <v>109890</v>
          </cell>
          <cell r="J128" t="str">
            <v>UN</v>
          </cell>
          <cell r="K128">
            <v>45553</v>
          </cell>
        </row>
        <row r="129">
          <cell r="A129" t="str">
            <v>50714260610</v>
          </cell>
          <cell r="B129" t="str">
            <v>ZMTD</v>
          </cell>
          <cell r="C129">
            <v>45509</v>
          </cell>
          <cell r="D129" t="str">
            <v>Not delivered</v>
          </cell>
          <cell r="E129">
            <v>507142606</v>
          </cell>
          <cell r="F129">
            <v>10</v>
          </cell>
          <cell r="G129">
            <v>1172020</v>
          </cell>
          <cell r="H129" t="str">
            <v>FP-028:SLEEVE EYELASHES 01SLMAC EL</v>
          </cell>
          <cell r="I129">
            <v>80256</v>
          </cell>
          <cell r="J129" t="str">
            <v>UN</v>
          </cell>
          <cell r="K129">
            <v>45553</v>
          </cell>
        </row>
        <row r="130">
          <cell r="A130" t="str">
            <v>50714260620</v>
          </cell>
          <cell r="B130" t="str">
            <v>ZMTD</v>
          </cell>
          <cell r="C130">
            <v>45509</v>
          </cell>
          <cell r="D130" t="str">
            <v>Not delivered</v>
          </cell>
          <cell r="E130">
            <v>507142606</v>
          </cell>
          <cell r="F130">
            <v>20</v>
          </cell>
          <cell r="G130">
            <v>1170605</v>
          </cell>
          <cell r="H130" t="str">
            <v>FP-028:WHITE TR EYLSHS P/ 01PLMAC EL</v>
          </cell>
          <cell r="I130">
            <v>80514</v>
          </cell>
          <cell r="J130" t="str">
            <v>UN</v>
          </cell>
          <cell r="K130">
            <v>45553</v>
          </cell>
        </row>
        <row r="131">
          <cell r="A131" t="str">
            <v>50714260910</v>
          </cell>
          <cell r="B131" t="str">
            <v>ZMTD</v>
          </cell>
          <cell r="C131">
            <v>45509</v>
          </cell>
          <cell r="D131" t="str">
            <v>Partially delivered</v>
          </cell>
          <cell r="E131">
            <v>507142609</v>
          </cell>
          <cell r="F131">
            <v>10</v>
          </cell>
          <cell r="G131">
            <v>1432505</v>
          </cell>
          <cell r="H131" t="str">
            <v>CP-091:CAP D40 BLACK GLOSSY 12A</v>
          </cell>
          <cell r="I131">
            <v>59400</v>
          </cell>
          <cell r="J131" t="str">
            <v>UN</v>
          </cell>
          <cell r="K131">
            <v>45553</v>
          </cell>
        </row>
        <row r="132">
          <cell r="A132" t="str">
            <v>50714258270</v>
          </cell>
          <cell r="B132" t="str">
            <v>ZMTD</v>
          </cell>
          <cell r="C132">
            <v>45502</v>
          </cell>
          <cell r="D132" t="str">
            <v>Partially delivered</v>
          </cell>
          <cell r="E132">
            <v>507142582</v>
          </cell>
          <cell r="F132">
            <v>70</v>
          </cell>
          <cell r="G132">
            <v>1421510</v>
          </cell>
          <cell r="H132" t="str">
            <v>LS-285:CV PINK P/WHT UV P.BLOSOM PTI 30O</v>
          </cell>
          <cell r="I132">
            <v>46816</v>
          </cell>
          <cell r="J132" t="str">
            <v>UN</v>
          </cell>
          <cell r="K132">
            <v>45553</v>
          </cell>
        </row>
        <row r="133">
          <cell r="A133" t="str">
            <v>50714258280</v>
          </cell>
          <cell r="B133" t="str">
            <v>ZMTD</v>
          </cell>
          <cell r="C133">
            <v>45502</v>
          </cell>
          <cell r="D133" t="str">
            <v>Partially delivered</v>
          </cell>
          <cell r="E133">
            <v>507142582</v>
          </cell>
          <cell r="F133">
            <v>80</v>
          </cell>
          <cell r="G133">
            <v>1168132</v>
          </cell>
          <cell r="H133" t="str">
            <v>LS-285:BS WHT NO DC WARDAH</v>
          </cell>
          <cell r="I133">
            <v>46816</v>
          </cell>
          <cell r="J133" t="str">
            <v>UN</v>
          </cell>
          <cell r="K133">
            <v>45553</v>
          </cell>
        </row>
        <row r="134">
          <cell r="A134" t="str">
            <v>50714245610</v>
          </cell>
          <cell r="B134" t="str">
            <v>ZMTD</v>
          </cell>
          <cell r="C134">
            <v>45481</v>
          </cell>
          <cell r="D134" t="str">
            <v>Not delivered</v>
          </cell>
          <cell r="E134">
            <v>507142456</v>
          </cell>
          <cell r="F134">
            <v>10</v>
          </cell>
          <cell r="G134">
            <v>1385814</v>
          </cell>
          <cell r="H134" t="str">
            <v>LC-012:CAP VM BRWN WIP GLASTING PTI 20F</v>
          </cell>
          <cell r="I134">
            <v>53298</v>
          </cell>
          <cell r="J134" t="str">
            <v>UN</v>
          </cell>
          <cell r="K134">
            <v>45553</v>
          </cell>
        </row>
        <row r="135">
          <cell r="A135" t="str">
            <v>50714245620</v>
          </cell>
          <cell r="B135" t="str">
            <v>ZMTD</v>
          </cell>
          <cell r="C135">
            <v>45481</v>
          </cell>
          <cell r="D135" t="str">
            <v>Not delivered</v>
          </cell>
          <cell r="E135">
            <v>507142456</v>
          </cell>
          <cell r="F135">
            <v>20</v>
          </cell>
          <cell r="G135">
            <v>1405659</v>
          </cell>
          <cell r="H135" t="str">
            <v>LC-012:BTL VR12 P/GLASTNG PTI60B</v>
          </cell>
          <cell r="I135">
            <v>53298</v>
          </cell>
          <cell r="J135" t="str">
            <v>UN</v>
          </cell>
          <cell r="K135">
            <v>45553</v>
          </cell>
        </row>
        <row r="136">
          <cell r="A136" t="str">
            <v>50714242310</v>
          </cell>
          <cell r="B136" t="str">
            <v>ZMTD</v>
          </cell>
          <cell r="C136">
            <v>45475</v>
          </cell>
          <cell r="D136" t="str">
            <v>Partially delivered</v>
          </cell>
          <cell r="E136">
            <v>507142423</v>
          </cell>
          <cell r="F136">
            <v>10</v>
          </cell>
          <cell r="G136">
            <v>1160336</v>
          </cell>
          <cell r="H136" t="str">
            <v>CP-071:CP8364 TNR WPRL 200 REX IS 763</v>
          </cell>
          <cell r="I136">
            <v>87000</v>
          </cell>
          <cell r="J136" t="str">
            <v>UN</v>
          </cell>
          <cell r="K136">
            <v>45553</v>
          </cell>
        </row>
        <row r="137">
          <cell r="A137" t="str">
            <v>50714239030</v>
          </cell>
          <cell r="B137" t="str">
            <v>ZMTD</v>
          </cell>
          <cell r="C137">
            <v>45467</v>
          </cell>
          <cell r="D137" t="str">
            <v>Not delivered</v>
          </cell>
          <cell r="E137">
            <v>507142390</v>
          </cell>
          <cell r="F137">
            <v>30</v>
          </cell>
          <cell r="G137">
            <v>1385814</v>
          </cell>
          <cell r="H137" t="str">
            <v>LC-012:CAP VM BRWN WIP GLASTING PTI 20F</v>
          </cell>
          <cell r="I137">
            <v>27972</v>
          </cell>
          <cell r="J137" t="str">
            <v>UN</v>
          </cell>
          <cell r="K137">
            <v>45553</v>
          </cell>
        </row>
        <row r="138">
          <cell r="A138" t="str">
            <v>50714239040</v>
          </cell>
          <cell r="B138" t="str">
            <v>ZMTD</v>
          </cell>
          <cell r="C138">
            <v>45467</v>
          </cell>
          <cell r="D138" t="str">
            <v>Not delivered</v>
          </cell>
          <cell r="E138">
            <v>507142390</v>
          </cell>
          <cell r="F138">
            <v>40</v>
          </cell>
          <cell r="G138">
            <v>1382893</v>
          </cell>
          <cell r="H138" t="str">
            <v>LC-012:BTL VR1 CRMLCOAT P/GLASTNG PTI60B</v>
          </cell>
          <cell r="I138">
            <v>27972</v>
          </cell>
          <cell r="J138" t="str">
            <v>UN</v>
          </cell>
          <cell r="K138">
            <v>45553</v>
          </cell>
        </row>
        <row r="139">
          <cell r="A139" t="str">
            <v>50714274910</v>
          </cell>
          <cell r="B139" t="str">
            <v>ZMTD</v>
          </cell>
          <cell r="C139">
            <v>45545</v>
          </cell>
          <cell r="D139" t="str">
            <v>Not delivered</v>
          </cell>
          <cell r="E139">
            <v>507142749</v>
          </cell>
          <cell r="F139">
            <v>10</v>
          </cell>
          <cell r="G139">
            <v>1141323</v>
          </cell>
          <cell r="H139" t="str">
            <v>CP-063:SPOUT CAP LOREAL</v>
          </cell>
          <cell r="I139">
            <v>1890000</v>
          </cell>
          <cell r="J139" t="str">
            <v>UN</v>
          </cell>
          <cell r="K139">
            <v>45554</v>
          </cell>
        </row>
        <row r="140">
          <cell r="A140" t="str">
            <v>50714270010</v>
          </cell>
          <cell r="B140" t="str">
            <v>ZMTD</v>
          </cell>
          <cell r="C140">
            <v>45533</v>
          </cell>
          <cell r="D140" t="str">
            <v>Not delivered</v>
          </cell>
          <cell r="E140">
            <v>507142700</v>
          </cell>
          <cell r="F140">
            <v>10</v>
          </cell>
          <cell r="G140">
            <v>1417990</v>
          </cell>
          <cell r="H140" t="str">
            <v>LC-009:BTL #2#3 INNER CLR P/OMG PTIPT60B</v>
          </cell>
          <cell r="I140">
            <v>199080</v>
          </cell>
          <cell r="J140" t="str">
            <v>UN</v>
          </cell>
          <cell r="K140">
            <v>45554</v>
          </cell>
        </row>
        <row r="141">
          <cell r="A141" t="str">
            <v>50714270020</v>
          </cell>
          <cell r="B141" t="str">
            <v>ZMTD</v>
          </cell>
          <cell r="C141">
            <v>45533</v>
          </cell>
          <cell r="D141" t="str">
            <v>Not delivered</v>
          </cell>
          <cell r="E141">
            <v>507142700</v>
          </cell>
          <cell r="F141">
            <v>20</v>
          </cell>
          <cell r="G141">
            <v>1417978</v>
          </cell>
          <cell r="H141" t="str">
            <v>LC-009:CAP #2#3 REDTR WIP S/OMG PTIPT60B</v>
          </cell>
          <cell r="I141">
            <v>199080</v>
          </cell>
          <cell r="J141" t="str">
            <v>UN</v>
          </cell>
          <cell r="K141">
            <v>45554</v>
          </cell>
        </row>
        <row r="142">
          <cell r="A142" t="str">
            <v>50714270030</v>
          </cell>
          <cell r="B142" t="str">
            <v>ZMTD</v>
          </cell>
          <cell r="C142">
            <v>45533</v>
          </cell>
          <cell r="D142" t="str">
            <v>Not delivered</v>
          </cell>
          <cell r="E142">
            <v>507142700</v>
          </cell>
          <cell r="F142">
            <v>30</v>
          </cell>
          <cell r="G142">
            <v>1417990</v>
          </cell>
          <cell r="H142" t="str">
            <v>LC-009:BTL #2#3 INNER CLR P/OMG PTIPT60B</v>
          </cell>
          <cell r="I142">
            <v>400050</v>
          </cell>
          <cell r="J142" t="str">
            <v>UN</v>
          </cell>
          <cell r="K142">
            <v>45554</v>
          </cell>
        </row>
        <row r="143">
          <cell r="A143" t="str">
            <v>50714270040</v>
          </cell>
          <cell r="B143" t="str">
            <v>ZMTD</v>
          </cell>
          <cell r="C143">
            <v>45533</v>
          </cell>
          <cell r="D143" t="str">
            <v>Not delivered</v>
          </cell>
          <cell r="E143">
            <v>507142700</v>
          </cell>
          <cell r="F143">
            <v>40</v>
          </cell>
          <cell r="G143">
            <v>1417978</v>
          </cell>
          <cell r="H143" t="str">
            <v>LC-009:CAP #2#3 REDTR WIP S/OMG PTIPT60B</v>
          </cell>
          <cell r="I143">
            <v>400050</v>
          </cell>
          <cell r="J143" t="str">
            <v>UN</v>
          </cell>
          <cell r="K143">
            <v>45554</v>
          </cell>
        </row>
        <row r="144">
          <cell r="A144" t="str">
            <v>50714268410</v>
          </cell>
          <cell r="B144" t="str">
            <v>ZMTD</v>
          </cell>
          <cell r="C144">
            <v>45532</v>
          </cell>
          <cell r="D144" t="str">
            <v>Not delivered</v>
          </cell>
          <cell r="E144">
            <v>507142684</v>
          </cell>
          <cell r="F144">
            <v>10</v>
          </cell>
          <cell r="G144">
            <v>1167571</v>
          </cell>
          <cell r="H144" t="str">
            <v>FP-014:BS CLEAR NO DC PTI</v>
          </cell>
          <cell r="I144">
            <v>30240</v>
          </cell>
          <cell r="J144" t="str">
            <v>UN</v>
          </cell>
          <cell r="K144">
            <v>45554</v>
          </cell>
        </row>
        <row r="145">
          <cell r="A145" t="str">
            <v>50714268420</v>
          </cell>
          <cell r="B145" t="str">
            <v>ZMTD</v>
          </cell>
          <cell r="C145">
            <v>45532</v>
          </cell>
          <cell r="D145" t="str">
            <v>Not delivered</v>
          </cell>
          <cell r="E145">
            <v>507142684</v>
          </cell>
          <cell r="F145">
            <v>20</v>
          </cell>
          <cell r="G145">
            <v>1174020</v>
          </cell>
          <cell r="H145" t="str">
            <v>FP-014:CVR BLCK COAT P/DC MAKE OVER  PTI</v>
          </cell>
          <cell r="I145">
            <v>30240</v>
          </cell>
          <cell r="J145" t="str">
            <v>UN</v>
          </cell>
          <cell r="K145">
            <v>45554</v>
          </cell>
        </row>
        <row r="146">
          <cell r="A146" t="str">
            <v>50714268430</v>
          </cell>
          <cell r="B146" t="str">
            <v>ZMTD</v>
          </cell>
          <cell r="C146">
            <v>45532</v>
          </cell>
          <cell r="D146" t="str">
            <v>Not delivered</v>
          </cell>
          <cell r="E146">
            <v>507142684</v>
          </cell>
          <cell r="F146">
            <v>30</v>
          </cell>
          <cell r="G146">
            <v>1167434</v>
          </cell>
          <cell r="H146" t="str">
            <v>FP-014:SFTR NATURAL W/ LABEL POLOS PTI</v>
          </cell>
          <cell r="I146">
            <v>30240</v>
          </cell>
          <cell r="J146" t="str">
            <v>UN</v>
          </cell>
          <cell r="K146">
            <v>45554</v>
          </cell>
        </row>
        <row r="147">
          <cell r="A147" t="str">
            <v>50714269010</v>
          </cell>
          <cell r="B147" t="str">
            <v>ZMTD</v>
          </cell>
          <cell r="C147">
            <v>45532</v>
          </cell>
          <cell r="D147" t="str">
            <v>Not delivered</v>
          </cell>
          <cell r="E147">
            <v>507142690</v>
          </cell>
          <cell r="F147">
            <v>10</v>
          </cell>
          <cell r="G147">
            <v>1285116</v>
          </cell>
          <cell r="H147" t="str">
            <v>CM-292:CV/BS MTBLK LENS S/SLV MO PTI 40C</v>
          </cell>
          <cell r="I147">
            <v>49968</v>
          </cell>
          <cell r="J147" t="str">
            <v>UN</v>
          </cell>
          <cell r="K147">
            <v>45554</v>
          </cell>
        </row>
        <row r="148">
          <cell r="A148" t="str">
            <v>50714262510</v>
          </cell>
          <cell r="B148" t="str">
            <v>ZMTD</v>
          </cell>
          <cell r="C148">
            <v>45513</v>
          </cell>
          <cell r="D148" t="str">
            <v>Not delivered</v>
          </cell>
          <cell r="E148">
            <v>507142625</v>
          </cell>
          <cell r="F148">
            <v>10</v>
          </cell>
          <cell r="G148">
            <v>1305089</v>
          </cell>
          <cell r="H148" t="str">
            <v>CM-207:VM SHY SLV P/MATTE ZGH6010038 EL</v>
          </cell>
          <cell r="I148">
            <v>25920</v>
          </cell>
          <cell r="J148" t="str">
            <v>UN</v>
          </cell>
          <cell r="K148">
            <v>45554</v>
          </cell>
        </row>
        <row r="149">
          <cell r="A149" t="str">
            <v>50714257910</v>
          </cell>
          <cell r="B149" t="str">
            <v>ZMTD</v>
          </cell>
          <cell r="C149">
            <v>45502</v>
          </cell>
          <cell r="D149" t="str">
            <v>Not delivered</v>
          </cell>
          <cell r="E149">
            <v>507142579</v>
          </cell>
          <cell r="F149">
            <v>10</v>
          </cell>
          <cell r="G149">
            <v>1159912</v>
          </cell>
          <cell r="H149" t="str">
            <v>CP-064:CAP 25 SCREW BLK MT L'OREAL</v>
          </cell>
          <cell r="I149">
            <v>48000</v>
          </cell>
          <cell r="J149" t="str">
            <v>UN</v>
          </cell>
          <cell r="K149">
            <v>45554</v>
          </cell>
        </row>
        <row r="150">
          <cell r="A150" t="str">
            <v>50714254130</v>
          </cell>
          <cell r="B150" t="str">
            <v>ZMTD</v>
          </cell>
          <cell r="C150">
            <v>45490</v>
          </cell>
          <cell r="D150" t="str">
            <v>Not delivered</v>
          </cell>
          <cell r="E150">
            <v>507142541</v>
          </cell>
          <cell r="F150">
            <v>30</v>
          </cell>
          <cell r="G150">
            <v>1409881</v>
          </cell>
          <cell r="H150" t="str">
            <v>CM-315:CVR/BS BLACK P/CVRLAST OMG RV160B</v>
          </cell>
          <cell r="I150">
            <v>30184</v>
          </cell>
          <cell r="J150" t="str">
            <v>UN</v>
          </cell>
          <cell r="K150">
            <v>45554</v>
          </cell>
        </row>
        <row r="151">
          <cell r="A151" t="str">
            <v>50714249410</v>
          </cell>
          <cell r="B151" t="str">
            <v>ZMTD</v>
          </cell>
          <cell r="C151">
            <v>45485</v>
          </cell>
          <cell r="D151" t="str">
            <v>Partially delivered</v>
          </cell>
          <cell r="E151">
            <v>507142494</v>
          </cell>
          <cell r="F151">
            <v>10</v>
          </cell>
          <cell r="G151">
            <v>1159912</v>
          </cell>
          <cell r="H151" t="str">
            <v>CP-064:CAP 25 SCREW BLK MT L'OREAL</v>
          </cell>
          <cell r="I151">
            <v>150000</v>
          </cell>
          <cell r="J151" t="str">
            <v>UN</v>
          </cell>
          <cell r="K151">
            <v>45554</v>
          </cell>
        </row>
        <row r="152">
          <cell r="A152" t="str">
            <v>50714246110</v>
          </cell>
          <cell r="B152" t="str">
            <v>ZMTD</v>
          </cell>
          <cell r="C152">
            <v>45481</v>
          </cell>
          <cell r="D152" t="str">
            <v>Partially delivered</v>
          </cell>
          <cell r="E152">
            <v>507142461</v>
          </cell>
          <cell r="F152">
            <v>10</v>
          </cell>
          <cell r="G152">
            <v>1169047</v>
          </cell>
          <cell r="H152" t="str">
            <v>LS-285:B V/SL P/1PS SLEV H/SL BLM PTI20R</v>
          </cell>
          <cell r="I152">
            <v>25536</v>
          </cell>
          <cell r="J152" t="str">
            <v>UN</v>
          </cell>
          <cell r="K152">
            <v>45554</v>
          </cell>
        </row>
        <row r="153">
          <cell r="A153" t="str">
            <v>50714246120</v>
          </cell>
          <cell r="B153" t="str">
            <v>ZMTD</v>
          </cell>
          <cell r="C153">
            <v>45481</v>
          </cell>
          <cell r="D153" t="str">
            <v>Partially delivered</v>
          </cell>
          <cell r="E153">
            <v>507142461</v>
          </cell>
          <cell r="F153">
            <v>20</v>
          </cell>
          <cell r="G153">
            <v>1171165</v>
          </cell>
          <cell r="H153" t="str">
            <v>LS-285:CV TRANS MATE 3 P/1PS VAR3 PTI40H</v>
          </cell>
          <cell r="I153">
            <v>25536</v>
          </cell>
          <cell r="J153" t="str">
            <v>UN</v>
          </cell>
          <cell r="K153">
            <v>45554</v>
          </cell>
        </row>
        <row r="154">
          <cell r="A154" t="str">
            <v>50714159610</v>
          </cell>
          <cell r="B154" t="str">
            <v>ZMTD</v>
          </cell>
          <cell r="C154">
            <v>45308</v>
          </cell>
          <cell r="D154" t="str">
            <v>Not delivered</v>
          </cell>
          <cell r="E154">
            <v>507141596</v>
          </cell>
          <cell r="F154">
            <v>10</v>
          </cell>
          <cell r="G154">
            <v>1187151</v>
          </cell>
          <cell r="H154" t="str">
            <v>LC-004:BTL CLR COL BLK NO DC GENERAL 12A</v>
          </cell>
          <cell r="I154">
            <v>8966</v>
          </cell>
          <cell r="J154" t="str">
            <v>UN</v>
          </cell>
          <cell r="K154">
            <v>45554</v>
          </cell>
        </row>
        <row r="155">
          <cell r="A155" t="str">
            <v>50714159620</v>
          </cell>
          <cell r="B155" t="str">
            <v>ZMTD</v>
          </cell>
          <cell r="C155">
            <v>45308</v>
          </cell>
          <cell r="D155" t="str">
            <v>Not delivered</v>
          </cell>
          <cell r="E155">
            <v>507141596</v>
          </cell>
          <cell r="F155">
            <v>20</v>
          </cell>
          <cell r="G155">
            <v>1187152</v>
          </cell>
          <cell r="H155" t="str">
            <v>LC-004:CVR BLK NO DC WIP NAT GENERAL 12A</v>
          </cell>
          <cell r="I155">
            <v>8966</v>
          </cell>
          <cell r="J155" t="str">
            <v>UN</v>
          </cell>
          <cell r="K155">
            <v>45554</v>
          </cell>
        </row>
        <row r="156">
          <cell r="A156" t="str">
            <v>50714159650</v>
          </cell>
          <cell r="B156" t="str">
            <v>ZMTD</v>
          </cell>
          <cell r="C156">
            <v>45308</v>
          </cell>
          <cell r="D156" t="str">
            <v>Not delivered</v>
          </cell>
          <cell r="E156">
            <v>507141596</v>
          </cell>
          <cell r="F156">
            <v>50</v>
          </cell>
          <cell r="G156">
            <v>1173704</v>
          </cell>
          <cell r="H156" t="str">
            <v>LC-004:BTL CLR COL WHT NO DC GENERAL 12A</v>
          </cell>
          <cell r="I156">
            <v>8912</v>
          </cell>
          <cell r="J156" t="str">
            <v>UN</v>
          </cell>
          <cell r="K156">
            <v>45554</v>
          </cell>
        </row>
        <row r="157">
          <cell r="A157" t="str">
            <v>50714159660</v>
          </cell>
          <cell r="B157" t="str">
            <v>ZMTD</v>
          </cell>
          <cell r="C157">
            <v>45308</v>
          </cell>
          <cell r="D157" t="str">
            <v>Not delivered</v>
          </cell>
          <cell r="E157">
            <v>507141596</v>
          </cell>
          <cell r="F157">
            <v>60</v>
          </cell>
          <cell r="G157">
            <v>1173705</v>
          </cell>
          <cell r="H157" t="str">
            <v>LC-004:CAP WHT NO DC WIP NAT GENERAL 12A</v>
          </cell>
          <cell r="I157">
            <v>8912</v>
          </cell>
          <cell r="J157" t="str">
            <v>UN</v>
          </cell>
          <cell r="K157">
            <v>45554</v>
          </cell>
        </row>
        <row r="158">
          <cell r="A158" t="str">
            <v>50714259910</v>
          </cell>
          <cell r="B158" t="str">
            <v>ZMTD</v>
          </cell>
          <cell r="C158">
            <v>45509</v>
          </cell>
          <cell r="D158" t="str">
            <v>Not delivered</v>
          </cell>
          <cell r="E158">
            <v>507142599</v>
          </cell>
          <cell r="F158">
            <v>10</v>
          </cell>
          <cell r="G158">
            <v>1154330</v>
          </cell>
          <cell r="H158" t="str">
            <v>LC-003:BTL MT CA ROSE P/PX MOU CSMAX 40H</v>
          </cell>
          <cell r="I158">
            <v>22920</v>
          </cell>
          <cell r="J158" t="str">
            <v>UN</v>
          </cell>
          <cell r="K158">
            <v>45555</v>
          </cell>
        </row>
        <row r="159">
          <cell r="A159" t="str">
            <v>50714259920</v>
          </cell>
          <cell r="B159" t="str">
            <v>ZMTD</v>
          </cell>
          <cell r="C159">
            <v>45509</v>
          </cell>
          <cell r="D159" t="str">
            <v>Not delivered</v>
          </cell>
          <cell r="E159">
            <v>507142599</v>
          </cell>
          <cell r="F159">
            <v>20</v>
          </cell>
          <cell r="G159">
            <v>1154331</v>
          </cell>
          <cell r="H159" t="str">
            <v>LC-003:CAP MT CALM ROSE PX MOU CSMAX 40D</v>
          </cell>
          <cell r="I159">
            <v>22930</v>
          </cell>
          <cell r="J159" t="str">
            <v>UN</v>
          </cell>
          <cell r="K159">
            <v>45555</v>
          </cell>
        </row>
        <row r="160">
          <cell r="A160" t="str">
            <v>50714260810</v>
          </cell>
          <cell r="B160" t="str">
            <v>ZMTD</v>
          </cell>
          <cell r="C160">
            <v>45509</v>
          </cell>
          <cell r="D160" t="str">
            <v>Not delivered</v>
          </cell>
          <cell r="E160">
            <v>507142608</v>
          </cell>
          <cell r="F160">
            <v>10</v>
          </cell>
          <cell r="G160">
            <v>1183641</v>
          </cell>
          <cell r="H160" t="str">
            <v>PT-073:CV BS GOLD PEARL S/LIST SLV JHONY</v>
          </cell>
          <cell r="I160">
            <v>10000</v>
          </cell>
          <cell r="J160" t="str">
            <v>UN</v>
          </cell>
          <cell r="K160">
            <v>45555</v>
          </cell>
        </row>
        <row r="161">
          <cell r="A161" t="str">
            <v>50714258680</v>
          </cell>
          <cell r="B161" t="str">
            <v>ZMTD</v>
          </cell>
          <cell r="C161">
            <v>45504</v>
          </cell>
          <cell r="D161" t="str">
            <v>Partially delivered</v>
          </cell>
          <cell r="E161">
            <v>507142586</v>
          </cell>
          <cell r="F161">
            <v>80</v>
          </cell>
          <cell r="G161">
            <v>1168132</v>
          </cell>
          <cell r="H161" t="str">
            <v>LS-285:BS WHT NO DC WARDAH</v>
          </cell>
          <cell r="I161">
            <v>38304</v>
          </cell>
          <cell r="J161" t="str">
            <v>UN</v>
          </cell>
          <cell r="K161">
            <v>45555</v>
          </cell>
        </row>
        <row r="162">
          <cell r="A162" t="str">
            <v>50714250320</v>
          </cell>
          <cell r="B162" t="str">
            <v>ZMTD</v>
          </cell>
          <cell r="C162">
            <v>45485</v>
          </cell>
          <cell r="D162" t="str">
            <v>Partially delivered</v>
          </cell>
          <cell r="E162">
            <v>507142503</v>
          </cell>
          <cell r="F162">
            <v>20</v>
          </cell>
          <cell r="G162">
            <v>1425336</v>
          </cell>
          <cell r="H162" t="str">
            <v>LC-003:CAP MT ROSINLOVE PX MOU CSMAX 40D</v>
          </cell>
          <cell r="I162">
            <v>25641</v>
          </cell>
          <cell r="J162" t="str">
            <v>UN</v>
          </cell>
          <cell r="K162">
            <v>45555</v>
          </cell>
        </row>
        <row r="163">
          <cell r="A163" t="str">
            <v>50714229430</v>
          </cell>
          <cell r="B163" t="str">
            <v>ZMTD</v>
          </cell>
          <cell r="C163">
            <v>45448</v>
          </cell>
          <cell r="D163" t="str">
            <v>Partially delivered</v>
          </cell>
          <cell r="E163">
            <v>507142294</v>
          </cell>
          <cell r="F163">
            <v>30</v>
          </cell>
          <cell r="G163">
            <v>1385814</v>
          </cell>
          <cell r="H163" t="str">
            <v>LC-012:CAP VM BRWN WIP GLASTING PTI 20F</v>
          </cell>
          <cell r="I163">
            <v>52920</v>
          </cell>
          <cell r="J163" t="str">
            <v>UN</v>
          </cell>
          <cell r="K163">
            <v>45555</v>
          </cell>
        </row>
        <row r="164">
          <cell r="A164" t="str">
            <v>50714229440</v>
          </cell>
          <cell r="B164" t="str">
            <v>ZMTD</v>
          </cell>
          <cell r="C164">
            <v>45448</v>
          </cell>
          <cell r="D164" t="str">
            <v>Partially delivered</v>
          </cell>
          <cell r="E164">
            <v>507142294</v>
          </cell>
          <cell r="F164">
            <v>40</v>
          </cell>
          <cell r="G164">
            <v>1390058</v>
          </cell>
          <cell r="H164" t="str">
            <v>LC-012:BTL VR6 RUBYSPAR P/GLASTNG PTI60B</v>
          </cell>
          <cell r="I164">
            <v>52920</v>
          </cell>
          <cell r="J164" t="str">
            <v>UN</v>
          </cell>
          <cell r="K164">
            <v>45555</v>
          </cell>
        </row>
        <row r="165">
          <cell r="A165" t="str">
            <v>507142503110</v>
          </cell>
          <cell r="B165" t="str">
            <v>ZMTD</v>
          </cell>
          <cell r="C165">
            <v>45485</v>
          </cell>
          <cell r="D165" t="str">
            <v>Not delivered</v>
          </cell>
          <cell r="E165">
            <v>507142503</v>
          </cell>
          <cell r="F165">
            <v>110</v>
          </cell>
          <cell r="G165">
            <v>1425082</v>
          </cell>
          <cell r="H165" t="str">
            <v>LC-003:BTL MTCHILINTRCTA P/PXMOU CSMX40H</v>
          </cell>
          <cell r="I165">
            <v>24670</v>
          </cell>
          <cell r="J165" t="str">
            <v>UN</v>
          </cell>
          <cell r="K165">
            <v>45556</v>
          </cell>
        </row>
        <row r="166">
          <cell r="A166" t="str">
            <v>507142503120</v>
          </cell>
          <cell r="B166" t="str">
            <v>ZMTD</v>
          </cell>
          <cell r="C166">
            <v>45485</v>
          </cell>
          <cell r="D166" t="str">
            <v>Not delivered</v>
          </cell>
          <cell r="E166">
            <v>507142503</v>
          </cell>
          <cell r="F166">
            <v>120</v>
          </cell>
          <cell r="G166">
            <v>1425083</v>
          </cell>
          <cell r="H166" t="str">
            <v>LC-003:CAP MT CHILINTRCTA PXMOU CSMX 40D</v>
          </cell>
          <cell r="I166">
            <v>24859</v>
          </cell>
          <cell r="J166" t="str">
            <v>UN</v>
          </cell>
          <cell r="K166">
            <v>45556</v>
          </cell>
        </row>
        <row r="167">
          <cell r="A167" t="str">
            <v>50714246610</v>
          </cell>
          <cell r="B167" t="str">
            <v>ZMTD</v>
          </cell>
          <cell r="C167">
            <v>45482</v>
          </cell>
          <cell r="D167" t="str">
            <v>Not delivered</v>
          </cell>
          <cell r="E167">
            <v>507142466</v>
          </cell>
          <cell r="F167">
            <v>10</v>
          </cell>
          <cell r="G167">
            <v>1163327</v>
          </cell>
          <cell r="H167" t="str">
            <v>CM-246:CVR S.SLV PAN WHITE 6MPY 01 0034</v>
          </cell>
          <cell r="I167">
            <v>25056</v>
          </cell>
          <cell r="J167" t="str">
            <v>UN</v>
          </cell>
          <cell r="K167">
            <v>45556</v>
          </cell>
        </row>
        <row r="168">
          <cell r="A168" t="str">
            <v>50714241710</v>
          </cell>
          <cell r="B168" t="str">
            <v>ZMTD</v>
          </cell>
          <cell r="C168">
            <v>45474</v>
          </cell>
          <cell r="D168" t="str">
            <v>Not delivered</v>
          </cell>
          <cell r="E168">
            <v>507142417</v>
          </cell>
          <cell r="F168">
            <v>10</v>
          </cell>
          <cell r="G168">
            <v>1405657</v>
          </cell>
          <cell r="H168" t="str">
            <v>CM-273:CV UV BS BRONZE P/PIXYSLKY RV130L</v>
          </cell>
          <cell r="I168">
            <v>10000</v>
          </cell>
          <cell r="J168" t="str">
            <v>UN</v>
          </cell>
          <cell r="K168">
            <v>45556</v>
          </cell>
        </row>
        <row r="169">
          <cell r="A169" t="str">
            <v>50714259930</v>
          </cell>
          <cell r="B169" t="str">
            <v>ZMTD</v>
          </cell>
          <cell r="C169">
            <v>45509</v>
          </cell>
          <cell r="D169" t="str">
            <v>Not delivered</v>
          </cell>
          <cell r="E169">
            <v>507142599</v>
          </cell>
          <cell r="F169">
            <v>30</v>
          </cell>
          <cell r="G169">
            <v>1153884</v>
          </cell>
          <cell r="H169" t="str">
            <v>LC-003:BTL MT B MARON P/PX MOU CSMAX 40H</v>
          </cell>
          <cell r="I169">
            <v>14380</v>
          </cell>
          <cell r="J169" t="str">
            <v>UN</v>
          </cell>
          <cell r="K169">
            <v>45557</v>
          </cell>
        </row>
        <row r="170">
          <cell r="A170" t="str">
            <v>50714259940</v>
          </cell>
          <cell r="B170" t="str">
            <v>ZMTD</v>
          </cell>
          <cell r="C170">
            <v>45509</v>
          </cell>
          <cell r="D170" t="str">
            <v>Not delivered</v>
          </cell>
          <cell r="E170">
            <v>507142599</v>
          </cell>
          <cell r="F170">
            <v>40</v>
          </cell>
          <cell r="G170">
            <v>1153885</v>
          </cell>
          <cell r="H170" t="str">
            <v>LC-003:CAP MT B MARON M PX MOU CSMAX 40D</v>
          </cell>
          <cell r="I170">
            <v>14360</v>
          </cell>
          <cell r="J170" t="str">
            <v>UN</v>
          </cell>
          <cell r="K170">
            <v>45557</v>
          </cell>
        </row>
        <row r="171">
          <cell r="A171" t="str">
            <v>50714275610</v>
          </cell>
          <cell r="B171" t="str">
            <v>ZMTD</v>
          </cell>
          <cell r="C171">
            <v>45547</v>
          </cell>
          <cell r="D171" t="str">
            <v>Partially delivered</v>
          </cell>
          <cell r="E171">
            <v>507142756</v>
          </cell>
          <cell r="F171">
            <v>10</v>
          </cell>
          <cell r="G171">
            <v>1411899</v>
          </cell>
          <cell r="H171" t="str">
            <v>PT-100:BS/INS GREEN P/WHT KAHF PTI 60B</v>
          </cell>
          <cell r="I171">
            <v>20224</v>
          </cell>
          <cell r="J171" t="str">
            <v>UN</v>
          </cell>
          <cell r="K171">
            <v>45558</v>
          </cell>
        </row>
        <row r="172">
          <cell r="A172" t="str">
            <v>50714275620</v>
          </cell>
          <cell r="B172" t="str">
            <v>ZMTD</v>
          </cell>
          <cell r="C172">
            <v>45547</v>
          </cell>
          <cell r="D172" t="str">
            <v>Partially delivered</v>
          </cell>
          <cell r="E172">
            <v>507142756</v>
          </cell>
          <cell r="F172">
            <v>20</v>
          </cell>
          <cell r="G172">
            <v>1411898</v>
          </cell>
          <cell r="H172" t="str">
            <v>PT-100:CVR MT.GREEN EMBOS KAHF PTI 40D</v>
          </cell>
          <cell r="I172">
            <v>20224</v>
          </cell>
          <cell r="J172" t="str">
            <v>UN</v>
          </cell>
          <cell r="K172">
            <v>45558</v>
          </cell>
        </row>
        <row r="173">
          <cell r="A173" t="str">
            <v>50714275010</v>
          </cell>
          <cell r="B173" t="str">
            <v>ZMTD</v>
          </cell>
          <cell r="C173">
            <v>45545</v>
          </cell>
          <cell r="D173" t="str">
            <v>Not delivered</v>
          </cell>
          <cell r="E173">
            <v>507142750</v>
          </cell>
          <cell r="F173">
            <v>10</v>
          </cell>
          <cell r="G173">
            <v>1141323</v>
          </cell>
          <cell r="H173" t="str">
            <v>CP-063:SPOUT CAP LOREAL</v>
          </cell>
          <cell r="I173">
            <v>1890000</v>
          </cell>
          <cell r="J173" t="str">
            <v>UN</v>
          </cell>
          <cell r="K173">
            <v>45558</v>
          </cell>
        </row>
        <row r="174">
          <cell r="A174" t="str">
            <v>50714271530</v>
          </cell>
          <cell r="B174" t="str">
            <v>ZMTD</v>
          </cell>
          <cell r="C174">
            <v>45538</v>
          </cell>
          <cell r="D174" t="str">
            <v>Not delivered</v>
          </cell>
          <cell r="E174">
            <v>507142715</v>
          </cell>
          <cell r="F174">
            <v>30</v>
          </cell>
          <cell r="G174">
            <v>1382368</v>
          </cell>
          <cell r="H174" t="str">
            <v>CP-067R:FT CAP35 SNAP BLK MATTE  Ø5 LRL</v>
          </cell>
          <cell r="I174">
            <v>400000</v>
          </cell>
          <cell r="J174" t="str">
            <v>UN</v>
          </cell>
          <cell r="K174">
            <v>45558</v>
          </cell>
        </row>
        <row r="175">
          <cell r="A175" t="str">
            <v>50714268910</v>
          </cell>
          <cell r="B175" t="str">
            <v>ZMTD</v>
          </cell>
          <cell r="C175">
            <v>45532</v>
          </cell>
          <cell r="D175" t="str">
            <v>Not delivered</v>
          </cell>
          <cell r="E175">
            <v>507142689</v>
          </cell>
          <cell r="F175">
            <v>10</v>
          </cell>
          <cell r="G175">
            <v>1168132</v>
          </cell>
          <cell r="H175" t="str">
            <v>LS-285:BS WHT NO DC WARDAH</v>
          </cell>
          <cell r="I175">
            <v>75544</v>
          </cell>
          <cell r="J175" t="str">
            <v>UN</v>
          </cell>
          <cell r="K175">
            <v>45558</v>
          </cell>
        </row>
        <row r="176">
          <cell r="A176" t="str">
            <v>50714268920</v>
          </cell>
          <cell r="B176" t="str">
            <v>ZMTD</v>
          </cell>
          <cell r="C176">
            <v>45532</v>
          </cell>
          <cell r="D176" t="str">
            <v>Not delivered</v>
          </cell>
          <cell r="E176">
            <v>507142689</v>
          </cell>
          <cell r="F176">
            <v>20</v>
          </cell>
          <cell r="G176">
            <v>1421418</v>
          </cell>
          <cell r="H176" t="str">
            <v>LS-285:CV RED P/WHT UV STRAWBERY PTI 30O</v>
          </cell>
          <cell r="I176">
            <v>75544</v>
          </cell>
          <cell r="J176" t="str">
            <v>UN</v>
          </cell>
          <cell r="K176">
            <v>45558</v>
          </cell>
        </row>
        <row r="177">
          <cell r="A177" t="str">
            <v>50714269210</v>
          </cell>
          <cell r="B177" t="str">
            <v>ZMTD</v>
          </cell>
          <cell r="C177">
            <v>45532</v>
          </cell>
          <cell r="D177" t="str">
            <v>Not delivered</v>
          </cell>
          <cell r="E177">
            <v>507142692</v>
          </cell>
          <cell r="F177">
            <v>10</v>
          </cell>
          <cell r="G177">
            <v>1367372</v>
          </cell>
          <cell r="H177" t="str">
            <v>PT-097:BODY GREN HOUSE WHT TRANS PTI 12A</v>
          </cell>
          <cell r="I177">
            <v>110160</v>
          </cell>
          <cell r="J177" t="str">
            <v>UN</v>
          </cell>
          <cell r="K177">
            <v>45558</v>
          </cell>
        </row>
        <row r="178">
          <cell r="A178" t="str">
            <v>50714269220</v>
          </cell>
          <cell r="B178" t="str">
            <v>ZMTD</v>
          </cell>
          <cell r="C178">
            <v>45532</v>
          </cell>
          <cell r="D178" t="str">
            <v>Not delivered</v>
          </cell>
          <cell r="E178">
            <v>507142692</v>
          </cell>
          <cell r="F178">
            <v>20</v>
          </cell>
          <cell r="G178">
            <v>1367370</v>
          </cell>
          <cell r="H178" t="str">
            <v>PT-097:CAP GREN TRANS PTI 12A</v>
          </cell>
          <cell r="I178">
            <v>110160</v>
          </cell>
          <cell r="J178" t="str">
            <v>UN</v>
          </cell>
          <cell r="K178">
            <v>45558</v>
          </cell>
        </row>
        <row r="179">
          <cell r="A179" t="str">
            <v>50714264550</v>
          </cell>
          <cell r="B179" t="str">
            <v>ZMTD</v>
          </cell>
          <cell r="C179">
            <v>45523</v>
          </cell>
          <cell r="D179" t="str">
            <v>Partially delivered</v>
          </cell>
          <cell r="E179">
            <v>507142645</v>
          </cell>
          <cell r="F179">
            <v>50</v>
          </cell>
          <cell r="G179">
            <v>1375595</v>
          </cell>
          <cell r="H179" t="str">
            <v>LC-009:BTL/INNER CLEAR P/OMG PTIPT 60B</v>
          </cell>
          <cell r="I179">
            <v>149310</v>
          </cell>
          <cell r="J179" t="str">
            <v>UN</v>
          </cell>
          <cell r="K179">
            <v>45558</v>
          </cell>
        </row>
        <row r="180">
          <cell r="A180" t="str">
            <v>50714264560</v>
          </cell>
          <cell r="B180" t="str">
            <v>ZMTD</v>
          </cell>
          <cell r="C180">
            <v>45523</v>
          </cell>
          <cell r="D180" t="str">
            <v>Partially delivered</v>
          </cell>
          <cell r="E180">
            <v>507142645</v>
          </cell>
          <cell r="F180">
            <v>60</v>
          </cell>
          <cell r="G180">
            <v>1375593</v>
          </cell>
          <cell r="H180" t="str">
            <v>LC-009:CAP REDTRANS WIP S/OMG PTIPT 60B</v>
          </cell>
          <cell r="I180">
            <v>149310</v>
          </cell>
          <cell r="J180" t="str">
            <v>UN</v>
          </cell>
          <cell r="K180">
            <v>45558</v>
          </cell>
        </row>
        <row r="181">
          <cell r="A181" t="str">
            <v>50714263540</v>
          </cell>
          <cell r="B181" t="str">
            <v>ZMTD</v>
          </cell>
          <cell r="C181">
            <v>45518</v>
          </cell>
          <cell r="D181" t="str">
            <v>Partially delivered</v>
          </cell>
          <cell r="E181">
            <v>507142635</v>
          </cell>
          <cell r="F181">
            <v>40</v>
          </cell>
          <cell r="G181">
            <v>1417978</v>
          </cell>
          <cell r="H181" t="str">
            <v>LC-009:CAP #2#3 REDTR WIP S/OMG PTIPT60B</v>
          </cell>
          <cell r="I181">
            <v>200340</v>
          </cell>
          <cell r="J181" t="str">
            <v>UN</v>
          </cell>
          <cell r="K181">
            <v>45558</v>
          </cell>
        </row>
        <row r="182">
          <cell r="A182" t="str">
            <v>50714259950</v>
          </cell>
          <cell r="B182" t="str">
            <v>ZMTD</v>
          </cell>
          <cell r="C182">
            <v>45509</v>
          </cell>
          <cell r="D182" t="str">
            <v>Not delivered</v>
          </cell>
          <cell r="E182">
            <v>507142599</v>
          </cell>
          <cell r="F182">
            <v>50</v>
          </cell>
          <cell r="G182">
            <v>1154145</v>
          </cell>
          <cell r="H182" t="str">
            <v>LC-003:BTL MT PFBROWN P/PX MOU CSMAX 40H</v>
          </cell>
          <cell r="I182">
            <v>15800</v>
          </cell>
          <cell r="J182" t="str">
            <v>UN</v>
          </cell>
          <cell r="K182">
            <v>45558</v>
          </cell>
        </row>
        <row r="183">
          <cell r="A183" t="str">
            <v>50714260210</v>
          </cell>
          <cell r="B183" t="str">
            <v>ZMTD</v>
          </cell>
          <cell r="C183">
            <v>45509</v>
          </cell>
          <cell r="D183" t="str">
            <v>Not delivered</v>
          </cell>
          <cell r="E183">
            <v>507142602</v>
          </cell>
          <cell r="F183">
            <v>10</v>
          </cell>
          <cell r="G183">
            <v>1158837</v>
          </cell>
          <cell r="H183" t="str">
            <v>SD-007:SM16 WH SLDR D40 SCREW ORI7.5</v>
          </cell>
          <cell r="I183">
            <v>252000</v>
          </cell>
          <cell r="J183" t="str">
            <v>UN</v>
          </cell>
          <cell r="K183">
            <v>45558</v>
          </cell>
        </row>
        <row r="184">
          <cell r="A184" t="str">
            <v>50714260510</v>
          </cell>
          <cell r="B184" t="str">
            <v>ZMTD</v>
          </cell>
          <cell r="C184">
            <v>45509</v>
          </cell>
          <cell r="D184" t="str">
            <v>Not delivered</v>
          </cell>
          <cell r="E184">
            <v>507142605</v>
          </cell>
          <cell r="F184">
            <v>10</v>
          </cell>
          <cell r="G184">
            <v>1163327</v>
          </cell>
          <cell r="H184" t="str">
            <v>CM-246:CVR S.SLV PAN WHITE 6MPY 01 0034</v>
          </cell>
          <cell r="I184">
            <v>25056</v>
          </cell>
          <cell r="J184" t="str">
            <v>UN</v>
          </cell>
          <cell r="K184">
            <v>45558</v>
          </cell>
        </row>
        <row r="185">
          <cell r="A185" t="str">
            <v>50714258670</v>
          </cell>
          <cell r="B185" t="str">
            <v>ZMTD</v>
          </cell>
          <cell r="C185">
            <v>45504</v>
          </cell>
          <cell r="D185" t="str">
            <v>Partially delivered</v>
          </cell>
          <cell r="E185">
            <v>507142586</v>
          </cell>
          <cell r="F185">
            <v>70</v>
          </cell>
          <cell r="G185">
            <v>1421418</v>
          </cell>
          <cell r="H185" t="str">
            <v>LS-285:CV RED P/WHT UV STRAWBERY PTI 30O</v>
          </cell>
          <cell r="I185">
            <v>38304</v>
          </cell>
          <cell r="J185" t="str">
            <v>UN</v>
          </cell>
          <cell r="K185">
            <v>45558</v>
          </cell>
        </row>
        <row r="186">
          <cell r="A186" t="str">
            <v>507142503130</v>
          </cell>
          <cell r="B186" t="str">
            <v>ZMTD</v>
          </cell>
          <cell r="C186">
            <v>45485</v>
          </cell>
          <cell r="D186" t="str">
            <v>Partially delivered</v>
          </cell>
          <cell r="E186">
            <v>507142503</v>
          </cell>
          <cell r="F186">
            <v>130</v>
          </cell>
          <cell r="G186">
            <v>1425293</v>
          </cell>
          <cell r="H186" t="str">
            <v>LC-003:BTL MT LIVELYAPR P/PXMOU CSMAX40H</v>
          </cell>
          <cell r="I186">
            <v>24670</v>
          </cell>
          <cell r="J186" t="str">
            <v>UN</v>
          </cell>
          <cell r="K186">
            <v>45558</v>
          </cell>
        </row>
        <row r="187">
          <cell r="A187" t="str">
            <v>507142503140</v>
          </cell>
          <cell r="B187" t="str">
            <v>ZMTD</v>
          </cell>
          <cell r="C187">
            <v>45485</v>
          </cell>
          <cell r="D187" t="str">
            <v>Partially delivered</v>
          </cell>
          <cell r="E187">
            <v>507142503</v>
          </cell>
          <cell r="F187">
            <v>140</v>
          </cell>
          <cell r="G187">
            <v>1425294</v>
          </cell>
          <cell r="H187" t="str">
            <v>LC-003:CAP MT LIVELYAPR PX MOU CSMAX 40D</v>
          </cell>
          <cell r="I187">
            <v>24859</v>
          </cell>
          <cell r="J187" t="str">
            <v>UN</v>
          </cell>
          <cell r="K187">
            <v>45558</v>
          </cell>
        </row>
        <row r="188">
          <cell r="A188" t="str">
            <v>50714247820</v>
          </cell>
          <cell r="B188" t="str">
            <v>ZMTD</v>
          </cell>
          <cell r="C188">
            <v>45483</v>
          </cell>
          <cell r="D188" t="str">
            <v>Partially delivered</v>
          </cell>
          <cell r="E188">
            <v>507142478</v>
          </cell>
          <cell r="F188">
            <v>20</v>
          </cell>
          <cell r="G188">
            <v>1192460</v>
          </cell>
          <cell r="H188" t="str">
            <v>FP-014:SIFTER NAT W/LABEL NO DC REMBAKA</v>
          </cell>
          <cell r="I188">
            <v>21000</v>
          </cell>
          <cell r="J188" t="str">
            <v>UN</v>
          </cell>
          <cell r="K188">
            <v>45558</v>
          </cell>
        </row>
        <row r="189">
          <cell r="A189" t="str">
            <v>50714244410</v>
          </cell>
          <cell r="B189" t="str">
            <v>ZMTD</v>
          </cell>
          <cell r="C189">
            <v>45476</v>
          </cell>
          <cell r="D189" t="str">
            <v>Partially delivered</v>
          </cell>
          <cell r="E189">
            <v>507142444</v>
          </cell>
          <cell r="F189">
            <v>10</v>
          </cell>
          <cell r="G189">
            <v>1430485</v>
          </cell>
          <cell r="H189" t="str">
            <v>LS-091:CVR GREEN P/BUTTER MATCHA 60C</v>
          </cell>
          <cell r="I189">
            <v>15808</v>
          </cell>
          <cell r="J189" t="str">
            <v>UN</v>
          </cell>
          <cell r="K189">
            <v>45558</v>
          </cell>
        </row>
        <row r="190">
          <cell r="A190" t="str">
            <v>50714244420</v>
          </cell>
          <cell r="B190" t="str">
            <v>ZMTD</v>
          </cell>
          <cell r="C190">
            <v>45476</v>
          </cell>
          <cell r="D190" t="str">
            <v>Partially delivered</v>
          </cell>
          <cell r="E190">
            <v>507142444</v>
          </cell>
          <cell r="F190">
            <v>20</v>
          </cell>
          <cell r="G190">
            <v>1430486</v>
          </cell>
          <cell r="H190" t="str">
            <v>LS-091:BS GREEN P/WHITE MATCHA ROHTO 12A</v>
          </cell>
          <cell r="I190">
            <v>15808</v>
          </cell>
          <cell r="J190" t="str">
            <v>UN</v>
          </cell>
          <cell r="K190">
            <v>45558</v>
          </cell>
        </row>
        <row r="191">
          <cell r="A191" t="str">
            <v>50714240410</v>
          </cell>
          <cell r="B191" t="str">
            <v>ZMTD</v>
          </cell>
          <cell r="C191">
            <v>45470</v>
          </cell>
          <cell r="D191" t="str">
            <v>Partially delivered</v>
          </cell>
          <cell r="E191">
            <v>507142404</v>
          </cell>
          <cell r="F191">
            <v>10</v>
          </cell>
          <cell r="G191">
            <v>1425748</v>
          </cell>
          <cell r="H191" t="str">
            <v>FP-011:COVER DG/HTF ACNEACT RV2 ERHA 40L</v>
          </cell>
          <cell r="I191">
            <v>30000</v>
          </cell>
          <cell r="J191" t="str">
            <v>UN</v>
          </cell>
          <cell r="K191">
            <v>45558</v>
          </cell>
        </row>
        <row r="192">
          <cell r="A192" t="str">
            <v>50714240420</v>
          </cell>
          <cell r="B192" t="str">
            <v>ZMTD</v>
          </cell>
          <cell r="C192">
            <v>45470</v>
          </cell>
          <cell r="D192" t="str">
            <v>Partially delivered</v>
          </cell>
          <cell r="E192">
            <v>507142404</v>
          </cell>
          <cell r="F192">
            <v>20</v>
          </cell>
          <cell r="G192">
            <v>1187674</v>
          </cell>
          <cell r="H192" t="str">
            <v>FP-011:BASE WHITE NO DECO ERHA DERMATO</v>
          </cell>
          <cell r="I192">
            <v>30000</v>
          </cell>
          <cell r="J192" t="str">
            <v>UN</v>
          </cell>
          <cell r="K192">
            <v>45558</v>
          </cell>
        </row>
        <row r="193">
          <cell r="A193" t="str">
            <v>50714240430</v>
          </cell>
          <cell r="B193" t="str">
            <v>ZMTD</v>
          </cell>
          <cell r="C193">
            <v>45470</v>
          </cell>
          <cell r="D193" t="str">
            <v>Partially delivered</v>
          </cell>
          <cell r="E193">
            <v>507142404</v>
          </cell>
          <cell r="F193">
            <v>30</v>
          </cell>
          <cell r="G193">
            <v>1187675</v>
          </cell>
          <cell r="H193" t="str">
            <v>FP-011:SIFTER NAT W/LABEL NO DECO ERHA D</v>
          </cell>
          <cell r="I193">
            <v>30000</v>
          </cell>
          <cell r="J193" t="str">
            <v>UN</v>
          </cell>
          <cell r="K193">
            <v>45558</v>
          </cell>
        </row>
        <row r="194">
          <cell r="A194" t="str">
            <v>50714241210</v>
          </cell>
          <cell r="B194" t="str">
            <v>ZMTD</v>
          </cell>
          <cell r="C194">
            <v>45470</v>
          </cell>
          <cell r="D194" t="str">
            <v>Partially delivered</v>
          </cell>
          <cell r="E194">
            <v>507142412</v>
          </cell>
          <cell r="F194">
            <v>10</v>
          </cell>
          <cell r="G194">
            <v>1385814</v>
          </cell>
          <cell r="H194" t="str">
            <v>LC-012:CAP VM BRWN WIP GLASTING PTI 20F</v>
          </cell>
          <cell r="I194">
            <v>53298</v>
          </cell>
          <cell r="J194" t="str">
            <v>UN</v>
          </cell>
          <cell r="K194">
            <v>45558</v>
          </cell>
        </row>
        <row r="195">
          <cell r="A195" t="str">
            <v>50714241220</v>
          </cell>
          <cell r="B195" t="str">
            <v>ZMTD</v>
          </cell>
          <cell r="C195">
            <v>45470</v>
          </cell>
          <cell r="D195" t="str">
            <v>Partially delivered</v>
          </cell>
          <cell r="E195">
            <v>507142412</v>
          </cell>
          <cell r="F195">
            <v>20</v>
          </cell>
          <cell r="G195">
            <v>1405377</v>
          </cell>
          <cell r="H195" t="str">
            <v>LC-012:BTL VR11 P/GLASTNG PTI60B</v>
          </cell>
          <cell r="I195">
            <v>53298</v>
          </cell>
          <cell r="J195" t="str">
            <v>UN</v>
          </cell>
          <cell r="K195">
            <v>45558</v>
          </cell>
        </row>
        <row r="196">
          <cell r="A196" t="str">
            <v>50800514510</v>
          </cell>
          <cell r="B196" t="str">
            <v>ZMFD</v>
          </cell>
          <cell r="C196">
            <v>45464</v>
          </cell>
          <cell r="D196" t="str">
            <v>Not delivered</v>
          </cell>
          <cell r="E196">
            <v>508005145</v>
          </cell>
          <cell r="F196">
            <v>10</v>
          </cell>
          <cell r="G196">
            <v>1288811</v>
          </cell>
          <cell r="H196" t="str">
            <v>CP-065:FT 50 SNAP SLV GLOSSY ELSEVE</v>
          </cell>
          <cell r="I196">
            <v>109600</v>
          </cell>
          <cell r="J196" t="str">
            <v>UN</v>
          </cell>
          <cell r="K196">
            <v>45558</v>
          </cell>
        </row>
        <row r="197">
          <cell r="A197" t="str">
            <v>50714210910</v>
          </cell>
          <cell r="B197" t="str">
            <v>ZMTD</v>
          </cell>
          <cell r="C197">
            <v>45422</v>
          </cell>
          <cell r="D197" t="str">
            <v>Partially delivered</v>
          </cell>
          <cell r="E197">
            <v>507142109</v>
          </cell>
          <cell r="F197">
            <v>10</v>
          </cell>
          <cell r="G197">
            <v>1262590</v>
          </cell>
          <cell r="H197" t="str">
            <v>CM-280:BLUE S/GOLD BO INEZ</v>
          </cell>
          <cell r="I197">
            <v>30000</v>
          </cell>
          <cell r="J197" t="str">
            <v>UN</v>
          </cell>
          <cell r="K197">
            <v>45558</v>
          </cell>
        </row>
        <row r="198">
          <cell r="A198" t="str">
            <v>50714210920</v>
          </cell>
          <cell r="B198" t="str">
            <v>ZMTD</v>
          </cell>
          <cell r="C198">
            <v>45422</v>
          </cell>
          <cell r="D198" t="str">
            <v>Partially delivered</v>
          </cell>
          <cell r="E198">
            <v>507142109</v>
          </cell>
          <cell r="F198">
            <v>20</v>
          </cell>
          <cell r="G198">
            <v>1262549</v>
          </cell>
          <cell r="H198" t="str">
            <v>CM-280:BLUE S/GOLD ES INEZ</v>
          </cell>
          <cell r="I198">
            <v>30000</v>
          </cell>
          <cell r="J198" t="str">
            <v>UN</v>
          </cell>
          <cell r="K198">
            <v>45558</v>
          </cell>
        </row>
        <row r="199">
          <cell r="A199" t="str">
            <v>50714272140</v>
          </cell>
          <cell r="B199" t="str">
            <v>ZMTD</v>
          </cell>
          <cell r="C199">
            <v>45539</v>
          </cell>
          <cell r="D199" t="str">
            <v>Partially delivered</v>
          </cell>
          <cell r="E199">
            <v>507142721</v>
          </cell>
          <cell r="F199">
            <v>40</v>
          </cell>
          <cell r="G199">
            <v>1437039</v>
          </cell>
          <cell r="H199" t="str">
            <v>CM-290:1PC BS CV MT.BLK S/ EMBOS OMG 40C</v>
          </cell>
          <cell r="I199">
            <v>20160</v>
          </cell>
          <cell r="J199" t="str">
            <v>UN</v>
          </cell>
          <cell r="K199">
            <v>45559</v>
          </cell>
        </row>
        <row r="200">
          <cell r="A200" t="str">
            <v>50714272150</v>
          </cell>
          <cell r="B200" t="str">
            <v>ZMTD</v>
          </cell>
          <cell r="C200">
            <v>45539</v>
          </cell>
          <cell r="D200" t="str">
            <v>Partially delivered</v>
          </cell>
          <cell r="E200">
            <v>507142721</v>
          </cell>
          <cell r="F200">
            <v>50</v>
          </cell>
          <cell r="G200">
            <v>1437140</v>
          </cell>
          <cell r="H200" t="str">
            <v>CM-290:ENGINE CV RED, BS BLK OMG PTI 12A</v>
          </cell>
          <cell r="I200">
            <v>60144</v>
          </cell>
          <cell r="J200" t="str">
            <v>UN</v>
          </cell>
          <cell r="K200">
            <v>45559</v>
          </cell>
        </row>
        <row r="201">
          <cell r="A201" t="str">
            <v>50714272160</v>
          </cell>
          <cell r="B201" t="str">
            <v>ZMTD</v>
          </cell>
          <cell r="C201">
            <v>45539</v>
          </cell>
          <cell r="D201" t="str">
            <v>Partially delivered</v>
          </cell>
          <cell r="E201">
            <v>507142721</v>
          </cell>
          <cell r="F201">
            <v>60</v>
          </cell>
          <cell r="G201">
            <v>1437141</v>
          </cell>
          <cell r="H201" t="str">
            <v>CM-290:RING BLACK OMG PTI 12A</v>
          </cell>
          <cell r="I201">
            <v>60144</v>
          </cell>
          <cell r="J201" t="str">
            <v>UN</v>
          </cell>
          <cell r="K201">
            <v>45559</v>
          </cell>
        </row>
        <row r="202">
          <cell r="A202" t="str">
            <v>50714270210</v>
          </cell>
          <cell r="B202" t="str">
            <v>ZMTD</v>
          </cell>
          <cell r="C202">
            <v>45534</v>
          </cell>
          <cell r="D202" t="str">
            <v>Not delivered</v>
          </cell>
          <cell r="E202">
            <v>507142702</v>
          </cell>
          <cell r="F202">
            <v>10</v>
          </cell>
          <cell r="G202">
            <v>1255656</v>
          </cell>
          <cell r="H202" t="str">
            <v>LC-002:BTL MT VAR6 P/WRDH B.MARK PTI40H</v>
          </cell>
          <cell r="I202">
            <v>25200</v>
          </cell>
          <cell r="J202" t="str">
            <v>UN</v>
          </cell>
          <cell r="K202">
            <v>45559</v>
          </cell>
        </row>
        <row r="203">
          <cell r="A203" t="str">
            <v>50714270220</v>
          </cell>
          <cell r="B203" t="str">
            <v>ZMTD</v>
          </cell>
          <cell r="C203">
            <v>45534</v>
          </cell>
          <cell r="D203" t="str">
            <v>Not delivered</v>
          </cell>
          <cell r="E203">
            <v>507142702</v>
          </cell>
          <cell r="F203">
            <v>20</v>
          </cell>
          <cell r="G203">
            <v>1264018</v>
          </cell>
          <cell r="H203" t="str">
            <v>LC-002:CAP S/MTVAR6 STM-WHT WPNAT PTI40D</v>
          </cell>
          <cell r="I203">
            <v>25200</v>
          </cell>
          <cell r="J203" t="str">
            <v>UN</v>
          </cell>
          <cell r="K203">
            <v>45559</v>
          </cell>
        </row>
        <row r="204">
          <cell r="A204" t="str">
            <v>50714270510</v>
          </cell>
          <cell r="B204" t="str">
            <v>ZMTD</v>
          </cell>
          <cell r="C204">
            <v>45534</v>
          </cell>
          <cell r="D204" t="str">
            <v>Partially delivered</v>
          </cell>
          <cell r="E204">
            <v>507142705</v>
          </cell>
          <cell r="F204">
            <v>10</v>
          </cell>
          <cell r="G204">
            <v>1342220</v>
          </cell>
          <cell r="H204" t="str">
            <v>LC-010:BTL CLR HTF COLBEIGE CFIT PTI 60C</v>
          </cell>
          <cell r="I204">
            <v>100170</v>
          </cell>
          <cell r="J204" t="str">
            <v>UN</v>
          </cell>
          <cell r="K204">
            <v>45559</v>
          </cell>
        </row>
        <row r="205">
          <cell r="A205" t="str">
            <v>50714270520</v>
          </cell>
          <cell r="B205" t="str">
            <v>ZMTD</v>
          </cell>
          <cell r="C205">
            <v>45534</v>
          </cell>
          <cell r="D205" t="str">
            <v>Partially delivered</v>
          </cell>
          <cell r="E205">
            <v>507142705</v>
          </cell>
          <cell r="F205">
            <v>20</v>
          </cell>
          <cell r="G205">
            <v>1342221</v>
          </cell>
          <cell r="H205" t="str">
            <v>LC-010:CAP BEIGE WIP NAT PTI 12A</v>
          </cell>
          <cell r="I205">
            <v>100170</v>
          </cell>
          <cell r="J205" t="str">
            <v>UN</v>
          </cell>
          <cell r="K205">
            <v>45559</v>
          </cell>
        </row>
        <row r="206">
          <cell r="A206" t="str">
            <v>50714268610</v>
          </cell>
          <cell r="B206" t="str">
            <v>ZMTD</v>
          </cell>
          <cell r="C206">
            <v>45532</v>
          </cell>
          <cell r="D206" t="str">
            <v>Partially delivered</v>
          </cell>
          <cell r="E206">
            <v>507142686</v>
          </cell>
          <cell r="F206">
            <v>10</v>
          </cell>
          <cell r="G206">
            <v>1420861</v>
          </cell>
          <cell r="H206" t="str">
            <v>CM-253:CV BS MT PLUM 05  P/C.BLSH PTI40H</v>
          </cell>
          <cell r="I206">
            <v>15120</v>
          </cell>
          <cell r="J206" t="str">
            <v>UN</v>
          </cell>
          <cell r="K206">
            <v>45559</v>
          </cell>
        </row>
        <row r="207">
          <cell r="A207" t="str">
            <v>50714267610</v>
          </cell>
          <cell r="B207" t="str">
            <v>ZMTD</v>
          </cell>
          <cell r="C207">
            <v>45527</v>
          </cell>
          <cell r="D207" t="str">
            <v>Partially delivered</v>
          </cell>
          <cell r="E207">
            <v>507142676</v>
          </cell>
          <cell r="F207">
            <v>10</v>
          </cell>
          <cell r="G207">
            <v>1378563</v>
          </cell>
          <cell r="H207" t="str">
            <v>CP-093:CAP D50 MT BLACK Ø.5 YASULOR 12A</v>
          </cell>
          <cell r="I207">
            <v>750000</v>
          </cell>
          <cell r="J207" t="str">
            <v>UN</v>
          </cell>
          <cell r="K207">
            <v>45559</v>
          </cell>
        </row>
        <row r="208">
          <cell r="A208" t="str">
            <v>50714267710</v>
          </cell>
          <cell r="B208" t="str">
            <v>ZMTD</v>
          </cell>
          <cell r="C208">
            <v>45527</v>
          </cell>
          <cell r="D208" t="str">
            <v>Not delivered</v>
          </cell>
          <cell r="E208">
            <v>507142677</v>
          </cell>
          <cell r="F208">
            <v>10</v>
          </cell>
          <cell r="G208">
            <v>1378563</v>
          </cell>
          <cell r="H208" t="str">
            <v>CP-093:CAP D50 MT BLACK Ø.5 YASULOR 12A</v>
          </cell>
          <cell r="I208">
            <v>800000</v>
          </cell>
          <cell r="J208" t="str">
            <v>UN</v>
          </cell>
          <cell r="K208">
            <v>45559</v>
          </cell>
        </row>
        <row r="209">
          <cell r="A209" t="str">
            <v>50714267410</v>
          </cell>
          <cell r="B209" t="str">
            <v>ZMTD</v>
          </cell>
          <cell r="C209">
            <v>45526</v>
          </cell>
          <cell r="D209" t="str">
            <v>Not delivered</v>
          </cell>
          <cell r="E209">
            <v>507142674</v>
          </cell>
          <cell r="F209">
            <v>10</v>
          </cell>
          <cell r="G209">
            <v>1141323</v>
          </cell>
          <cell r="H209" t="str">
            <v>CP-063:SPOUT CAP LOREAL</v>
          </cell>
          <cell r="I209">
            <v>1260000</v>
          </cell>
          <cell r="J209" t="str">
            <v>UN</v>
          </cell>
          <cell r="K209">
            <v>45559</v>
          </cell>
        </row>
        <row r="210">
          <cell r="A210" t="str">
            <v>50714265910</v>
          </cell>
          <cell r="B210" t="str">
            <v>ZMTD</v>
          </cell>
          <cell r="C210">
            <v>45524</v>
          </cell>
          <cell r="D210" t="str">
            <v>Not delivered</v>
          </cell>
          <cell r="E210">
            <v>507142659</v>
          </cell>
          <cell r="F210">
            <v>10</v>
          </cell>
          <cell r="G210">
            <v>1141323</v>
          </cell>
          <cell r="H210" t="str">
            <v>CP-063:SPOUT CAP LOREAL</v>
          </cell>
          <cell r="I210">
            <v>1890000</v>
          </cell>
          <cell r="J210" t="str">
            <v>UN</v>
          </cell>
          <cell r="K210">
            <v>45559</v>
          </cell>
        </row>
        <row r="211">
          <cell r="A211" t="str">
            <v>50714266010</v>
          </cell>
          <cell r="B211" t="str">
            <v>ZMTD</v>
          </cell>
          <cell r="C211">
            <v>45524</v>
          </cell>
          <cell r="D211" t="str">
            <v>Not delivered</v>
          </cell>
          <cell r="E211">
            <v>507142660</v>
          </cell>
          <cell r="F211">
            <v>10</v>
          </cell>
          <cell r="G211">
            <v>1141323</v>
          </cell>
          <cell r="H211" t="str">
            <v>CP-063:SPOUT CAP LOREAL</v>
          </cell>
          <cell r="I211">
            <v>1890000</v>
          </cell>
          <cell r="J211" t="str">
            <v>UN</v>
          </cell>
          <cell r="K211">
            <v>45559</v>
          </cell>
        </row>
        <row r="212">
          <cell r="A212" t="str">
            <v>50714264810</v>
          </cell>
          <cell r="B212" t="str">
            <v>ZMTD</v>
          </cell>
          <cell r="C212">
            <v>45523</v>
          </cell>
          <cell r="D212" t="str">
            <v>Partially delivered</v>
          </cell>
          <cell r="E212">
            <v>507142648</v>
          </cell>
          <cell r="F212">
            <v>10</v>
          </cell>
          <cell r="G212">
            <v>1168132</v>
          </cell>
          <cell r="H212" t="str">
            <v>LS-285:BS WHT NO DC WARDAH</v>
          </cell>
          <cell r="I212">
            <v>23408</v>
          </cell>
          <cell r="J212" t="str">
            <v>UN</v>
          </cell>
          <cell r="K212">
            <v>45559</v>
          </cell>
        </row>
        <row r="213">
          <cell r="A213" t="str">
            <v>50714264820</v>
          </cell>
          <cell r="B213" t="str">
            <v>ZMTD</v>
          </cell>
          <cell r="C213">
            <v>45523</v>
          </cell>
          <cell r="D213" t="str">
            <v>Partially delivered</v>
          </cell>
          <cell r="E213">
            <v>507142648</v>
          </cell>
          <cell r="F213">
            <v>20</v>
          </cell>
          <cell r="G213">
            <v>1421509</v>
          </cell>
          <cell r="H213" t="str">
            <v>LS-285:CV ORNG P/WHT UV ORGSQUEZE PTI30O</v>
          </cell>
          <cell r="I213">
            <v>23408</v>
          </cell>
          <cell r="J213" t="str">
            <v>UN</v>
          </cell>
          <cell r="K213">
            <v>45559</v>
          </cell>
        </row>
        <row r="214">
          <cell r="A214" t="str">
            <v>50714265030</v>
          </cell>
          <cell r="B214" t="str">
            <v>ZMTD</v>
          </cell>
          <cell r="C214">
            <v>45523</v>
          </cell>
          <cell r="D214" t="str">
            <v>Partially delivered</v>
          </cell>
          <cell r="E214">
            <v>507142650</v>
          </cell>
          <cell r="F214">
            <v>30</v>
          </cell>
          <cell r="G214">
            <v>1430094</v>
          </cell>
          <cell r="H214" t="str">
            <v>LS-285:BS BLUE NO DC WARDAH PTI 12A</v>
          </cell>
          <cell r="I214">
            <v>93632</v>
          </cell>
          <cell r="J214" t="str">
            <v>UN</v>
          </cell>
          <cell r="K214">
            <v>45559</v>
          </cell>
        </row>
        <row r="215">
          <cell r="A215" t="str">
            <v>50714265040</v>
          </cell>
          <cell r="B215" t="str">
            <v>ZMTD</v>
          </cell>
          <cell r="C215">
            <v>45523</v>
          </cell>
          <cell r="D215" t="str">
            <v>Partially delivered</v>
          </cell>
          <cell r="E215">
            <v>507142650</v>
          </cell>
          <cell r="F215">
            <v>40</v>
          </cell>
          <cell r="G215">
            <v>1430093</v>
          </cell>
          <cell r="H215" t="str">
            <v>LS-285:CV MT.TR BLUE P/SHERCLEAR PTI 40H</v>
          </cell>
          <cell r="I215">
            <v>93632</v>
          </cell>
          <cell r="J215" t="str">
            <v>UN</v>
          </cell>
          <cell r="K215">
            <v>45559</v>
          </cell>
        </row>
        <row r="216">
          <cell r="A216" t="str">
            <v>50714265510</v>
          </cell>
          <cell r="B216" t="str">
            <v>ZMTD</v>
          </cell>
          <cell r="C216">
            <v>45523</v>
          </cell>
          <cell r="D216" t="str">
            <v>Partially delivered</v>
          </cell>
          <cell r="E216">
            <v>507142655</v>
          </cell>
          <cell r="F216">
            <v>10</v>
          </cell>
          <cell r="G216">
            <v>1285116</v>
          </cell>
          <cell r="H216" t="str">
            <v>CM-292:CV/BS MTBLK LENS S/SLV MO PTI 40C</v>
          </cell>
          <cell r="I216">
            <v>49968</v>
          </cell>
          <cell r="J216" t="str">
            <v>UN</v>
          </cell>
          <cell r="K216">
            <v>45559</v>
          </cell>
        </row>
        <row r="217">
          <cell r="A217" t="str">
            <v>50714263710</v>
          </cell>
          <cell r="B217" t="str">
            <v>ZMTD</v>
          </cell>
          <cell r="C217">
            <v>45519</v>
          </cell>
          <cell r="D217" t="str">
            <v>Partially delivered</v>
          </cell>
          <cell r="E217">
            <v>507142637</v>
          </cell>
          <cell r="F217">
            <v>10</v>
          </cell>
          <cell r="G217">
            <v>1408740</v>
          </cell>
          <cell r="H217" t="str">
            <v>PT-097B:BDSR.2 BLU HOUS WHT TRNS PTI12A</v>
          </cell>
          <cell r="I217">
            <v>110160</v>
          </cell>
          <cell r="J217" t="str">
            <v>UN</v>
          </cell>
          <cell r="K217">
            <v>45559</v>
          </cell>
        </row>
        <row r="218">
          <cell r="A218" t="str">
            <v>50714263720</v>
          </cell>
          <cell r="B218" t="str">
            <v>ZMTD</v>
          </cell>
          <cell r="C218">
            <v>45519</v>
          </cell>
          <cell r="D218" t="str">
            <v>Partially delivered</v>
          </cell>
          <cell r="E218">
            <v>507142637</v>
          </cell>
          <cell r="F218">
            <v>20</v>
          </cell>
          <cell r="G218">
            <v>1408739</v>
          </cell>
          <cell r="H218" t="str">
            <v>PT-097B:CAP SR.2 BLUE TRANS PTI 12A</v>
          </cell>
          <cell r="I218">
            <v>110160</v>
          </cell>
          <cell r="J218" t="str">
            <v>UN</v>
          </cell>
          <cell r="K218">
            <v>45559</v>
          </cell>
        </row>
        <row r="219">
          <cell r="A219" t="str">
            <v>50714263530</v>
          </cell>
          <cell r="B219" t="str">
            <v>ZMTD</v>
          </cell>
          <cell r="C219">
            <v>45518</v>
          </cell>
          <cell r="D219" t="str">
            <v>Partially delivered</v>
          </cell>
          <cell r="E219">
            <v>507142635</v>
          </cell>
          <cell r="F219">
            <v>30</v>
          </cell>
          <cell r="G219">
            <v>1417990</v>
          </cell>
          <cell r="H219" t="str">
            <v>LC-009:BTL #2#3 INNER CLR P/OMG PTIPT60B</v>
          </cell>
          <cell r="I219">
            <v>200340</v>
          </cell>
          <cell r="J219" t="str">
            <v>UN</v>
          </cell>
          <cell r="K219">
            <v>45559</v>
          </cell>
        </row>
        <row r="220">
          <cell r="A220" t="str">
            <v>50714263130</v>
          </cell>
          <cell r="B220" t="str">
            <v>ZMTD</v>
          </cell>
          <cell r="C220">
            <v>45517</v>
          </cell>
          <cell r="D220" t="str">
            <v>Partially delivered</v>
          </cell>
          <cell r="E220">
            <v>507142631</v>
          </cell>
          <cell r="F220">
            <v>30</v>
          </cell>
          <cell r="G220">
            <v>1371896</v>
          </cell>
          <cell r="H220" t="str">
            <v>RX-056:CM-316 CVR BLUE P/WHT SP/MTCLR</v>
          </cell>
          <cell r="I220">
            <v>109968</v>
          </cell>
          <cell r="J220" t="str">
            <v>UN</v>
          </cell>
          <cell r="K220">
            <v>45559</v>
          </cell>
        </row>
        <row r="221">
          <cell r="A221" t="str">
            <v>50714262030</v>
          </cell>
          <cell r="B221" t="str">
            <v>ZMTD</v>
          </cell>
          <cell r="C221">
            <v>45512</v>
          </cell>
          <cell r="D221" t="str">
            <v>Partially delivered</v>
          </cell>
          <cell r="E221">
            <v>507142620</v>
          </cell>
          <cell r="F221">
            <v>30</v>
          </cell>
          <cell r="G221">
            <v>1382368</v>
          </cell>
          <cell r="H221" t="str">
            <v>CP-067R:FT CAP35 SNAP BLK MATTE  Ø5 LRL</v>
          </cell>
          <cell r="I221">
            <v>400000</v>
          </cell>
          <cell r="J221" t="str">
            <v>UN</v>
          </cell>
          <cell r="K221">
            <v>45559</v>
          </cell>
        </row>
        <row r="222">
          <cell r="A222" t="str">
            <v>50714259960</v>
          </cell>
          <cell r="B222" t="str">
            <v>ZMTD</v>
          </cell>
          <cell r="C222">
            <v>45509</v>
          </cell>
          <cell r="D222" t="str">
            <v>Not delivered</v>
          </cell>
          <cell r="E222">
            <v>507142599</v>
          </cell>
          <cell r="F222">
            <v>60</v>
          </cell>
          <cell r="G222">
            <v>1154146</v>
          </cell>
          <cell r="H222" t="str">
            <v>LC-003:CAP MT PF BROWN PX MOU CSMAX 40D</v>
          </cell>
          <cell r="I222">
            <v>15800</v>
          </cell>
          <cell r="J222" t="str">
            <v>UN</v>
          </cell>
          <cell r="K222">
            <v>45559</v>
          </cell>
        </row>
        <row r="223">
          <cell r="A223" t="str">
            <v>50714254120</v>
          </cell>
          <cell r="B223" t="str">
            <v>ZMTD</v>
          </cell>
          <cell r="C223">
            <v>45490</v>
          </cell>
          <cell r="D223" t="str">
            <v>Partially delivered</v>
          </cell>
          <cell r="E223">
            <v>507142541</v>
          </cell>
          <cell r="F223">
            <v>20</v>
          </cell>
          <cell r="G223">
            <v>1409881</v>
          </cell>
          <cell r="H223" t="str">
            <v>CM-315:CVR/BS BLACK P/CVRLAST OMG RV160B</v>
          </cell>
          <cell r="I223">
            <v>40040</v>
          </cell>
          <cell r="J223" t="str">
            <v>UN</v>
          </cell>
          <cell r="K223">
            <v>45559</v>
          </cell>
        </row>
        <row r="224">
          <cell r="A224" t="str">
            <v>50714253410</v>
          </cell>
          <cell r="B224" t="str">
            <v>ZMTD</v>
          </cell>
          <cell r="C224">
            <v>45489</v>
          </cell>
          <cell r="D224" t="str">
            <v>Partially delivered</v>
          </cell>
          <cell r="E224">
            <v>507142534</v>
          </cell>
          <cell r="F224">
            <v>10</v>
          </cell>
          <cell r="G224">
            <v>1158837</v>
          </cell>
          <cell r="H224" t="str">
            <v>SD-007:SM16 WH SLDR D40 SCREW ORI7.5</v>
          </cell>
          <cell r="I224">
            <v>252000</v>
          </cell>
          <cell r="J224" t="str">
            <v>UN</v>
          </cell>
          <cell r="K224">
            <v>45559</v>
          </cell>
        </row>
        <row r="225">
          <cell r="A225" t="str">
            <v>50714251220</v>
          </cell>
          <cell r="B225" t="str">
            <v>ZMTD</v>
          </cell>
          <cell r="C225">
            <v>45488</v>
          </cell>
          <cell r="D225" t="str">
            <v>Partially delivered</v>
          </cell>
          <cell r="E225">
            <v>507142512</v>
          </cell>
          <cell r="F225">
            <v>20</v>
          </cell>
          <cell r="G225">
            <v>1340516</v>
          </cell>
          <cell r="H225" t="str">
            <v>CM-133:CVR BS MTLC GRN UV DP S/WARDH 30T</v>
          </cell>
          <cell r="I225">
            <v>10080</v>
          </cell>
          <cell r="J225" t="str">
            <v>UN</v>
          </cell>
          <cell r="K225">
            <v>45559</v>
          </cell>
        </row>
        <row r="226">
          <cell r="A226" t="str">
            <v>50714247810</v>
          </cell>
          <cell r="B226" t="str">
            <v>ZMTD</v>
          </cell>
          <cell r="C226">
            <v>45483</v>
          </cell>
          <cell r="D226" t="str">
            <v>Partially delivered</v>
          </cell>
          <cell r="E226">
            <v>507142478</v>
          </cell>
          <cell r="F226">
            <v>10</v>
          </cell>
          <cell r="G226">
            <v>1223565</v>
          </cell>
          <cell r="H226" t="str">
            <v>FP-014:LATULIPE FACE PWD S/LT PRO BRONSE</v>
          </cell>
          <cell r="I226">
            <v>21000</v>
          </cell>
          <cell r="J226" t="str">
            <v>UN</v>
          </cell>
          <cell r="K226">
            <v>45559</v>
          </cell>
        </row>
        <row r="227">
          <cell r="A227" t="str">
            <v>50714245810</v>
          </cell>
          <cell r="B227" t="str">
            <v>ZMTD</v>
          </cell>
          <cell r="C227">
            <v>45481</v>
          </cell>
          <cell r="D227" t="str">
            <v>Not delivered</v>
          </cell>
          <cell r="E227">
            <v>507142458</v>
          </cell>
          <cell r="F227">
            <v>10</v>
          </cell>
          <cell r="G227">
            <v>1385814</v>
          </cell>
          <cell r="H227" t="str">
            <v>LC-012:CAP VM BRWN WIP GLASTING PTI 20F</v>
          </cell>
          <cell r="I227">
            <v>25326</v>
          </cell>
          <cell r="J227" t="str">
            <v>UN</v>
          </cell>
          <cell r="K227">
            <v>45559</v>
          </cell>
        </row>
        <row r="228">
          <cell r="A228" t="str">
            <v>50714245820</v>
          </cell>
          <cell r="B228" t="str">
            <v>ZMTD</v>
          </cell>
          <cell r="C228">
            <v>45481</v>
          </cell>
          <cell r="D228" t="str">
            <v>Not delivered</v>
          </cell>
          <cell r="E228">
            <v>507142458</v>
          </cell>
          <cell r="F228">
            <v>20</v>
          </cell>
          <cell r="G228">
            <v>1405883</v>
          </cell>
          <cell r="H228" t="str">
            <v>LC-012:BTL VR13 P/GLASTNG PTI60B</v>
          </cell>
          <cell r="I228">
            <v>25326</v>
          </cell>
          <cell r="J228" t="str">
            <v>UN</v>
          </cell>
          <cell r="K228">
            <v>45559</v>
          </cell>
        </row>
        <row r="229">
          <cell r="A229" t="str">
            <v>50714241820</v>
          </cell>
          <cell r="B229" t="str">
            <v>ZMTD</v>
          </cell>
          <cell r="C229">
            <v>45474</v>
          </cell>
          <cell r="D229" t="str">
            <v>Not delivered</v>
          </cell>
          <cell r="E229">
            <v>507142418</v>
          </cell>
          <cell r="F229">
            <v>20</v>
          </cell>
          <cell r="G229">
            <v>1414413</v>
          </cell>
          <cell r="H229" t="str">
            <v>CM-216:S/RED INFAILLIBLE  L'OREAL US</v>
          </cell>
          <cell r="I229">
            <v>200000</v>
          </cell>
          <cell r="J229" t="str">
            <v>UN</v>
          </cell>
          <cell r="K229">
            <v>45559</v>
          </cell>
        </row>
        <row r="230">
          <cell r="A230" t="str">
            <v>50714241410</v>
          </cell>
          <cell r="B230" t="str">
            <v>ZMTD</v>
          </cell>
          <cell r="C230">
            <v>45471</v>
          </cell>
          <cell r="D230" t="str">
            <v>Not delivered</v>
          </cell>
          <cell r="E230">
            <v>507142414</v>
          </cell>
          <cell r="F230">
            <v>10</v>
          </cell>
          <cell r="G230">
            <v>1379003</v>
          </cell>
          <cell r="H230" t="str">
            <v>PT-096:CVR WHITE INEZ 12A</v>
          </cell>
          <cell r="I230">
            <v>25000</v>
          </cell>
          <cell r="J230" t="str">
            <v>UN</v>
          </cell>
          <cell r="K230">
            <v>45559</v>
          </cell>
        </row>
        <row r="231">
          <cell r="A231" t="str">
            <v>50714241420</v>
          </cell>
          <cell r="B231" t="str">
            <v>ZMTD</v>
          </cell>
          <cell r="C231">
            <v>45471</v>
          </cell>
          <cell r="D231" t="str">
            <v>Not delivered</v>
          </cell>
          <cell r="E231">
            <v>507142414</v>
          </cell>
          <cell r="F231">
            <v>20</v>
          </cell>
          <cell r="G231">
            <v>1379004</v>
          </cell>
          <cell r="H231" t="str">
            <v>PT-096:BS MT BLUETRANS P/WHT BEAUTY INEZ</v>
          </cell>
          <cell r="I231">
            <v>25000</v>
          </cell>
          <cell r="J231" t="str">
            <v>UN</v>
          </cell>
          <cell r="K231">
            <v>45559</v>
          </cell>
        </row>
        <row r="232">
          <cell r="A232" t="str">
            <v>50714234670</v>
          </cell>
          <cell r="B232" t="str">
            <v>ZMTD</v>
          </cell>
          <cell r="C232">
            <v>45462</v>
          </cell>
          <cell r="D232" t="str">
            <v>Partially delivered</v>
          </cell>
          <cell r="E232">
            <v>507142346</v>
          </cell>
          <cell r="F232">
            <v>70</v>
          </cell>
          <cell r="G232">
            <v>1376248</v>
          </cell>
          <cell r="H232" t="str">
            <v>FP-008:CVR L.PINK P/BLK MANDOM RV1 12A</v>
          </cell>
          <cell r="I232">
            <v>20000</v>
          </cell>
          <cell r="J232" t="str">
            <v>UN</v>
          </cell>
          <cell r="K232">
            <v>45559</v>
          </cell>
        </row>
        <row r="233">
          <cell r="A233" t="str">
            <v>50714234680</v>
          </cell>
          <cell r="B233" t="str">
            <v>ZMTD</v>
          </cell>
          <cell r="C233">
            <v>45462</v>
          </cell>
          <cell r="D233" t="str">
            <v>Partially delivered</v>
          </cell>
          <cell r="E233">
            <v>507142346</v>
          </cell>
          <cell r="F233">
            <v>80</v>
          </cell>
          <cell r="G233">
            <v>1171179</v>
          </cell>
          <cell r="H233" t="str">
            <v>FP-008:BS INJ BLK NO DC MANDOM</v>
          </cell>
          <cell r="I233">
            <v>20000</v>
          </cell>
          <cell r="J233" t="str">
            <v>UN</v>
          </cell>
          <cell r="K233">
            <v>45559</v>
          </cell>
        </row>
        <row r="234">
          <cell r="A234" t="str">
            <v>50714234690</v>
          </cell>
          <cell r="B234" t="str">
            <v>ZMTD</v>
          </cell>
          <cell r="C234">
            <v>45462</v>
          </cell>
          <cell r="D234" t="str">
            <v>Partially delivered</v>
          </cell>
          <cell r="E234">
            <v>507142346</v>
          </cell>
          <cell r="F234">
            <v>90</v>
          </cell>
          <cell r="G234">
            <v>1172027</v>
          </cell>
          <cell r="H234" t="str">
            <v>FP-008:SFT NAT L.HINGE W/LBL NO DC MDM</v>
          </cell>
          <cell r="I234">
            <v>20000</v>
          </cell>
          <cell r="J234" t="str">
            <v>UN</v>
          </cell>
          <cell r="K234">
            <v>45559</v>
          </cell>
        </row>
        <row r="235">
          <cell r="A235" t="str">
            <v>50714234710</v>
          </cell>
          <cell r="B235" t="str">
            <v>ZMTD</v>
          </cell>
          <cell r="C235">
            <v>45462</v>
          </cell>
          <cell r="D235" t="str">
            <v>Not delivered</v>
          </cell>
          <cell r="E235">
            <v>507142347</v>
          </cell>
          <cell r="F235">
            <v>10</v>
          </cell>
          <cell r="G235">
            <v>1175305</v>
          </cell>
          <cell r="H235" t="str">
            <v>CM-088:BROWN PRL S/GLD REVLON NEW RUDY</v>
          </cell>
          <cell r="I235">
            <v>10000</v>
          </cell>
          <cell r="J235" t="str">
            <v>UN</v>
          </cell>
          <cell r="K235">
            <v>45559</v>
          </cell>
        </row>
        <row r="236">
          <cell r="A236" t="str">
            <v>50714222910</v>
          </cell>
          <cell r="B236" t="str">
            <v>ZMTD</v>
          </cell>
          <cell r="C236">
            <v>45436</v>
          </cell>
          <cell r="D236" t="str">
            <v>Partially delivered</v>
          </cell>
          <cell r="E236">
            <v>507142229</v>
          </cell>
          <cell r="F236">
            <v>10</v>
          </cell>
          <cell r="G236">
            <v>1331787</v>
          </cell>
          <cell r="H236" t="str">
            <v>CM-216:TRUE MATCH BLUSH W/O BRUSH LOR US</v>
          </cell>
          <cell r="I236">
            <v>159400</v>
          </cell>
          <cell r="J236" t="str">
            <v>UN</v>
          </cell>
          <cell r="K236">
            <v>45559</v>
          </cell>
        </row>
        <row r="237">
          <cell r="A237" t="str">
            <v>50714212730</v>
          </cell>
          <cell r="B237" t="str">
            <v>ZMTD</v>
          </cell>
          <cell r="C237">
            <v>45425</v>
          </cell>
          <cell r="D237" t="str">
            <v>Partially delivered</v>
          </cell>
          <cell r="E237">
            <v>507142127</v>
          </cell>
          <cell r="F237">
            <v>30</v>
          </cell>
          <cell r="G237">
            <v>1420400</v>
          </cell>
          <cell r="H237" t="str">
            <v>LS-091:BS YLW P/ORANGE FRTY LEMON NEW60B</v>
          </cell>
          <cell r="I237">
            <v>14820</v>
          </cell>
          <cell r="J237" t="str">
            <v>UN</v>
          </cell>
          <cell r="K237">
            <v>45559</v>
          </cell>
        </row>
        <row r="238">
          <cell r="A238" t="str">
            <v>50714212740</v>
          </cell>
          <cell r="B238" t="str">
            <v>ZMTD</v>
          </cell>
          <cell r="C238">
            <v>45425</v>
          </cell>
          <cell r="D238" t="str">
            <v>Partially delivered</v>
          </cell>
          <cell r="E238">
            <v>507142127</v>
          </cell>
          <cell r="F238">
            <v>40</v>
          </cell>
          <cell r="G238">
            <v>1420401</v>
          </cell>
          <cell r="H238" t="str">
            <v>LS-091:CV WHT P/ICE FRUITY LEMON 60B</v>
          </cell>
          <cell r="I238">
            <v>14820</v>
          </cell>
          <cell r="J238" t="str">
            <v>UN</v>
          </cell>
          <cell r="K238">
            <v>45559</v>
          </cell>
        </row>
        <row r="239">
          <cell r="A239" t="str">
            <v>50714150870</v>
          </cell>
          <cell r="B239" t="str">
            <v>ZMTD</v>
          </cell>
          <cell r="C239">
            <v>45282</v>
          </cell>
          <cell r="D239" t="str">
            <v>Partially delivered</v>
          </cell>
          <cell r="E239">
            <v>507141508</v>
          </cell>
          <cell r="F239">
            <v>70</v>
          </cell>
          <cell r="G239">
            <v>1243794</v>
          </cell>
          <cell r="H239" t="str">
            <v>LS-091:BS PINK P/SHEER CLR NEW ROHTO 60B</v>
          </cell>
          <cell r="I239">
            <v>27664</v>
          </cell>
          <cell r="J239" t="str">
            <v>UN</v>
          </cell>
          <cell r="K239">
            <v>45559</v>
          </cell>
        </row>
        <row r="240">
          <cell r="A240" t="str">
            <v>50714275630</v>
          </cell>
          <cell r="B240" t="str">
            <v>ZMTD</v>
          </cell>
          <cell r="C240">
            <v>45547</v>
          </cell>
          <cell r="D240" t="str">
            <v>Not delivered</v>
          </cell>
          <cell r="E240">
            <v>507142756</v>
          </cell>
          <cell r="F240">
            <v>30</v>
          </cell>
          <cell r="G240">
            <v>1411899</v>
          </cell>
          <cell r="H240" t="str">
            <v>PT-100:BS/INS GREEN P/WHT KAHF PTI 60B</v>
          </cell>
          <cell r="I240">
            <v>60160</v>
          </cell>
          <cell r="J240" t="str">
            <v>UN</v>
          </cell>
          <cell r="K240">
            <v>45560</v>
          </cell>
        </row>
        <row r="241">
          <cell r="A241" t="str">
            <v>50714275640</v>
          </cell>
          <cell r="B241" t="str">
            <v>ZMTD</v>
          </cell>
          <cell r="C241">
            <v>45547</v>
          </cell>
          <cell r="D241" t="str">
            <v>Not delivered</v>
          </cell>
          <cell r="E241">
            <v>507142756</v>
          </cell>
          <cell r="F241">
            <v>40</v>
          </cell>
          <cell r="G241">
            <v>1411898</v>
          </cell>
          <cell r="H241" t="str">
            <v>PT-100:CVR MT.GREEN EMBOS KAHF PTI 40D</v>
          </cell>
          <cell r="I241">
            <v>60160</v>
          </cell>
          <cell r="J241" t="str">
            <v>UN</v>
          </cell>
          <cell r="K241">
            <v>45560</v>
          </cell>
        </row>
        <row r="242">
          <cell r="A242" t="str">
            <v>50714275110</v>
          </cell>
          <cell r="B242" t="str">
            <v>ZMTD</v>
          </cell>
          <cell r="C242">
            <v>45545</v>
          </cell>
          <cell r="D242" t="str">
            <v>Not delivered</v>
          </cell>
          <cell r="E242">
            <v>507142751</v>
          </cell>
          <cell r="F242">
            <v>10</v>
          </cell>
          <cell r="G242">
            <v>1141323</v>
          </cell>
          <cell r="H242" t="str">
            <v>CP-063:SPOUT CAP LOREAL</v>
          </cell>
          <cell r="I242">
            <v>840000</v>
          </cell>
          <cell r="J242" t="str">
            <v>UN</v>
          </cell>
          <cell r="K242">
            <v>45560</v>
          </cell>
        </row>
        <row r="243">
          <cell r="A243" t="str">
            <v>50714268510</v>
          </cell>
          <cell r="B243" t="str">
            <v>ZMTD</v>
          </cell>
          <cell r="C243">
            <v>45532</v>
          </cell>
          <cell r="D243" t="str">
            <v>Not delivered</v>
          </cell>
          <cell r="E243">
            <v>507142685</v>
          </cell>
          <cell r="F243">
            <v>10</v>
          </cell>
          <cell r="G243">
            <v>1167571</v>
          </cell>
          <cell r="H243" t="str">
            <v>FP-014:BS CLEAR NO DC PTI</v>
          </cell>
          <cell r="I243">
            <v>30240</v>
          </cell>
          <cell r="J243" t="str">
            <v>UN</v>
          </cell>
          <cell r="K243">
            <v>45560</v>
          </cell>
        </row>
        <row r="244">
          <cell r="A244" t="str">
            <v>50714268520</v>
          </cell>
          <cell r="B244" t="str">
            <v>ZMTD</v>
          </cell>
          <cell r="C244">
            <v>45532</v>
          </cell>
          <cell r="D244" t="str">
            <v>Not delivered</v>
          </cell>
          <cell r="E244">
            <v>507142685</v>
          </cell>
          <cell r="F244">
            <v>20</v>
          </cell>
          <cell r="G244">
            <v>1174020</v>
          </cell>
          <cell r="H244" t="str">
            <v>FP-014:CVR BLCK COAT P/DC MAKE OVER  PTI</v>
          </cell>
          <cell r="I244">
            <v>30240</v>
          </cell>
          <cell r="J244" t="str">
            <v>UN</v>
          </cell>
          <cell r="K244">
            <v>45560</v>
          </cell>
        </row>
        <row r="245">
          <cell r="A245" t="str">
            <v>50714268530</v>
          </cell>
          <cell r="B245" t="str">
            <v>ZMTD</v>
          </cell>
          <cell r="C245">
            <v>45532</v>
          </cell>
          <cell r="D245" t="str">
            <v>Not delivered</v>
          </cell>
          <cell r="E245">
            <v>507142685</v>
          </cell>
          <cell r="F245">
            <v>30</v>
          </cell>
          <cell r="G245">
            <v>1167434</v>
          </cell>
          <cell r="H245" t="str">
            <v>FP-014:SFTR NATURAL W/ LABEL POLOS PTI</v>
          </cell>
          <cell r="I245">
            <v>30240</v>
          </cell>
          <cell r="J245" t="str">
            <v>UN</v>
          </cell>
          <cell r="K245">
            <v>45560</v>
          </cell>
        </row>
        <row r="246">
          <cell r="A246" t="str">
            <v>50714268710</v>
          </cell>
          <cell r="B246" t="str">
            <v>ZMTD</v>
          </cell>
          <cell r="C246">
            <v>45532</v>
          </cell>
          <cell r="D246" t="str">
            <v>Not delivered</v>
          </cell>
          <cell r="E246">
            <v>507142687</v>
          </cell>
          <cell r="F246">
            <v>10</v>
          </cell>
          <cell r="G246">
            <v>1411213</v>
          </cell>
          <cell r="H246" t="str">
            <v>CM-105:BLCK COAT P/MAKE OVER PTI RV1 40H</v>
          </cell>
          <cell r="I246">
            <v>10080</v>
          </cell>
          <cell r="J246" t="str">
            <v>UN</v>
          </cell>
          <cell r="K246">
            <v>45560</v>
          </cell>
        </row>
        <row r="247">
          <cell r="A247" t="str">
            <v>50714263850</v>
          </cell>
          <cell r="B247" t="str">
            <v>ZMTD</v>
          </cell>
          <cell r="C247">
            <v>45519</v>
          </cell>
          <cell r="D247" t="str">
            <v>Partially delivered</v>
          </cell>
          <cell r="E247">
            <v>507142638</v>
          </cell>
          <cell r="F247">
            <v>50</v>
          </cell>
          <cell r="G247">
            <v>1361170</v>
          </cell>
          <cell r="H247" t="str">
            <v>PT-097:BODY BLACK HOUSE WHT TRANS PTI12A</v>
          </cell>
          <cell r="I247">
            <v>109890</v>
          </cell>
          <cell r="J247" t="str">
            <v>UN</v>
          </cell>
          <cell r="K247">
            <v>45560</v>
          </cell>
        </row>
        <row r="248">
          <cell r="A248" t="str">
            <v>50714263860</v>
          </cell>
          <cell r="B248" t="str">
            <v>ZMTD</v>
          </cell>
          <cell r="C248">
            <v>45519</v>
          </cell>
          <cell r="D248" t="str">
            <v>Partially delivered</v>
          </cell>
          <cell r="E248">
            <v>507142638</v>
          </cell>
          <cell r="F248">
            <v>60</v>
          </cell>
          <cell r="G248">
            <v>1361175</v>
          </cell>
          <cell r="H248" t="str">
            <v>PT-097:CAP BLACK TRANS PTI 12A</v>
          </cell>
          <cell r="I248">
            <v>109890</v>
          </cell>
          <cell r="J248" t="str">
            <v>UN</v>
          </cell>
          <cell r="K248">
            <v>45560</v>
          </cell>
        </row>
        <row r="249">
          <cell r="A249" t="str">
            <v>50714259810</v>
          </cell>
          <cell r="B249" t="str">
            <v>ZMTD</v>
          </cell>
          <cell r="C249">
            <v>45509</v>
          </cell>
          <cell r="D249" t="str">
            <v>Not delivered</v>
          </cell>
          <cell r="E249">
            <v>507142598</v>
          </cell>
          <cell r="F249">
            <v>10</v>
          </cell>
          <cell r="G249">
            <v>1233451</v>
          </cell>
          <cell r="H249" t="str">
            <v>CM-260:EYSHDW CVR BLKSPRY S/GLD VIVA 40C</v>
          </cell>
          <cell r="I249">
            <v>15120</v>
          </cell>
          <cell r="J249" t="str">
            <v>UN</v>
          </cell>
          <cell r="K249">
            <v>45560</v>
          </cell>
        </row>
        <row r="250">
          <cell r="A250" t="str">
            <v>50714259970</v>
          </cell>
          <cell r="B250" t="str">
            <v>ZMTD</v>
          </cell>
          <cell r="C250">
            <v>45509</v>
          </cell>
          <cell r="D250" t="str">
            <v>Not delivered</v>
          </cell>
          <cell r="E250">
            <v>507142599</v>
          </cell>
          <cell r="F250">
            <v>70</v>
          </cell>
          <cell r="G250">
            <v>1153730</v>
          </cell>
          <cell r="H250" t="str">
            <v>LC-003:BTL MT CRO RED P/PX MOU CSMAX 40H</v>
          </cell>
          <cell r="I250">
            <v>10000</v>
          </cell>
          <cell r="J250" t="str">
            <v>UN</v>
          </cell>
          <cell r="K250">
            <v>45560</v>
          </cell>
        </row>
        <row r="251">
          <cell r="A251" t="str">
            <v>50714259980</v>
          </cell>
          <cell r="B251" t="str">
            <v>ZMTD</v>
          </cell>
          <cell r="C251">
            <v>45509</v>
          </cell>
          <cell r="D251" t="str">
            <v>Not delivered</v>
          </cell>
          <cell r="E251">
            <v>507142599</v>
          </cell>
          <cell r="F251">
            <v>80</v>
          </cell>
          <cell r="G251">
            <v>1153731</v>
          </cell>
          <cell r="H251" t="str">
            <v>LC-003:CAP MT CROWD RED PX MOU CSMAX 40D</v>
          </cell>
          <cell r="I251">
            <v>10000</v>
          </cell>
          <cell r="J251" t="str">
            <v>UN</v>
          </cell>
          <cell r="K251">
            <v>45560</v>
          </cell>
        </row>
        <row r="252">
          <cell r="A252" t="str">
            <v>50714256810</v>
          </cell>
          <cell r="B252" t="str">
            <v>ZMTD</v>
          </cell>
          <cell r="C252">
            <v>45497</v>
          </cell>
          <cell r="D252" t="str">
            <v>Not delivered</v>
          </cell>
          <cell r="E252">
            <v>507142568</v>
          </cell>
          <cell r="F252">
            <v>10</v>
          </cell>
          <cell r="G252">
            <v>1172316</v>
          </cell>
          <cell r="H252" t="str">
            <v>CM-273:BS/CV WHITE NO DC W/LBL  MLT ELOK</v>
          </cell>
          <cell r="I252">
            <v>30000</v>
          </cell>
          <cell r="J252" t="str">
            <v>UN</v>
          </cell>
          <cell r="K252">
            <v>45560</v>
          </cell>
        </row>
        <row r="253">
          <cell r="A253" t="str">
            <v>50714250010</v>
          </cell>
          <cell r="B253" t="str">
            <v>ZMTD</v>
          </cell>
          <cell r="C253">
            <v>45485</v>
          </cell>
          <cell r="D253" t="str">
            <v>Not delivered</v>
          </cell>
          <cell r="E253">
            <v>507142500</v>
          </cell>
          <cell r="F253">
            <v>10</v>
          </cell>
          <cell r="G253">
            <v>1216572</v>
          </cell>
          <cell r="H253" t="str">
            <v>CM-216:TRUE MATCH CV PF S/SLV LOR (SEA)</v>
          </cell>
          <cell r="I253">
            <v>64800</v>
          </cell>
          <cell r="J253" t="str">
            <v>UN</v>
          </cell>
          <cell r="K253">
            <v>45560</v>
          </cell>
        </row>
        <row r="254">
          <cell r="A254" t="str">
            <v>50714247010</v>
          </cell>
          <cell r="B254" t="str">
            <v>ZMTD</v>
          </cell>
          <cell r="C254">
            <v>45482</v>
          </cell>
          <cell r="D254" t="str">
            <v>Not delivered</v>
          </cell>
          <cell r="E254">
            <v>507142470</v>
          </cell>
          <cell r="F254">
            <v>10</v>
          </cell>
          <cell r="G254">
            <v>1390981</v>
          </cell>
          <cell r="H254" t="str">
            <v>LC-012:BTL VR5 GLAZBERY P/GLASTNG PTI60B</v>
          </cell>
          <cell r="I254">
            <v>25326</v>
          </cell>
          <cell r="J254" t="str">
            <v>UN</v>
          </cell>
          <cell r="K254">
            <v>45560</v>
          </cell>
        </row>
        <row r="255">
          <cell r="A255" t="str">
            <v>50714247020</v>
          </cell>
          <cell r="B255" t="str">
            <v>ZMTD</v>
          </cell>
          <cell r="C255">
            <v>45482</v>
          </cell>
          <cell r="D255" t="str">
            <v>Not delivered</v>
          </cell>
          <cell r="E255">
            <v>507142470</v>
          </cell>
          <cell r="F255">
            <v>20</v>
          </cell>
          <cell r="G255">
            <v>1385814</v>
          </cell>
          <cell r="H255" t="str">
            <v>LC-012:CAP VM BRWN WIP GLASTING PTI 20F</v>
          </cell>
          <cell r="I255">
            <v>25326</v>
          </cell>
          <cell r="J255" t="str">
            <v>UN</v>
          </cell>
          <cell r="K255">
            <v>45560</v>
          </cell>
        </row>
        <row r="256">
          <cell r="A256" t="str">
            <v>50714241720</v>
          </cell>
          <cell r="B256" t="str">
            <v>ZMTD</v>
          </cell>
          <cell r="C256">
            <v>45474</v>
          </cell>
          <cell r="D256" t="str">
            <v>Not delivered</v>
          </cell>
          <cell r="E256">
            <v>507142417</v>
          </cell>
          <cell r="F256">
            <v>20</v>
          </cell>
          <cell r="G256">
            <v>1405657</v>
          </cell>
          <cell r="H256" t="str">
            <v>CM-273:CV UV BS BRONZE P/PIXYSLKY RV130L</v>
          </cell>
          <cell r="I256">
            <v>10000</v>
          </cell>
          <cell r="J256" t="str">
            <v>UN</v>
          </cell>
          <cell r="K256">
            <v>45560</v>
          </cell>
        </row>
        <row r="257">
          <cell r="A257" t="str">
            <v>50714276510</v>
          </cell>
          <cell r="B257" t="str">
            <v>ZMTD</v>
          </cell>
          <cell r="C257">
            <v>45552</v>
          </cell>
          <cell r="D257" t="str">
            <v>Not delivered</v>
          </cell>
          <cell r="E257">
            <v>507142765</v>
          </cell>
          <cell r="F257">
            <v>10</v>
          </cell>
          <cell r="G257">
            <v>1398383</v>
          </cell>
          <cell r="H257" t="str">
            <v>CM-319:WHITE P/BLACK UV MATTE NARS</v>
          </cell>
          <cell r="I257">
            <v>10080</v>
          </cell>
          <cell r="J257" t="str">
            <v>UN</v>
          </cell>
          <cell r="K257">
            <v>45561</v>
          </cell>
        </row>
        <row r="258">
          <cell r="A258" t="str">
            <v>50714276610</v>
          </cell>
          <cell r="B258" t="str">
            <v>ZMTD</v>
          </cell>
          <cell r="C258">
            <v>45552</v>
          </cell>
          <cell r="D258" t="str">
            <v>Not delivered</v>
          </cell>
          <cell r="E258">
            <v>507142766</v>
          </cell>
          <cell r="F258">
            <v>10</v>
          </cell>
          <cell r="G258">
            <v>1398763</v>
          </cell>
          <cell r="H258" t="str">
            <v>CM-320:WHITE S/BLACK UV MATTE NARS</v>
          </cell>
          <cell r="I258">
            <v>10260</v>
          </cell>
          <cell r="J258" t="str">
            <v>UN</v>
          </cell>
          <cell r="K258">
            <v>45561</v>
          </cell>
        </row>
        <row r="259">
          <cell r="A259" t="str">
            <v>50714272170</v>
          </cell>
          <cell r="B259" t="str">
            <v>ZMTD</v>
          </cell>
          <cell r="C259">
            <v>45539</v>
          </cell>
          <cell r="D259" t="str">
            <v>Not delivered</v>
          </cell>
          <cell r="E259">
            <v>507142721</v>
          </cell>
          <cell r="F259">
            <v>70</v>
          </cell>
          <cell r="G259">
            <v>1437039</v>
          </cell>
          <cell r="H259" t="str">
            <v>CM-290:1PC BS CV MT.BLK S/ EMBOS OMG 40C</v>
          </cell>
          <cell r="I259">
            <v>35112</v>
          </cell>
          <cell r="J259" t="str">
            <v>UN</v>
          </cell>
          <cell r="K259">
            <v>45561</v>
          </cell>
        </row>
        <row r="260">
          <cell r="A260" t="str">
            <v>50714270050</v>
          </cell>
          <cell r="B260" t="str">
            <v>ZMTD</v>
          </cell>
          <cell r="C260">
            <v>45533</v>
          </cell>
          <cell r="D260" t="str">
            <v>Not delivered</v>
          </cell>
          <cell r="E260">
            <v>507142700</v>
          </cell>
          <cell r="F260">
            <v>50</v>
          </cell>
          <cell r="G260">
            <v>1417990</v>
          </cell>
          <cell r="H260" t="str">
            <v>LC-009:BTL #2#3 INNER CLR P/OMG PTIPT60B</v>
          </cell>
          <cell r="I260">
            <v>400050</v>
          </cell>
          <cell r="J260" t="str">
            <v>UN</v>
          </cell>
          <cell r="K260">
            <v>45561</v>
          </cell>
        </row>
        <row r="261">
          <cell r="A261" t="str">
            <v>50714270060</v>
          </cell>
          <cell r="B261" t="str">
            <v>ZMTD</v>
          </cell>
          <cell r="C261">
            <v>45533</v>
          </cell>
          <cell r="D261" t="str">
            <v>Not delivered</v>
          </cell>
          <cell r="E261">
            <v>507142700</v>
          </cell>
          <cell r="F261">
            <v>60</v>
          </cell>
          <cell r="G261">
            <v>1417978</v>
          </cell>
          <cell r="H261" t="str">
            <v>LC-009:CAP #2#3 REDTR WIP S/OMG PTIPT60B</v>
          </cell>
          <cell r="I261">
            <v>400050</v>
          </cell>
          <cell r="J261" t="str">
            <v>UN</v>
          </cell>
          <cell r="K261">
            <v>45561</v>
          </cell>
        </row>
        <row r="262">
          <cell r="A262" t="str">
            <v>50714269310</v>
          </cell>
          <cell r="B262" t="str">
            <v>ZMTD</v>
          </cell>
          <cell r="C262">
            <v>45532</v>
          </cell>
          <cell r="D262" t="str">
            <v>Not delivered</v>
          </cell>
          <cell r="E262">
            <v>507142693</v>
          </cell>
          <cell r="F262">
            <v>10</v>
          </cell>
          <cell r="G262">
            <v>1375595</v>
          </cell>
          <cell r="H262" t="str">
            <v>LC-009:BTL/INNER CLEAR P/OMG PTIPT 60B</v>
          </cell>
          <cell r="I262">
            <v>150570</v>
          </cell>
          <cell r="J262" t="str">
            <v>UN</v>
          </cell>
          <cell r="K262">
            <v>45561</v>
          </cell>
        </row>
        <row r="263">
          <cell r="A263" t="str">
            <v>50714269320</v>
          </cell>
          <cell r="B263" t="str">
            <v>ZMTD</v>
          </cell>
          <cell r="C263">
            <v>45532</v>
          </cell>
          <cell r="D263" t="str">
            <v>Not delivered</v>
          </cell>
          <cell r="E263">
            <v>507142693</v>
          </cell>
          <cell r="F263">
            <v>20</v>
          </cell>
          <cell r="G263">
            <v>1375593</v>
          </cell>
          <cell r="H263" t="str">
            <v>LC-009:CAP REDTRANS WIP S/OMG PTIPT 60B</v>
          </cell>
          <cell r="I263">
            <v>150570</v>
          </cell>
          <cell r="J263" t="str">
            <v>UN</v>
          </cell>
          <cell r="K263">
            <v>45561</v>
          </cell>
        </row>
        <row r="264">
          <cell r="A264" t="str">
            <v>50714262520</v>
          </cell>
          <cell r="B264" t="str">
            <v>ZMTD</v>
          </cell>
          <cell r="C264">
            <v>45513</v>
          </cell>
          <cell r="D264" t="str">
            <v>Not delivered</v>
          </cell>
          <cell r="E264">
            <v>507142625</v>
          </cell>
          <cell r="F264">
            <v>20</v>
          </cell>
          <cell r="G264">
            <v>1305089</v>
          </cell>
          <cell r="H264" t="str">
            <v>CM-207:VM SHY SLV P/MATTE ZGH6010038 EL</v>
          </cell>
          <cell r="I264">
            <v>25920</v>
          </cell>
          <cell r="J264" t="str">
            <v>UN</v>
          </cell>
          <cell r="K264">
            <v>45561</v>
          </cell>
        </row>
        <row r="265">
          <cell r="A265" t="str">
            <v>50714256410</v>
          </cell>
          <cell r="B265" t="str">
            <v>ZMTD</v>
          </cell>
          <cell r="C265">
            <v>45497</v>
          </cell>
          <cell r="D265" t="str">
            <v>Not delivered</v>
          </cell>
          <cell r="E265">
            <v>507142564</v>
          </cell>
          <cell r="F265">
            <v>10</v>
          </cell>
          <cell r="G265">
            <v>1219057</v>
          </cell>
          <cell r="H265" t="str">
            <v>PT-073:CVLGHTBLUE S/LIST BS BLTRANS CLRA</v>
          </cell>
          <cell r="I265">
            <v>10000</v>
          </cell>
          <cell r="J265" t="str">
            <v>UN</v>
          </cell>
          <cell r="K265">
            <v>45561</v>
          </cell>
        </row>
        <row r="266">
          <cell r="A266" t="str">
            <v>50714256520</v>
          </cell>
          <cell r="B266" t="str">
            <v>ZMTD</v>
          </cell>
          <cell r="C266">
            <v>45497</v>
          </cell>
          <cell r="D266" t="str">
            <v>Not delivered</v>
          </cell>
          <cell r="E266">
            <v>507142565</v>
          </cell>
          <cell r="F266">
            <v>20</v>
          </cell>
          <cell r="G266">
            <v>1428516</v>
          </cell>
          <cell r="H266" t="str">
            <v>PT-055:BD BEIGE 94101-BS2 INTERPARFUM</v>
          </cell>
          <cell r="I266">
            <v>76545</v>
          </cell>
          <cell r="J266" t="str">
            <v>UN</v>
          </cell>
          <cell r="K266">
            <v>45561</v>
          </cell>
        </row>
        <row r="267">
          <cell r="A267" t="str">
            <v>50714256530</v>
          </cell>
          <cell r="B267" t="str">
            <v>ZMTD</v>
          </cell>
          <cell r="C267">
            <v>45497</v>
          </cell>
          <cell r="D267" t="str">
            <v>Not delivered</v>
          </cell>
          <cell r="E267">
            <v>507142565</v>
          </cell>
          <cell r="F267">
            <v>30</v>
          </cell>
          <cell r="G267">
            <v>1313073</v>
          </cell>
          <cell r="H267" t="str">
            <v>PT-055:PLUG BEIGE CASHMERE INTERPARFUM</v>
          </cell>
          <cell r="I267">
            <v>78570</v>
          </cell>
          <cell r="J267" t="str">
            <v>UN</v>
          </cell>
          <cell r="K267">
            <v>45561</v>
          </cell>
        </row>
        <row r="268">
          <cell r="A268" t="str">
            <v>50714256610</v>
          </cell>
          <cell r="B268" t="str">
            <v>ZMTD</v>
          </cell>
          <cell r="C268">
            <v>45497</v>
          </cell>
          <cell r="D268" t="str">
            <v>Not delivered</v>
          </cell>
          <cell r="E268">
            <v>507142566</v>
          </cell>
          <cell r="F268">
            <v>10</v>
          </cell>
          <cell r="G268">
            <v>1428697</v>
          </cell>
          <cell r="H268" t="str">
            <v>PT-055:BD DK ANTI-PERS 94025-BS3 INTPRF</v>
          </cell>
          <cell r="I268">
            <v>20385</v>
          </cell>
          <cell r="J268" t="str">
            <v>UN</v>
          </cell>
          <cell r="K268">
            <v>45561</v>
          </cell>
        </row>
        <row r="269">
          <cell r="A269" t="str">
            <v>50714256720</v>
          </cell>
          <cell r="B269" t="str">
            <v>ZMTD</v>
          </cell>
          <cell r="C269">
            <v>45497</v>
          </cell>
          <cell r="D269" t="str">
            <v>Not delivered</v>
          </cell>
          <cell r="E269">
            <v>507142567</v>
          </cell>
          <cell r="F269">
            <v>20</v>
          </cell>
          <cell r="G269">
            <v>1313073</v>
          </cell>
          <cell r="H269" t="str">
            <v>PT-055:PLUG BEIGE CASHMERE INTERPARFUM</v>
          </cell>
          <cell r="I269">
            <v>16200</v>
          </cell>
          <cell r="J269" t="str">
            <v>UN</v>
          </cell>
          <cell r="K269">
            <v>45561</v>
          </cell>
        </row>
        <row r="270">
          <cell r="A270" t="str">
            <v>50714256730</v>
          </cell>
          <cell r="B270" t="str">
            <v>ZMTD</v>
          </cell>
          <cell r="C270">
            <v>45497</v>
          </cell>
          <cell r="D270" t="str">
            <v>Not delivered</v>
          </cell>
          <cell r="E270">
            <v>507142567</v>
          </cell>
          <cell r="F270">
            <v>30</v>
          </cell>
          <cell r="G270">
            <v>1432260</v>
          </cell>
          <cell r="H270" t="str">
            <v>PT-055:BD BEIGE 94440-BS INTERPARFUM</v>
          </cell>
          <cell r="I270">
            <v>15390</v>
          </cell>
          <cell r="J270" t="str">
            <v>UN</v>
          </cell>
          <cell r="K270">
            <v>45561</v>
          </cell>
        </row>
        <row r="271">
          <cell r="A271" t="str">
            <v>50714248710</v>
          </cell>
          <cell r="B271" t="str">
            <v>ZMTD</v>
          </cell>
          <cell r="C271">
            <v>45484</v>
          </cell>
          <cell r="D271" t="str">
            <v>Not delivered</v>
          </cell>
          <cell r="E271">
            <v>507142487</v>
          </cell>
          <cell r="F271">
            <v>10</v>
          </cell>
          <cell r="G271">
            <v>1405377</v>
          </cell>
          <cell r="H271" t="str">
            <v>LC-012:BTL VR11 P/GLASTNG PTI60B</v>
          </cell>
          <cell r="I271">
            <v>53298</v>
          </cell>
          <cell r="J271" t="str">
            <v>UN</v>
          </cell>
          <cell r="K271">
            <v>45561</v>
          </cell>
        </row>
        <row r="272">
          <cell r="A272" t="str">
            <v>50714248720</v>
          </cell>
          <cell r="B272" t="str">
            <v>ZMTD</v>
          </cell>
          <cell r="C272">
            <v>45484</v>
          </cell>
          <cell r="D272" t="str">
            <v>Not delivered</v>
          </cell>
          <cell r="E272">
            <v>507142487</v>
          </cell>
          <cell r="F272">
            <v>20</v>
          </cell>
          <cell r="G272">
            <v>1385814</v>
          </cell>
          <cell r="H272" t="str">
            <v>LC-012:CAP VM BRWN WIP GLASTING PTI 20F</v>
          </cell>
          <cell r="I272">
            <v>53298</v>
          </cell>
          <cell r="J272" t="str">
            <v>UN</v>
          </cell>
          <cell r="K272">
            <v>45561</v>
          </cell>
        </row>
        <row r="273">
          <cell r="A273" t="str">
            <v>50714272180</v>
          </cell>
          <cell r="B273" t="str">
            <v>ZMTD</v>
          </cell>
          <cell r="C273">
            <v>45539</v>
          </cell>
          <cell r="D273" t="str">
            <v>Not delivered</v>
          </cell>
          <cell r="E273">
            <v>507142721</v>
          </cell>
          <cell r="F273">
            <v>80</v>
          </cell>
          <cell r="G273">
            <v>1437140</v>
          </cell>
          <cell r="H273" t="str">
            <v>CM-290:ENGINE CV RED, BS BLK OMG PTI 12A</v>
          </cell>
          <cell r="I273">
            <v>21840</v>
          </cell>
          <cell r="J273" t="str">
            <v>UN</v>
          </cell>
          <cell r="K273">
            <v>45562</v>
          </cell>
        </row>
        <row r="274">
          <cell r="A274" t="str">
            <v>50714272190</v>
          </cell>
          <cell r="B274" t="str">
            <v>ZMTD</v>
          </cell>
          <cell r="C274">
            <v>45539</v>
          </cell>
          <cell r="D274" t="str">
            <v>Not delivered</v>
          </cell>
          <cell r="E274">
            <v>507142721</v>
          </cell>
          <cell r="F274">
            <v>90</v>
          </cell>
          <cell r="G274">
            <v>1437141</v>
          </cell>
          <cell r="H274" t="str">
            <v>CM-290:RING BLACK OMG PTI 12A</v>
          </cell>
          <cell r="I274">
            <v>21840</v>
          </cell>
          <cell r="J274" t="str">
            <v>UN</v>
          </cell>
          <cell r="K274">
            <v>45562</v>
          </cell>
        </row>
        <row r="275">
          <cell r="A275" t="str">
            <v>50714268010</v>
          </cell>
          <cell r="B275" t="str">
            <v>ZMTD</v>
          </cell>
          <cell r="C275">
            <v>45530</v>
          </cell>
          <cell r="D275" t="str">
            <v>Not delivered</v>
          </cell>
          <cell r="E275">
            <v>507142680</v>
          </cell>
          <cell r="F275">
            <v>10</v>
          </cell>
          <cell r="G275">
            <v>1209411</v>
          </cell>
          <cell r="H275" t="str">
            <v>FP-014:CV BLK SLV/QUEEN BS M.CLR VTPR</v>
          </cell>
          <cell r="I275">
            <v>25056</v>
          </cell>
          <cell r="J275" t="str">
            <v>UN</v>
          </cell>
          <cell r="K275">
            <v>45562</v>
          </cell>
        </row>
        <row r="276">
          <cell r="A276" t="str">
            <v>50714268020</v>
          </cell>
          <cell r="B276" t="str">
            <v>ZMTD</v>
          </cell>
          <cell r="C276">
            <v>45530</v>
          </cell>
          <cell r="D276" t="str">
            <v>Not delivered</v>
          </cell>
          <cell r="E276">
            <v>507142680</v>
          </cell>
          <cell r="F276">
            <v>20</v>
          </cell>
          <cell r="G276">
            <v>1209412</v>
          </cell>
          <cell r="H276" t="str">
            <v>FP-014:SFTR W/ WHITE LABEL VTPHARM</v>
          </cell>
          <cell r="I276">
            <v>25056</v>
          </cell>
          <cell r="J276" t="str">
            <v>UN</v>
          </cell>
          <cell r="K276">
            <v>45562</v>
          </cell>
        </row>
        <row r="277">
          <cell r="A277" t="str">
            <v>50714259350</v>
          </cell>
          <cell r="B277" t="str">
            <v>ZMTD</v>
          </cell>
          <cell r="C277">
            <v>45505</v>
          </cell>
          <cell r="D277" t="str">
            <v>Partially delivered</v>
          </cell>
          <cell r="E277">
            <v>507142593</v>
          </cell>
          <cell r="F277">
            <v>50</v>
          </cell>
          <cell r="G277">
            <v>1392670</v>
          </cell>
          <cell r="H277" t="str">
            <v>LC-011:CAP BLK NO DC WIPNAT NATURA 12A</v>
          </cell>
          <cell r="I277">
            <v>119820</v>
          </cell>
          <cell r="J277" t="str">
            <v>UN</v>
          </cell>
          <cell r="K277">
            <v>45562</v>
          </cell>
        </row>
        <row r="278">
          <cell r="A278" t="str">
            <v>50714259360</v>
          </cell>
          <cell r="B278" t="str">
            <v>ZMTD</v>
          </cell>
          <cell r="C278">
            <v>45505</v>
          </cell>
          <cell r="D278" t="str">
            <v>Partially delivered</v>
          </cell>
          <cell r="E278">
            <v>507142593</v>
          </cell>
          <cell r="F278">
            <v>60</v>
          </cell>
          <cell r="G278">
            <v>1392671</v>
          </cell>
          <cell r="H278" t="str">
            <v>LC-011:BTL CLR COL BLK S/SLV NATURA 50C</v>
          </cell>
          <cell r="I278">
            <v>119820</v>
          </cell>
          <cell r="J278" t="str">
            <v>UN</v>
          </cell>
          <cell r="K278">
            <v>45562</v>
          </cell>
        </row>
        <row r="279">
          <cell r="A279" t="str">
            <v>50714255810</v>
          </cell>
          <cell r="B279" t="str">
            <v>ZMTD</v>
          </cell>
          <cell r="C279">
            <v>45496</v>
          </cell>
          <cell r="D279" t="str">
            <v>Not delivered</v>
          </cell>
          <cell r="E279">
            <v>507142558</v>
          </cell>
          <cell r="F279">
            <v>10</v>
          </cell>
          <cell r="G279">
            <v>1209519</v>
          </cell>
          <cell r="H279" t="str">
            <v>LS-086:BS IVORY NO DC N.CUP MAYB BULK</v>
          </cell>
          <cell r="I279">
            <v>60000</v>
          </cell>
          <cell r="J279" t="str">
            <v>UN</v>
          </cell>
          <cell r="K279">
            <v>45562</v>
          </cell>
        </row>
        <row r="280">
          <cell r="A280" t="str">
            <v>50714255910</v>
          </cell>
          <cell r="B280" t="str">
            <v>ZMTD</v>
          </cell>
          <cell r="C280">
            <v>45496</v>
          </cell>
          <cell r="D280" t="str">
            <v>Not delivered</v>
          </cell>
          <cell r="E280">
            <v>507142559</v>
          </cell>
          <cell r="F280">
            <v>10</v>
          </cell>
          <cell r="G280">
            <v>1218709</v>
          </cell>
          <cell r="H280" t="str">
            <v>LS-086:CVR CLR CVRSTICK DC4 N.MOLD MAYB</v>
          </cell>
          <cell r="I280">
            <v>50400</v>
          </cell>
          <cell r="J280" t="str">
            <v>UN</v>
          </cell>
          <cell r="K280">
            <v>45562</v>
          </cell>
        </row>
        <row r="281">
          <cell r="A281" t="str">
            <v>50714249310</v>
          </cell>
          <cell r="B281" t="str">
            <v>ZMTD</v>
          </cell>
          <cell r="C281">
            <v>45485</v>
          </cell>
          <cell r="D281" t="str">
            <v>Not delivered</v>
          </cell>
          <cell r="E281">
            <v>507142493</v>
          </cell>
          <cell r="F281">
            <v>10</v>
          </cell>
          <cell r="G281">
            <v>1385814</v>
          </cell>
          <cell r="H281" t="str">
            <v>LC-012:CAP VM BRWN WIP GLASTING PTI 20F</v>
          </cell>
          <cell r="I281">
            <v>14364</v>
          </cell>
          <cell r="J281" t="str">
            <v>UN</v>
          </cell>
          <cell r="K281">
            <v>45562</v>
          </cell>
        </row>
        <row r="282">
          <cell r="A282" t="str">
            <v>50714249320</v>
          </cell>
          <cell r="B282" t="str">
            <v>ZMTD</v>
          </cell>
          <cell r="C282">
            <v>45485</v>
          </cell>
          <cell r="D282" t="str">
            <v>Not delivered</v>
          </cell>
          <cell r="E282">
            <v>507142493</v>
          </cell>
          <cell r="F282">
            <v>20</v>
          </cell>
          <cell r="G282">
            <v>1385811</v>
          </cell>
          <cell r="H282" t="str">
            <v>LC-012:BTL VR4 ROSEWOOD P/GLASTNG PTI60B</v>
          </cell>
          <cell r="I282">
            <v>14364</v>
          </cell>
          <cell r="J282" t="str">
            <v>UN</v>
          </cell>
          <cell r="K282">
            <v>45562</v>
          </cell>
        </row>
        <row r="283">
          <cell r="A283" t="str">
            <v>50714232810</v>
          </cell>
          <cell r="B283" t="str">
            <v>ZMTD</v>
          </cell>
          <cell r="C283">
            <v>45457</v>
          </cell>
          <cell r="D283" t="str">
            <v>Not delivered</v>
          </cell>
          <cell r="E283">
            <v>507142328</v>
          </cell>
          <cell r="F283">
            <v>10</v>
          </cell>
          <cell r="G283">
            <v>1212608</v>
          </cell>
          <cell r="H283" t="str">
            <v>FP-014:CVR BLUE S/LOGO INEZ GOLD KSI 50C</v>
          </cell>
          <cell r="I283">
            <v>25000</v>
          </cell>
          <cell r="J283" t="str">
            <v>UN</v>
          </cell>
          <cell r="K283">
            <v>45562</v>
          </cell>
        </row>
        <row r="284">
          <cell r="A284" t="str">
            <v>50714232820</v>
          </cell>
          <cell r="B284" t="str">
            <v>ZMTD</v>
          </cell>
          <cell r="C284">
            <v>45457</v>
          </cell>
          <cell r="D284" t="str">
            <v>Not delivered</v>
          </cell>
          <cell r="E284">
            <v>507142328</v>
          </cell>
          <cell r="F284">
            <v>20</v>
          </cell>
          <cell r="G284">
            <v>1212609</v>
          </cell>
          <cell r="H284" t="str">
            <v>FP-014:SFTR NAT STICKER TRANS KSI 12A</v>
          </cell>
          <cell r="I284">
            <v>25000</v>
          </cell>
          <cell r="J284" t="str">
            <v>UN</v>
          </cell>
          <cell r="K284">
            <v>45562</v>
          </cell>
        </row>
        <row r="285">
          <cell r="A285" t="str">
            <v>50714232830</v>
          </cell>
          <cell r="B285" t="str">
            <v>ZMTD</v>
          </cell>
          <cell r="C285">
            <v>45457</v>
          </cell>
          <cell r="D285" t="str">
            <v>Not delivered</v>
          </cell>
          <cell r="E285">
            <v>507142328</v>
          </cell>
          <cell r="F285">
            <v>30</v>
          </cell>
          <cell r="G285">
            <v>1212640</v>
          </cell>
          <cell r="H285" t="str">
            <v>FP-014:BS CLR SPRYGRDS S/INEZ GLD 40C</v>
          </cell>
          <cell r="I285">
            <v>25000</v>
          </cell>
          <cell r="J285" t="str">
            <v>UN</v>
          </cell>
          <cell r="K285">
            <v>45562</v>
          </cell>
        </row>
        <row r="286">
          <cell r="A286" t="str">
            <v>50714226710</v>
          </cell>
          <cell r="B286" t="str">
            <v>ZMTD</v>
          </cell>
          <cell r="C286">
            <v>45443</v>
          </cell>
          <cell r="D286" t="str">
            <v>Not delivered</v>
          </cell>
          <cell r="E286">
            <v>507142267</v>
          </cell>
          <cell r="F286">
            <v>10</v>
          </cell>
          <cell r="G286">
            <v>1187961</v>
          </cell>
          <cell r="H286" t="str">
            <v>FP-029:CVR VMRAINBOW P/ULTM II RUDYS 40C</v>
          </cell>
          <cell r="I286">
            <v>25000</v>
          </cell>
          <cell r="J286" t="str">
            <v>UN</v>
          </cell>
          <cell r="K286">
            <v>45562</v>
          </cell>
        </row>
        <row r="287">
          <cell r="A287" t="str">
            <v>50714226720</v>
          </cell>
          <cell r="B287" t="str">
            <v>ZMTD</v>
          </cell>
          <cell r="C287">
            <v>45443</v>
          </cell>
          <cell r="D287" t="str">
            <v>Not delivered</v>
          </cell>
          <cell r="E287">
            <v>507142267</v>
          </cell>
          <cell r="F287">
            <v>20</v>
          </cell>
          <cell r="G287">
            <v>1176240</v>
          </cell>
          <cell r="H287" t="str">
            <v>FP-029:BASE CLEAR NO DC ULTIMA II RUDY S</v>
          </cell>
          <cell r="I287">
            <v>25000</v>
          </cell>
          <cell r="J287" t="str">
            <v>UN</v>
          </cell>
          <cell r="K287">
            <v>45562</v>
          </cell>
        </row>
        <row r="288">
          <cell r="A288" t="str">
            <v>50714226730</v>
          </cell>
          <cell r="B288" t="str">
            <v>ZMTD</v>
          </cell>
          <cell r="C288">
            <v>45443</v>
          </cell>
          <cell r="D288" t="str">
            <v>Not delivered</v>
          </cell>
          <cell r="E288">
            <v>507142267</v>
          </cell>
          <cell r="F288">
            <v>30</v>
          </cell>
          <cell r="G288">
            <v>1173507</v>
          </cell>
          <cell r="H288" t="str">
            <v>FP-029:SIFTER NT W/LBL NO DECO ULTIMA II</v>
          </cell>
          <cell r="I288">
            <v>25000</v>
          </cell>
          <cell r="J288" t="str">
            <v>UN</v>
          </cell>
          <cell r="K288">
            <v>45562</v>
          </cell>
        </row>
        <row r="289">
          <cell r="A289" t="str">
            <v>50714263210</v>
          </cell>
          <cell r="B289" t="str">
            <v>ZMTD</v>
          </cell>
          <cell r="C289">
            <v>45517</v>
          </cell>
          <cell r="D289" t="str">
            <v>Not delivered</v>
          </cell>
          <cell r="E289">
            <v>507142632</v>
          </cell>
          <cell r="F289">
            <v>10</v>
          </cell>
          <cell r="G289">
            <v>1371896</v>
          </cell>
          <cell r="H289" t="str">
            <v>RX-056:CM-316 CVR BLUE P/WHT SP/MTCLR</v>
          </cell>
          <cell r="I289">
            <v>110016</v>
          </cell>
          <cell r="J289" t="str">
            <v>UN</v>
          </cell>
          <cell r="K289">
            <v>45563</v>
          </cell>
        </row>
        <row r="290">
          <cell r="A290" t="str">
            <v>50714249330</v>
          </cell>
          <cell r="B290" t="str">
            <v>ZMTD</v>
          </cell>
          <cell r="C290">
            <v>45485</v>
          </cell>
          <cell r="D290" t="str">
            <v>Not delivered</v>
          </cell>
          <cell r="E290">
            <v>507142493</v>
          </cell>
          <cell r="F290">
            <v>30</v>
          </cell>
          <cell r="G290">
            <v>1385814</v>
          </cell>
          <cell r="H290" t="str">
            <v>LC-012:CAP VM BRWN WIP GLASTING PTI 20F</v>
          </cell>
          <cell r="I290">
            <v>38934</v>
          </cell>
          <cell r="J290" t="str">
            <v>UN</v>
          </cell>
          <cell r="K290">
            <v>45563</v>
          </cell>
        </row>
        <row r="291">
          <cell r="A291" t="str">
            <v>50714249340</v>
          </cell>
          <cell r="B291" t="str">
            <v>ZMTD</v>
          </cell>
          <cell r="C291">
            <v>45485</v>
          </cell>
          <cell r="D291" t="str">
            <v>Not delivered</v>
          </cell>
          <cell r="E291">
            <v>507142493</v>
          </cell>
          <cell r="F291">
            <v>40</v>
          </cell>
          <cell r="G291">
            <v>1385811</v>
          </cell>
          <cell r="H291" t="str">
            <v>LC-012:BTL VR4 ROSEWOOD P/GLASTNG PTI60B</v>
          </cell>
          <cell r="I291">
            <v>38934</v>
          </cell>
          <cell r="J291" t="str">
            <v>UN</v>
          </cell>
          <cell r="K291">
            <v>45563</v>
          </cell>
        </row>
        <row r="292">
          <cell r="A292" t="str">
            <v>50714279510</v>
          </cell>
          <cell r="B292" t="str">
            <v>ZMTD</v>
          </cell>
          <cell r="C292">
            <v>45558</v>
          </cell>
          <cell r="D292" t="str">
            <v>Not delivered</v>
          </cell>
          <cell r="E292">
            <v>507142795</v>
          </cell>
          <cell r="F292">
            <v>10</v>
          </cell>
          <cell r="G292">
            <v>1194582</v>
          </cell>
          <cell r="H292" t="str">
            <v>LC-002:BTL CLR COL WHT NO DC GENERAL</v>
          </cell>
          <cell r="I292">
            <v>10395</v>
          </cell>
          <cell r="J292" t="str">
            <v>UN</v>
          </cell>
          <cell r="K292">
            <v>45565</v>
          </cell>
        </row>
        <row r="293">
          <cell r="A293" t="str">
            <v>50714279520</v>
          </cell>
          <cell r="B293" t="str">
            <v>ZMTD</v>
          </cell>
          <cell r="C293">
            <v>45558</v>
          </cell>
          <cell r="D293" t="str">
            <v>Not delivered</v>
          </cell>
          <cell r="E293">
            <v>507142795</v>
          </cell>
          <cell r="F293">
            <v>20</v>
          </cell>
          <cell r="G293">
            <v>1194581</v>
          </cell>
          <cell r="H293" t="str">
            <v>LC-002:CAP WHT NO DC WIPER NAT GENERAL</v>
          </cell>
          <cell r="I293">
            <v>10395</v>
          </cell>
          <cell r="J293" t="str">
            <v>UN</v>
          </cell>
          <cell r="K293">
            <v>45565</v>
          </cell>
        </row>
        <row r="294">
          <cell r="A294" t="str">
            <v>50800527630</v>
          </cell>
          <cell r="B294" t="str">
            <v>ZMFD</v>
          </cell>
          <cell r="C294">
            <v>45539</v>
          </cell>
          <cell r="D294" t="str">
            <v>Not delivered</v>
          </cell>
          <cell r="E294">
            <v>508005276</v>
          </cell>
          <cell r="F294">
            <v>30</v>
          </cell>
          <cell r="G294">
            <v>1440708</v>
          </cell>
          <cell r="H294" t="str">
            <v>CM-253:CV CLR BS BLK S/LAKME BLUSH ANCRT</v>
          </cell>
          <cell r="I294">
            <v>25000</v>
          </cell>
          <cell r="J294" t="str">
            <v>UN</v>
          </cell>
          <cell r="K294">
            <v>45565</v>
          </cell>
        </row>
        <row r="295">
          <cell r="A295" t="str">
            <v>50714271110</v>
          </cell>
          <cell r="B295" t="str">
            <v>ZMTD</v>
          </cell>
          <cell r="C295">
            <v>45534</v>
          </cell>
          <cell r="D295" t="str">
            <v>Not delivered</v>
          </cell>
          <cell r="E295">
            <v>507142711</v>
          </cell>
          <cell r="F295">
            <v>10</v>
          </cell>
          <cell r="G295">
            <v>1313402</v>
          </cell>
          <cell r="H295" t="str">
            <v>LC-004:BTL COL MTGRAD P/SWETBRWN MLA40H</v>
          </cell>
          <cell r="I295">
            <v>32700</v>
          </cell>
          <cell r="J295" t="str">
            <v>UN</v>
          </cell>
          <cell r="K295">
            <v>45565</v>
          </cell>
        </row>
        <row r="296">
          <cell r="A296" t="str">
            <v>50714271120</v>
          </cell>
          <cell r="B296" t="str">
            <v>ZMTD</v>
          </cell>
          <cell r="C296">
            <v>45534</v>
          </cell>
          <cell r="D296" t="str">
            <v>Not delivered</v>
          </cell>
          <cell r="E296">
            <v>507142711</v>
          </cell>
          <cell r="F296">
            <v>20</v>
          </cell>
          <cell r="G296">
            <v>1313403</v>
          </cell>
          <cell r="H296" t="str">
            <v>LC-004:CAP MTBRWN WIPNAT SWETBRWN MLA40D</v>
          </cell>
          <cell r="I296">
            <v>32700</v>
          </cell>
          <cell r="J296" t="str">
            <v>UN</v>
          </cell>
          <cell r="K296">
            <v>45565</v>
          </cell>
        </row>
        <row r="297">
          <cell r="A297" t="str">
            <v>50714269510</v>
          </cell>
          <cell r="B297" t="str">
            <v>ZMTD</v>
          </cell>
          <cell r="C297">
            <v>45533</v>
          </cell>
          <cell r="D297" t="str">
            <v>Not delivered</v>
          </cell>
          <cell r="E297">
            <v>507142695</v>
          </cell>
          <cell r="F297">
            <v>10</v>
          </cell>
          <cell r="G297">
            <v>1420925</v>
          </cell>
          <cell r="H297" t="str">
            <v>CM-253:CV BS MT ROSE 04 P/C.BLSH PTI40H</v>
          </cell>
          <cell r="I297">
            <v>15120</v>
          </cell>
          <cell r="J297" t="str">
            <v>UN</v>
          </cell>
          <cell r="K297">
            <v>45565</v>
          </cell>
        </row>
        <row r="298">
          <cell r="A298" t="str">
            <v>50714269730</v>
          </cell>
          <cell r="B298" t="str">
            <v>ZMTD</v>
          </cell>
          <cell r="C298">
            <v>45533</v>
          </cell>
          <cell r="D298" t="str">
            <v>Not delivered</v>
          </cell>
          <cell r="E298">
            <v>507142697</v>
          </cell>
          <cell r="F298">
            <v>30</v>
          </cell>
          <cell r="G298">
            <v>1385814</v>
          </cell>
          <cell r="H298" t="str">
            <v>LC-012:CAP VM BRWN WIP GLASTING PTI 20F</v>
          </cell>
          <cell r="I298">
            <v>14742</v>
          </cell>
          <cell r="J298" t="str">
            <v>UN</v>
          </cell>
          <cell r="K298">
            <v>45565</v>
          </cell>
        </row>
        <row r="299">
          <cell r="A299" t="str">
            <v>50714269740</v>
          </cell>
          <cell r="B299" t="str">
            <v>ZMTD</v>
          </cell>
          <cell r="C299">
            <v>45533</v>
          </cell>
          <cell r="D299" t="str">
            <v>Not delivered</v>
          </cell>
          <cell r="E299">
            <v>507142697</v>
          </cell>
          <cell r="F299">
            <v>40</v>
          </cell>
          <cell r="G299">
            <v>1406580</v>
          </cell>
          <cell r="H299" t="str">
            <v>LC-012:BTL VR09 P/GLASTNG PTI60B</v>
          </cell>
          <cell r="I299">
            <v>14742</v>
          </cell>
          <cell r="J299" t="str">
            <v>UN</v>
          </cell>
          <cell r="K299">
            <v>45565</v>
          </cell>
        </row>
        <row r="300">
          <cell r="A300" t="str">
            <v>50714266310</v>
          </cell>
          <cell r="B300" t="str">
            <v>ZMTD</v>
          </cell>
          <cell r="C300">
            <v>45525</v>
          </cell>
          <cell r="D300" t="str">
            <v>Not delivered</v>
          </cell>
          <cell r="E300">
            <v>507142663</v>
          </cell>
          <cell r="F300">
            <v>10</v>
          </cell>
          <cell r="G300">
            <v>1216572</v>
          </cell>
          <cell r="H300" t="str">
            <v>CM-216:TRUE MATCH CV PF S/SLV LOR (SEA)</v>
          </cell>
          <cell r="I300">
            <v>57600</v>
          </cell>
          <cell r="J300" t="str">
            <v>UN</v>
          </cell>
          <cell r="K300">
            <v>45565</v>
          </cell>
        </row>
        <row r="301">
          <cell r="A301" t="str">
            <v>50714265810</v>
          </cell>
          <cell r="B301" t="str">
            <v>ZMTD</v>
          </cell>
          <cell r="C301">
            <v>45524</v>
          </cell>
          <cell r="D301" t="str">
            <v>Not delivered</v>
          </cell>
          <cell r="E301">
            <v>507142658</v>
          </cell>
          <cell r="F301">
            <v>10</v>
          </cell>
          <cell r="G301">
            <v>1331630</v>
          </cell>
          <cell r="H301" t="str">
            <v>CM-216:INFAILLIBLE HIGHLIGHTER L'OREAL</v>
          </cell>
          <cell r="I301">
            <v>100000</v>
          </cell>
          <cell r="J301" t="str">
            <v>UN</v>
          </cell>
          <cell r="K301">
            <v>45565</v>
          </cell>
        </row>
        <row r="302">
          <cell r="A302" t="str">
            <v>50714264210</v>
          </cell>
          <cell r="B302" t="str">
            <v>ZMTD</v>
          </cell>
          <cell r="C302">
            <v>45520</v>
          </cell>
          <cell r="D302" t="str">
            <v>Not delivered</v>
          </cell>
          <cell r="E302">
            <v>507142642</v>
          </cell>
          <cell r="F302">
            <v>10</v>
          </cell>
          <cell r="G302">
            <v>1434087</v>
          </cell>
          <cell r="H302" t="str">
            <v>LC-002:CAP MT PINK NODC NACIFIC CSMX 40D</v>
          </cell>
          <cell r="I302">
            <v>15246</v>
          </cell>
          <cell r="J302" t="str">
            <v>UN</v>
          </cell>
          <cell r="K302">
            <v>45565</v>
          </cell>
        </row>
        <row r="303">
          <cell r="A303" t="str">
            <v>50714264220</v>
          </cell>
          <cell r="B303" t="str">
            <v>ZMTD</v>
          </cell>
          <cell r="C303">
            <v>45520</v>
          </cell>
          <cell r="D303" t="str">
            <v>Not delivered</v>
          </cell>
          <cell r="E303">
            <v>507142642</v>
          </cell>
          <cell r="F303">
            <v>20</v>
          </cell>
          <cell r="G303">
            <v>1434088</v>
          </cell>
          <cell r="H303" t="str">
            <v>LC-002:BTL/COL MTPINK P/NACIFIC CSMX 40H</v>
          </cell>
          <cell r="I303">
            <v>15246</v>
          </cell>
          <cell r="J303" t="str">
            <v>UN</v>
          </cell>
          <cell r="K303">
            <v>45565</v>
          </cell>
        </row>
        <row r="304">
          <cell r="A304" t="str">
            <v>50714261710</v>
          </cell>
          <cell r="B304" t="str">
            <v>ZMTD</v>
          </cell>
          <cell r="C304">
            <v>45511</v>
          </cell>
          <cell r="D304" t="str">
            <v>Not delivered</v>
          </cell>
          <cell r="E304">
            <v>507142617</v>
          </cell>
          <cell r="F304">
            <v>10</v>
          </cell>
          <cell r="G304">
            <v>1181524</v>
          </cell>
          <cell r="H304" t="str">
            <v>CM-297:WHITE PERFECT LIGHT PP BOOTS</v>
          </cell>
          <cell r="I304">
            <v>25032</v>
          </cell>
          <cell r="J304" t="str">
            <v>UN</v>
          </cell>
          <cell r="K304">
            <v>45565</v>
          </cell>
        </row>
        <row r="305">
          <cell r="A305" t="str">
            <v>50714258410</v>
          </cell>
          <cell r="B305" t="str">
            <v>ZMTD</v>
          </cell>
          <cell r="C305">
            <v>45502</v>
          </cell>
          <cell r="D305" t="str">
            <v>Not delivered</v>
          </cell>
          <cell r="E305">
            <v>507142584</v>
          </cell>
          <cell r="F305">
            <v>10</v>
          </cell>
          <cell r="G305">
            <v>1388034</v>
          </cell>
          <cell r="H305" t="str">
            <v>CM-253:CV BS MTCORL P/C.BLSH RV1 PTI40H</v>
          </cell>
          <cell r="I305">
            <v>27000</v>
          </cell>
          <cell r="J305" t="str">
            <v>UN</v>
          </cell>
          <cell r="K305">
            <v>45565</v>
          </cell>
        </row>
        <row r="306">
          <cell r="A306" t="str">
            <v>50714256230</v>
          </cell>
          <cell r="B306" t="str">
            <v>ZMTD</v>
          </cell>
          <cell r="C306">
            <v>45496</v>
          </cell>
          <cell r="D306" t="str">
            <v>Not delivered</v>
          </cell>
          <cell r="E306">
            <v>507142562</v>
          </cell>
          <cell r="F306">
            <v>30</v>
          </cell>
          <cell r="G306">
            <v>1428696</v>
          </cell>
          <cell r="H306" t="str">
            <v>PT-055:BD ANTI-PERS 94006-BS2 INERPARFUM</v>
          </cell>
          <cell r="I306">
            <v>81675</v>
          </cell>
          <cell r="J306" t="str">
            <v>UN</v>
          </cell>
          <cell r="K306">
            <v>45565</v>
          </cell>
        </row>
        <row r="307">
          <cell r="A307" t="str">
            <v>50714256240</v>
          </cell>
          <cell r="B307" t="str">
            <v>ZMTD</v>
          </cell>
          <cell r="C307">
            <v>45496</v>
          </cell>
          <cell r="D307" t="str">
            <v>Not delivered</v>
          </cell>
          <cell r="E307">
            <v>507142562</v>
          </cell>
          <cell r="F307">
            <v>40</v>
          </cell>
          <cell r="G307">
            <v>1313073</v>
          </cell>
          <cell r="H307" t="str">
            <v>PT-055:PLUG BEIGE CASHMERE INTERPARFUM</v>
          </cell>
          <cell r="I307">
            <v>83430</v>
          </cell>
          <cell r="J307" t="str">
            <v>UN</v>
          </cell>
          <cell r="K307">
            <v>45565</v>
          </cell>
        </row>
        <row r="308">
          <cell r="A308" t="str">
            <v>50714252710</v>
          </cell>
          <cell r="B308" t="str">
            <v>ZMTD</v>
          </cell>
          <cell r="C308">
            <v>45488</v>
          </cell>
          <cell r="D308" t="str">
            <v>Not delivered</v>
          </cell>
          <cell r="E308">
            <v>507142527</v>
          </cell>
          <cell r="F308">
            <v>10</v>
          </cell>
          <cell r="G308">
            <v>1385814</v>
          </cell>
          <cell r="H308" t="str">
            <v>LC-012:CAP VM BRWN WIP GLASTING PTI 20F</v>
          </cell>
          <cell r="I308">
            <v>53298</v>
          </cell>
          <cell r="J308" t="str">
            <v>UN</v>
          </cell>
          <cell r="K308">
            <v>45565</v>
          </cell>
        </row>
        <row r="309">
          <cell r="A309" t="str">
            <v>50714252720</v>
          </cell>
          <cell r="B309" t="str">
            <v>ZMTD</v>
          </cell>
          <cell r="C309">
            <v>45488</v>
          </cell>
          <cell r="D309" t="str">
            <v>Not delivered</v>
          </cell>
          <cell r="E309">
            <v>507142527</v>
          </cell>
          <cell r="F309">
            <v>20</v>
          </cell>
          <cell r="G309">
            <v>1382935</v>
          </cell>
          <cell r="H309" t="str">
            <v>LC-012:BTL VR2 PEACHPLS P/GLASTNG PTI60B</v>
          </cell>
          <cell r="I309">
            <v>53298</v>
          </cell>
          <cell r="J309" t="str">
            <v>UN</v>
          </cell>
          <cell r="K309">
            <v>45565</v>
          </cell>
        </row>
        <row r="310">
          <cell r="A310" t="str">
            <v>50714250110</v>
          </cell>
          <cell r="B310" t="str">
            <v>ZMTD</v>
          </cell>
          <cell r="C310">
            <v>45485</v>
          </cell>
          <cell r="D310" t="str">
            <v>Not delivered</v>
          </cell>
          <cell r="E310">
            <v>507142501</v>
          </cell>
          <cell r="F310">
            <v>10</v>
          </cell>
          <cell r="G310">
            <v>1216572</v>
          </cell>
          <cell r="H310" t="str">
            <v>CM-216:TRUE MATCH CV PF S/SLV LOR (SEA)</v>
          </cell>
          <cell r="I310">
            <v>198400</v>
          </cell>
          <cell r="J310" t="str">
            <v>UN</v>
          </cell>
          <cell r="K310">
            <v>45565</v>
          </cell>
        </row>
        <row r="311">
          <cell r="A311" t="str">
            <v>50714242510</v>
          </cell>
          <cell r="B311" t="str">
            <v>ZMTD</v>
          </cell>
          <cell r="C311">
            <v>45475</v>
          </cell>
          <cell r="D311" t="str">
            <v>Not delivered</v>
          </cell>
          <cell r="E311">
            <v>507142425</v>
          </cell>
          <cell r="F311">
            <v>10</v>
          </cell>
          <cell r="G311">
            <v>1160336</v>
          </cell>
          <cell r="H311" t="str">
            <v>CP-071:CP8364 TNR WPRL 200 REX IS 763</v>
          </cell>
          <cell r="I311">
            <v>65250</v>
          </cell>
          <cell r="J311" t="str">
            <v>UN</v>
          </cell>
          <cell r="K311">
            <v>45565</v>
          </cell>
        </row>
        <row r="312">
          <cell r="A312" t="str">
            <v>50714243410</v>
          </cell>
          <cell r="B312" t="str">
            <v>ZMTD</v>
          </cell>
          <cell r="C312">
            <v>45475</v>
          </cell>
          <cell r="D312" t="str">
            <v>Not delivered</v>
          </cell>
          <cell r="E312">
            <v>507142434</v>
          </cell>
          <cell r="F312">
            <v>10</v>
          </cell>
          <cell r="G312">
            <v>1159364</v>
          </cell>
          <cell r="H312" t="str">
            <v>CP-071:PL8364 INSERT TNR 125-200ML REX</v>
          </cell>
          <cell r="I312">
            <v>111000</v>
          </cell>
          <cell r="J312" t="str">
            <v>UN</v>
          </cell>
          <cell r="K312">
            <v>45565</v>
          </cell>
        </row>
        <row r="313">
          <cell r="A313" t="str">
            <v>50714243510</v>
          </cell>
          <cell r="B313" t="str">
            <v>ZMTD</v>
          </cell>
          <cell r="C313">
            <v>45475</v>
          </cell>
          <cell r="D313" t="str">
            <v>Not delivered</v>
          </cell>
          <cell r="E313">
            <v>507142435</v>
          </cell>
          <cell r="F313">
            <v>10</v>
          </cell>
          <cell r="G313">
            <v>1159364</v>
          </cell>
          <cell r="H313" t="str">
            <v>CP-071:PL8364 INSERT TNR 125-200ML REX</v>
          </cell>
          <cell r="I313">
            <v>111000</v>
          </cell>
          <cell r="J313" t="str">
            <v>UN</v>
          </cell>
          <cell r="K313">
            <v>45565</v>
          </cell>
        </row>
        <row r="314">
          <cell r="A314" t="str">
            <v>50714241730</v>
          </cell>
          <cell r="B314" t="str">
            <v>ZMTD</v>
          </cell>
          <cell r="C314">
            <v>45474</v>
          </cell>
          <cell r="D314" t="str">
            <v>Not delivered</v>
          </cell>
          <cell r="E314">
            <v>507142417</v>
          </cell>
          <cell r="F314">
            <v>30</v>
          </cell>
          <cell r="G314">
            <v>1405657</v>
          </cell>
          <cell r="H314" t="str">
            <v>CM-273:CV UV BS BRONZE P/PIXYSLKY RV130L</v>
          </cell>
          <cell r="I314">
            <v>10000</v>
          </cell>
          <cell r="J314" t="str">
            <v>UN</v>
          </cell>
          <cell r="K314">
            <v>45565</v>
          </cell>
        </row>
        <row r="315">
          <cell r="A315" t="str">
            <v>50714234820</v>
          </cell>
          <cell r="B315" t="str">
            <v>ZMTD</v>
          </cell>
          <cell r="C315">
            <v>45462</v>
          </cell>
          <cell r="D315" t="str">
            <v>Partially delivered</v>
          </cell>
          <cell r="E315">
            <v>507142348</v>
          </cell>
          <cell r="F315">
            <v>20</v>
          </cell>
          <cell r="G315">
            <v>1388034</v>
          </cell>
          <cell r="H315" t="str">
            <v>CM-253:CV BS MTCORL P/C.BLSH RV1 PTI40H</v>
          </cell>
          <cell r="I315">
            <v>32940</v>
          </cell>
          <cell r="J315" t="str">
            <v>UN</v>
          </cell>
          <cell r="K315">
            <v>45565</v>
          </cell>
        </row>
        <row r="316">
          <cell r="A316" t="str">
            <v>50714275650</v>
          </cell>
          <cell r="B316" t="str">
            <v>ZMTD</v>
          </cell>
          <cell r="C316">
            <v>45547</v>
          </cell>
          <cell r="D316" t="str">
            <v>Not delivered</v>
          </cell>
          <cell r="E316">
            <v>507142756</v>
          </cell>
          <cell r="F316">
            <v>50</v>
          </cell>
          <cell r="G316">
            <v>1411899</v>
          </cell>
          <cell r="H316" t="str">
            <v>PT-100:BS/INS GREEN P/WHT KAHF PTI 60B</v>
          </cell>
          <cell r="I316">
            <v>20224</v>
          </cell>
          <cell r="J316" t="str">
            <v>UN</v>
          </cell>
          <cell r="K316">
            <v>45566</v>
          </cell>
        </row>
        <row r="317">
          <cell r="A317" t="str">
            <v>50714275660</v>
          </cell>
          <cell r="B317" t="str">
            <v>ZMTD</v>
          </cell>
          <cell r="C317">
            <v>45547</v>
          </cell>
          <cell r="D317" t="str">
            <v>Not delivered</v>
          </cell>
          <cell r="E317">
            <v>507142756</v>
          </cell>
          <cell r="F317">
            <v>60</v>
          </cell>
          <cell r="G317">
            <v>1411898</v>
          </cell>
          <cell r="H317" t="str">
            <v>PT-100:CVR MT.GREEN EMBOS KAHF PTI 40D</v>
          </cell>
          <cell r="I317">
            <v>20224</v>
          </cell>
          <cell r="J317" t="str">
            <v>UN</v>
          </cell>
          <cell r="K317">
            <v>45566</v>
          </cell>
        </row>
        <row r="318">
          <cell r="A318" t="str">
            <v>50800527620</v>
          </cell>
          <cell r="B318" t="str">
            <v>ZMFD</v>
          </cell>
          <cell r="C318">
            <v>45539</v>
          </cell>
          <cell r="D318" t="str">
            <v>Not delivered</v>
          </cell>
          <cell r="E318">
            <v>508005276</v>
          </cell>
          <cell r="F318">
            <v>20</v>
          </cell>
          <cell r="G318">
            <v>1440707</v>
          </cell>
          <cell r="H318" t="str">
            <v>CM-253:CV CLR BS BLK S/LAKME HGLTR ANCRT</v>
          </cell>
          <cell r="I318">
            <v>25000</v>
          </cell>
          <cell r="J318" t="str">
            <v>UN</v>
          </cell>
          <cell r="K318">
            <v>45566</v>
          </cell>
        </row>
        <row r="319">
          <cell r="A319" t="str">
            <v>50714269620</v>
          </cell>
          <cell r="B319" t="str">
            <v>ZMTD</v>
          </cell>
          <cell r="C319">
            <v>45533</v>
          </cell>
          <cell r="D319" t="str">
            <v>Not delivered</v>
          </cell>
          <cell r="E319">
            <v>507142696</v>
          </cell>
          <cell r="F319">
            <v>20</v>
          </cell>
          <cell r="G319">
            <v>1340516</v>
          </cell>
          <cell r="H319" t="str">
            <v>CM-133:CVR BS MTLC GRN UV DP S/WARDH 30T</v>
          </cell>
          <cell r="I319">
            <v>10080</v>
          </cell>
          <cell r="J319" t="str">
            <v>UN</v>
          </cell>
          <cell r="K319">
            <v>45566</v>
          </cell>
        </row>
        <row r="320">
          <cell r="A320" t="str">
            <v>50714250810</v>
          </cell>
          <cell r="B320" t="str">
            <v>ZMTD</v>
          </cell>
          <cell r="C320">
            <v>45488</v>
          </cell>
          <cell r="D320" t="str">
            <v>Not delivered</v>
          </cell>
          <cell r="E320">
            <v>507142508</v>
          </cell>
          <cell r="F320">
            <v>10</v>
          </cell>
          <cell r="G320">
            <v>1255663</v>
          </cell>
          <cell r="H320" t="str">
            <v>LC-002:BTL MT VAR13 P/WRDH B.MARK PTI40H</v>
          </cell>
          <cell r="I320">
            <v>25200</v>
          </cell>
          <cell r="J320" t="str">
            <v>UN</v>
          </cell>
          <cell r="K320">
            <v>45566</v>
          </cell>
        </row>
        <row r="321">
          <cell r="A321" t="str">
            <v>50714250820</v>
          </cell>
          <cell r="B321" t="str">
            <v>ZMTD</v>
          </cell>
          <cell r="C321">
            <v>45488</v>
          </cell>
          <cell r="D321" t="str">
            <v>Not delivered</v>
          </cell>
          <cell r="E321">
            <v>507142508</v>
          </cell>
          <cell r="F321">
            <v>20</v>
          </cell>
          <cell r="G321">
            <v>1173170</v>
          </cell>
          <cell r="H321" t="str">
            <v>LC-002:CP S/MT VAR13 STM-WHT WNAT PTI40D</v>
          </cell>
          <cell r="I321">
            <v>25200</v>
          </cell>
          <cell r="J321" t="str">
            <v>UN</v>
          </cell>
          <cell r="K321">
            <v>45566</v>
          </cell>
        </row>
        <row r="322">
          <cell r="A322" t="str">
            <v>50714248610</v>
          </cell>
          <cell r="B322" t="str">
            <v>ZMTD</v>
          </cell>
          <cell r="C322">
            <v>45484</v>
          </cell>
          <cell r="D322" t="str">
            <v>Not delivered</v>
          </cell>
          <cell r="E322">
            <v>507142486</v>
          </cell>
          <cell r="F322">
            <v>10</v>
          </cell>
          <cell r="G322">
            <v>1225724</v>
          </cell>
          <cell r="H322" t="str">
            <v>CL-003:BTL CLR COL BEIGE P/EMINA PTI 60B</v>
          </cell>
          <cell r="I322">
            <v>25641</v>
          </cell>
          <cell r="J322" t="str">
            <v>UN</v>
          </cell>
          <cell r="K322">
            <v>45566</v>
          </cell>
        </row>
        <row r="323">
          <cell r="A323" t="str">
            <v>50714248620</v>
          </cell>
          <cell r="B323" t="str">
            <v>ZMTD</v>
          </cell>
          <cell r="C323">
            <v>45484</v>
          </cell>
          <cell r="D323" t="str">
            <v>Not delivered</v>
          </cell>
          <cell r="E323">
            <v>507142486</v>
          </cell>
          <cell r="F323">
            <v>20</v>
          </cell>
          <cell r="G323">
            <v>1225723</v>
          </cell>
          <cell r="H323" t="str">
            <v>CL-003:CAP BEIGE P/EMINA WIP NAT PTI 60B</v>
          </cell>
          <cell r="I323">
            <v>25641</v>
          </cell>
          <cell r="J323" t="str">
            <v>UN</v>
          </cell>
          <cell r="K323">
            <v>45566</v>
          </cell>
        </row>
        <row r="324">
          <cell r="A324" t="str">
            <v>50714234510</v>
          </cell>
          <cell r="B324" t="str">
            <v>ZMTD</v>
          </cell>
          <cell r="C324">
            <v>45462</v>
          </cell>
          <cell r="D324" t="str">
            <v>Not delivered</v>
          </cell>
          <cell r="E324">
            <v>507142345</v>
          </cell>
          <cell r="F324">
            <v>10</v>
          </cell>
          <cell r="G324">
            <v>1418416</v>
          </cell>
          <cell r="H324" t="str">
            <v>FP-010:WHITE BASE S/LIST SILVR NATASHA</v>
          </cell>
          <cell r="I324">
            <v>10000</v>
          </cell>
          <cell r="J324" t="str">
            <v>UN</v>
          </cell>
          <cell r="K324">
            <v>45566</v>
          </cell>
        </row>
        <row r="325">
          <cell r="A325" t="str">
            <v>50714227610</v>
          </cell>
          <cell r="B325" t="str">
            <v>ZMTD</v>
          </cell>
          <cell r="C325">
            <v>45447</v>
          </cell>
          <cell r="D325" t="str">
            <v>Not delivered</v>
          </cell>
          <cell r="E325">
            <v>507142276</v>
          </cell>
          <cell r="F325">
            <v>10</v>
          </cell>
          <cell r="G325">
            <v>1419488</v>
          </cell>
          <cell r="H325" t="str">
            <v>CP-063R:SPOUT CAP WHITE LOREAL 12A</v>
          </cell>
          <cell r="I325">
            <v>1890000</v>
          </cell>
          <cell r="J325" t="str">
            <v>UN</v>
          </cell>
          <cell r="K325">
            <v>45566</v>
          </cell>
        </row>
        <row r="326">
          <cell r="A326" t="str">
            <v>50714180710</v>
          </cell>
          <cell r="B326" t="str">
            <v>ZMTD</v>
          </cell>
          <cell r="C326">
            <v>45350</v>
          </cell>
          <cell r="D326" t="str">
            <v>Not delivered</v>
          </cell>
          <cell r="E326">
            <v>507141807</v>
          </cell>
          <cell r="F326">
            <v>10</v>
          </cell>
          <cell r="G326">
            <v>1404888</v>
          </cell>
          <cell r="H326" t="str">
            <v>LS-091:BS MGNTA P/SHEER COLOR ROHTO 60B</v>
          </cell>
          <cell r="I326">
            <v>27664</v>
          </cell>
          <cell r="J326" t="str">
            <v>UN</v>
          </cell>
          <cell r="K326">
            <v>45566</v>
          </cell>
        </row>
        <row r="327">
          <cell r="A327" t="str">
            <v>50714180720</v>
          </cell>
          <cell r="B327" t="str">
            <v>ZMTD</v>
          </cell>
          <cell r="C327">
            <v>45350</v>
          </cell>
          <cell r="D327" t="str">
            <v>Not delivered</v>
          </cell>
          <cell r="E327">
            <v>507141807</v>
          </cell>
          <cell r="F327">
            <v>20</v>
          </cell>
          <cell r="G327">
            <v>1407563</v>
          </cell>
          <cell r="H327" t="str">
            <v>LS-091:CVR MGNTA GRAD UV P/STRWBRY ROHTO</v>
          </cell>
          <cell r="I327">
            <v>27664</v>
          </cell>
          <cell r="J327" t="str">
            <v>UN</v>
          </cell>
          <cell r="K327">
            <v>45566</v>
          </cell>
        </row>
        <row r="328">
          <cell r="A328" t="str">
            <v>50714279530</v>
          </cell>
          <cell r="B328" t="str">
            <v>ZMTD</v>
          </cell>
          <cell r="C328">
            <v>45558</v>
          </cell>
          <cell r="D328" t="str">
            <v>Not delivered</v>
          </cell>
          <cell r="E328">
            <v>507142795</v>
          </cell>
          <cell r="F328">
            <v>30</v>
          </cell>
          <cell r="G328">
            <v>1194582</v>
          </cell>
          <cell r="H328" t="str">
            <v>LC-002:BTL CLR COL WHT NO DC GENERAL</v>
          </cell>
          <cell r="I328">
            <v>9605</v>
          </cell>
          <cell r="J328" t="str">
            <v>UN</v>
          </cell>
          <cell r="K328">
            <v>45567</v>
          </cell>
        </row>
        <row r="329">
          <cell r="A329" t="str">
            <v>50714279540</v>
          </cell>
          <cell r="B329" t="str">
            <v>ZMTD</v>
          </cell>
          <cell r="C329">
            <v>45558</v>
          </cell>
          <cell r="D329" t="str">
            <v>Not delivered</v>
          </cell>
          <cell r="E329">
            <v>507142795</v>
          </cell>
          <cell r="F329">
            <v>40</v>
          </cell>
          <cell r="G329">
            <v>1194581</v>
          </cell>
          <cell r="H329" t="str">
            <v>LC-002:CAP WHT NO DC WIPER NAT GENERAL</v>
          </cell>
          <cell r="I329">
            <v>9605</v>
          </cell>
          <cell r="J329" t="str">
            <v>UN</v>
          </cell>
          <cell r="K329">
            <v>45567</v>
          </cell>
        </row>
        <row r="330">
          <cell r="A330" t="str">
            <v>50714276520</v>
          </cell>
          <cell r="B330" t="str">
            <v>ZMTD</v>
          </cell>
          <cell r="C330">
            <v>45552</v>
          </cell>
          <cell r="D330" t="str">
            <v>Not delivered</v>
          </cell>
          <cell r="E330">
            <v>507142765</v>
          </cell>
          <cell r="F330">
            <v>20</v>
          </cell>
          <cell r="G330">
            <v>1398383</v>
          </cell>
          <cell r="H330" t="str">
            <v>CM-319:WHITE P/BLACK UV MATTE NARS</v>
          </cell>
          <cell r="I330">
            <v>20160</v>
          </cell>
          <cell r="J330" t="str">
            <v>UN</v>
          </cell>
          <cell r="K330">
            <v>45567</v>
          </cell>
        </row>
        <row r="331">
          <cell r="A331" t="str">
            <v>50714276620</v>
          </cell>
          <cell r="B331" t="str">
            <v>ZMTD</v>
          </cell>
          <cell r="C331">
            <v>45552</v>
          </cell>
          <cell r="D331" t="str">
            <v>Not delivered</v>
          </cell>
          <cell r="E331">
            <v>507142766</v>
          </cell>
          <cell r="F331">
            <v>20</v>
          </cell>
          <cell r="G331">
            <v>1398763</v>
          </cell>
          <cell r="H331" t="str">
            <v>CM-320:WHITE S/BLACK UV MATTE NARS</v>
          </cell>
          <cell r="I331">
            <v>20520</v>
          </cell>
          <cell r="J331" t="str">
            <v>UN</v>
          </cell>
          <cell r="K331">
            <v>45567</v>
          </cell>
        </row>
        <row r="332">
          <cell r="A332" t="str">
            <v>50714275710</v>
          </cell>
          <cell r="B332" t="str">
            <v>ZMTD</v>
          </cell>
          <cell r="C332">
            <v>45547</v>
          </cell>
          <cell r="D332" t="str">
            <v>Not delivered</v>
          </cell>
          <cell r="E332">
            <v>507142757</v>
          </cell>
          <cell r="F332">
            <v>10</v>
          </cell>
          <cell r="G332">
            <v>1411701</v>
          </cell>
          <cell r="H332" t="str">
            <v>PT-100:BS/INS BLUE P/WHT KAHF PTI 60B</v>
          </cell>
          <cell r="I332">
            <v>70144</v>
          </cell>
          <cell r="J332" t="str">
            <v>UN</v>
          </cell>
          <cell r="K332">
            <v>45567</v>
          </cell>
        </row>
        <row r="333">
          <cell r="A333" t="str">
            <v>50714275720</v>
          </cell>
          <cell r="B333" t="str">
            <v>ZMTD</v>
          </cell>
          <cell r="C333">
            <v>45547</v>
          </cell>
          <cell r="D333" t="str">
            <v>Not delivered</v>
          </cell>
          <cell r="E333">
            <v>507142757</v>
          </cell>
          <cell r="F333">
            <v>20</v>
          </cell>
          <cell r="G333">
            <v>1411700</v>
          </cell>
          <cell r="H333" t="str">
            <v>PT-100:CVR MT.BLUE EMBOS KAHF PTI 40D</v>
          </cell>
          <cell r="I333">
            <v>70144</v>
          </cell>
          <cell r="J333" t="str">
            <v>UN</v>
          </cell>
          <cell r="K333">
            <v>45567</v>
          </cell>
        </row>
        <row r="334">
          <cell r="A334" t="str">
            <v>50714273710</v>
          </cell>
          <cell r="B334" t="str">
            <v>ZMTD</v>
          </cell>
          <cell r="C334">
            <v>45544</v>
          </cell>
          <cell r="D334" t="str">
            <v>Not delivered</v>
          </cell>
          <cell r="E334">
            <v>507142737</v>
          </cell>
          <cell r="F334">
            <v>10</v>
          </cell>
          <cell r="G334">
            <v>1264031</v>
          </cell>
          <cell r="H334" t="str">
            <v>LC-002:CP S/MT VAR9 STM-WHT WNAT PTI40D</v>
          </cell>
          <cell r="I334">
            <v>25200</v>
          </cell>
          <cell r="J334" t="str">
            <v>UN</v>
          </cell>
          <cell r="K334">
            <v>45567</v>
          </cell>
        </row>
        <row r="335">
          <cell r="A335" t="str">
            <v>50714273720</v>
          </cell>
          <cell r="B335" t="str">
            <v>ZMTD</v>
          </cell>
          <cell r="C335">
            <v>45544</v>
          </cell>
          <cell r="D335" t="str">
            <v>Not delivered</v>
          </cell>
          <cell r="E335">
            <v>507142737</v>
          </cell>
          <cell r="F335">
            <v>20</v>
          </cell>
          <cell r="G335">
            <v>1255659</v>
          </cell>
          <cell r="H335" t="str">
            <v>LC-002:BTL MT VAR9 P/WRDH B.MARK PTI40H</v>
          </cell>
          <cell r="I335">
            <v>25200</v>
          </cell>
          <cell r="J335" t="str">
            <v>UN</v>
          </cell>
          <cell r="K335">
            <v>45567</v>
          </cell>
        </row>
        <row r="336">
          <cell r="A336" t="str">
            <v>50714273810</v>
          </cell>
          <cell r="B336" t="str">
            <v>ZMTD</v>
          </cell>
          <cell r="C336">
            <v>45544</v>
          </cell>
          <cell r="D336" t="str">
            <v>Not delivered</v>
          </cell>
          <cell r="E336">
            <v>507142738</v>
          </cell>
          <cell r="F336">
            <v>10</v>
          </cell>
          <cell r="G336">
            <v>1361170</v>
          </cell>
          <cell r="H336" t="str">
            <v>PT-097:BODY BLACK HOUSE WHT TRANS PTI12A</v>
          </cell>
          <cell r="I336">
            <v>110160</v>
          </cell>
          <cell r="J336" t="str">
            <v>UN</v>
          </cell>
          <cell r="K336">
            <v>45567</v>
          </cell>
        </row>
        <row r="337">
          <cell r="A337" t="str">
            <v>50714273820</v>
          </cell>
          <cell r="B337" t="str">
            <v>ZMTD</v>
          </cell>
          <cell r="C337">
            <v>45544</v>
          </cell>
          <cell r="D337" t="str">
            <v>Not delivered</v>
          </cell>
          <cell r="E337">
            <v>507142738</v>
          </cell>
          <cell r="F337">
            <v>20</v>
          </cell>
          <cell r="G337">
            <v>1361175</v>
          </cell>
          <cell r="H337" t="str">
            <v>PT-097:CAP BLACK TRANS PTI 12A</v>
          </cell>
          <cell r="I337">
            <v>110160</v>
          </cell>
          <cell r="J337" t="str">
            <v>UN</v>
          </cell>
          <cell r="K337">
            <v>45567</v>
          </cell>
        </row>
        <row r="338">
          <cell r="A338" t="str">
            <v>50714272610</v>
          </cell>
          <cell r="B338" t="str">
            <v>ZMTD</v>
          </cell>
          <cell r="C338">
            <v>45541</v>
          </cell>
          <cell r="D338" t="str">
            <v>Not delivered</v>
          </cell>
          <cell r="E338">
            <v>507142726</v>
          </cell>
          <cell r="F338">
            <v>10</v>
          </cell>
          <cell r="G338">
            <v>1412602</v>
          </cell>
          <cell r="H338" t="str">
            <v>CM-105:CVR/BS MTBLK S/PWRSTAY RV1 PTI30C</v>
          </cell>
          <cell r="I338">
            <v>10080</v>
          </cell>
          <cell r="J338" t="str">
            <v>UN</v>
          </cell>
          <cell r="K338">
            <v>45567</v>
          </cell>
        </row>
        <row r="339">
          <cell r="A339" t="str">
            <v>50714271410</v>
          </cell>
          <cell r="B339" t="str">
            <v>ZMTD</v>
          </cell>
          <cell r="C339">
            <v>45538</v>
          </cell>
          <cell r="D339" t="str">
            <v>Not delivered</v>
          </cell>
          <cell r="E339">
            <v>507142714</v>
          </cell>
          <cell r="F339">
            <v>10</v>
          </cell>
          <cell r="G339">
            <v>1158837</v>
          </cell>
          <cell r="H339" t="str">
            <v>SD-007:SM16 WH SLDR D40 SCREW ORI7.5</v>
          </cell>
          <cell r="I339">
            <v>252000</v>
          </cell>
          <cell r="J339" t="str">
            <v>UN</v>
          </cell>
          <cell r="K339">
            <v>45567</v>
          </cell>
        </row>
        <row r="340">
          <cell r="A340" t="str">
            <v>50714270610</v>
          </cell>
          <cell r="B340" t="str">
            <v>ZMTD</v>
          </cell>
          <cell r="C340">
            <v>45534</v>
          </cell>
          <cell r="D340" t="str">
            <v>Not delivered</v>
          </cell>
          <cell r="E340">
            <v>507142706</v>
          </cell>
          <cell r="F340">
            <v>10</v>
          </cell>
          <cell r="G340">
            <v>1207621</v>
          </cell>
          <cell r="H340" t="str">
            <v>CP-090:CAP DELCATE MTPINK NOEMBOS PTI40D</v>
          </cell>
          <cell r="I340">
            <v>10044</v>
          </cell>
          <cell r="J340" t="str">
            <v>UN</v>
          </cell>
          <cell r="K340">
            <v>45567</v>
          </cell>
        </row>
        <row r="341">
          <cell r="A341" t="str">
            <v>50714269830</v>
          </cell>
          <cell r="B341" t="str">
            <v>ZMTD</v>
          </cell>
          <cell r="C341">
            <v>45533</v>
          </cell>
          <cell r="D341" t="str">
            <v>Not delivered</v>
          </cell>
          <cell r="E341">
            <v>507142698</v>
          </cell>
          <cell r="F341">
            <v>30</v>
          </cell>
          <cell r="G341">
            <v>1408740</v>
          </cell>
          <cell r="H341" t="str">
            <v>PT-097B:BDSR.2 BLU HOUS WHT TRNS PTI12A</v>
          </cell>
          <cell r="I341">
            <v>109890</v>
          </cell>
          <cell r="J341" t="str">
            <v>UN</v>
          </cell>
          <cell r="K341">
            <v>45567</v>
          </cell>
        </row>
        <row r="342">
          <cell r="A342" t="str">
            <v>50714269840</v>
          </cell>
          <cell r="B342" t="str">
            <v>ZMTD</v>
          </cell>
          <cell r="C342">
            <v>45533</v>
          </cell>
          <cell r="D342" t="str">
            <v>Not delivered</v>
          </cell>
          <cell r="E342">
            <v>507142698</v>
          </cell>
          <cell r="F342">
            <v>40</v>
          </cell>
          <cell r="G342">
            <v>1408739</v>
          </cell>
          <cell r="H342" t="str">
            <v>PT-097B:CAP SR.2 BLUE TRANS PTI 12A</v>
          </cell>
          <cell r="I342">
            <v>109890</v>
          </cell>
          <cell r="J342" t="str">
            <v>UN</v>
          </cell>
          <cell r="K342">
            <v>45567</v>
          </cell>
        </row>
        <row r="343">
          <cell r="A343" t="str">
            <v>50714268720</v>
          </cell>
          <cell r="B343" t="str">
            <v>ZMTD</v>
          </cell>
          <cell r="C343">
            <v>45532</v>
          </cell>
          <cell r="D343" t="str">
            <v>Not delivered</v>
          </cell>
          <cell r="E343">
            <v>507142687</v>
          </cell>
          <cell r="F343">
            <v>20</v>
          </cell>
          <cell r="G343">
            <v>1411213</v>
          </cell>
          <cell r="H343" t="str">
            <v>CM-105:BLCK COAT P/MAKE OVER PTI RV1 40H</v>
          </cell>
          <cell r="I343">
            <v>20160</v>
          </cell>
          <cell r="J343" t="str">
            <v>UN</v>
          </cell>
          <cell r="K343">
            <v>45567</v>
          </cell>
        </row>
        <row r="344">
          <cell r="A344" t="str">
            <v>50714268810</v>
          </cell>
          <cell r="B344" t="str">
            <v>ZMTD</v>
          </cell>
          <cell r="C344">
            <v>45532</v>
          </cell>
          <cell r="D344" t="str">
            <v>Not delivered</v>
          </cell>
          <cell r="E344">
            <v>507142688</v>
          </cell>
          <cell r="F344">
            <v>10</v>
          </cell>
          <cell r="G344">
            <v>1430094</v>
          </cell>
          <cell r="H344" t="str">
            <v>LS-285:BS BLUE NO DC WARDAH PTI 12A</v>
          </cell>
          <cell r="I344">
            <v>120232</v>
          </cell>
          <cell r="J344" t="str">
            <v>UN</v>
          </cell>
          <cell r="K344">
            <v>45567</v>
          </cell>
        </row>
        <row r="345">
          <cell r="A345" t="str">
            <v>50714268820</v>
          </cell>
          <cell r="B345" t="str">
            <v>ZMTD</v>
          </cell>
          <cell r="C345">
            <v>45532</v>
          </cell>
          <cell r="D345" t="str">
            <v>Not delivered</v>
          </cell>
          <cell r="E345">
            <v>507142688</v>
          </cell>
          <cell r="F345">
            <v>20</v>
          </cell>
          <cell r="G345">
            <v>1430093</v>
          </cell>
          <cell r="H345" t="str">
            <v>LS-285:CV MT.TR BLUE P/SHERCLEAR PTI 40H</v>
          </cell>
          <cell r="I345">
            <v>120232</v>
          </cell>
          <cell r="J345" t="str">
            <v>UN</v>
          </cell>
          <cell r="K345">
            <v>45567</v>
          </cell>
        </row>
        <row r="346">
          <cell r="A346" t="str">
            <v>50714269230</v>
          </cell>
          <cell r="B346" t="str">
            <v>ZMTD</v>
          </cell>
          <cell r="C346">
            <v>45532</v>
          </cell>
          <cell r="D346" t="str">
            <v>Not delivered</v>
          </cell>
          <cell r="E346">
            <v>507142692</v>
          </cell>
          <cell r="F346">
            <v>30</v>
          </cell>
          <cell r="G346">
            <v>1367372</v>
          </cell>
          <cell r="H346" t="str">
            <v>PT-097:BODY GREN HOUSE WHT TRANS PTI 12A</v>
          </cell>
          <cell r="I346">
            <v>99900</v>
          </cell>
          <cell r="J346" t="str">
            <v>UN</v>
          </cell>
          <cell r="K346">
            <v>45567</v>
          </cell>
        </row>
        <row r="347">
          <cell r="A347" t="str">
            <v>50714269240</v>
          </cell>
          <cell r="B347" t="str">
            <v>ZMTD</v>
          </cell>
          <cell r="C347">
            <v>45532</v>
          </cell>
          <cell r="D347" t="str">
            <v>Not delivered</v>
          </cell>
          <cell r="E347">
            <v>507142692</v>
          </cell>
          <cell r="F347">
            <v>40</v>
          </cell>
          <cell r="G347">
            <v>1367370</v>
          </cell>
          <cell r="H347" t="str">
            <v>PT-097:CAP GREN TRANS PTI 12A</v>
          </cell>
          <cell r="I347">
            <v>99900</v>
          </cell>
          <cell r="J347" t="str">
            <v>UN</v>
          </cell>
          <cell r="K347">
            <v>45567</v>
          </cell>
        </row>
        <row r="348">
          <cell r="A348" t="str">
            <v>50714269330</v>
          </cell>
          <cell r="B348" t="str">
            <v>ZMTD</v>
          </cell>
          <cell r="C348">
            <v>45532</v>
          </cell>
          <cell r="D348" t="str">
            <v>Not delivered</v>
          </cell>
          <cell r="E348">
            <v>507142693</v>
          </cell>
          <cell r="F348">
            <v>30</v>
          </cell>
          <cell r="G348">
            <v>1375595</v>
          </cell>
          <cell r="H348" t="str">
            <v>LC-009:BTL/INNER CLEAR P/OMG PTIPT 60B</v>
          </cell>
          <cell r="I348">
            <v>150570</v>
          </cell>
          <cell r="J348" t="str">
            <v>UN</v>
          </cell>
          <cell r="K348">
            <v>45567</v>
          </cell>
        </row>
        <row r="349">
          <cell r="A349" t="str">
            <v>50714269340</v>
          </cell>
          <cell r="B349" t="str">
            <v>ZMTD</v>
          </cell>
          <cell r="C349">
            <v>45532</v>
          </cell>
          <cell r="D349" t="str">
            <v>Not delivered</v>
          </cell>
          <cell r="E349">
            <v>507142693</v>
          </cell>
          <cell r="F349">
            <v>40</v>
          </cell>
          <cell r="G349">
            <v>1375593</v>
          </cell>
          <cell r="H349" t="str">
            <v>LC-009:CAP REDTRANS WIP S/OMG PTIPT 60B</v>
          </cell>
          <cell r="I349">
            <v>150570</v>
          </cell>
          <cell r="J349" t="str">
            <v>UN</v>
          </cell>
          <cell r="K349">
            <v>45567</v>
          </cell>
        </row>
        <row r="350">
          <cell r="A350" t="str">
            <v>50714267810</v>
          </cell>
          <cell r="B350" t="str">
            <v>ZMTD</v>
          </cell>
          <cell r="C350">
            <v>45527</v>
          </cell>
          <cell r="D350" t="str">
            <v>Not delivered</v>
          </cell>
          <cell r="E350">
            <v>507142678</v>
          </cell>
          <cell r="F350">
            <v>10</v>
          </cell>
          <cell r="G350">
            <v>1378563</v>
          </cell>
          <cell r="H350" t="str">
            <v>CP-093:CAP D50 MT BLACK Ø.5 YASULOR 12A</v>
          </cell>
          <cell r="I350">
            <v>450000</v>
          </cell>
          <cell r="J350" t="str">
            <v>UN</v>
          </cell>
          <cell r="K350">
            <v>45567</v>
          </cell>
        </row>
        <row r="351">
          <cell r="A351" t="str">
            <v>50714264710</v>
          </cell>
          <cell r="B351" t="str">
            <v>ZMTD</v>
          </cell>
          <cell r="C351">
            <v>45523</v>
          </cell>
          <cell r="D351" t="str">
            <v>Not delivered</v>
          </cell>
          <cell r="E351">
            <v>507142647</v>
          </cell>
          <cell r="F351">
            <v>10</v>
          </cell>
          <cell r="G351">
            <v>1168132</v>
          </cell>
          <cell r="H351" t="str">
            <v>LS-285:BS WHT NO DC WARDAH</v>
          </cell>
          <cell r="I351">
            <v>53200</v>
          </cell>
          <cell r="J351" t="str">
            <v>UN</v>
          </cell>
          <cell r="K351">
            <v>45567</v>
          </cell>
        </row>
        <row r="352">
          <cell r="A352" t="str">
            <v>50714264720</v>
          </cell>
          <cell r="B352" t="str">
            <v>ZMTD</v>
          </cell>
          <cell r="C352">
            <v>45523</v>
          </cell>
          <cell r="D352" t="str">
            <v>Not delivered</v>
          </cell>
          <cell r="E352">
            <v>507142647</v>
          </cell>
          <cell r="F352">
            <v>20</v>
          </cell>
          <cell r="G352">
            <v>1421418</v>
          </cell>
          <cell r="H352" t="str">
            <v>LS-285:CV RED P/WHT UV STRAWBERY PTI 30O</v>
          </cell>
          <cell r="I352">
            <v>53200</v>
          </cell>
          <cell r="J352" t="str">
            <v>UN</v>
          </cell>
          <cell r="K352">
            <v>45567</v>
          </cell>
        </row>
        <row r="353">
          <cell r="A353" t="str">
            <v>50714264910</v>
          </cell>
          <cell r="B353" t="str">
            <v>ZMTD</v>
          </cell>
          <cell r="C353">
            <v>45523</v>
          </cell>
          <cell r="D353" t="str">
            <v>Not delivered</v>
          </cell>
          <cell r="E353">
            <v>507142649</v>
          </cell>
          <cell r="F353">
            <v>10</v>
          </cell>
          <cell r="G353">
            <v>1168132</v>
          </cell>
          <cell r="H353" t="str">
            <v>LS-285:BS WHT NO DC WARDAH</v>
          </cell>
          <cell r="I353">
            <v>50008</v>
          </cell>
          <cell r="J353" t="str">
            <v>UN</v>
          </cell>
          <cell r="K353">
            <v>45567</v>
          </cell>
        </row>
        <row r="354">
          <cell r="A354" t="str">
            <v>50714264920</v>
          </cell>
          <cell r="B354" t="str">
            <v>ZMTD</v>
          </cell>
          <cell r="C354">
            <v>45523</v>
          </cell>
          <cell r="D354" t="str">
            <v>Not delivered</v>
          </cell>
          <cell r="E354">
            <v>507142649</v>
          </cell>
          <cell r="F354">
            <v>20</v>
          </cell>
          <cell r="G354">
            <v>1421510</v>
          </cell>
          <cell r="H354" t="str">
            <v>LS-285:CV PINK P/WHT UV P.BLOSOM PTI 30O</v>
          </cell>
          <cell r="I354">
            <v>50008</v>
          </cell>
          <cell r="J354" t="str">
            <v>UN</v>
          </cell>
          <cell r="K354">
            <v>45567</v>
          </cell>
        </row>
        <row r="355">
          <cell r="A355" t="str">
            <v>50714265120</v>
          </cell>
          <cell r="B355" t="str">
            <v>ZMTD</v>
          </cell>
          <cell r="C355">
            <v>45523</v>
          </cell>
          <cell r="D355" t="str">
            <v>Partially delivered</v>
          </cell>
          <cell r="E355">
            <v>507142651</v>
          </cell>
          <cell r="F355">
            <v>20</v>
          </cell>
          <cell r="G355">
            <v>1304094</v>
          </cell>
          <cell r="H355" t="str">
            <v>CM-253:CV CLR BS M.PINK P/EMINA C.LIT40H</v>
          </cell>
          <cell r="I355">
            <v>27000</v>
          </cell>
          <cell r="J355" t="str">
            <v>UN</v>
          </cell>
          <cell r="K355">
            <v>45567</v>
          </cell>
        </row>
        <row r="356">
          <cell r="A356" t="str">
            <v>50714261910</v>
          </cell>
          <cell r="B356" t="str">
            <v>ZMTD</v>
          </cell>
          <cell r="C356">
            <v>45512</v>
          </cell>
          <cell r="D356" t="str">
            <v>Partially delivered</v>
          </cell>
          <cell r="E356">
            <v>507142619</v>
          </cell>
          <cell r="F356">
            <v>10</v>
          </cell>
          <cell r="G356">
            <v>1393997</v>
          </cell>
          <cell r="H356" t="str">
            <v>LC-003:BTL CLR CL BLUE P/DEWIT CSMAR 60B</v>
          </cell>
          <cell r="I356">
            <v>10020</v>
          </cell>
          <cell r="J356" t="str">
            <v>UN</v>
          </cell>
          <cell r="K356">
            <v>45567</v>
          </cell>
        </row>
        <row r="357">
          <cell r="A357" t="str">
            <v>50714261920</v>
          </cell>
          <cell r="B357" t="str">
            <v>ZMTD</v>
          </cell>
          <cell r="C357">
            <v>45512</v>
          </cell>
          <cell r="D357" t="str">
            <v>Partially delivered</v>
          </cell>
          <cell r="E357">
            <v>507142619</v>
          </cell>
          <cell r="F357">
            <v>20</v>
          </cell>
          <cell r="G357">
            <v>1393998</v>
          </cell>
          <cell r="H357" t="str">
            <v>LC-003:CAP BLUE P290C P/DEW IT CSMAR 60B</v>
          </cell>
          <cell r="I357">
            <v>10020</v>
          </cell>
          <cell r="J357" t="str">
            <v>UN</v>
          </cell>
          <cell r="K357">
            <v>45567</v>
          </cell>
        </row>
        <row r="358">
          <cell r="A358" t="str">
            <v>50800525220</v>
          </cell>
          <cell r="B358" t="str">
            <v>ZMFD</v>
          </cell>
          <cell r="C358">
            <v>45512</v>
          </cell>
          <cell r="D358" t="str">
            <v>Not delivered</v>
          </cell>
          <cell r="E358">
            <v>508005252</v>
          </cell>
          <cell r="F358">
            <v>20</v>
          </cell>
          <cell r="G358">
            <v>1382368</v>
          </cell>
          <cell r="H358" t="str">
            <v>CP-067R:FT CAP35 SNAP BLK MATTE  Ø5 LRL</v>
          </cell>
          <cell r="I358">
            <v>300000</v>
          </cell>
          <cell r="J358" t="str">
            <v>UN</v>
          </cell>
          <cell r="K358">
            <v>45567</v>
          </cell>
        </row>
        <row r="359">
          <cell r="A359" t="str">
            <v>50800519430</v>
          </cell>
          <cell r="B359" t="str">
            <v>ZMFD</v>
          </cell>
          <cell r="C359">
            <v>45497</v>
          </cell>
          <cell r="D359" t="str">
            <v>Not delivered</v>
          </cell>
          <cell r="E359">
            <v>508005194</v>
          </cell>
          <cell r="F359">
            <v>30</v>
          </cell>
          <cell r="G359">
            <v>1385814</v>
          </cell>
          <cell r="H359" t="str">
            <v>LC-012:CAP VM BRWN WIP GLASTING PTI 20F</v>
          </cell>
          <cell r="I359">
            <v>10000</v>
          </cell>
          <cell r="J359" t="str">
            <v>UN</v>
          </cell>
          <cell r="K359">
            <v>45567</v>
          </cell>
        </row>
        <row r="360">
          <cell r="A360" t="str">
            <v>50800519440</v>
          </cell>
          <cell r="B360" t="str">
            <v>ZMFD</v>
          </cell>
          <cell r="C360">
            <v>45497</v>
          </cell>
          <cell r="D360" t="str">
            <v>Not delivered</v>
          </cell>
          <cell r="E360">
            <v>508005194</v>
          </cell>
          <cell r="F360">
            <v>40</v>
          </cell>
          <cell r="G360">
            <v>1406580</v>
          </cell>
          <cell r="H360" t="str">
            <v>LC-012:BTL VR09 P/GLASTNG PTI60B</v>
          </cell>
          <cell r="I360">
            <v>10000</v>
          </cell>
          <cell r="J360" t="str">
            <v>UN</v>
          </cell>
          <cell r="K360">
            <v>45567</v>
          </cell>
        </row>
        <row r="361">
          <cell r="A361" t="str">
            <v>50714254640</v>
          </cell>
          <cell r="B361" t="str">
            <v>ZMTD</v>
          </cell>
          <cell r="C361">
            <v>45492</v>
          </cell>
          <cell r="D361" t="str">
            <v>Not delivered</v>
          </cell>
          <cell r="E361">
            <v>507142546</v>
          </cell>
          <cell r="F361">
            <v>40</v>
          </cell>
          <cell r="G361">
            <v>1169703</v>
          </cell>
          <cell r="H361" t="str">
            <v>CP-064:CAP 25 SCREW WHITE MT TR L'OREAL</v>
          </cell>
          <cell r="I361">
            <v>204000</v>
          </cell>
          <cell r="J361" t="str">
            <v>UN</v>
          </cell>
          <cell r="K361">
            <v>45567</v>
          </cell>
        </row>
        <row r="362">
          <cell r="A362" t="str">
            <v>50714254140</v>
          </cell>
          <cell r="B362" t="str">
            <v>ZMTD</v>
          </cell>
          <cell r="C362">
            <v>45490</v>
          </cell>
          <cell r="D362" t="str">
            <v>Not delivered</v>
          </cell>
          <cell r="E362">
            <v>507142541</v>
          </cell>
          <cell r="F362">
            <v>40</v>
          </cell>
          <cell r="G362">
            <v>1409881</v>
          </cell>
          <cell r="H362" t="str">
            <v>CM-315:CVR/BS BLACK P/CVRLAST OMG RV160B</v>
          </cell>
          <cell r="I362">
            <v>28336</v>
          </cell>
          <cell r="J362" t="str">
            <v>UN</v>
          </cell>
          <cell r="K362">
            <v>45567</v>
          </cell>
        </row>
        <row r="363">
          <cell r="A363" t="str">
            <v>50800518410</v>
          </cell>
          <cell r="B363" t="str">
            <v>ZMFD</v>
          </cell>
          <cell r="C363">
            <v>45485</v>
          </cell>
          <cell r="D363" t="str">
            <v>Not delivered</v>
          </cell>
          <cell r="E363">
            <v>508005184</v>
          </cell>
          <cell r="F363">
            <v>10</v>
          </cell>
          <cell r="G363">
            <v>1209355</v>
          </cell>
          <cell r="H363" t="str">
            <v>CP-092:VM SLVR WRDH TREAT ESSENCE PTI20F</v>
          </cell>
          <cell r="I363">
            <v>25000</v>
          </cell>
          <cell r="J363" t="str">
            <v>UN</v>
          </cell>
          <cell r="K363">
            <v>45567</v>
          </cell>
        </row>
        <row r="364">
          <cell r="A364" t="str">
            <v>50800516710</v>
          </cell>
          <cell r="B364" t="str">
            <v>ZMFD</v>
          </cell>
          <cell r="C364">
            <v>45476</v>
          </cell>
          <cell r="D364" t="str">
            <v>Not delivered</v>
          </cell>
          <cell r="E364">
            <v>508005167</v>
          </cell>
          <cell r="F364">
            <v>10</v>
          </cell>
          <cell r="G364">
            <v>1408740</v>
          </cell>
          <cell r="H364" t="str">
            <v>PT-097B:BDSR.2 BLU HOUS WHT TRNS PTI12A</v>
          </cell>
          <cell r="I364">
            <v>420000</v>
          </cell>
          <cell r="J364" t="str">
            <v>UN</v>
          </cell>
          <cell r="K364">
            <v>45567</v>
          </cell>
        </row>
        <row r="365">
          <cell r="A365" t="str">
            <v>50800516720</v>
          </cell>
          <cell r="B365" t="str">
            <v>ZMFD</v>
          </cell>
          <cell r="C365">
            <v>45476</v>
          </cell>
          <cell r="D365" t="str">
            <v>Not delivered</v>
          </cell>
          <cell r="E365">
            <v>508005167</v>
          </cell>
          <cell r="F365">
            <v>20</v>
          </cell>
          <cell r="G365">
            <v>1408739</v>
          </cell>
          <cell r="H365" t="str">
            <v>PT-097B:CAP SR.2 BLUE TRANS PTI 12A</v>
          </cell>
          <cell r="I365">
            <v>420000</v>
          </cell>
          <cell r="J365" t="str">
            <v>UN</v>
          </cell>
          <cell r="K365">
            <v>45567</v>
          </cell>
        </row>
        <row r="366">
          <cell r="A366" t="str">
            <v>50800514450</v>
          </cell>
          <cell r="B366" t="str">
            <v>ZMFD</v>
          </cell>
          <cell r="C366">
            <v>45464</v>
          </cell>
          <cell r="D366" t="str">
            <v>Not delivered</v>
          </cell>
          <cell r="E366">
            <v>508005144</v>
          </cell>
          <cell r="F366">
            <v>50</v>
          </cell>
          <cell r="G366">
            <v>1158837</v>
          </cell>
          <cell r="H366" t="str">
            <v>SD-007:SM16 WH SLDR D40 SCREW ORI7.5</v>
          </cell>
          <cell r="I366">
            <v>153000</v>
          </cell>
          <cell r="J366" t="str">
            <v>UN</v>
          </cell>
          <cell r="K366">
            <v>45567</v>
          </cell>
        </row>
        <row r="367">
          <cell r="A367" t="str">
            <v>50714230210</v>
          </cell>
          <cell r="B367" t="str">
            <v>ZMTD</v>
          </cell>
          <cell r="C367">
            <v>45449</v>
          </cell>
          <cell r="D367" t="str">
            <v>Not delivered</v>
          </cell>
          <cell r="E367">
            <v>507142302</v>
          </cell>
          <cell r="F367">
            <v>10</v>
          </cell>
          <cell r="G367">
            <v>1389492</v>
          </cell>
          <cell r="H367" t="str">
            <v>CM-295:GODET POWER BRUNCH G85Y-01-0001</v>
          </cell>
          <cell r="I367">
            <v>10472</v>
          </cell>
          <cell r="J367" t="str">
            <v>UN</v>
          </cell>
          <cell r="K367">
            <v>45567</v>
          </cell>
        </row>
        <row r="368">
          <cell r="A368" t="str">
            <v>50714230510</v>
          </cell>
          <cell r="B368" t="str">
            <v>ZMTD</v>
          </cell>
          <cell r="C368">
            <v>45449</v>
          </cell>
          <cell r="D368" t="str">
            <v>Not delivered</v>
          </cell>
          <cell r="E368">
            <v>507142305</v>
          </cell>
          <cell r="F368">
            <v>10</v>
          </cell>
          <cell r="G368">
            <v>1389305</v>
          </cell>
          <cell r="H368" t="str">
            <v>CM-295:GODET GETAWAY G87E-XX-0091</v>
          </cell>
          <cell r="I368">
            <v>10472</v>
          </cell>
          <cell r="J368" t="str">
            <v>UN</v>
          </cell>
          <cell r="K368">
            <v>45567</v>
          </cell>
        </row>
        <row r="369">
          <cell r="A369" t="str">
            <v>50800509310</v>
          </cell>
          <cell r="B369" t="str">
            <v>ZMFD</v>
          </cell>
          <cell r="C369">
            <v>45449</v>
          </cell>
          <cell r="D369" t="str">
            <v>Not delivered</v>
          </cell>
          <cell r="E369">
            <v>508005093</v>
          </cell>
          <cell r="F369">
            <v>10</v>
          </cell>
          <cell r="G369">
            <v>1390354</v>
          </cell>
          <cell r="H369" t="str">
            <v>CM-294:GODET REBELL. ROSE G0S4-01-0092</v>
          </cell>
          <cell r="I369">
            <v>10472</v>
          </cell>
          <cell r="J369" t="str">
            <v>UN</v>
          </cell>
          <cell r="K369">
            <v>45567</v>
          </cell>
        </row>
        <row r="370">
          <cell r="A370" t="str">
            <v>50800509410</v>
          </cell>
          <cell r="B370" t="str">
            <v>ZMFD</v>
          </cell>
          <cell r="C370">
            <v>45449</v>
          </cell>
          <cell r="D370" t="str">
            <v>Not delivered</v>
          </cell>
          <cell r="E370">
            <v>508005094</v>
          </cell>
          <cell r="F370">
            <v>10</v>
          </cell>
          <cell r="G370">
            <v>1388946</v>
          </cell>
          <cell r="H370" t="str">
            <v>CM-294:GODET PINK KISS G0S4-02-0092</v>
          </cell>
          <cell r="I370">
            <v>10472</v>
          </cell>
          <cell r="J370" t="str">
            <v>UN</v>
          </cell>
          <cell r="K370">
            <v>45567</v>
          </cell>
        </row>
        <row r="371">
          <cell r="A371" t="str">
            <v>50800509510</v>
          </cell>
          <cell r="B371" t="str">
            <v>ZMFD</v>
          </cell>
          <cell r="C371">
            <v>45449</v>
          </cell>
          <cell r="D371" t="str">
            <v>Not delivered</v>
          </cell>
          <cell r="E371">
            <v>508005095</v>
          </cell>
          <cell r="F371">
            <v>10</v>
          </cell>
          <cell r="G371">
            <v>1388947</v>
          </cell>
          <cell r="H371" t="str">
            <v>CM-294:GODET POSITIV PEONY G0S4-03-0092</v>
          </cell>
          <cell r="I371">
            <v>10472</v>
          </cell>
          <cell r="J371" t="str">
            <v>UN</v>
          </cell>
          <cell r="K371">
            <v>45567</v>
          </cell>
        </row>
        <row r="372">
          <cell r="A372" t="str">
            <v>50714230010</v>
          </cell>
          <cell r="B372" t="str">
            <v>ZMTD</v>
          </cell>
          <cell r="C372">
            <v>45448</v>
          </cell>
          <cell r="D372" t="str">
            <v>Not delivered</v>
          </cell>
          <cell r="E372">
            <v>507142300</v>
          </cell>
          <cell r="F372">
            <v>10</v>
          </cell>
          <cell r="G372">
            <v>1389249</v>
          </cell>
          <cell r="H372" t="str">
            <v>CM-295:GODET GALLERY HOPE G85W-01-0091</v>
          </cell>
          <cell r="I372">
            <v>10472</v>
          </cell>
          <cell r="J372" t="str">
            <v>UN</v>
          </cell>
          <cell r="K372">
            <v>45567</v>
          </cell>
        </row>
        <row r="373">
          <cell r="A373" t="str">
            <v>50714230110</v>
          </cell>
          <cell r="B373" t="str">
            <v>ZMTD</v>
          </cell>
          <cell r="C373">
            <v>45448</v>
          </cell>
          <cell r="D373" t="str">
            <v>Not delivered</v>
          </cell>
          <cell r="E373">
            <v>507142301</v>
          </cell>
          <cell r="F373">
            <v>10</v>
          </cell>
          <cell r="G373">
            <v>1389293</v>
          </cell>
          <cell r="H373" t="str">
            <v>CM-295:GODET PRENUP G85X-01-0091</v>
          </cell>
          <cell r="I373">
            <v>10472</v>
          </cell>
          <cell r="J373" t="str">
            <v>UN</v>
          </cell>
          <cell r="K373">
            <v>45567</v>
          </cell>
        </row>
        <row r="374">
          <cell r="A374" t="str">
            <v>50800507410</v>
          </cell>
          <cell r="B374" t="str">
            <v>ZMFD</v>
          </cell>
          <cell r="C374">
            <v>45433</v>
          </cell>
          <cell r="D374" t="str">
            <v>Not delivered</v>
          </cell>
          <cell r="E374">
            <v>508005074</v>
          </cell>
          <cell r="F374">
            <v>10</v>
          </cell>
          <cell r="G374">
            <v>1169047</v>
          </cell>
          <cell r="H374" t="str">
            <v>LS-285:B V/SL P/1PS SLEV H/SL BLM PTI20R</v>
          </cell>
          <cell r="I374">
            <v>25536</v>
          </cell>
          <cell r="J374" t="str">
            <v>UN</v>
          </cell>
          <cell r="K374">
            <v>45567</v>
          </cell>
        </row>
        <row r="375">
          <cell r="A375" t="str">
            <v>50800507420</v>
          </cell>
          <cell r="B375" t="str">
            <v>ZMFD</v>
          </cell>
          <cell r="C375">
            <v>45433</v>
          </cell>
          <cell r="D375" t="str">
            <v>Not delivered</v>
          </cell>
          <cell r="E375">
            <v>508005074</v>
          </cell>
          <cell r="F375">
            <v>20</v>
          </cell>
          <cell r="G375">
            <v>1169062</v>
          </cell>
          <cell r="H375" t="str">
            <v>LS-285:CV TRANS MATE 1 P/1PS VAR2 PTI40H</v>
          </cell>
          <cell r="I375">
            <v>25536</v>
          </cell>
          <cell r="J375" t="str">
            <v>UN</v>
          </cell>
          <cell r="K375">
            <v>45567</v>
          </cell>
        </row>
        <row r="376">
          <cell r="A376" t="str">
            <v>50800493050</v>
          </cell>
          <cell r="B376" t="str">
            <v>ZMFD</v>
          </cell>
          <cell r="C376">
            <v>45364</v>
          </cell>
          <cell r="D376" t="str">
            <v>Not delivered</v>
          </cell>
          <cell r="E376">
            <v>508004930</v>
          </cell>
          <cell r="F376">
            <v>50</v>
          </cell>
          <cell r="G376">
            <v>1159912</v>
          </cell>
          <cell r="H376" t="str">
            <v>CP-064:CAP 25 SCREW BLK MT L'OREAL</v>
          </cell>
          <cell r="I376">
            <v>150000</v>
          </cell>
          <cell r="J376" t="str">
            <v>UN</v>
          </cell>
          <cell r="K376">
            <v>45567</v>
          </cell>
        </row>
        <row r="377">
          <cell r="A377" t="str">
            <v>50714273910</v>
          </cell>
          <cell r="B377" t="str">
            <v>ZMTD</v>
          </cell>
          <cell r="C377">
            <v>45544</v>
          </cell>
          <cell r="D377" t="str">
            <v>Not delivered</v>
          </cell>
          <cell r="E377">
            <v>507142739</v>
          </cell>
          <cell r="F377">
            <v>10</v>
          </cell>
          <cell r="G377">
            <v>1409881</v>
          </cell>
          <cell r="H377" t="str">
            <v>CM-315:CVR/BS BLACK P/CVRLAST OMG RV160B</v>
          </cell>
          <cell r="I377">
            <v>21868</v>
          </cell>
          <cell r="J377" t="str">
            <v>UN</v>
          </cell>
          <cell r="K377">
            <v>45568</v>
          </cell>
        </row>
        <row r="378">
          <cell r="A378" t="str">
            <v>507142721100</v>
          </cell>
          <cell r="B378" t="str">
            <v>ZMTD</v>
          </cell>
          <cell r="C378">
            <v>45539</v>
          </cell>
          <cell r="D378" t="str">
            <v>Not delivered</v>
          </cell>
          <cell r="E378">
            <v>507142721</v>
          </cell>
          <cell r="F378">
            <v>100</v>
          </cell>
          <cell r="G378">
            <v>1437039</v>
          </cell>
          <cell r="H378" t="str">
            <v>CM-290:1PC BS CV MT.BLK S/ EMBOS OMG 40C</v>
          </cell>
          <cell r="I378">
            <v>35112</v>
          </cell>
          <cell r="J378" t="str">
            <v>UN</v>
          </cell>
          <cell r="K378">
            <v>45568</v>
          </cell>
        </row>
        <row r="379">
          <cell r="A379" t="str">
            <v>50714262530</v>
          </cell>
          <cell r="B379" t="str">
            <v>ZMTD</v>
          </cell>
          <cell r="C379">
            <v>45513</v>
          </cell>
          <cell r="D379" t="str">
            <v>Not delivered</v>
          </cell>
          <cell r="E379">
            <v>507142625</v>
          </cell>
          <cell r="F379">
            <v>30</v>
          </cell>
          <cell r="G379">
            <v>1305089</v>
          </cell>
          <cell r="H379" t="str">
            <v>CM-207:VM SHY SLV P/MATTE ZGH6010038 EL</v>
          </cell>
          <cell r="I379">
            <v>25920</v>
          </cell>
          <cell r="J379" t="str">
            <v>UN</v>
          </cell>
          <cell r="K379">
            <v>45568</v>
          </cell>
        </row>
        <row r="380">
          <cell r="A380" t="str">
            <v>50714180730</v>
          </cell>
          <cell r="B380" t="str">
            <v>ZMTD</v>
          </cell>
          <cell r="C380">
            <v>45350</v>
          </cell>
          <cell r="D380" t="str">
            <v>Not delivered</v>
          </cell>
          <cell r="E380">
            <v>507141807</v>
          </cell>
          <cell r="F380">
            <v>30</v>
          </cell>
          <cell r="G380">
            <v>1404888</v>
          </cell>
          <cell r="H380" t="str">
            <v>LS-091:BS MGNTA P/SHEER COLOR ROHTO 60B</v>
          </cell>
          <cell r="I380">
            <v>14820</v>
          </cell>
          <cell r="J380" t="str">
            <v>UN</v>
          </cell>
          <cell r="K380">
            <v>45568</v>
          </cell>
        </row>
        <row r="381">
          <cell r="A381" t="str">
            <v>50714180740</v>
          </cell>
          <cell r="B381" t="str">
            <v>ZMTD</v>
          </cell>
          <cell r="C381">
            <v>45350</v>
          </cell>
          <cell r="D381" t="str">
            <v>Not delivered</v>
          </cell>
          <cell r="E381">
            <v>507141807</v>
          </cell>
          <cell r="F381">
            <v>40</v>
          </cell>
          <cell r="G381">
            <v>1404887</v>
          </cell>
          <cell r="H381" t="str">
            <v>LS-091:CVR MGNTA GRAD UV P/APPLE ROHTO</v>
          </cell>
          <cell r="I381">
            <v>14820</v>
          </cell>
          <cell r="J381" t="str">
            <v>UN</v>
          </cell>
          <cell r="K381">
            <v>45568</v>
          </cell>
        </row>
        <row r="382">
          <cell r="A382" t="str">
            <v>50714273510</v>
          </cell>
          <cell r="B382" t="str">
            <v>ZMTD</v>
          </cell>
          <cell r="C382">
            <v>45544</v>
          </cell>
          <cell r="D382" t="str">
            <v>Not delivered</v>
          </cell>
          <cell r="E382">
            <v>507142735</v>
          </cell>
          <cell r="F382">
            <v>10</v>
          </cell>
          <cell r="G382">
            <v>1417990</v>
          </cell>
          <cell r="H382" t="str">
            <v>LC-009:BTL #2#3 INNER CLR P/OMG PTIPT60B</v>
          </cell>
          <cell r="I382">
            <v>400050</v>
          </cell>
          <cell r="J382" t="str">
            <v>UN</v>
          </cell>
          <cell r="K382">
            <v>45569</v>
          </cell>
        </row>
        <row r="383">
          <cell r="A383" t="str">
            <v>50714273520</v>
          </cell>
          <cell r="B383" t="str">
            <v>ZMTD</v>
          </cell>
          <cell r="C383">
            <v>45544</v>
          </cell>
          <cell r="D383" t="str">
            <v>Not delivered</v>
          </cell>
          <cell r="E383">
            <v>507142735</v>
          </cell>
          <cell r="F383">
            <v>20</v>
          </cell>
          <cell r="G383">
            <v>1417978</v>
          </cell>
          <cell r="H383" t="str">
            <v>LC-009:CAP #2#3 REDTR WIP S/OMG PTIPT60B</v>
          </cell>
          <cell r="I383">
            <v>400050</v>
          </cell>
          <cell r="J383" t="str">
            <v>UN</v>
          </cell>
          <cell r="K383">
            <v>45569</v>
          </cell>
        </row>
        <row r="384">
          <cell r="A384" t="str">
            <v>50714271610</v>
          </cell>
          <cell r="B384" t="str">
            <v>ZMTD</v>
          </cell>
          <cell r="C384">
            <v>45538</v>
          </cell>
          <cell r="D384" t="str">
            <v>Not delivered</v>
          </cell>
          <cell r="E384">
            <v>507142716</v>
          </cell>
          <cell r="F384">
            <v>10</v>
          </cell>
          <cell r="G384">
            <v>1232979</v>
          </cell>
          <cell r="H384" t="str">
            <v>LC-004:CAP BLK WIP NAT NODC MLA 12A</v>
          </cell>
          <cell r="I384">
            <v>18000</v>
          </cell>
          <cell r="J384" t="str">
            <v>UN</v>
          </cell>
          <cell r="K384">
            <v>45569</v>
          </cell>
        </row>
        <row r="385">
          <cell r="A385" t="str">
            <v>50714271620</v>
          </cell>
          <cell r="B385" t="str">
            <v>ZMTD</v>
          </cell>
          <cell r="C385">
            <v>45538</v>
          </cell>
          <cell r="D385" t="str">
            <v>Not delivered</v>
          </cell>
          <cell r="E385">
            <v>507142716</v>
          </cell>
          <cell r="F385">
            <v>20</v>
          </cell>
          <cell r="G385">
            <v>1233020</v>
          </cell>
          <cell r="H385" t="str">
            <v>LC-004:BTL CLR CL BLK P/SR12MATTE MLA60B</v>
          </cell>
          <cell r="I385">
            <v>18000</v>
          </cell>
          <cell r="J385" t="str">
            <v>UN</v>
          </cell>
          <cell r="K385">
            <v>45569</v>
          </cell>
        </row>
        <row r="386">
          <cell r="A386" t="str">
            <v>50714270070</v>
          </cell>
          <cell r="B386" t="str">
            <v>ZMTD</v>
          </cell>
          <cell r="C386">
            <v>45533</v>
          </cell>
          <cell r="D386" t="str">
            <v>Not delivered</v>
          </cell>
          <cell r="E386">
            <v>507142700</v>
          </cell>
          <cell r="F386">
            <v>70</v>
          </cell>
          <cell r="G386">
            <v>1417990</v>
          </cell>
          <cell r="H386" t="str">
            <v>LC-009:BTL #2#3 INNER CLR P/OMG PTIPT60B</v>
          </cell>
          <cell r="I386">
            <v>200970</v>
          </cell>
          <cell r="J386" t="str">
            <v>UN</v>
          </cell>
          <cell r="K386">
            <v>45569</v>
          </cell>
        </row>
        <row r="387">
          <cell r="A387" t="str">
            <v>50714270080</v>
          </cell>
          <cell r="B387" t="str">
            <v>ZMTD</v>
          </cell>
          <cell r="C387">
            <v>45533</v>
          </cell>
          <cell r="D387" t="str">
            <v>Not delivered</v>
          </cell>
          <cell r="E387">
            <v>507142700</v>
          </cell>
          <cell r="F387">
            <v>80</v>
          </cell>
          <cell r="G387">
            <v>1417978</v>
          </cell>
          <cell r="H387" t="str">
            <v>LC-009:CAP #2#3 REDTR WIP S/OMG PTIPT60B</v>
          </cell>
          <cell r="I387">
            <v>200970</v>
          </cell>
          <cell r="J387" t="str">
            <v>UN</v>
          </cell>
          <cell r="K387">
            <v>45569</v>
          </cell>
        </row>
        <row r="388">
          <cell r="A388" t="str">
            <v>50714267970</v>
          </cell>
          <cell r="B388" t="str">
            <v>ZMTD</v>
          </cell>
          <cell r="C388">
            <v>45530</v>
          </cell>
          <cell r="D388" t="str">
            <v>Partially delivered</v>
          </cell>
          <cell r="E388">
            <v>507142679</v>
          </cell>
          <cell r="F388">
            <v>70</v>
          </cell>
          <cell r="G388">
            <v>1167571</v>
          </cell>
          <cell r="H388" t="str">
            <v>FP-014:BS CLEAR NO DC PTI</v>
          </cell>
          <cell r="I388">
            <v>19872</v>
          </cell>
          <cell r="J388" t="str">
            <v>UN</v>
          </cell>
          <cell r="K388">
            <v>45569</v>
          </cell>
        </row>
        <row r="389">
          <cell r="A389" t="str">
            <v>50714267980</v>
          </cell>
          <cell r="B389" t="str">
            <v>ZMTD</v>
          </cell>
          <cell r="C389">
            <v>45530</v>
          </cell>
          <cell r="D389" t="str">
            <v>Partially delivered</v>
          </cell>
          <cell r="E389">
            <v>507142679</v>
          </cell>
          <cell r="F389">
            <v>80</v>
          </cell>
          <cell r="G389">
            <v>1167434</v>
          </cell>
          <cell r="H389" t="str">
            <v>FP-014:SFTR NATURAL W/ LABEL POLOS PTI</v>
          </cell>
          <cell r="I389">
            <v>19872</v>
          </cell>
          <cell r="J389" t="str">
            <v>UN</v>
          </cell>
          <cell r="K389">
            <v>45569</v>
          </cell>
        </row>
        <row r="390">
          <cell r="A390" t="str">
            <v>50714267990</v>
          </cell>
          <cell r="B390" t="str">
            <v>ZMTD</v>
          </cell>
          <cell r="C390">
            <v>45530</v>
          </cell>
          <cell r="D390" t="str">
            <v>Partially delivered</v>
          </cell>
          <cell r="E390">
            <v>507142679</v>
          </cell>
          <cell r="F390">
            <v>90</v>
          </cell>
          <cell r="G390">
            <v>1174020</v>
          </cell>
          <cell r="H390" t="str">
            <v>FP-014:CVR BLCK COAT P/DC MAKE OVER  PTI</v>
          </cell>
          <cell r="I390">
            <v>19872</v>
          </cell>
          <cell r="J390" t="str">
            <v>UN</v>
          </cell>
          <cell r="K390">
            <v>45569</v>
          </cell>
        </row>
        <row r="391">
          <cell r="A391" t="str">
            <v>50714268030</v>
          </cell>
          <cell r="B391" t="str">
            <v>ZMTD</v>
          </cell>
          <cell r="C391">
            <v>45530</v>
          </cell>
          <cell r="D391" t="str">
            <v>Not delivered</v>
          </cell>
          <cell r="E391">
            <v>507142680</v>
          </cell>
          <cell r="F391">
            <v>30</v>
          </cell>
          <cell r="G391">
            <v>1209411</v>
          </cell>
          <cell r="H391" t="str">
            <v>FP-014:CV BLK SLV/QUEEN BS M.CLR VTPR</v>
          </cell>
          <cell r="I391">
            <v>24960</v>
          </cell>
          <cell r="J391" t="str">
            <v>UN</v>
          </cell>
          <cell r="K391">
            <v>45569</v>
          </cell>
        </row>
        <row r="392">
          <cell r="A392" t="str">
            <v>50714268040</v>
          </cell>
          <cell r="B392" t="str">
            <v>ZMTD</v>
          </cell>
          <cell r="C392">
            <v>45530</v>
          </cell>
          <cell r="D392" t="str">
            <v>Not delivered</v>
          </cell>
          <cell r="E392">
            <v>507142680</v>
          </cell>
          <cell r="F392">
            <v>40</v>
          </cell>
          <cell r="G392">
            <v>1209412</v>
          </cell>
          <cell r="H392" t="str">
            <v>FP-014:SFTR W/ WHITE LABEL VTPHARM</v>
          </cell>
          <cell r="I392">
            <v>24960</v>
          </cell>
          <cell r="J392" t="str">
            <v>UN</v>
          </cell>
          <cell r="K392">
            <v>45569</v>
          </cell>
        </row>
        <row r="393">
          <cell r="A393" t="str">
            <v>50800525810</v>
          </cell>
          <cell r="B393" t="str">
            <v>ZMFD</v>
          </cell>
          <cell r="C393">
            <v>45523</v>
          </cell>
          <cell r="D393" t="str">
            <v>Not delivered</v>
          </cell>
          <cell r="E393">
            <v>508005258</v>
          </cell>
          <cell r="F393">
            <v>10</v>
          </cell>
          <cell r="G393">
            <v>1168132</v>
          </cell>
          <cell r="H393" t="str">
            <v>LS-285:BS WHT NO DC WARDAH</v>
          </cell>
          <cell r="I393">
            <v>115000</v>
          </cell>
          <cell r="J393" t="str">
            <v>UN</v>
          </cell>
          <cell r="K393">
            <v>45569</v>
          </cell>
        </row>
        <row r="394">
          <cell r="A394" t="str">
            <v>50800525820</v>
          </cell>
          <cell r="B394" t="str">
            <v>ZMFD</v>
          </cell>
          <cell r="C394">
            <v>45523</v>
          </cell>
          <cell r="D394" t="str">
            <v>Not delivered</v>
          </cell>
          <cell r="E394">
            <v>508005258</v>
          </cell>
          <cell r="F394">
            <v>20</v>
          </cell>
          <cell r="G394">
            <v>1421418</v>
          </cell>
          <cell r="H394" t="str">
            <v>LS-285:CV RED P/WHT UV STRAWBERY PTI 30O</v>
          </cell>
          <cell r="I394">
            <v>115000</v>
          </cell>
          <cell r="J394" t="str">
            <v>UN</v>
          </cell>
          <cell r="K394">
            <v>45569</v>
          </cell>
        </row>
        <row r="395">
          <cell r="A395" t="str">
            <v>50800523510</v>
          </cell>
          <cell r="B395" t="str">
            <v>ZMFD</v>
          </cell>
          <cell r="C395">
            <v>45505</v>
          </cell>
          <cell r="D395" t="str">
            <v>Not delivered</v>
          </cell>
          <cell r="E395">
            <v>508005235</v>
          </cell>
          <cell r="F395">
            <v>10</v>
          </cell>
          <cell r="G395">
            <v>1332995</v>
          </cell>
          <cell r="H395" t="str">
            <v>LC-008:CAP VM SLV WIP NAT EMLC PTI 20F</v>
          </cell>
          <cell r="I395">
            <v>100000</v>
          </cell>
          <cell r="J395" t="str">
            <v>UN</v>
          </cell>
          <cell r="K395">
            <v>45569</v>
          </cell>
        </row>
        <row r="396">
          <cell r="A396" t="str">
            <v>50800523520</v>
          </cell>
          <cell r="B396" t="str">
            <v>ZMFD</v>
          </cell>
          <cell r="C396">
            <v>45505</v>
          </cell>
          <cell r="D396" t="str">
            <v>Not delivered</v>
          </cell>
          <cell r="E396">
            <v>508005235</v>
          </cell>
          <cell r="F396">
            <v>20</v>
          </cell>
          <cell r="G396">
            <v>1434959</v>
          </cell>
          <cell r="H396" t="str">
            <v>LC-008:BTL CLR (PCTG) P/WHT EMLC PTI 60B</v>
          </cell>
          <cell r="I396">
            <v>100000</v>
          </cell>
          <cell r="J396" t="str">
            <v>UN</v>
          </cell>
          <cell r="K396">
            <v>45569</v>
          </cell>
        </row>
        <row r="397">
          <cell r="A397" t="str">
            <v>50800517310</v>
          </cell>
          <cell r="B397" t="str">
            <v>ZMFD</v>
          </cell>
          <cell r="C397">
            <v>45481</v>
          </cell>
          <cell r="D397" t="str">
            <v>Not delivered</v>
          </cell>
          <cell r="E397">
            <v>508005173</v>
          </cell>
          <cell r="F397">
            <v>10</v>
          </cell>
          <cell r="G397">
            <v>1226229</v>
          </cell>
          <cell r="H397" t="str">
            <v>LC-004:BTL CLR S/P/WRDH EVERDAY PTI 60B</v>
          </cell>
          <cell r="I397">
            <v>100000</v>
          </cell>
          <cell r="J397" t="str">
            <v>UN</v>
          </cell>
          <cell r="K397">
            <v>45569</v>
          </cell>
        </row>
        <row r="398">
          <cell r="A398" t="str">
            <v>50800517320</v>
          </cell>
          <cell r="B398" t="str">
            <v>ZMFD</v>
          </cell>
          <cell r="C398">
            <v>45481</v>
          </cell>
          <cell r="D398" t="str">
            <v>Not delivered</v>
          </cell>
          <cell r="E398">
            <v>508005173</v>
          </cell>
          <cell r="F398">
            <v>20</v>
          </cell>
          <cell r="G398">
            <v>1226320</v>
          </cell>
          <cell r="H398" t="str">
            <v>LC-004:CAP WHT WIP WRDH EVERDAY PTI 60B</v>
          </cell>
          <cell r="I398">
            <v>100000</v>
          </cell>
          <cell r="J398" t="str">
            <v>UN</v>
          </cell>
          <cell r="K398">
            <v>45569</v>
          </cell>
        </row>
        <row r="399">
          <cell r="A399" t="str">
            <v>50800517410</v>
          </cell>
          <cell r="B399" t="str">
            <v>ZMFD</v>
          </cell>
          <cell r="C399">
            <v>45481</v>
          </cell>
          <cell r="D399" t="str">
            <v>Not delivered</v>
          </cell>
          <cell r="E399">
            <v>508005174</v>
          </cell>
          <cell r="F399">
            <v>10</v>
          </cell>
          <cell r="G399">
            <v>1261370</v>
          </cell>
          <cell r="H399" t="str">
            <v>CP-090:CAP ADORE VMPURPLE NOEMBOS PTI20F</v>
          </cell>
          <cell r="I399">
            <v>25000</v>
          </cell>
          <cell r="J399" t="str">
            <v>UN</v>
          </cell>
          <cell r="K399">
            <v>45569</v>
          </cell>
        </row>
        <row r="400">
          <cell r="A400" t="str">
            <v>50714242610</v>
          </cell>
          <cell r="B400" t="str">
            <v>ZMTD</v>
          </cell>
          <cell r="C400">
            <v>45475</v>
          </cell>
          <cell r="D400" t="str">
            <v>Not delivered</v>
          </cell>
          <cell r="E400">
            <v>507142426</v>
          </cell>
          <cell r="F400">
            <v>10</v>
          </cell>
          <cell r="G400">
            <v>1160336</v>
          </cell>
          <cell r="H400" t="str">
            <v>CP-071:CP8364 TNR WPRL 200 REX IS 763</v>
          </cell>
          <cell r="I400">
            <v>43500</v>
          </cell>
          <cell r="J400" t="str">
            <v>UN</v>
          </cell>
          <cell r="K400">
            <v>45569</v>
          </cell>
        </row>
        <row r="401">
          <cell r="A401" t="str">
            <v>50714242910</v>
          </cell>
          <cell r="B401" t="str">
            <v>ZMTD</v>
          </cell>
          <cell r="C401">
            <v>45475</v>
          </cell>
          <cell r="D401" t="str">
            <v>Not delivered</v>
          </cell>
          <cell r="E401">
            <v>507142429</v>
          </cell>
          <cell r="F401">
            <v>10</v>
          </cell>
          <cell r="G401">
            <v>1160336</v>
          </cell>
          <cell r="H401" t="str">
            <v>CP-071:CP8364 TNR WPRL 200 REX IS 763</v>
          </cell>
          <cell r="I401">
            <v>87000</v>
          </cell>
          <cell r="J401" t="str">
            <v>UN</v>
          </cell>
          <cell r="K401">
            <v>45569</v>
          </cell>
        </row>
        <row r="402">
          <cell r="A402" t="str">
            <v>50800515920</v>
          </cell>
          <cell r="B402" t="str">
            <v>ZMFD</v>
          </cell>
          <cell r="C402">
            <v>45475</v>
          </cell>
          <cell r="D402" t="str">
            <v>Not delivered</v>
          </cell>
          <cell r="E402">
            <v>508005159</v>
          </cell>
          <cell r="F402">
            <v>20</v>
          </cell>
          <cell r="G402">
            <v>1285116</v>
          </cell>
          <cell r="H402" t="str">
            <v>CM-292:CV/BS MTBLK LENS S/SLV MO PTI 40C</v>
          </cell>
          <cell r="I402">
            <v>100000</v>
          </cell>
          <cell r="J402" t="str">
            <v>UN</v>
          </cell>
          <cell r="K402">
            <v>45569</v>
          </cell>
        </row>
        <row r="403">
          <cell r="A403" t="str">
            <v>50800514810</v>
          </cell>
          <cell r="B403" t="str">
            <v>ZMFD</v>
          </cell>
          <cell r="C403">
            <v>45464</v>
          </cell>
          <cell r="D403" t="str">
            <v>Not delivered</v>
          </cell>
          <cell r="E403">
            <v>508005148</v>
          </cell>
          <cell r="F403">
            <v>10</v>
          </cell>
          <cell r="G403">
            <v>1424980</v>
          </cell>
          <cell r="H403" t="str">
            <v>CP-093R:CAP D50 MT.YELOW Ø.5 YASULOR 12A</v>
          </cell>
          <cell r="I403">
            <v>110000</v>
          </cell>
          <cell r="J403" t="str">
            <v>UN</v>
          </cell>
          <cell r="K403">
            <v>45569</v>
          </cell>
        </row>
        <row r="404">
          <cell r="A404" t="str">
            <v>50800513010</v>
          </cell>
          <cell r="B404" t="str">
            <v>ZMFD</v>
          </cell>
          <cell r="C404">
            <v>45455</v>
          </cell>
          <cell r="D404" t="str">
            <v>Not delivered</v>
          </cell>
          <cell r="E404">
            <v>508005130</v>
          </cell>
          <cell r="F404">
            <v>10</v>
          </cell>
          <cell r="G404">
            <v>1386990</v>
          </cell>
          <cell r="H404" t="str">
            <v>CM-099:CVR BS MTBEIGE P/QUAD RV1 PTI 40H</v>
          </cell>
          <cell r="I404">
            <v>20000</v>
          </cell>
          <cell r="J404" t="str">
            <v>UN</v>
          </cell>
          <cell r="K404">
            <v>45569</v>
          </cell>
        </row>
        <row r="405">
          <cell r="A405" t="str">
            <v>50800507110</v>
          </cell>
          <cell r="B405" t="str">
            <v>ZMFD</v>
          </cell>
          <cell r="C405">
            <v>45433</v>
          </cell>
          <cell r="D405" t="str">
            <v>Not delivered</v>
          </cell>
          <cell r="E405">
            <v>508005071</v>
          </cell>
          <cell r="F405">
            <v>10</v>
          </cell>
          <cell r="G405">
            <v>1171525</v>
          </cell>
          <cell r="H405" t="str">
            <v>CM-172:CVR MTLCGREN UV BS CLR P/WRDAH30C</v>
          </cell>
          <cell r="I405">
            <v>30000</v>
          </cell>
          <cell r="J405" t="str">
            <v>UN</v>
          </cell>
          <cell r="K405">
            <v>45569</v>
          </cell>
        </row>
        <row r="406">
          <cell r="A406" t="str">
            <v>50714276210</v>
          </cell>
          <cell r="B406" t="str">
            <v>ZMTD</v>
          </cell>
          <cell r="C406">
            <v>45552</v>
          </cell>
          <cell r="D406" t="str">
            <v>Not delivered</v>
          </cell>
          <cell r="E406">
            <v>507142762</v>
          </cell>
          <cell r="F406">
            <v>10</v>
          </cell>
          <cell r="G406">
            <v>1191832</v>
          </cell>
          <cell r="H406" t="str">
            <v>PT-085:BS CP INS 15GR WHITE ND 12A</v>
          </cell>
          <cell r="I406">
            <v>40000</v>
          </cell>
          <cell r="J406" t="str">
            <v>UN</v>
          </cell>
          <cell r="K406">
            <v>45570</v>
          </cell>
        </row>
        <row r="407">
          <cell r="A407" t="str">
            <v>50714263220</v>
          </cell>
          <cell r="B407" t="str">
            <v>ZMTD</v>
          </cell>
          <cell r="C407">
            <v>45517</v>
          </cell>
          <cell r="D407" t="str">
            <v>Not delivered</v>
          </cell>
          <cell r="E407">
            <v>507142632</v>
          </cell>
          <cell r="F407">
            <v>20</v>
          </cell>
          <cell r="G407">
            <v>1371896</v>
          </cell>
          <cell r="H407" t="str">
            <v>RX-056:CM-316 CVR BLUE P/WHT SP/MTCLR</v>
          </cell>
          <cell r="I407">
            <v>110016</v>
          </cell>
          <cell r="J407" t="str">
            <v>UN</v>
          </cell>
          <cell r="K407">
            <v>45570</v>
          </cell>
        </row>
        <row r="408">
          <cell r="A408" t="str">
            <v>50714277010</v>
          </cell>
          <cell r="B408" t="str">
            <v>ZMTD</v>
          </cell>
          <cell r="C408">
            <v>45554</v>
          </cell>
          <cell r="D408" t="str">
            <v>Not delivered</v>
          </cell>
          <cell r="E408">
            <v>507142770</v>
          </cell>
          <cell r="F408">
            <v>10</v>
          </cell>
          <cell r="G408">
            <v>1378563</v>
          </cell>
          <cell r="H408" t="str">
            <v>CP-093:CAP D50 MT BLACK Ø.5 YASULOR 12A</v>
          </cell>
          <cell r="I408">
            <v>600000</v>
          </cell>
          <cell r="J408" t="str">
            <v>UN</v>
          </cell>
          <cell r="K408">
            <v>45572</v>
          </cell>
        </row>
        <row r="409">
          <cell r="A409" t="str">
            <v>50714273210</v>
          </cell>
          <cell r="B409" t="str">
            <v>ZMTD</v>
          </cell>
          <cell r="C409">
            <v>45544</v>
          </cell>
          <cell r="D409" t="str">
            <v>Not delivered</v>
          </cell>
          <cell r="E409">
            <v>507142732</v>
          </cell>
          <cell r="F409">
            <v>10</v>
          </cell>
          <cell r="G409">
            <v>1411213</v>
          </cell>
          <cell r="H409" t="str">
            <v>CM-105:BLCK COAT P/MAKE OVER PTI RV1 40H</v>
          </cell>
          <cell r="I409">
            <v>20160</v>
          </cell>
          <cell r="J409" t="str">
            <v>UN</v>
          </cell>
          <cell r="K409">
            <v>45572</v>
          </cell>
        </row>
        <row r="410">
          <cell r="A410" t="str">
            <v>50714273410</v>
          </cell>
          <cell r="B410" t="str">
            <v>ZMTD</v>
          </cell>
          <cell r="C410">
            <v>45544</v>
          </cell>
          <cell r="D410" t="str">
            <v>Not delivered</v>
          </cell>
          <cell r="E410">
            <v>507142734</v>
          </cell>
          <cell r="F410">
            <v>10</v>
          </cell>
          <cell r="G410">
            <v>1388036</v>
          </cell>
          <cell r="H410" t="str">
            <v>CM-253:CV BS MTMAUVE P/C.BLSH RV1 PTI40H</v>
          </cell>
          <cell r="I410">
            <v>15120</v>
          </cell>
          <cell r="J410" t="str">
            <v>UN</v>
          </cell>
          <cell r="K410">
            <v>45572</v>
          </cell>
        </row>
        <row r="411">
          <cell r="A411" t="str">
            <v>50714265710</v>
          </cell>
          <cell r="B411" t="str">
            <v>ZMTD</v>
          </cell>
          <cell r="C411">
            <v>45524</v>
          </cell>
          <cell r="D411" t="str">
            <v>Not delivered</v>
          </cell>
          <cell r="E411">
            <v>507142657</v>
          </cell>
          <cell r="F411">
            <v>10</v>
          </cell>
          <cell r="G411">
            <v>1163327</v>
          </cell>
          <cell r="H411" t="str">
            <v>CM-246:CVR S.SLV PAN WHITE 6MPY 01 0034</v>
          </cell>
          <cell r="I411">
            <v>25056</v>
          </cell>
          <cell r="J411" t="str">
            <v>UN</v>
          </cell>
          <cell r="K411">
            <v>45572</v>
          </cell>
        </row>
        <row r="412">
          <cell r="A412" t="str">
            <v>50714261610</v>
          </cell>
          <cell r="B412" t="str">
            <v>ZMTD</v>
          </cell>
          <cell r="C412">
            <v>45511</v>
          </cell>
          <cell r="D412" t="str">
            <v>Not delivered</v>
          </cell>
          <cell r="E412">
            <v>507142616</v>
          </cell>
          <cell r="F412">
            <v>10</v>
          </cell>
          <cell r="G412">
            <v>1229927</v>
          </cell>
          <cell r="H412" t="str">
            <v>CM-273:INJ WHT 1PHS PURP PRSNAL COLCTION</v>
          </cell>
          <cell r="I412">
            <v>50000</v>
          </cell>
          <cell r="J412" t="str">
            <v>UN</v>
          </cell>
          <cell r="K412">
            <v>45572</v>
          </cell>
        </row>
        <row r="413">
          <cell r="A413" t="str">
            <v>50800525010</v>
          </cell>
          <cell r="B413" t="str">
            <v>ZMFD</v>
          </cell>
          <cell r="C413">
            <v>45511</v>
          </cell>
          <cell r="D413" t="str">
            <v>Not delivered</v>
          </cell>
          <cell r="E413">
            <v>508005250</v>
          </cell>
          <cell r="F413">
            <v>10</v>
          </cell>
          <cell r="G413">
            <v>1402678</v>
          </cell>
          <cell r="H413" t="str">
            <v>LS-285:BS GREEN NO DC WARDAH 12A</v>
          </cell>
          <cell r="I413">
            <v>10000</v>
          </cell>
          <cell r="J413" t="str">
            <v>UN</v>
          </cell>
          <cell r="K413">
            <v>45572</v>
          </cell>
        </row>
        <row r="414">
          <cell r="A414" t="str">
            <v>50800525020</v>
          </cell>
          <cell r="B414" t="str">
            <v>ZMFD</v>
          </cell>
          <cell r="C414">
            <v>45511</v>
          </cell>
          <cell r="D414" t="str">
            <v>Not delivered</v>
          </cell>
          <cell r="E414">
            <v>508005250</v>
          </cell>
          <cell r="F414">
            <v>20</v>
          </cell>
          <cell r="G414">
            <v>1402740</v>
          </cell>
          <cell r="H414" t="str">
            <v>LS-285:CV MTWHT P/WRDH LIPBLMHAJJ PTI40H</v>
          </cell>
          <cell r="I414">
            <v>10000</v>
          </cell>
          <cell r="J414" t="str">
            <v>UN</v>
          </cell>
          <cell r="K414">
            <v>45572</v>
          </cell>
        </row>
        <row r="415">
          <cell r="A415" t="str">
            <v>50714220210</v>
          </cell>
          <cell r="B415" t="str">
            <v>ZMTD</v>
          </cell>
          <cell r="C415">
            <v>45432</v>
          </cell>
          <cell r="D415" t="str">
            <v>Not delivered</v>
          </cell>
          <cell r="E415">
            <v>507142202</v>
          </cell>
          <cell r="F415">
            <v>10</v>
          </cell>
          <cell r="G415">
            <v>1160334</v>
          </cell>
          <cell r="H415" t="str">
            <v>CP-071:CP8364 RL RED 200ML MASS TINT 407</v>
          </cell>
          <cell r="I415">
            <v>43500</v>
          </cell>
          <cell r="J415" t="str">
            <v>UN</v>
          </cell>
          <cell r="K415">
            <v>45572</v>
          </cell>
        </row>
        <row r="416">
          <cell r="A416" t="str">
            <v>50714180810</v>
          </cell>
          <cell r="B416" t="str">
            <v>ZMTD</v>
          </cell>
          <cell r="C416">
            <v>45350</v>
          </cell>
          <cell r="D416" t="str">
            <v>Not delivered</v>
          </cell>
          <cell r="E416">
            <v>507141808</v>
          </cell>
          <cell r="F416">
            <v>10</v>
          </cell>
          <cell r="G416">
            <v>1404888</v>
          </cell>
          <cell r="H416" t="str">
            <v>LS-091:BS MGNTA P/SHEER COLOR ROHTO 60B</v>
          </cell>
          <cell r="I416">
            <v>14820</v>
          </cell>
          <cell r="J416" t="str">
            <v>UN</v>
          </cell>
          <cell r="K416">
            <v>45572</v>
          </cell>
        </row>
        <row r="417">
          <cell r="A417" t="str">
            <v>50714180820</v>
          </cell>
          <cell r="B417" t="str">
            <v>ZMTD</v>
          </cell>
          <cell r="C417">
            <v>45350</v>
          </cell>
          <cell r="D417" t="str">
            <v>Not delivered</v>
          </cell>
          <cell r="E417">
            <v>507141808</v>
          </cell>
          <cell r="F417">
            <v>20</v>
          </cell>
          <cell r="G417">
            <v>1404886</v>
          </cell>
          <cell r="H417" t="str">
            <v>LS-091:CVR MGNTA GRAD UV P/CHERRY ROHTO</v>
          </cell>
          <cell r="I417">
            <v>14820</v>
          </cell>
          <cell r="J417" t="str">
            <v>UN</v>
          </cell>
          <cell r="K417">
            <v>45572</v>
          </cell>
        </row>
        <row r="418">
          <cell r="A418" t="str">
            <v>50714273610</v>
          </cell>
          <cell r="B418" t="str">
            <v>ZMTD</v>
          </cell>
          <cell r="C418">
            <v>45544</v>
          </cell>
          <cell r="D418" t="str">
            <v>Not delivered</v>
          </cell>
          <cell r="E418">
            <v>507142736</v>
          </cell>
          <cell r="F418">
            <v>10</v>
          </cell>
          <cell r="G418">
            <v>1408740</v>
          </cell>
          <cell r="H418" t="str">
            <v>PT-097B:BDSR.2 BLU HOUS WHT TRNS PTI12A</v>
          </cell>
          <cell r="I418">
            <v>110160</v>
          </cell>
          <cell r="J418" t="str">
            <v>UN</v>
          </cell>
          <cell r="K418">
            <v>45573</v>
          </cell>
        </row>
        <row r="419">
          <cell r="A419" t="str">
            <v>50714273620</v>
          </cell>
          <cell r="B419" t="str">
            <v>ZMTD</v>
          </cell>
          <cell r="C419">
            <v>45544</v>
          </cell>
          <cell r="D419" t="str">
            <v>Not delivered</v>
          </cell>
          <cell r="E419">
            <v>507142736</v>
          </cell>
          <cell r="F419">
            <v>20</v>
          </cell>
          <cell r="G419">
            <v>1408739</v>
          </cell>
          <cell r="H419" t="str">
            <v>PT-097B:CAP SR.2 BLUE TRANS PTI 12A</v>
          </cell>
          <cell r="I419">
            <v>110160</v>
          </cell>
          <cell r="J419" t="str">
            <v>UN</v>
          </cell>
          <cell r="K419">
            <v>45573</v>
          </cell>
        </row>
        <row r="420">
          <cell r="A420" t="str">
            <v>50714273920</v>
          </cell>
          <cell r="B420" t="str">
            <v>ZMTD</v>
          </cell>
          <cell r="C420">
            <v>45544</v>
          </cell>
          <cell r="D420" t="str">
            <v>Not delivered</v>
          </cell>
          <cell r="E420">
            <v>507142739</v>
          </cell>
          <cell r="F420">
            <v>20</v>
          </cell>
          <cell r="G420">
            <v>1409881</v>
          </cell>
          <cell r="H420" t="str">
            <v>CM-315:CVR/BS BLACK P/CVRLAST OMG RV160B</v>
          </cell>
          <cell r="I420">
            <v>50204</v>
          </cell>
          <cell r="J420" t="str">
            <v>UN</v>
          </cell>
          <cell r="K420">
            <v>45573</v>
          </cell>
        </row>
        <row r="421">
          <cell r="A421" t="str">
            <v>50714274010</v>
          </cell>
          <cell r="B421" t="str">
            <v>ZMTD</v>
          </cell>
          <cell r="C421">
            <v>45544</v>
          </cell>
          <cell r="D421" t="str">
            <v>Not delivered</v>
          </cell>
          <cell r="E421">
            <v>507142740</v>
          </cell>
          <cell r="F421">
            <v>10</v>
          </cell>
          <cell r="G421">
            <v>1340516</v>
          </cell>
          <cell r="H421" t="str">
            <v>CM-133:CVR BS MTLC GRN UV DP S/WARDH 30T</v>
          </cell>
          <cell r="I421">
            <v>10080</v>
          </cell>
          <cell r="J421" t="str">
            <v>UN</v>
          </cell>
          <cell r="K421">
            <v>45573</v>
          </cell>
        </row>
        <row r="422">
          <cell r="A422" t="str">
            <v>50714272310</v>
          </cell>
          <cell r="B422" t="str">
            <v>ZMTD</v>
          </cell>
          <cell r="C422">
            <v>45541</v>
          </cell>
          <cell r="D422" t="str">
            <v>Not delivered</v>
          </cell>
          <cell r="E422">
            <v>507142723</v>
          </cell>
          <cell r="F422">
            <v>10</v>
          </cell>
          <cell r="G422">
            <v>1409850</v>
          </cell>
          <cell r="H422" t="str">
            <v>RX-068:BT8445 VENUS 60ML MATCLR 40D</v>
          </cell>
          <cell r="I422">
            <v>33000</v>
          </cell>
          <cell r="J422" t="str">
            <v>UN</v>
          </cell>
          <cell r="K422">
            <v>45573</v>
          </cell>
        </row>
        <row r="423">
          <cell r="A423" t="str">
            <v>50714272510</v>
          </cell>
          <cell r="B423" t="str">
            <v>ZMTD</v>
          </cell>
          <cell r="C423">
            <v>45541</v>
          </cell>
          <cell r="D423" t="str">
            <v>Not delivered</v>
          </cell>
          <cell r="E423">
            <v>507142725</v>
          </cell>
          <cell r="F423">
            <v>10</v>
          </cell>
          <cell r="G423">
            <v>1420605</v>
          </cell>
          <cell r="H423" t="str">
            <v>CM-253:CV BS MT BRICK 06 P/C.BLSH PTI40H</v>
          </cell>
          <cell r="I423">
            <v>15120</v>
          </cell>
          <cell r="J423" t="str">
            <v>UN</v>
          </cell>
          <cell r="K423">
            <v>45573</v>
          </cell>
        </row>
        <row r="424">
          <cell r="A424" t="str">
            <v>50800525230</v>
          </cell>
          <cell r="B424" t="str">
            <v>ZMFD</v>
          </cell>
          <cell r="C424">
            <v>45512</v>
          </cell>
          <cell r="D424" t="str">
            <v>Not delivered</v>
          </cell>
          <cell r="E424">
            <v>508005252</v>
          </cell>
          <cell r="F424">
            <v>30</v>
          </cell>
          <cell r="G424">
            <v>1382368</v>
          </cell>
          <cell r="H424" t="str">
            <v>CP-067R:FT CAP35 SNAP BLK MATTE  Ø5 LRL</v>
          </cell>
          <cell r="I424">
            <v>400000</v>
          </cell>
          <cell r="J424" t="str">
            <v>UN</v>
          </cell>
          <cell r="K424">
            <v>45573</v>
          </cell>
        </row>
        <row r="425">
          <cell r="A425" t="str">
            <v>50714257810</v>
          </cell>
          <cell r="B425" t="str">
            <v>ZMTD</v>
          </cell>
          <cell r="C425">
            <v>45502</v>
          </cell>
          <cell r="D425" t="str">
            <v>Not delivered</v>
          </cell>
          <cell r="E425">
            <v>507142578</v>
          </cell>
          <cell r="F425">
            <v>10</v>
          </cell>
          <cell r="G425">
            <v>1432954</v>
          </cell>
          <cell r="H425" t="str">
            <v>LC-002:CAP RED P/SPICYCHARM RAMA 60B</v>
          </cell>
          <cell r="I425">
            <v>31000</v>
          </cell>
          <cell r="J425" t="str">
            <v>UN</v>
          </cell>
          <cell r="K425">
            <v>45573</v>
          </cell>
        </row>
        <row r="426">
          <cell r="A426" t="str">
            <v>50714257820</v>
          </cell>
          <cell r="B426" t="str">
            <v>ZMTD</v>
          </cell>
          <cell r="C426">
            <v>45502</v>
          </cell>
          <cell r="D426" t="str">
            <v>Not delivered</v>
          </cell>
          <cell r="E426">
            <v>507142578</v>
          </cell>
          <cell r="F426">
            <v>20</v>
          </cell>
          <cell r="G426">
            <v>1433095</v>
          </cell>
          <cell r="H426" t="str">
            <v>LC-002:BTL CLR HTF/SPICY CHRM CHILI RAMA</v>
          </cell>
          <cell r="I426">
            <v>31000</v>
          </cell>
          <cell r="J426" t="str">
            <v>UN</v>
          </cell>
          <cell r="K426">
            <v>45573</v>
          </cell>
        </row>
        <row r="427">
          <cell r="A427" t="str">
            <v>50714257830</v>
          </cell>
          <cell r="B427" t="str">
            <v>ZMTD</v>
          </cell>
          <cell r="C427">
            <v>45502</v>
          </cell>
          <cell r="D427" t="str">
            <v>Not delivered</v>
          </cell>
          <cell r="E427">
            <v>507142578</v>
          </cell>
          <cell r="F427">
            <v>30</v>
          </cell>
          <cell r="G427">
            <v>1433092</v>
          </cell>
          <cell r="H427" t="str">
            <v>LC-002:CAP PINK P/BLUSH BLSOM RAMA 60B</v>
          </cell>
          <cell r="I427">
            <v>31000</v>
          </cell>
          <cell r="J427" t="str">
            <v>UN</v>
          </cell>
          <cell r="K427">
            <v>45573</v>
          </cell>
        </row>
        <row r="428">
          <cell r="A428" t="str">
            <v>50714257840</v>
          </cell>
          <cell r="B428" t="str">
            <v>ZMTD</v>
          </cell>
          <cell r="C428">
            <v>45502</v>
          </cell>
          <cell r="D428" t="str">
            <v>Not delivered</v>
          </cell>
          <cell r="E428">
            <v>507142578</v>
          </cell>
          <cell r="F428">
            <v>40</v>
          </cell>
          <cell r="G428">
            <v>1432953</v>
          </cell>
          <cell r="H428" t="str">
            <v>LC-002:BTL CLR HTF/BLUSH BLSOMCHILI RAMA</v>
          </cell>
          <cell r="I428">
            <v>31000</v>
          </cell>
          <cell r="J428" t="str">
            <v>UN</v>
          </cell>
          <cell r="K428">
            <v>45573</v>
          </cell>
        </row>
        <row r="429">
          <cell r="A429" t="str">
            <v>50714257850</v>
          </cell>
          <cell r="B429" t="str">
            <v>ZMTD</v>
          </cell>
          <cell r="C429">
            <v>45502</v>
          </cell>
          <cell r="D429" t="str">
            <v>Not delivered</v>
          </cell>
          <cell r="E429">
            <v>507142578</v>
          </cell>
          <cell r="F429">
            <v>50</v>
          </cell>
          <cell r="G429">
            <v>1433012</v>
          </cell>
          <cell r="H429" t="str">
            <v>LC-002:CAP ORANGE P/SUNKISTOMATO RAMA60B</v>
          </cell>
          <cell r="I429">
            <v>31000</v>
          </cell>
          <cell r="J429" t="str">
            <v>UN</v>
          </cell>
          <cell r="K429">
            <v>45573</v>
          </cell>
        </row>
        <row r="430">
          <cell r="A430" t="str">
            <v>50714257860</v>
          </cell>
          <cell r="B430" t="str">
            <v>ZMTD</v>
          </cell>
          <cell r="C430">
            <v>45502</v>
          </cell>
          <cell r="D430" t="str">
            <v>Not delivered</v>
          </cell>
          <cell r="E430">
            <v>507142578</v>
          </cell>
          <cell r="F430">
            <v>60</v>
          </cell>
          <cell r="G430">
            <v>1433011</v>
          </cell>
          <cell r="H430" t="str">
            <v>LC-002:BTL CLR HTF/SUNKISSEDTOMATO RAMA</v>
          </cell>
          <cell r="I430">
            <v>31000</v>
          </cell>
          <cell r="J430" t="str">
            <v>UN</v>
          </cell>
          <cell r="K430">
            <v>45573</v>
          </cell>
        </row>
        <row r="431">
          <cell r="A431" t="str">
            <v>50714242710</v>
          </cell>
          <cell r="B431" t="str">
            <v>ZMTD</v>
          </cell>
          <cell r="C431">
            <v>45475</v>
          </cell>
          <cell r="D431" t="str">
            <v>Not delivered</v>
          </cell>
          <cell r="E431">
            <v>507142427</v>
          </cell>
          <cell r="F431">
            <v>10</v>
          </cell>
          <cell r="G431">
            <v>1160336</v>
          </cell>
          <cell r="H431" t="str">
            <v>CP-071:CP8364 TNR WPRL 200 REX IS 763</v>
          </cell>
          <cell r="I431">
            <v>65250</v>
          </cell>
          <cell r="J431" t="str">
            <v>UN</v>
          </cell>
          <cell r="K431">
            <v>45573</v>
          </cell>
        </row>
        <row r="432">
          <cell r="A432" t="str">
            <v>50714241630</v>
          </cell>
          <cell r="B432" t="str">
            <v>ZMTD</v>
          </cell>
          <cell r="C432">
            <v>45474</v>
          </cell>
          <cell r="D432" t="str">
            <v>Not delivered</v>
          </cell>
          <cell r="E432">
            <v>507142416</v>
          </cell>
          <cell r="F432">
            <v>30</v>
          </cell>
          <cell r="G432">
            <v>1376248</v>
          </cell>
          <cell r="H432" t="str">
            <v>FP-008:CVR L.PINK P/BLK MANDOM RV1 12A</v>
          </cell>
          <cell r="I432">
            <v>10000</v>
          </cell>
          <cell r="J432" t="str">
            <v>UN</v>
          </cell>
          <cell r="K432">
            <v>45573</v>
          </cell>
        </row>
        <row r="433">
          <cell r="A433" t="str">
            <v>50714241640</v>
          </cell>
          <cell r="B433" t="str">
            <v>ZMTD</v>
          </cell>
          <cell r="C433">
            <v>45474</v>
          </cell>
          <cell r="D433" t="str">
            <v>Not delivered</v>
          </cell>
          <cell r="E433">
            <v>507142416</v>
          </cell>
          <cell r="F433">
            <v>40</v>
          </cell>
          <cell r="G433">
            <v>1171179</v>
          </cell>
          <cell r="H433" t="str">
            <v>FP-008:BS INJ BLK NO DC MANDOM</v>
          </cell>
          <cell r="I433">
            <v>10000</v>
          </cell>
          <cell r="J433" t="str">
            <v>UN</v>
          </cell>
          <cell r="K433">
            <v>45573</v>
          </cell>
        </row>
        <row r="434">
          <cell r="A434" t="str">
            <v>50714241650</v>
          </cell>
          <cell r="B434" t="str">
            <v>ZMTD</v>
          </cell>
          <cell r="C434">
            <v>45474</v>
          </cell>
          <cell r="D434" t="str">
            <v>Not delivered</v>
          </cell>
          <cell r="E434">
            <v>507142416</v>
          </cell>
          <cell r="F434">
            <v>50</v>
          </cell>
          <cell r="G434">
            <v>1172027</v>
          </cell>
          <cell r="H434" t="str">
            <v>FP-008:SFT NAT L.HINGE W/LBL NO DC MDM</v>
          </cell>
          <cell r="I434">
            <v>10000</v>
          </cell>
          <cell r="J434" t="str">
            <v>UN</v>
          </cell>
          <cell r="K434">
            <v>45573</v>
          </cell>
        </row>
        <row r="435">
          <cell r="A435" t="str">
            <v>507142416120</v>
          </cell>
          <cell r="B435" t="str">
            <v>ZMTD</v>
          </cell>
          <cell r="C435">
            <v>45474</v>
          </cell>
          <cell r="D435" t="str">
            <v>Not delivered</v>
          </cell>
          <cell r="E435">
            <v>507142416</v>
          </cell>
          <cell r="F435">
            <v>120</v>
          </cell>
          <cell r="G435">
            <v>1255971</v>
          </cell>
          <cell r="H435" t="str">
            <v>LS-285:COVER PINK PX LCC NO DC MNDOM 12A</v>
          </cell>
          <cell r="I435">
            <v>10000</v>
          </cell>
          <cell r="J435" t="str">
            <v>UN</v>
          </cell>
          <cell r="K435">
            <v>45573</v>
          </cell>
        </row>
        <row r="436">
          <cell r="A436" t="str">
            <v>507142416130</v>
          </cell>
          <cell r="B436" t="str">
            <v>ZMTD</v>
          </cell>
          <cell r="C436">
            <v>45474</v>
          </cell>
          <cell r="D436" t="str">
            <v>Not delivered</v>
          </cell>
          <cell r="E436">
            <v>507142416</v>
          </cell>
          <cell r="F436">
            <v>130</v>
          </cell>
          <cell r="G436">
            <v>1393255</v>
          </cell>
          <cell r="H436" t="str">
            <v>LS-285:BS PINK PX LCC P/BLK MNDOM RV160B</v>
          </cell>
          <cell r="I436">
            <v>10000</v>
          </cell>
          <cell r="J436" t="str">
            <v>UN</v>
          </cell>
          <cell r="K436">
            <v>45573</v>
          </cell>
        </row>
        <row r="437">
          <cell r="A437" t="str">
            <v>50800514520</v>
          </cell>
          <cell r="B437" t="str">
            <v>ZMFD</v>
          </cell>
          <cell r="C437">
            <v>45464</v>
          </cell>
          <cell r="D437" t="str">
            <v>Not delivered</v>
          </cell>
          <cell r="E437">
            <v>508005145</v>
          </cell>
          <cell r="F437">
            <v>20</v>
          </cell>
          <cell r="G437">
            <v>1288811</v>
          </cell>
          <cell r="H437" t="str">
            <v>CP-065:FT 50 SNAP SLV GLOSSY ELSEVE</v>
          </cell>
          <cell r="I437">
            <v>109600</v>
          </cell>
          <cell r="J437" t="str">
            <v>UN</v>
          </cell>
          <cell r="K437">
            <v>45573</v>
          </cell>
        </row>
        <row r="438">
          <cell r="A438" t="str">
            <v>50714227710</v>
          </cell>
          <cell r="B438" t="str">
            <v>ZMTD</v>
          </cell>
          <cell r="C438">
            <v>45447</v>
          </cell>
          <cell r="D438" t="str">
            <v>Not delivered</v>
          </cell>
          <cell r="E438">
            <v>507142277</v>
          </cell>
          <cell r="F438">
            <v>10</v>
          </cell>
          <cell r="G438">
            <v>1419488</v>
          </cell>
          <cell r="H438" t="str">
            <v>CP-063R:SPOUT CAP WHITE LOREAL 12A</v>
          </cell>
          <cell r="I438">
            <v>1890000</v>
          </cell>
          <cell r="J438" t="str">
            <v>UN</v>
          </cell>
          <cell r="K438">
            <v>45573</v>
          </cell>
        </row>
        <row r="439">
          <cell r="A439" t="str">
            <v>508005067110</v>
          </cell>
          <cell r="B439" t="str">
            <v>ZMFD</v>
          </cell>
          <cell r="C439">
            <v>45433</v>
          </cell>
          <cell r="D439" t="str">
            <v>Not delivered</v>
          </cell>
          <cell r="E439">
            <v>508005067</v>
          </cell>
          <cell r="F439">
            <v>110</v>
          </cell>
          <cell r="G439">
            <v>1255664</v>
          </cell>
          <cell r="H439" t="str">
            <v>LC-002:BTL MT VAR14 P/WRDH B.MARK PTI40H</v>
          </cell>
          <cell r="I439">
            <v>25000</v>
          </cell>
          <cell r="J439" t="str">
            <v>UN</v>
          </cell>
          <cell r="K439">
            <v>45573</v>
          </cell>
        </row>
        <row r="440">
          <cell r="A440" t="str">
            <v>508005067120</v>
          </cell>
          <cell r="B440" t="str">
            <v>ZMFD</v>
          </cell>
          <cell r="C440">
            <v>45433</v>
          </cell>
          <cell r="D440" t="str">
            <v>Not delivered</v>
          </cell>
          <cell r="E440">
            <v>508005067</v>
          </cell>
          <cell r="F440">
            <v>120</v>
          </cell>
          <cell r="G440">
            <v>1264032</v>
          </cell>
          <cell r="H440" t="str">
            <v>LC-002:CP S/MT VAR14 STM-WHT WNAT PTI40D</v>
          </cell>
          <cell r="I440">
            <v>25000</v>
          </cell>
          <cell r="J440" t="str">
            <v>UN</v>
          </cell>
          <cell r="K440">
            <v>45573</v>
          </cell>
        </row>
        <row r="441">
          <cell r="A441" t="str">
            <v>50800507350</v>
          </cell>
          <cell r="B441" t="str">
            <v>ZMFD</v>
          </cell>
          <cell r="C441">
            <v>45433</v>
          </cell>
          <cell r="D441" t="str">
            <v>Not delivered</v>
          </cell>
          <cell r="E441">
            <v>508005073</v>
          </cell>
          <cell r="F441">
            <v>50</v>
          </cell>
          <cell r="G441">
            <v>1169047</v>
          </cell>
          <cell r="H441" t="str">
            <v>LS-285:B V/SL P/1PS SLEV H/SL BLM PTI20R</v>
          </cell>
          <cell r="I441">
            <v>25536</v>
          </cell>
          <cell r="J441" t="str">
            <v>UN</v>
          </cell>
          <cell r="K441">
            <v>45573</v>
          </cell>
        </row>
        <row r="442">
          <cell r="A442" t="str">
            <v>50800507360</v>
          </cell>
          <cell r="B442" t="str">
            <v>ZMFD</v>
          </cell>
          <cell r="C442">
            <v>45433</v>
          </cell>
          <cell r="D442" t="str">
            <v>Not delivered</v>
          </cell>
          <cell r="E442">
            <v>508005073</v>
          </cell>
          <cell r="F442">
            <v>60</v>
          </cell>
          <cell r="G442">
            <v>1171889</v>
          </cell>
          <cell r="H442" t="str">
            <v>LS-285:CV TRANS MATE 7 P/1PS VAR6 PTI40H</v>
          </cell>
          <cell r="I442">
            <v>25536</v>
          </cell>
          <cell r="J442" t="str">
            <v>UN</v>
          </cell>
          <cell r="K442">
            <v>45573</v>
          </cell>
        </row>
        <row r="443">
          <cell r="A443" t="str">
            <v>50800507390</v>
          </cell>
          <cell r="B443" t="str">
            <v>ZMFD</v>
          </cell>
          <cell r="C443">
            <v>45433</v>
          </cell>
          <cell r="D443" t="str">
            <v>Not delivered</v>
          </cell>
          <cell r="E443">
            <v>508005073</v>
          </cell>
          <cell r="F443">
            <v>90</v>
          </cell>
          <cell r="G443">
            <v>1169047</v>
          </cell>
          <cell r="H443" t="str">
            <v>LS-285:B V/SL P/1PS SLEV H/SL BLM PTI20R</v>
          </cell>
          <cell r="I443">
            <v>25536</v>
          </cell>
          <cell r="J443" t="str">
            <v>UN</v>
          </cell>
          <cell r="K443">
            <v>45573</v>
          </cell>
        </row>
        <row r="444">
          <cell r="A444" t="str">
            <v>508005073100</v>
          </cell>
          <cell r="B444" t="str">
            <v>ZMFD</v>
          </cell>
          <cell r="C444">
            <v>45433</v>
          </cell>
          <cell r="D444" t="str">
            <v>Not delivered</v>
          </cell>
          <cell r="E444">
            <v>508005073</v>
          </cell>
          <cell r="F444">
            <v>100</v>
          </cell>
          <cell r="G444">
            <v>1192714</v>
          </cell>
          <cell r="H444" t="str">
            <v>LS-285:CV TRANS LONG10 P/1PS VAR8 PTI40H</v>
          </cell>
          <cell r="I444">
            <v>25536</v>
          </cell>
          <cell r="J444" t="str">
            <v>UN</v>
          </cell>
          <cell r="K444">
            <v>45573</v>
          </cell>
        </row>
        <row r="445">
          <cell r="A445" t="str">
            <v>50800502010</v>
          </cell>
          <cell r="B445" t="str">
            <v>ZMFD</v>
          </cell>
          <cell r="C445">
            <v>45422</v>
          </cell>
          <cell r="D445" t="str">
            <v>Not delivered</v>
          </cell>
          <cell r="E445">
            <v>508005020</v>
          </cell>
          <cell r="F445">
            <v>10</v>
          </cell>
          <cell r="G445">
            <v>1153319</v>
          </cell>
          <cell r="H445" t="str">
            <v>LS-285:BS/SPRL BEIGE P/WRDH PTI 40H</v>
          </cell>
          <cell r="I445">
            <v>25536</v>
          </cell>
          <cell r="J445" t="str">
            <v>UN</v>
          </cell>
          <cell r="K445">
            <v>45573</v>
          </cell>
        </row>
        <row r="446">
          <cell r="A446" t="str">
            <v>50800502020</v>
          </cell>
          <cell r="B446" t="str">
            <v>ZMFD</v>
          </cell>
          <cell r="C446">
            <v>45422</v>
          </cell>
          <cell r="D446" t="str">
            <v>Not delivered</v>
          </cell>
          <cell r="E446">
            <v>508005020</v>
          </cell>
          <cell r="F446">
            <v>20</v>
          </cell>
          <cell r="G446">
            <v>1153467</v>
          </cell>
          <cell r="H446" t="str">
            <v>LS-285:CVR MT BEIGE P/S.SEOUL PTI40H</v>
          </cell>
          <cell r="I446">
            <v>25536</v>
          </cell>
          <cell r="J446" t="str">
            <v>UN</v>
          </cell>
          <cell r="K446">
            <v>45573</v>
          </cell>
        </row>
        <row r="447">
          <cell r="A447" t="str">
            <v>50800502070</v>
          </cell>
          <cell r="B447" t="str">
            <v>ZMFD</v>
          </cell>
          <cell r="C447">
            <v>45422</v>
          </cell>
          <cell r="D447" t="str">
            <v>Not delivered</v>
          </cell>
          <cell r="E447">
            <v>508005020</v>
          </cell>
          <cell r="F447">
            <v>70</v>
          </cell>
          <cell r="G447">
            <v>1153319</v>
          </cell>
          <cell r="H447" t="str">
            <v>LS-285:BS/SPRL BEIGE P/WRDH PTI 40H</v>
          </cell>
          <cell r="I447">
            <v>25536</v>
          </cell>
          <cell r="J447" t="str">
            <v>UN</v>
          </cell>
          <cell r="K447">
            <v>45573</v>
          </cell>
        </row>
        <row r="448">
          <cell r="A448" t="str">
            <v>50800502080</v>
          </cell>
          <cell r="B448" t="str">
            <v>ZMFD</v>
          </cell>
          <cell r="C448">
            <v>45422</v>
          </cell>
          <cell r="D448" t="str">
            <v>Not delivered</v>
          </cell>
          <cell r="E448">
            <v>508005020</v>
          </cell>
          <cell r="F448">
            <v>80</v>
          </cell>
          <cell r="G448">
            <v>1153469</v>
          </cell>
          <cell r="H448" t="str">
            <v>LS-285:CVR MT BEIGE P/HONGDAE PTI40H</v>
          </cell>
          <cell r="I448">
            <v>25536</v>
          </cell>
          <cell r="J448" t="str">
            <v>UN</v>
          </cell>
          <cell r="K448">
            <v>45573</v>
          </cell>
        </row>
        <row r="449">
          <cell r="A449" t="str">
            <v>50800502310</v>
          </cell>
          <cell r="B449" t="str">
            <v>ZMFD</v>
          </cell>
          <cell r="C449">
            <v>45422</v>
          </cell>
          <cell r="D449" t="str">
            <v>Not delivered</v>
          </cell>
          <cell r="E449">
            <v>508005023</v>
          </cell>
          <cell r="F449">
            <v>10</v>
          </cell>
          <cell r="G449">
            <v>1408740</v>
          </cell>
          <cell r="H449" t="str">
            <v>PT-097B:BDSR.2 BLU HOUS WHT TRNS PTI12A</v>
          </cell>
          <cell r="I449">
            <v>80000</v>
          </cell>
          <cell r="J449" t="str">
            <v>UN</v>
          </cell>
          <cell r="K449">
            <v>45573</v>
          </cell>
        </row>
        <row r="450">
          <cell r="A450" t="str">
            <v>50800502320</v>
          </cell>
          <cell r="B450" t="str">
            <v>ZMFD</v>
          </cell>
          <cell r="C450">
            <v>45422</v>
          </cell>
          <cell r="D450" t="str">
            <v>Not delivered</v>
          </cell>
          <cell r="E450">
            <v>508005023</v>
          </cell>
          <cell r="F450">
            <v>20</v>
          </cell>
          <cell r="G450">
            <v>1408739</v>
          </cell>
          <cell r="H450" t="str">
            <v>PT-097B:CAP SR.2 BLUE TRANS PTI 12A</v>
          </cell>
          <cell r="I450">
            <v>80000</v>
          </cell>
          <cell r="J450" t="str">
            <v>UN</v>
          </cell>
          <cell r="K450">
            <v>45573</v>
          </cell>
        </row>
        <row r="451">
          <cell r="A451" t="str">
            <v>50800502330</v>
          </cell>
          <cell r="B451" t="str">
            <v>ZMFD</v>
          </cell>
          <cell r="C451">
            <v>45422</v>
          </cell>
          <cell r="D451" t="str">
            <v>Not delivered</v>
          </cell>
          <cell r="E451">
            <v>508005023</v>
          </cell>
          <cell r="F451">
            <v>30</v>
          </cell>
          <cell r="G451">
            <v>1408740</v>
          </cell>
          <cell r="H451" t="str">
            <v>PT-097B:BDSR.2 BLU HOUS WHT TRNS PTI12A</v>
          </cell>
          <cell r="I451">
            <v>80000</v>
          </cell>
          <cell r="J451" t="str">
            <v>UN</v>
          </cell>
          <cell r="K451">
            <v>45573</v>
          </cell>
        </row>
        <row r="452">
          <cell r="A452" t="str">
            <v>50800502340</v>
          </cell>
          <cell r="B452" t="str">
            <v>ZMFD</v>
          </cell>
          <cell r="C452">
            <v>45422</v>
          </cell>
          <cell r="D452" t="str">
            <v>Not delivered</v>
          </cell>
          <cell r="E452">
            <v>508005023</v>
          </cell>
          <cell r="F452">
            <v>40</v>
          </cell>
          <cell r="G452">
            <v>1408739</v>
          </cell>
          <cell r="H452" t="str">
            <v>PT-097B:CAP SR.2 BLUE TRANS PTI 12A</v>
          </cell>
          <cell r="I452">
            <v>80000</v>
          </cell>
          <cell r="J452" t="str">
            <v>UN</v>
          </cell>
          <cell r="K452">
            <v>45573</v>
          </cell>
        </row>
        <row r="453">
          <cell r="A453" t="str">
            <v>50714276530</v>
          </cell>
          <cell r="B453" t="str">
            <v>ZMTD</v>
          </cell>
          <cell r="C453">
            <v>45552</v>
          </cell>
          <cell r="D453" t="str">
            <v>Not delivered</v>
          </cell>
          <cell r="E453">
            <v>507142765</v>
          </cell>
          <cell r="F453">
            <v>30</v>
          </cell>
          <cell r="G453">
            <v>1398383</v>
          </cell>
          <cell r="H453" t="str">
            <v>CM-319:WHITE P/BLACK UV MATTE NARS</v>
          </cell>
          <cell r="I453">
            <v>30720</v>
          </cell>
          <cell r="J453" t="str">
            <v>UN</v>
          </cell>
          <cell r="K453">
            <v>45574</v>
          </cell>
        </row>
        <row r="454">
          <cell r="A454" t="str">
            <v>50714276630</v>
          </cell>
          <cell r="B454" t="str">
            <v>ZMTD</v>
          </cell>
          <cell r="C454">
            <v>45552</v>
          </cell>
          <cell r="D454" t="str">
            <v>Not delivered</v>
          </cell>
          <cell r="E454">
            <v>507142766</v>
          </cell>
          <cell r="F454">
            <v>30</v>
          </cell>
          <cell r="G454">
            <v>1398763</v>
          </cell>
          <cell r="H454" t="str">
            <v>CM-320:WHITE S/BLACK UV MATTE NARS</v>
          </cell>
          <cell r="I454">
            <v>30240</v>
          </cell>
          <cell r="J454" t="str">
            <v>UN</v>
          </cell>
          <cell r="K454">
            <v>45574</v>
          </cell>
        </row>
        <row r="455">
          <cell r="A455" t="str">
            <v>50714275730</v>
          </cell>
          <cell r="B455" t="str">
            <v>ZMTD</v>
          </cell>
          <cell r="C455">
            <v>45547</v>
          </cell>
          <cell r="D455" t="str">
            <v>Not delivered</v>
          </cell>
          <cell r="E455">
            <v>507142757</v>
          </cell>
          <cell r="F455">
            <v>30</v>
          </cell>
          <cell r="G455">
            <v>1411701</v>
          </cell>
          <cell r="H455" t="str">
            <v>PT-100:BS/INS BLUE P/WHT KAHF PTI 60B</v>
          </cell>
          <cell r="I455">
            <v>120064</v>
          </cell>
          <cell r="J455" t="str">
            <v>UN</v>
          </cell>
          <cell r="K455">
            <v>45574</v>
          </cell>
        </row>
        <row r="456">
          <cell r="A456" t="str">
            <v>50714275740</v>
          </cell>
          <cell r="B456" t="str">
            <v>ZMTD</v>
          </cell>
          <cell r="C456">
            <v>45547</v>
          </cell>
          <cell r="D456" t="str">
            <v>Not delivered</v>
          </cell>
          <cell r="E456">
            <v>507142757</v>
          </cell>
          <cell r="F456">
            <v>40</v>
          </cell>
          <cell r="G456">
            <v>1411700</v>
          </cell>
          <cell r="H456" t="str">
            <v>PT-100:CVR MT.BLUE EMBOS KAHF PTI 40D</v>
          </cell>
          <cell r="I456">
            <v>120064</v>
          </cell>
          <cell r="J456" t="str">
            <v>UN</v>
          </cell>
          <cell r="K456">
            <v>45574</v>
          </cell>
        </row>
        <row r="457">
          <cell r="A457" t="str">
            <v>50714269350</v>
          </cell>
          <cell r="B457" t="str">
            <v>ZMTD</v>
          </cell>
          <cell r="C457">
            <v>45532</v>
          </cell>
          <cell r="D457" t="str">
            <v>Not delivered</v>
          </cell>
          <cell r="E457">
            <v>507142693</v>
          </cell>
          <cell r="F457">
            <v>50</v>
          </cell>
          <cell r="G457">
            <v>1375595</v>
          </cell>
          <cell r="H457" t="str">
            <v>LC-009:BTL/INNER CLEAR P/OMG PTIPT 60B</v>
          </cell>
          <cell r="I457">
            <v>149310</v>
          </cell>
          <cell r="J457" t="str">
            <v>UN</v>
          </cell>
          <cell r="K457">
            <v>45574</v>
          </cell>
        </row>
        <row r="458">
          <cell r="A458" t="str">
            <v>50714269360</v>
          </cell>
          <cell r="B458" t="str">
            <v>ZMTD</v>
          </cell>
          <cell r="C458">
            <v>45532</v>
          </cell>
          <cell r="D458" t="str">
            <v>Not delivered</v>
          </cell>
          <cell r="E458">
            <v>507142693</v>
          </cell>
          <cell r="F458">
            <v>60</v>
          </cell>
          <cell r="G458">
            <v>1375593</v>
          </cell>
          <cell r="H458" t="str">
            <v>LC-009:CAP REDTRANS WIP S/OMG PTIPT 60B</v>
          </cell>
          <cell r="I458">
            <v>149310</v>
          </cell>
          <cell r="J458" t="str">
            <v>UN</v>
          </cell>
          <cell r="K458">
            <v>45574</v>
          </cell>
        </row>
        <row r="459">
          <cell r="A459" t="str">
            <v>50714260310</v>
          </cell>
          <cell r="B459" t="str">
            <v>ZMTD</v>
          </cell>
          <cell r="C459">
            <v>45509</v>
          </cell>
          <cell r="D459" t="str">
            <v>Not delivered</v>
          </cell>
          <cell r="E459">
            <v>507142603</v>
          </cell>
          <cell r="F459">
            <v>10</v>
          </cell>
          <cell r="G459">
            <v>1217479</v>
          </cell>
          <cell r="H459" t="str">
            <v>CM-172:8W UV SLV P/ S.CLNQ 6P40010031 EL</v>
          </cell>
          <cell r="I459">
            <v>25080</v>
          </cell>
          <cell r="J459" t="str">
            <v>UN</v>
          </cell>
          <cell r="K459">
            <v>45574</v>
          </cell>
        </row>
        <row r="460">
          <cell r="A460" t="str">
            <v>50714250620</v>
          </cell>
          <cell r="B460" t="str">
            <v>ZMTD</v>
          </cell>
          <cell r="C460">
            <v>45488</v>
          </cell>
          <cell r="D460" t="str">
            <v>Partially delivered</v>
          </cell>
          <cell r="E460">
            <v>507142506</v>
          </cell>
          <cell r="F460">
            <v>20</v>
          </cell>
          <cell r="G460">
            <v>1276491</v>
          </cell>
          <cell r="H460" t="str">
            <v>CM-105:CV VM RSGLD BS MT P/INSTA PTI 20X</v>
          </cell>
          <cell r="I460">
            <v>24960</v>
          </cell>
          <cell r="J460" t="str">
            <v>UN</v>
          </cell>
          <cell r="K460">
            <v>45574</v>
          </cell>
        </row>
        <row r="461">
          <cell r="A461" t="str">
            <v>50714276910</v>
          </cell>
          <cell r="B461" t="str">
            <v>ZMTD</v>
          </cell>
          <cell r="C461">
            <v>45553</v>
          </cell>
          <cell r="D461" t="str">
            <v>Not delivered</v>
          </cell>
          <cell r="E461">
            <v>507142769</v>
          </cell>
          <cell r="F461">
            <v>10</v>
          </cell>
          <cell r="G461">
            <v>1167571</v>
          </cell>
          <cell r="H461" t="str">
            <v>FP-014:BS CLEAR NO DC PTI</v>
          </cell>
          <cell r="I461">
            <v>30096</v>
          </cell>
          <cell r="J461" t="str">
            <v>UN</v>
          </cell>
          <cell r="K461">
            <v>45575</v>
          </cell>
        </row>
        <row r="462">
          <cell r="A462" t="str">
            <v>50714276920</v>
          </cell>
          <cell r="B462" t="str">
            <v>ZMTD</v>
          </cell>
          <cell r="C462">
            <v>45553</v>
          </cell>
          <cell r="D462" t="str">
            <v>Not delivered</v>
          </cell>
          <cell r="E462">
            <v>507142769</v>
          </cell>
          <cell r="F462">
            <v>20</v>
          </cell>
          <cell r="G462">
            <v>1174020</v>
          </cell>
          <cell r="H462" t="str">
            <v>FP-014:CVR BLCK COAT P/DC MAKE OVER  PTI</v>
          </cell>
          <cell r="I462">
            <v>30096</v>
          </cell>
          <cell r="J462" t="str">
            <v>UN</v>
          </cell>
          <cell r="K462">
            <v>45575</v>
          </cell>
        </row>
        <row r="463">
          <cell r="A463" t="str">
            <v>50714276930</v>
          </cell>
          <cell r="B463" t="str">
            <v>ZMTD</v>
          </cell>
          <cell r="C463">
            <v>45553</v>
          </cell>
          <cell r="D463" t="str">
            <v>Not delivered</v>
          </cell>
          <cell r="E463">
            <v>507142769</v>
          </cell>
          <cell r="F463">
            <v>30</v>
          </cell>
          <cell r="G463">
            <v>1167434</v>
          </cell>
          <cell r="H463" t="str">
            <v>FP-014:SFTR NATURAL W/ LABEL POLOS PTI</v>
          </cell>
          <cell r="I463">
            <v>30096</v>
          </cell>
          <cell r="J463" t="str">
            <v>UN</v>
          </cell>
          <cell r="K463">
            <v>45575</v>
          </cell>
        </row>
        <row r="464">
          <cell r="A464" t="str">
            <v>50714274310</v>
          </cell>
          <cell r="B464" t="str">
            <v>ZMTD</v>
          </cell>
          <cell r="C464">
            <v>45544</v>
          </cell>
          <cell r="D464" t="str">
            <v>Not delivered</v>
          </cell>
          <cell r="E464">
            <v>507142743</v>
          </cell>
          <cell r="F464">
            <v>10</v>
          </cell>
          <cell r="G464">
            <v>1388036</v>
          </cell>
          <cell r="H464" t="str">
            <v>CM-253:CV BS MTMAUVE P/C.BLSH RV1 PTI40H</v>
          </cell>
          <cell r="I464">
            <v>15120</v>
          </cell>
          <cell r="J464" t="str">
            <v>UN</v>
          </cell>
          <cell r="K464">
            <v>45575</v>
          </cell>
        </row>
        <row r="465">
          <cell r="A465" t="str">
            <v>50714272710</v>
          </cell>
          <cell r="B465" t="str">
            <v>ZMTD</v>
          </cell>
          <cell r="C465">
            <v>45541</v>
          </cell>
          <cell r="D465" t="str">
            <v>Not delivered</v>
          </cell>
          <cell r="E465">
            <v>507142727</v>
          </cell>
          <cell r="F465">
            <v>10</v>
          </cell>
          <cell r="G465">
            <v>1285453</v>
          </cell>
          <cell r="H465" t="str">
            <v>CM-216:TRUE MATCH PP CV PF S/SLV LOR US</v>
          </cell>
          <cell r="I465">
            <v>125400</v>
          </cell>
          <cell r="J465" t="str">
            <v>UN</v>
          </cell>
          <cell r="K465">
            <v>45575</v>
          </cell>
        </row>
        <row r="466">
          <cell r="A466" t="str">
            <v>50714257410</v>
          </cell>
          <cell r="B466" t="str">
            <v>ZMTD</v>
          </cell>
          <cell r="C466">
            <v>45499</v>
          </cell>
          <cell r="D466" t="str">
            <v>Not delivered</v>
          </cell>
          <cell r="E466">
            <v>507142574</v>
          </cell>
          <cell r="F466">
            <v>10</v>
          </cell>
          <cell r="G466">
            <v>1431860</v>
          </cell>
          <cell r="H466" t="str">
            <v>PT6029R CAP GARNIER 18ML WHITE PLZ (553)</v>
          </cell>
          <cell r="I466">
            <v>52080</v>
          </cell>
          <cell r="J466" t="str">
            <v>UN</v>
          </cell>
          <cell r="K466">
            <v>45575</v>
          </cell>
        </row>
        <row r="467">
          <cell r="A467" t="str">
            <v>50714256110</v>
          </cell>
          <cell r="B467" t="str">
            <v>ZMTD</v>
          </cell>
          <cell r="C467">
            <v>45496</v>
          </cell>
          <cell r="D467" t="str">
            <v>Not delivered</v>
          </cell>
          <cell r="E467">
            <v>507142561</v>
          </cell>
          <cell r="F467">
            <v>10</v>
          </cell>
          <cell r="G467">
            <v>1279282</v>
          </cell>
          <cell r="H467" t="str">
            <v>VT:TG-001 IXPE 560X357X2 MM US</v>
          </cell>
          <cell r="I467">
            <v>22260</v>
          </cell>
          <cell r="J467" t="str">
            <v>UN</v>
          </cell>
          <cell r="K467">
            <v>45575</v>
          </cell>
        </row>
        <row r="468">
          <cell r="A468" t="str">
            <v>50800516730</v>
          </cell>
          <cell r="B468" t="str">
            <v>ZMFD</v>
          </cell>
          <cell r="C468">
            <v>45476</v>
          </cell>
          <cell r="D468" t="str">
            <v>Not delivered</v>
          </cell>
          <cell r="E468">
            <v>508005167</v>
          </cell>
          <cell r="F468">
            <v>30</v>
          </cell>
          <cell r="G468">
            <v>1361170</v>
          </cell>
          <cell r="H468" t="str">
            <v>PT-097:BODY BLACK HOUSE WHT TRANS PTI12A</v>
          </cell>
          <cell r="I468">
            <v>220000</v>
          </cell>
          <cell r="J468" t="str">
            <v>UN</v>
          </cell>
          <cell r="K468">
            <v>45575</v>
          </cell>
        </row>
        <row r="469">
          <cell r="A469" t="str">
            <v>50800516740</v>
          </cell>
          <cell r="B469" t="str">
            <v>ZMFD</v>
          </cell>
          <cell r="C469">
            <v>45476</v>
          </cell>
          <cell r="D469" t="str">
            <v>Not delivered</v>
          </cell>
          <cell r="E469">
            <v>508005167</v>
          </cell>
          <cell r="F469">
            <v>40</v>
          </cell>
          <cell r="G469">
            <v>1361175</v>
          </cell>
          <cell r="H469" t="str">
            <v>PT-097:CAP BLACK TRANS PTI 12A</v>
          </cell>
          <cell r="I469">
            <v>220000</v>
          </cell>
          <cell r="J469" t="str">
            <v>UN</v>
          </cell>
          <cell r="K469">
            <v>45575</v>
          </cell>
        </row>
        <row r="470">
          <cell r="A470" t="str">
            <v>50714230310</v>
          </cell>
          <cell r="B470" t="str">
            <v>ZMTD</v>
          </cell>
          <cell r="C470">
            <v>45449</v>
          </cell>
          <cell r="D470" t="str">
            <v>Not delivered</v>
          </cell>
          <cell r="E470">
            <v>507142303</v>
          </cell>
          <cell r="F470">
            <v>10</v>
          </cell>
          <cell r="G470">
            <v>1389493</v>
          </cell>
          <cell r="H470" t="str">
            <v>CM-295:GODET HAPPIEST HOUR G860-01-0091</v>
          </cell>
          <cell r="I470">
            <v>10472</v>
          </cell>
          <cell r="J470" t="str">
            <v>UN</v>
          </cell>
          <cell r="K470">
            <v>45575</v>
          </cell>
        </row>
        <row r="471">
          <cell r="A471" t="str">
            <v>50714230410</v>
          </cell>
          <cell r="B471" t="str">
            <v>ZMTD</v>
          </cell>
          <cell r="C471">
            <v>45449</v>
          </cell>
          <cell r="D471" t="str">
            <v>Not delivered</v>
          </cell>
          <cell r="E471">
            <v>507142304</v>
          </cell>
          <cell r="F471">
            <v>10</v>
          </cell>
          <cell r="G471">
            <v>1389490</v>
          </cell>
          <cell r="H471" t="str">
            <v>CM-295:GODET POOLSIDE G861-01-0091</v>
          </cell>
          <cell r="I471">
            <v>10472</v>
          </cell>
          <cell r="J471" t="str">
            <v>UN</v>
          </cell>
          <cell r="K471">
            <v>45575</v>
          </cell>
        </row>
        <row r="472">
          <cell r="A472" t="str">
            <v>50800509610</v>
          </cell>
          <cell r="B472" t="str">
            <v>ZMFD</v>
          </cell>
          <cell r="C472">
            <v>45449</v>
          </cell>
          <cell r="D472" t="str">
            <v>Not delivered</v>
          </cell>
          <cell r="E472">
            <v>508005096</v>
          </cell>
          <cell r="F472">
            <v>10</v>
          </cell>
          <cell r="G472">
            <v>1389067</v>
          </cell>
          <cell r="H472" t="str">
            <v>CM-294:GODET MAGNETIC GLOW G0S4-04-0092</v>
          </cell>
          <cell r="I472">
            <v>10472</v>
          </cell>
          <cell r="J472" t="str">
            <v>UN</v>
          </cell>
          <cell r="K472">
            <v>45575</v>
          </cell>
        </row>
        <row r="473">
          <cell r="A473" t="str">
            <v>50800509710</v>
          </cell>
          <cell r="B473" t="str">
            <v>ZMFD</v>
          </cell>
          <cell r="C473">
            <v>45449</v>
          </cell>
          <cell r="D473" t="str">
            <v>Not delivered</v>
          </cell>
          <cell r="E473">
            <v>508005097</v>
          </cell>
          <cell r="F473">
            <v>10</v>
          </cell>
          <cell r="G473">
            <v>1390353</v>
          </cell>
          <cell r="H473" t="str">
            <v>CM-294:GODET UNTAMED PLUM G0S4-05-0092</v>
          </cell>
          <cell r="I473">
            <v>10472</v>
          </cell>
          <cell r="J473" t="str">
            <v>UN</v>
          </cell>
          <cell r="K473">
            <v>45575</v>
          </cell>
        </row>
        <row r="474">
          <cell r="A474" t="str">
            <v>50800509810</v>
          </cell>
          <cell r="B474" t="str">
            <v>ZMFD</v>
          </cell>
          <cell r="C474">
            <v>45449</v>
          </cell>
          <cell r="D474" t="str">
            <v>Not delivered</v>
          </cell>
          <cell r="E474">
            <v>508005098</v>
          </cell>
          <cell r="F474">
            <v>10</v>
          </cell>
          <cell r="G474">
            <v>1390352</v>
          </cell>
          <cell r="H474" t="str">
            <v>CM-294:GODET SENSOUSE ROSE G0S4-06-0092</v>
          </cell>
          <cell r="I474">
            <v>10472</v>
          </cell>
          <cell r="J474" t="str">
            <v>UN</v>
          </cell>
          <cell r="K474">
            <v>45575</v>
          </cell>
        </row>
        <row r="475">
          <cell r="A475" t="str">
            <v>507142721110</v>
          </cell>
          <cell r="B475" t="str">
            <v>ZMTD</v>
          </cell>
          <cell r="C475">
            <v>45539</v>
          </cell>
          <cell r="D475" t="str">
            <v>Not delivered</v>
          </cell>
          <cell r="E475">
            <v>507142721</v>
          </cell>
          <cell r="F475">
            <v>110</v>
          </cell>
          <cell r="G475">
            <v>1437039</v>
          </cell>
          <cell r="H475" t="str">
            <v>CM-290:1PC BS CV MT.BLK S/ EMBOS OMG 40C</v>
          </cell>
          <cell r="I475">
            <v>6552</v>
          </cell>
          <cell r="J475" t="str">
            <v>UN</v>
          </cell>
          <cell r="K475">
            <v>45576</v>
          </cell>
        </row>
        <row r="476">
          <cell r="A476" t="str">
            <v>50714255410</v>
          </cell>
          <cell r="B476" t="str">
            <v>ZMTD</v>
          </cell>
          <cell r="C476">
            <v>45495</v>
          </cell>
          <cell r="D476" t="str">
            <v>Not delivered</v>
          </cell>
          <cell r="E476">
            <v>507142554</v>
          </cell>
          <cell r="F476">
            <v>10</v>
          </cell>
          <cell r="G476">
            <v>1432356</v>
          </cell>
          <cell r="H476" t="str">
            <v>CM-280:BS/CV BO BLUE UV P/S/INEZ FTC 30M</v>
          </cell>
          <cell r="I476">
            <v>30000</v>
          </cell>
          <cell r="J476" t="str">
            <v>UN</v>
          </cell>
          <cell r="K476">
            <v>45576</v>
          </cell>
        </row>
        <row r="477">
          <cell r="A477" t="str">
            <v>50714254310</v>
          </cell>
          <cell r="B477" t="str">
            <v>ZMTD</v>
          </cell>
          <cell r="C477">
            <v>45491</v>
          </cell>
          <cell r="D477" t="str">
            <v>Not delivered</v>
          </cell>
          <cell r="E477">
            <v>507142543</v>
          </cell>
          <cell r="F477">
            <v>10</v>
          </cell>
          <cell r="G477">
            <v>1278860</v>
          </cell>
          <cell r="H477" t="str">
            <v>CM-296:WHT P/L.AGELES W/O HOLE COTY TAOR</v>
          </cell>
          <cell r="I477">
            <v>72000</v>
          </cell>
          <cell r="J477" t="str">
            <v>UN</v>
          </cell>
          <cell r="K477">
            <v>45576</v>
          </cell>
        </row>
        <row r="478">
          <cell r="A478" t="str">
            <v>50714241660</v>
          </cell>
          <cell r="B478" t="str">
            <v>ZMTD</v>
          </cell>
          <cell r="C478">
            <v>45474</v>
          </cell>
          <cell r="D478" t="str">
            <v>Not delivered</v>
          </cell>
          <cell r="E478">
            <v>507142416</v>
          </cell>
          <cell r="F478">
            <v>60</v>
          </cell>
          <cell r="G478">
            <v>1376248</v>
          </cell>
          <cell r="H478" t="str">
            <v>FP-008:CVR L.PINK P/BLK MANDOM RV1 12A</v>
          </cell>
          <cell r="I478">
            <v>10000</v>
          </cell>
          <cell r="J478" t="str">
            <v>UN</v>
          </cell>
          <cell r="K478">
            <v>45576</v>
          </cell>
        </row>
        <row r="479">
          <cell r="A479" t="str">
            <v>50714241670</v>
          </cell>
          <cell r="B479" t="str">
            <v>ZMTD</v>
          </cell>
          <cell r="C479">
            <v>45474</v>
          </cell>
          <cell r="D479" t="str">
            <v>Not delivered</v>
          </cell>
          <cell r="E479">
            <v>507142416</v>
          </cell>
          <cell r="F479">
            <v>70</v>
          </cell>
          <cell r="G479">
            <v>1171179</v>
          </cell>
          <cell r="H479" t="str">
            <v>FP-008:BS INJ BLK NO DC MANDOM</v>
          </cell>
          <cell r="I479">
            <v>10000</v>
          </cell>
          <cell r="J479" t="str">
            <v>UN</v>
          </cell>
          <cell r="K479">
            <v>45576</v>
          </cell>
        </row>
        <row r="480">
          <cell r="A480" t="str">
            <v>50714241680</v>
          </cell>
          <cell r="B480" t="str">
            <v>ZMTD</v>
          </cell>
          <cell r="C480">
            <v>45474</v>
          </cell>
          <cell r="D480" t="str">
            <v>Not delivered</v>
          </cell>
          <cell r="E480">
            <v>507142416</v>
          </cell>
          <cell r="F480">
            <v>80</v>
          </cell>
          <cell r="G480">
            <v>1172027</v>
          </cell>
          <cell r="H480" t="str">
            <v>FP-008:SFT NAT L.HINGE W/LBL NO DC MDM</v>
          </cell>
          <cell r="I480">
            <v>10000</v>
          </cell>
          <cell r="J480" t="str">
            <v>UN</v>
          </cell>
          <cell r="K480">
            <v>45576</v>
          </cell>
        </row>
        <row r="481">
          <cell r="A481" t="str">
            <v>507142416140</v>
          </cell>
          <cell r="B481" t="str">
            <v>ZMTD</v>
          </cell>
          <cell r="C481">
            <v>45474</v>
          </cell>
          <cell r="D481" t="str">
            <v>Not delivered</v>
          </cell>
          <cell r="E481">
            <v>507142416</v>
          </cell>
          <cell r="F481">
            <v>140</v>
          </cell>
          <cell r="G481">
            <v>1269316</v>
          </cell>
          <cell r="H481" t="str">
            <v>LS-285:COVER PX LIP COND NO DC MNDOM 12A</v>
          </cell>
          <cell r="I481">
            <v>10000</v>
          </cell>
          <cell r="J481" t="str">
            <v>UN</v>
          </cell>
          <cell r="K481">
            <v>45576</v>
          </cell>
        </row>
        <row r="482">
          <cell r="A482" t="str">
            <v>507142416150</v>
          </cell>
          <cell r="B482" t="str">
            <v>ZMTD</v>
          </cell>
          <cell r="C482">
            <v>45474</v>
          </cell>
          <cell r="D482" t="str">
            <v>Not delivered</v>
          </cell>
          <cell r="E482">
            <v>507142416</v>
          </cell>
          <cell r="F482">
            <v>150</v>
          </cell>
          <cell r="G482">
            <v>1393258</v>
          </cell>
          <cell r="H482" t="str">
            <v>LS-285:BS PX LIP COND P/BLK MNDOM RV160B</v>
          </cell>
          <cell r="I482">
            <v>10000</v>
          </cell>
          <cell r="J482" t="str">
            <v>UN</v>
          </cell>
          <cell r="K482">
            <v>45576</v>
          </cell>
        </row>
        <row r="483">
          <cell r="A483" t="str">
            <v>50714226510</v>
          </cell>
          <cell r="B483" t="str">
            <v>ZMTD</v>
          </cell>
          <cell r="C483">
            <v>45442</v>
          </cell>
          <cell r="D483" t="str">
            <v>Not delivered</v>
          </cell>
          <cell r="E483">
            <v>507142265</v>
          </cell>
          <cell r="F483">
            <v>10</v>
          </cell>
          <cell r="G483">
            <v>1187960</v>
          </cell>
          <cell r="H483" t="str">
            <v>FP-014:CVR VMRAINBOW P/ULTM II RUDYS 40C</v>
          </cell>
          <cell r="I483">
            <v>40000</v>
          </cell>
          <cell r="J483" t="str">
            <v>UN</v>
          </cell>
          <cell r="K483">
            <v>45576</v>
          </cell>
        </row>
        <row r="484">
          <cell r="A484" t="str">
            <v>50714226520</v>
          </cell>
          <cell r="B484" t="str">
            <v>ZMTD</v>
          </cell>
          <cell r="C484">
            <v>45442</v>
          </cell>
          <cell r="D484" t="str">
            <v>Not delivered</v>
          </cell>
          <cell r="E484">
            <v>507142265</v>
          </cell>
          <cell r="F484">
            <v>20</v>
          </cell>
          <cell r="G484">
            <v>1172318</v>
          </cell>
          <cell r="H484" t="str">
            <v>FP-014:BASE CLEAR NO DC ULTIMA II RUDY S</v>
          </cell>
          <cell r="I484">
            <v>40000</v>
          </cell>
          <cell r="J484" t="str">
            <v>UN</v>
          </cell>
          <cell r="K484">
            <v>45576</v>
          </cell>
        </row>
        <row r="485">
          <cell r="A485" t="str">
            <v>50714226530</v>
          </cell>
          <cell r="B485" t="str">
            <v>ZMTD</v>
          </cell>
          <cell r="C485">
            <v>45442</v>
          </cell>
          <cell r="D485" t="str">
            <v>Not delivered</v>
          </cell>
          <cell r="E485">
            <v>507142265</v>
          </cell>
          <cell r="F485">
            <v>30</v>
          </cell>
          <cell r="G485">
            <v>1170826</v>
          </cell>
          <cell r="H485" t="str">
            <v>FP-014:SIFTER NT W/LBL NO DECO ULTIMA II</v>
          </cell>
          <cell r="I485">
            <v>40000</v>
          </cell>
          <cell r="J485" t="str">
            <v>UN</v>
          </cell>
          <cell r="K485">
            <v>45576</v>
          </cell>
        </row>
        <row r="486">
          <cell r="A486" t="str">
            <v>50714277710</v>
          </cell>
          <cell r="B486" t="str">
            <v>ZMTD</v>
          </cell>
          <cell r="C486">
            <v>45554</v>
          </cell>
          <cell r="D486" t="str">
            <v>Not delivered</v>
          </cell>
          <cell r="E486">
            <v>507142777</v>
          </cell>
          <cell r="F486">
            <v>10</v>
          </cell>
          <cell r="G486">
            <v>1435311</v>
          </cell>
          <cell r="H486" t="str">
            <v>LC-002:BTL/COL MTGRAD SLV AZURA LION 40D</v>
          </cell>
          <cell r="I486">
            <v>50589</v>
          </cell>
          <cell r="J486" t="str">
            <v>UN</v>
          </cell>
          <cell r="K486">
            <v>45577</v>
          </cell>
        </row>
        <row r="487">
          <cell r="A487" t="str">
            <v>50714277720</v>
          </cell>
          <cell r="B487" t="str">
            <v>ZMTD</v>
          </cell>
          <cell r="C487">
            <v>45554</v>
          </cell>
          <cell r="D487" t="str">
            <v>Not delivered</v>
          </cell>
          <cell r="E487">
            <v>507142777</v>
          </cell>
          <cell r="F487">
            <v>20</v>
          </cell>
          <cell r="G487">
            <v>1435313</v>
          </cell>
          <cell r="H487" t="str">
            <v>LC-002:CAP MTSLV WIPNAT S/AZURA LION 40C</v>
          </cell>
          <cell r="I487">
            <v>50589</v>
          </cell>
          <cell r="J487" t="str">
            <v>UN</v>
          </cell>
          <cell r="K487">
            <v>45577</v>
          </cell>
        </row>
        <row r="488">
          <cell r="A488" t="str">
            <v>50714274510</v>
          </cell>
          <cell r="B488" t="str">
            <v>ZMTD</v>
          </cell>
          <cell r="C488">
            <v>45545</v>
          </cell>
          <cell r="D488" t="str">
            <v>Not delivered</v>
          </cell>
          <cell r="E488">
            <v>507142745</v>
          </cell>
          <cell r="F488">
            <v>10</v>
          </cell>
          <cell r="G488">
            <v>1141319</v>
          </cell>
          <cell r="H488" t="str">
            <v>CP-089:FTCAP D40 OVAL PONDS FC WH UNIL</v>
          </cell>
          <cell r="I488">
            <v>801000</v>
          </cell>
          <cell r="J488" t="str">
            <v>UN</v>
          </cell>
          <cell r="K488">
            <v>45577</v>
          </cell>
        </row>
        <row r="489">
          <cell r="A489" t="str">
            <v>50714263230</v>
          </cell>
          <cell r="B489" t="str">
            <v>ZMTD</v>
          </cell>
          <cell r="C489">
            <v>45517</v>
          </cell>
          <cell r="D489" t="str">
            <v>Not delivered</v>
          </cell>
          <cell r="E489">
            <v>507142632</v>
          </cell>
          <cell r="F489">
            <v>30</v>
          </cell>
          <cell r="G489">
            <v>1371896</v>
          </cell>
          <cell r="H489" t="str">
            <v>RX-056:CM-316 CVR BLUE P/WHT SP/MTCLR</v>
          </cell>
          <cell r="I489">
            <v>109968</v>
          </cell>
          <cell r="J489" t="str">
            <v>UN</v>
          </cell>
          <cell r="K489">
            <v>45577</v>
          </cell>
        </row>
        <row r="490">
          <cell r="A490" t="str">
            <v>50714279610</v>
          </cell>
          <cell r="B490" t="str">
            <v>ZMTD</v>
          </cell>
          <cell r="C490">
            <v>45558</v>
          </cell>
          <cell r="D490" t="str">
            <v>Not delivered</v>
          </cell>
          <cell r="E490">
            <v>507142796</v>
          </cell>
          <cell r="F490">
            <v>10</v>
          </cell>
          <cell r="G490">
            <v>1170578</v>
          </cell>
          <cell r="H490" t="str">
            <v>FP-029:CAP VM GOLD S/MATTE REEY010073</v>
          </cell>
          <cell r="I490">
            <v>25080</v>
          </cell>
          <cell r="J490" t="str">
            <v>UN</v>
          </cell>
          <cell r="K490">
            <v>45579</v>
          </cell>
        </row>
        <row r="491">
          <cell r="A491" t="str">
            <v>50714277110</v>
          </cell>
          <cell r="B491" t="str">
            <v>ZMTD</v>
          </cell>
          <cell r="C491">
            <v>45554</v>
          </cell>
          <cell r="D491" t="str">
            <v>Not delivered</v>
          </cell>
          <cell r="E491">
            <v>507142771</v>
          </cell>
          <cell r="F491">
            <v>10</v>
          </cell>
          <cell r="G491">
            <v>1378563</v>
          </cell>
          <cell r="H491" t="str">
            <v>CP-093:CAP D50 MT BLACK Ø.5 YASULOR 12A</v>
          </cell>
          <cell r="I491">
            <v>800000</v>
          </cell>
          <cell r="J491" t="str">
            <v>UN</v>
          </cell>
          <cell r="K491">
            <v>45579</v>
          </cell>
        </row>
        <row r="492">
          <cell r="A492" t="str">
            <v>50714261810</v>
          </cell>
          <cell r="B492" t="str">
            <v>ZMTD</v>
          </cell>
          <cell r="C492">
            <v>45512</v>
          </cell>
          <cell r="D492" t="str">
            <v>Not delivered</v>
          </cell>
          <cell r="E492">
            <v>507142618</v>
          </cell>
          <cell r="F492">
            <v>10</v>
          </cell>
          <cell r="G492">
            <v>1409850</v>
          </cell>
          <cell r="H492" t="str">
            <v>RX-068:BT8445 VENUS 60ML MATCLR 40D</v>
          </cell>
          <cell r="I492">
            <v>11500</v>
          </cell>
          <cell r="J492" t="str">
            <v>UN</v>
          </cell>
          <cell r="K492">
            <v>45579</v>
          </cell>
        </row>
        <row r="493">
          <cell r="A493" t="str">
            <v>50714254510</v>
          </cell>
          <cell r="B493" t="str">
            <v>ZMTD</v>
          </cell>
          <cell r="C493">
            <v>45491</v>
          </cell>
          <cell r="D493" t="str">
            <v>Not delivered</v>
          </cell>
          <cell r="E493">
            <v>507142545</v>
          </cell>
          <cell r="F493">
            <v>10</v>
          </cell>
          <cell r="G493">
            <v>1338042</v>
          </cell>
          <cell r="H493" t="str">
            <v>CM-301:COTY LANCASTER BROWN SP PRL UV</v>
          </cell>
          <cell r="I493">
            <v>51840</v>
          </cell>
          <cell r="J493" t="str">
            <v>UN</v>
          </cell>
          <cell r="K493">
            <v>45579</v>
          </cell>
        </row>
        <row r="494">
          <cell r="A494" t="str">
            <v>50714246810</v>
          </cell>
          <cell r="B494" t="str">
            <v>ZMTD</v>
          </cell>
          <cell r="C494">
            <v>45482</v>
          </cell>
          <cell r="D494" t="str">
            <v>Not delivered</v>
          </cell>
          <cell r="E494">
            <v>507142468</v>
          </cell>
          <cell r="F494">
            <v>10</v>
          </cell>
          <cell r="G494">
            <v>1388326</v>
          </cell>
          <cell r="H494" t="str">
            <v>CM-253:CV BS MTPEACH P/C.BLSH RV1 PTI40H</v>
          </cell>
          <cell r="I494">
            <v>15120</v>
          </cell>
          <cell r="J494" t="str">
            <v>UN</v>
          </cell>
          <cell r="K494">
            <v>45579</v>
          </cell>
        </row>
        <row r="495">
          <cell r="A495" t="str">
            <v>50714239710</v>
          </cell>
          <cell r="B495" t="str">
            <v>ZMTD</v>
          </cell>
          <cell r="C495">
            <v>45468</v>
          </cell>
          <cell r="D495" t="str">
            <v>Not delivered</v>
          </cell>
          <cell r="E495">
            <v>507142397</v>
          </cell>
          <cell r="F495">
            <v>10</v>
          </cell>
          <cell r="G495">
            <v>1195535</v>
          </cell>
          <cell r="H495" t="str">
            <v>FP-039:BASE SAN CLEAR HS KIKO PREMIER</v>
          </cell>
          <cell r="I495">
            <v>60480</v>
          </cell>
          <cell r="J495" t="str">
            <v>UN</v>
          </cell>
          <cell r="K495">
            <v>45579</v>
          </cell>
        </row>
        <row r="496">
          <cell r="A496" t="str">
            <v>50714239810</v>
          </cell>
          <cell r="B496" t="str">
            <v>ZMTD</v>
          </cell>
          <cell r="C496">
            <v>45468</v>
          </cell>
          <cell r="D496" t="str">
            <v>Not delivered</v>
          </cell>
          <cell r="E496">
            <v>507142398</v>
          </cell>
          <cell r="F496">
            <v>10</v>
          </cell>
          <cell r="G496">
            <v>1191869</v>
          </cell>
          <cell r="H496" t="str">
            <v>FP-039:CVR WHITE VM DARK SILVER  KIKO</v>
          </cell>
          <cell r="I496">
            <v>61440</v>
          </cell>
          <cell r="J496" t="str">
            <v>UN</v>
          </cell>
          <cell r="K496">
            <v>45579</v>
          </cell>
        </row>
        <row r="497">
          <cell r="A497" t="str">
            <v>50714277610</v>
          </cell>
          <cell r="B497" t="str">
            <v>ZMTD</v>
          </cell>
          <cell r="C497">
            <v>45554</v>
          </cell>
          <cell r="D497" t="str">
            <v>Not delivered</v>
          </cell>
          <cell r="E497">
            <v>507142776</v>
          </cell>
          <cell r="F497">
            <v>10</v>
          </cell>
          <cell r="G497">
            <v>1331787</v>
          </cell>
          <cell r="H497" t="str">
            <v>CM-216:TRUE MATCH BLUSH W/O BRUSH LOR US</v>
          </cell>
          <cell r="I497">
            <v>75800</v>
          </cell>
          <cell r="J497" t="str">
            <v>UN</v>
          </cell>
          <cell r="K497">
            <v>45580</v>
          </cell>
        </row>
        <row r="498">
          <cell r="A498" t="str">
            <v>50714277910</v>
          </cell>
          <cell r="B498" t="str">
            <v>ZMTD</v>
          </cell>
          <cell r="C498">
            <v>45554</v>
          </cell>
          <cell r="D498" t="str">
            <v>Not delivered</v>
          </cell>
          <cell r="E498">
            <v>507142779</v>
          </cell>
          <cell r="F498">
            <v>10</v>
          </cell>
          <cell r="G498">
            <v>1174001</v>
          </cell>
          <cell r="H498" t="str">
            <v>CM-133:CVR/BS MTLC GREN UV S/SLV WRDH30C</v>
          </cell>
          <cell r="I498">
            <v>10080</v>
          </cell>
          <cell r="J498" t="str">
            <v>UN</v>
          </cell>
          <cell r="K498">
            <v>45580</v>
          </cell>
        </row>
        <row r="499">
          <cell r="A499" t="str">
            <v>50714278010</v>
          </cell>
          <cell r="B499" t="str">
            <v>ZMTD</v>
          </cell>
          <cell r="C499">
            <v>45554</v>
          </cell>
          <cell r="D499" t="str">
            <v>Not delivered</v>
          </cell>
          <cell r="E499">
            <v>507142780</v>
          </cell>
          <cell r="F499">
            <v>10</v>
          </cell>
          <cell r="G499">
            <v>1409881</v>
          </cell>
          <cell r="H499" t="str">
            <v>CM-315:CVR/BS BLACK P/CVRLAST OMG RV160B</v>
          </cell>
          <cell r="I499">
            <v>31724</v>
          </cell>
          <cell r="J499" t="str">
            <v>UN</v>
          </cell>
          <cell r="K499">
            <v>45580</v>
          </cell>
        </row>
        <row r="500">
          <cell r="A500" t="str">
            <v>50714278410</v>
          </cell>
          <cell r="B500" t="str">
            <v>ZMTD</v>
          </cell>
          <cell r="C500">
            <v>45554</v>
          </cell>
          <cell r="D500" t="str">
            <v>Not delivered</v>
          </cell>
          <cell r="E500">
            <v>507142784</v>
          </cell>
          <cell r="F500">
            <v>10</v>
          </cell>
          <cell r="G500">
            <v>1340516</v>
          </cell>
          <cell r="H500" t="str">
            <v>CM-133:CVR BS MTLC GRN UV DP S/WARDH 30T</v>
          </cell>
          <cell r="I500">
            <v>10080</v>
          </cell>
          <cell r="J500" t="str">
            <v>UN</v>
          </cell>
          <cell r="K500">
            <v>45580</v>
          </cell>
        </row>
        <row r="501">
          <cell r="A501" t="str">
            <v>50800528310</v>
          </cell>
          <cell r="B501" t="str">
            <v>ZMFD</v>
          </cell>
          <cell r="C501">
            <v>45554</v>
          </cell>
          <cell r="D501" t="str">
            <v>Not delivered</v>
          </cell>
          <cell r="E501">
            <v>508005283</v>
          </cell>
          <cell r="F501">
            <v>10</v>
          </cell>
          <cell r="G501">
            <v>1442332</v>
          </cell>
          <cell r="H501" t="str">
            <v>CM-256:BS CV PF TRNS BRWN MTCLR P/KUSUMA</v>
          </cell>
          <cell r="I501">
            <v>10000</v>
          </cell>
          <cell r="J501" t="str">
            <v>UN</v>
          </cell>
          <cell r="K501">
            <v>45580</v>
          </cell>
        </row>
        <row r="502">
          <cell r="A502" t="str">
            <v>50714273930</v>
          </cell>
          <cell r="B502" t="str">
            <v>ZMTD</v>
          </cell>
          <cell r="C502">
            <v>45544</v>
          </cell>
          <cell r="D502" t="str">
            <v>Not delivered</v>
          </cell>
          <cell r="E502">
            <v>507142739</v>
          </cell>
          <cell r="F502">
            <v>30</v>
          </cell>
          <cell r="G502">
            <v>1409881</v>
          </cell>
          <cell r="H502" t="str">
            <v>CM-315:CVR/BS BLACK P/CVRLAST OMG RV160B</v>
          </cell>
          <cell r="I502">
            <v>28028</v>
          </cell>
          <cell r="J502" t="str">
            <v>UN</v>
          </cell>
          <cell r="K502">
            <v>45580</v>
          </cell>
        </row>
        <row r="503">
          <cell r="A503" t="str">
            <v>50714274210</v>
          </cell>
          <cell r="B503" t="str">
            <v>ZMTD</v>
          </cell>
          <cell r="C503">
            <v>45544</v>
          </cell>
          <cell r="D503" t="str">
            <v>Not delivered</v>
          </cell>
          <cell r="E503">
            <v>507142742</v>
          </cell>
          <cell r="F503">
            <v>10</v>
          </cell>
          <cell r="G503">
            <v>1437039</v>
          </cell>
          <cell r="H503" t="str">
            <v>CM-290:1PC BS CV MT.BLK S/ EMBOS OMG 40C</v>
          </cell>
          <cell r="I503">
            <v>25032</v>
          </cell>
          <cell r="J503" t="str">
            <v>UN</v>
          </cell>
          <cell r="K503">
            <v>45580</v>
          </cell>
        </row>
        <row r="504">
          <cell r="A504" t="str">
            <v>50714274220</v>
          </cell>
          <cell r="B504" t="str">
            <v>ZMTD</v>
          </cell>
          <cell r="C504">
            <v>45544</v>
          </cell>
          <cell r="D504" t="str">
            <v>Not delivered</v>
          </cell>
          <cell r="E504">
            <v>507142742</v>
          </cell>
          <cell r="F504">
            <v>20</v>
          </cell>
          <cell r="G504">
            <v>1437140</v>
          </cell>
          <cell r="H504" t="str">
            <v>CM-290:ENGINE CV RED, BS BLK OMG PTI 12A</v>
          </cell>
          <cell r="I504">
            <v>25032</v>
          </cell>
          <cell r="J504" t="str">
            <v>UN</v>
          </cell>
          <cell r="K504">
            <v>45580</v>
          </cell>
        </row>
        <row r="505">
          <cell r="A505" t="str">
            <v>50714274230</v>
          </cell>
          <cell r="B505" t="str">
            <v>ZMTD</v>
          </cell>
          <cell r="C505">
            <v>45544</v>
          </cell>
          <cell r="D505" t="str">
            <v>Not delivered</v>
          </cell>
          <cell r="E505">
            <v>507142742</v>
          </cell>
          <cell r="F505">
            <v>30</v>
          </cell>
          <cell r="G505">
            <v>1437141</v>
          </cell>
          <cell r="H505" t="str">
            <v>CM-290:RING BLACK OMG PTI 12A</v>
          </cell>
          <cell r="I505">
            <v>25032</v>
          </cell>
          <cell r="J505" t="str">
            <v>UN</v>
          </cell>
          <cell r="K505">
            <v>45580</v>
          </cell>
        </row>
        <row r="506">
          <cell r="A506" t="str">
            <v>50714273010</v>
          </cell>
          <cell r="B506" t="str">
            <v>ZMTD</v>
          </cell>
          <cell r="C506">
            <v>45541</v>
          </cell>
          <cell r="D506" t="str">
            <v>Not delivered</v>
          </cell>
          <cell r="E506">
            <v>507142730</v>
          </cell>
          <cell r="F506">
            <v>10</v>
          </cell>
          <cell r="G506">
            <v>1371896</v>
          </cell>
          <cell r="H506" t="str">
            <v>RX-056:CM-316 CVR BLUE P/WHT SP/MTCLR</v>
          </cell>
          <cell r="I506">
            <v>110016</v>
          </cell>
          <cell r="J506" t="str">
            <v>UN</v>
          </cell>
          <cell r="K506">
            <v>45580</v>
          </cell>
        </row>
        <row r="507">
          <cell r="A507" t="str">
            <v>50714264830</v>
          </cell>
          <cell r="B507" t="str">
            <v>ZMTD</v>
          </cell>
          <cell r="C507">
            <v>45523</v>
          </cell>
          <cell r="D507" t="str">
            <v>Not delivered</v>
          </cell>
          <cell r="E507">
            <v>507142648</v>
          </cell>
          <cell r="F507">
            <v>30</v>
          </cell>
          <cell r="G507">
            <v>1168132</v>
          </cell>
          <cell r="H507" t="str">
            <v>LS-285:BS WHT NO DC WARDAH</v>
          </cell>
          <cell r="I507">
            <v>70224</v>
          </cell>
          <cell r="J507" t="str">
            <v>UN</v>
          </cell>
          <cell r="K507">
            <v>45580</v>
          </cell>
        </row>
        <row r="508">
          <cell r="A508" t="str">
            <v>50714264840</v>
          </cell>
          <cell r="B508" t="str">
            <v>ZMTD</v>
          </cell>
          <cell r="C508">
            <v>45523</v>
          </cell>
          <cell r="D508" t="str">
            <v>Not delivered</v>
          </cell>
          <cell r="E508">
            <v>507142648</v>
          </cell>
          <cell r="F508">
            <v>40</v>
          </cell>
          <cell r="G508">
            <v>1421509</v>
          </cell>
          <cell r="H508" t="str">
            <v>LS-285:CV ORNG P/WHT UV ORGSQUEZE PTI30O</v>
          </cell>
          <cell r="I508">
            <v>70224</v>
          </cell>
          <cell r="J508" t="str">
            <v>UN</v>
          </cell>
          <cell r="K508">
            <v>45580</v>
          </cell>
        </row>
        <row r="509">
          <cell r="A509" t="str">
            <v>50714255420</v>
          </cell>
          <cell r="B509" t="str">
            <v>ZMTD</v>
          </cell>
          <cell r="C509">
            <v>45495</v>
          </cell>
          <cell r="D509" t="str">
            <v>Not delivered</v>
          </cell>
          <cell r="E509">
            <v>507142554</v>
          </cell>
          <cell r="F509">
            <v>20</v>
          </cell>
          <cell r="G509">
            <v>1432080</v>
          </cell>
          <cell r="H509" t="str">
            <v>CM-281:BS/CV TWC BLUE UV P/S/INEZ FTC30M</v>
          </cell>
          <cell r="I509">
            <v>25000</v>
          </cell>
          <cell r="J509" t="str">
            <v>UN</v>
          </cell>
          <cell r="K509">
            <v>45580</v>
          </cell>
        </row>
        <row r="510">
          <cell r="A510" t="str">
            <v>50714241690</v>
          </cell>
          <cell r="B510" t="str">
            <v>ZMTD</v>
          </cell>
          <cell r="C510">
            <v>45474</v>
          </cell>
          <cell r="D510" t="str">
            <v>Not delivered</v>
          </cell>
          <cell r="E510">
            <v>507142416</v>
          </cell>
          <cell r="F510">
            <v>90</v>
          </cell>
          <cell r="G510">
            <v>1376248</v>
          </cell>
          <cell r="H510" t="str">
            <v>FP-008:CVR L.PINK P/BLK MANDOM RV1 12A</v>
          </cell>
          <cell r="I510">
            <v>10000</v>
          </cell>
          <cell r="J510" t="str">
            <v>UN</v>
          </cell>
          <cell r="K510">
            <v>45580</v>
          </cell>
        </row>
        <row r="511">
          <cell r="A511" t="str">
            <v>507142416100</v>
          </cell>
          <cell r="B511" t="str">
            <v>ZMTD</v>
          </cell>
          <cell r="C511">
            <v>45474</v>
          </cell>
          <cell r="D511" t="str">
            <v>Not delivered</v>
          </cell>
          <cell r="E511">
            <v>507142416</v>
          </cell>
          <cell r="F511">
            <v>100</v>
          </cell>
          <cell r="G511">
            <v>1171179</v>
          </cell>
          <cell r="H511" t="str">
            <v>FP-008:BS INJ BLK NO DC MANDOM</v>
          </cell>
          <cell r="I511">
            <v>10000</v>
          </cell>
          <cell r="J511" t="str">
            <v>UN</v>
          </cell>
          <cell r="K511">
            <v>45580</v>
          </cell>
        </row>
        <row r="512">
          <cell r="A512" t="str">
            <v>507142416110</v>
          </cell>
          <cell r="B512" t="str">
            <v>ZMTD</v>
          </cell>
          <cell r="C512">
            <v>45474</v>
          </cell>
          <cell r="D512" t="str">
            <v>Not delivered</v>
          </cell>
          <cell r="E512">
            <v>507142416</v>
          </cell>
          <cell r="F512">
            <v>110</v>
          </cell>
          <cell r="G512">
            <v>1172027</v>
          </cell>
          <cell r="H512" t="str">
            <v>FP-008:SFT NAT L.HINGE W/LBL NO DC MDM</v>
          </cell>
          <cell r="I512">
            <v>10000</v>
          </cell>
          <cell r="J512" t="str">
            <v>UN</v>
          </cell>
          <cell r="K512">
            <v>45580</v>
          </cell>
        </row>
        <row r="513">
          <cell r="A513" t="str">
            <v>507142416160</v>
          </cell>
          <cell r="B513" t="str">
            <v>ZMTD</v>
          </cell>
          <cell r="C513">
            <v>45474</v>
          </cell>
          <cell r="D513" t="str">
            <v>Not delivered</v>
          </cell>
          <cell r="E513">
            <v>507142416</v>
          </cell>
          <cell r="F513">
            <v>160</v>
          </cell>
          <cell r="G513">
            <v>1267279</v>
          </cell>
          <cell r="H513" t="str">
            <v>LS-285:CVR ORANGE PX LCC NO DC MNDOM 12A</v>
          </cell>
          <cell r="I513">
            <v>10000</v>
          </cell>
          <cell r="J513" t="str">
            <v>UN</v>
          </cell>
          <cell r="K513">
            <v>45580</v>
          </cell>
        </row>
        <row r="514">
          <cell r="A514" t="str">
            <v>507142416170</v>
          </cell>
          <cell r="B514" t="str">
            <v>ZMTD</v>
          </cell>
          <cell r="C514">
            <v>45474</v>
          </cell>
          <cell r="D514" t="str">
            <v>Not delivered</v>
          </cell>
          <cell r="E514">
            <v>507142416</v>
          </cell>
          <cell r="F514">
            <v>170</v>
          </cell>
          <cell r="G514">
            <v>1393254</v>
          </cell>
          <cell r="H514" t="str">
            <v>LS-285:BS ORNG PX LCC P/BLK MNDOM RV160B</v>
          </cell>
          <cell r="I514">
            <v>10000</v>
          </cell>
          <cell r="J514" t="str">
            <v>UN</v>
          </cell>
          <cell r="K514">
            <v>45580</v>
          </cell>
        </row>
        <row r="515">
          <cell r="A515" t="str">
            <v>50800515530</v>
          </cell>
          <cell r="B515" t="str">
            <v>ZMFD</v>
          </cell>
          <cell r="C515">
            <v>45470</v>
          </cell>
          <cell r="D515" t="str">
            <v>Not delivered</v>
          </cell>
          <cell r="E515">
            <v>508005155</v>
          </cell>
          <cell r="F515">
            <v>30</v>
          </cell>
          <cell r="G515">
            <v>1420925</v>
          </cell>
          <cell r="H515" t="str">
            <v>CM-253:CV BS MT ROSE 04 P/C.BLSH PTI40H</v>
          </cell>
          <cell r="I515">
            <v>15000</v>
          </cell>
          <cell r="J515" t="str">
            <v>UN</v>
          </cell>
          <cell r="K515">
            <v>45580</v>
          </cell>
        </row>
        <row r="516">
          <cell r="A516" t="str">
            <v>50714227810</v>
          </cell>
          <cell r="B516" t="str">
            <v>ZMTD</v>
          </cell>
          <cell r="C516">
            <v>45447</v>
          </cell>
          <cell r="D516" t="str">
            <v>Not delivered</v>
          </cell>
          <cell r="E516">
            <v>507142278</v>
          </cell>
          <cell r="F516">
            <v>10</v>
          </cell>
          <cell r="G516">
            <v>1419488</v>
          </cell>
          <cell r="H516" t="str">
            <v>CP-063R:SPOUT CAP WHITE LOREAL 12A</v>
          </cell>
          <cell r="I516">
            <v>1890000</v>
          </cell>
          <cell r="J516" t="str">
            <v>UN</v>
          </cell>
          <cell r="K516">
            <v>45580</v>
          </cell>
        </row>
        <row r="517">
          <cell r="A517" t="str">
            <v>50800478120</v>
          </cell>
          <cell r="B517" t="str">
            <v>ZMFD</v>
          </cell>
          <cell r="C517">
            <v>45307</v>
          </cell>
          <cell r="D517" t="str">
            <v>Not delivered</v>
          </cell>
          <cell r="E517">
            <v>508004781</v>
          </cell>
          <cell r="F517">
            <v>20</v>
          </cell>
          <cell r="G517">
            <v>1169152</v>
          </cell>
          <cell r="H517" t="str">
            <v>CM-295:SQUARE COMPACT&amp;GODET PHHT010032</v>
          </cell>
          <cell r="I517">
            <v>20040</v>
          </cell>
          <cell r="J517" t="str">
            <v>UN</v>
          </cell>
          <cell r="K517">
            <v>45580</v>
          </cell>
        </row>
        <row r="518">
          <cell r="A518" t="str">
            <v>50714277810</v>
          </cell>
          <cell r="B518" t="str">
            <v>ZMTD</v>
          </cell>
          <cell r="C518">
            <v>45554</v>
          </cell>
          <cell r="D518" t="str">
            <v>Not delivered</v>
          </cell>
          <cell r="E518">
            <v>507142778</v>
          </cell>
          <cell r="F518">
            <v>10</v>
          </cell>
          <cell r="G518">
            <v>1417990</v>
          </cell>
          <cell r="H518" t="str">
            <v>LC-009:BTL #2#3 INNER CLR P/OMG PTIPT60B</v>
          </cell>
          <cell r="I518">
            <v>400050</v>
          </cell>
          <cell r="J518" t="str">
            <v>UN</v>
          </cell>
          <cell r="K518">
            <v>45581</v>
          </cell>
        </row>
        <row r="519">
          <cell r="A519" t="str">
            <v>50714277820</v>
          </cell>
          <cell r="B519" t="str">
            <v>ZMTD</v>
          </cell>
          <cell r="C519">
            <v>45554</v>
          </cell>
          <cell r="D519" t="str">
            <v>Not delivered</v>
          </cell>
          <cell r="E519">
            <v>507142778</v>
          </cell>
          <cell r="F519">
            <v>20</v>
          </cell>
          <cell r="G519">
            <v>1417978</v>
          </cell>
          <cell r="H519" t="str">
            <v>LC-009:CAP #2#3 REDTR WIP S/OMG PTIPT60B</v>
          </cell>
          <cell r="I519">
            <v>400050</v>
          </cell>
          <cell r="J519" t="str">
            <v>UN</v>
          </cell>
          <cell r="K519">
            <v>45581</v>
          </cell>
        </row>
        <row r="520">
          <cell r="A520" t="str">
            <v>50714278610</v>
          </cell>
          <cell r="B520" t="str">
            <v>ZMTD</v>
          </cell>
          <cell r="C520">
            <v>45554</v>
          </cell>
          <cell r="D520" t="str">
            <v>Not delivered</v>
          </cell>
          <cell r="E520">
            <v>507142786</v>
          </cell>
          <cell r="F520">
            <v>10</v>
          </cell>
          <cell r="G520">
            <v>1304094</v>
          </cell>
          <cell r="H520" t="str">
            <v>CM-253:CV CLR BS M.PINK P/EMINA C.LIT40H</v>
          </cell>
          <cell r="I520">
            <v>25380</v>
          </cell>
          <cell r="J520" t="str">
            <v>UN</v>
          </cell>
          <cell r="K520">
            <v>45581</v>
          </cell>
        </row>
        <row r="521">
          <cell r="A521" t="str">
            <v>50714276540</v>
          </cell>
          <cell r="B521" t="str">
            <v>ZMTD</v>
          </cell>
          <cell r="C521">
            <v>45552</v>
          </cell>
          <cell r="D521" t="str">
            <v>Not delivered</v>
          </cell>
          <cell r="E521">
            <v>507142765</v>
          </cell>
          <cell r="F521">
            <v>40</v>
          </cell>
          <cell r="G521">
            <v>1398383</v>
          </cell>
          <cell r="H521" t="str">
            <v>CM-319:WHITE P/BLACK UV MATTE NARS</v>
          </cell>
          <cell r="I521">
            <v>30960</v>
          </cell>
          <cell r="J521" t="str">
            <v>UN</v>
          </cell>
          <cell r="K521">
            <v>45581</v>
          </cell>
        </row>
        <row r="522">
          <cell r="A522" t="str">
            <v>50714276640</v>
          </cell>
          <cell r="B522" t="str">
            <v>ZMTD</v>
          </cell>
          <cell r="C522">
            <v>45552</v>
          </cell>
          <cell r="D522" t="str">
            <v>Not delivered</v>
          </cell>
          <cell r="E522">
            <v>507142766</v>
          </cell>
          <cell r="F522">
            <v>40</v>
          </cell>
          <cell r="G522">
            <v>1398763</v>
          </cell>
          <cell r="H522" t="str">
            <v>CM-320:WHITE S/BLACK UV MATTE NARS</v>
          </cell>
          <cell r="I522">
            <v>40500</v>
          </cell>
          <cell r="J522" t="str">
            <v>UN</v>
          </cell>
          <cell r="K522">
            <v>45581</v>
          </cell>
        </row>
        <row r="523">
          <cell r="A523" t="str">
            <v>50714273310</v>
          </cell>
          <cell r="B523" t="str">
            <v>ZMTD</v>
          </cell>
          <cell r="C523">
            <v>45544</v>
          </cell>
          <cell r="D523" t="str">
            <v>Not delivered</v>
          </cell>
          <cell r="E523">
            <v>507142733</v>
          </cell>
          <cell r="F523">
            <v>10</v>
          </cell>
          <cell r="G523">
            <v>1375595</v>
          </cell>
          <cell r="H523" t="str">
            <v>LC-009:BTL/INNER CLEAR P/OMG PTIPT 60B</v>
          </cell>
          <cell r="I523">
            <v>150570</v>
          </cell>
          <cell r="J523" t="str">
            <v>UN</v>
          </cell>
          <cell r="K523">
            <v>45581</v>
          </cell>
        </row>
        <row r="524">
          <cell r="A524" t="str">
            <v>50714273320</v>
          </cell>
          <cell r="B524" t="str">
            <v>ZMTD</v>
          </cell>
          <cell r="C524">
            <v>45544</v>
          </cell>
          <cell r="D524" t="str">
            <v>Not delivered</v>
          </cell>
          <cell r="E524">
            <v>507142733</v>
          </cell>
          <cell r="F524">
            <v>20</v>
          </cell>
          <cell r="G524">
            <v>1375593</v>
          </cell>
          <cell r="H524" t="str">
            <v>LC-009:CAP REDTRANS WIP S/OMG PTIPT 60B</v>
          </cell>
          <cell r="I524">
            <v>150570</v>
          </cell>
          <cell r="J524" t="str">
            <v>UN</v>
          </cell>
          <cell r="K524">
            <v>45581</v>
          </cell>
        </row>
        <row r="525">
          <cell r="A525" t="str">
            <v>50800525910</v>
          </cell>
          <cell r="B525" t="str">
            <v>ZMFD</v>
          </cell>
          <cell r="C525">
            <v>45523</v>
          </cell>
          <cell r="D525" t="str">
            <v>Not delivered</v>
          </cell>
          <cell r="E525">
            <v>508005259</v>
          </cell>
          <cell r="F525">
            <v>10</v>
          </cell>
          <cell r="G525">
            <v>1168132</v>
          </cell>
          <cell r="H525" t="str">
            <v>LS-285:BS WHT NO DC WARDAH</v>
          </cell>
          <cell r="I525">
            <v>120000</v>
          </cell>
          <cell r="J525" t="str">
            <v>UN</v>
          </cell>
          <cell r="K525">
            <v>45581</v>
          </cell>
        </row>
        <row r="526">
          <cell r="A526" t="str">
            <v>50800525920</v>
          </cell>
          <cell r="B526" t="str">
            <v>ZMFD</v>
          </cell>
          <cell r="C526">
            <v>45523</v>
          </cell>
          <cell r="D526" t="str">
            <v>Not delivered</v>
          </cell>
          <cell r="E526">
            <v>508005259</v>
          </cell>
          <cell r="F526">
            <v>20</v>
          </cell>
          <cell r="G526">
            <v>1421509</v>
          </cell>
          <cell r="H526" t="str">
            <v>LS-285:CV ORNG P/WHT UV ORGSQUEZE PTI30O</v>
          </cell>
          <cell r="I526">
            <v>120000</v>
          </cell>
          <cell r="J526" t="str">
            <v>UN</v>
          </cell>
          <cell r="K526">
            <v>45581</v>
          </cell>
        </row>
        <row r="527">
          <cell r="A527" t="str">
            <v>50714260410</v>
          </cell>
          <cell r="B527" t="str">
            <v>ZMTD</v>
          </cell>
          <cell r="C527">
            <v>45509</v>
          </cell>
          <cell r="D527" t="str">
            <v>Not delivered</v>
          </cell>
          <cell r="E527">
            <v>507142604</v>
          </cell>
          <cell r="F527">
            <v>10</v>
          </cell>
          <cell r="G527">
            <v>1171241</v>
          </cell>
          <cell r="H527" t="str">
            <v>CP-059:60ML UV GOLD WHT LN 7712010071 EL</v>
          </cell>
          <cell r="I527">
            <v>25080</v>
          </cell>
          <cell r="J527" t="str">
            <v>UN</v>
          </cell>
          <cell r="K527">
            <v>45581</v>
          </cell>
        </row>
        <row r="528">
          <cell r="A528" t="str">
            <v>50800517110</v>
          </cell>
          <cell r="B528" t="str">
            <v>ZMFD</v>
          </cell>
          <cell r="C528">
            <v>45481</v>
          </cell>
          <cell r="D528" t="str">
            <v>Not delivered</v>
          </cell>
          <cell r="E528">
            <v>508005171</v>
          </cell>
          <cell r="F528">
            <v>10</v>
          </cell>
          <cell r="G528">
            <v>1375595</v>
          </cell>
          <cell r="H528" t="str">
            <v>LC-009:BTL/INNER CLEAR P/OMG PTIPT 60B</v>
          </cell>
          <cell r="I528">
            <v>100170</v>
          </cell>
          <cell r="J528" t="str">
            <v>UN</v>
          </cell>
          <cell r="K528">
            <v>45581</v>
          </cell>
        </row>
        <row r="529">
          <cell r="A529" t="str">
            <v>50800517120</v>
          </cell>
          <cell r="B529" t="str">
            <v>ZMFD</v>
          </cell>
          <cell r="C529">
            <v>45481</v>
          </cell>
          <cell r="D529" t="str">
            <v>Not delivered</v>
          </cell>
          <cell r="E529">
            <v>508005171</v>
          </cell>
          <cell r="F529">
            <v>20</v>
          </cell>
          <cell r="G529">
            <v>1375593</v>
          </cell>
          <cell r="H529" t="str">
            <v>LC-009:CAP REDTRANS WIP S/OMG PTIPT 60B</v>
          </cell>
          <cell r="I529">
            <v>100170</v>
          </cell>
          <cell r="J529" t="str">
            <v>UN</v>
          </cell>
          <cell r="K529">
            <v>45581</v>
          </cell>
        </row>
        <row r="530">
          <cell r="A530" t="str">
            <v>50800507010</v>
          </cell>
          <cell r="B530" t="str">
            <v>ZMFD</v>
          </cell>
          <cell r="C530">
            <v>45433</v>
          </cell>
          <cell r="D530" t="str">
            <v>Not delivered</v>
          </cell>
          <cell r="E530">
            <v>508005070</v>
          </cell>
          <cell r="F530">
            <v>10</v>
          </cell>
          <cell r="G530">
            <v>1167571</v>
          </cell>
          <cell r="H530" t="str">
            <v>FP-014:BS CLEAR NO DC PTI</v>
          </cell>
          <cell r="I530">
            <v>10000</v>
          </cell>
          <cell r="J530" t="str">
            <v>UN</v>
          </cell>
          <cell r="K530">
            <v>45581</v>
          </cell>
        </row>
        <row r="531">
          <cell r="A531" t="str">
            <v>50800507020</v>
          </cell>
          <cell r="B531" t="str">
            <v>ZMFD</v>
          </cell>
          <cell r="C531">
            <v>45433</v>
          </cell>
          <cell r="D531" t="str">
            <v>Not delivered</v>
          </cell>
          <cell r="E531">
            <v>508005070</v>
          </cell>
          <cell r="F531">
            <v>20</v>
          </cell>
          <cell r="G531">
            <v>1167434</v>
          </cell>
          <cell r="H531" t="str">
            <v>FP-014:SFTR NATURAL W/ LABEL POLOS PTI</v>
          </cell>
          <cell r="I531">
            <v>10000</v>
          </cell>
          <cell r="J531" t="str">
            <v>UN</v>
          </cell>
          <cell r="K531">
            <v>45581</v>
          </cell>
        </row>
        <row r="532">
          <cell r="A532" t="str">
            <v>50800507030</v>
          </cell>
          <cell r="B532" t="str">
            <v>ZMFD</v>
          </cell>
          <cell r="C532">
            <v>45433</v>
          </cell>
          <cell r="D532" t="str">
            <v>Not delivered</v>
          </cell>
          <cell r="E532">
            <v>508005070</v>
          </cell>
          <cell r="F532">
            <v>30</v>
          </cell>
          <cell r="G532">
            <v>1174020</v>
          </cell>
          <cell r="H532" t="str">
            <v>FP-014:CVR BLCK COAT P/DC MAKE OVER  PTI</v>
          </cell>
          <cell r="I532">
            <v>10000</v>
          </cell>
          <cell r="J532" t="str">
            <v>UN</v>
          </cell>
          <cell r="K532">
            <v>45581</v>
          </cell>
        </row>
        <row r="533">
          <cell r="A533" t="str">
            <v>50714278310</v>
          </cell>
          <cell r="B533" t="str">
            <v>ZMTD</v>
          </cell>
          <cell r="C533">
            <v>45554</v>
          </cell>
          <cell r="D533" t="str">
            <v>Not delivered</v>
          </cell>
          <cell r="E533">
            <v>507142783</v>
          </cell>
          <cell r="F533">
            <v>10</v>
          </cell>
          <cell r="G533">
            <v>1255658</v>
          </cell>
          <cell r="H533" t="str">
            <v>LC-002:BTL MT VAR8 P/WRDH B.MARK PTI40H</v>
          </cell>
          <cell r="I533">
            <v>25200</v>
          </cell>
          <cell r="J533" t="str">
            <v>UN</v>
          </cell>
          <cell r="K533">
            <v>45582</v>
          </cell>
        </row>
        <row r="534">
          <cell r="A534" t="str">
            <v>50714278320</v>
          </cell>
          <cell r="B534" t="str">
            <v>ZMTD</v>
          </cell>
          <cell r="C534">
            <v>45554</v>
          </cell>
          <cell r="D534" t="str">
            <v>Not delivered</v>
          </cell>
          <cell r="E534">
            <v>507142783</v>
          </cell>
          <cell r="F534">
            <v>20</v>
          </cell>
          <cell r="G534">
            <v>1264030</v>
          </cell>
          <cell r="H534" t="str">
            <v>LC-002:CAP S/MTVAR8 STM-WHT WPNAT PTI40D</v>
          </cell>
          <cell r="I534">
            <v>25200</v>
          </cell>
          <cell r="J534" t="str">
            <v>UN</v>
          </cell>
          <cell r="K534">
            <v>45582</v>
          </cell>
        </row>
        <row r="535">
          <cell r="A535" t="str">
            <v>50714278510</v>
          </cell>
          <cell r="B535" t="str">
            <v>ZMTD</v>
          </cell>
          <cell r="C535">
            <v>45554</v>
          </cell>
          <cell r="D535" t="str">
            <v>Not delivered</v>
          </cell>
          <cell r="E535">
            <v>507142785</v>
          </cell>
          <cell r="F535">
            <v>10</v>
          </cell>
          <cell r="G535">
            <v>1405659</v>
          </cell>
          <cell r="H535" t="str">
            <v>LC-012:BTL VR12 P/GLASTNG PTI60B</v>
          </cell>
          <cell r="I535">
            <v>25326</v>
          </cell>
          <cell r="J535" t="str">
            <v>UN</v>
          </cell>
          <cell r="K535">
            <v>45582</v>
          </cell>
        </row>
        <row r="536">
          <cell r="A536" t="str">
            <v>50714278520</v>
          </cell>
          <cell r="B536" t="str">
            <v>ZMTD</v>
          </cell>
          <cell r="C536">
            <v>45554</v>
          </cell>
          <cell r="D536" t="str">
            <v>Not delivered</v>
          </cell>
          <cell r="E536">
            <v>507142785</v>
          </cell>
          <cell r="F536">
            <v>20</v>
          </cell>
          <cell r="G536">
            <v>1385814</v>
          </cell>
          <cell r="H536" t="str">
            <v>LC-012:CAP VM BRWN WIP GLASTING PTI 20F</v>
          </cell>
          <cell r="I536">
            <v>25326</v>
          </cell>
          <cell r="J536" t="str">
            <v>UN</v>
          </cell>
          <cell r="K536">
            <v>45582</v>
          </cell>
        </row>
        <row r="537">
          <cell r="A537" t="str">
            <v>50714278710</v>
          </cell>
          <cell r="B537" t="str">
            <v>ZMTD</v>
          </cell>
          <cell r="C537">
            <v>45554</v>
          </cell>
          <cell r="D537" t="str">
            <v>Not delivered</v>
          </cell>
          <cell r="E537">
            <v>507142787</v>
          </cell>
          <cell r="F537">
            <v>10</v>
          </cell>
          <cell r="G537">
            <v>1336783</v>
          </cell>
          <cell r="H537" t="str">
            <v>LC-003:BTL CLR CLVM P/S/INSTSUEDE PTI20Y</v>
          </cell>
          <cell r="I537">
            <v>25200</v>
          </cell>
          <cell r="J537" t="str">
            <v>UN</v>
          </cell>
          <cell r="K537">
            <v>45582</v>
          </cell>
        </row>
        <row r="538">
          <cell r="A538" t="str">
            <v>50714278720</v>
          </cell>
          <cell r="B538" t="str">
            <v>ZMTD</v>
          </cell>
          <cell r="C538">
            <v>45554</v>
          </cell>
          <cell r="D538" t="str">
            <v>Not delivered</v>
          </cell>
          <cell r="E538">
            <v>507142787</v>
          </cell>
          <cell r="F538">
            <v>20</v>
          </cell>
          <cell r="G538">
            <v>1378266</v>
          </cell>
          <cell r="H538" t="str">
            <v>LC-003:CAP VM RS PINK INSTASUEDE PTI 20F</v>
          </cell>
          <cell r="I538">
            <v>25200</v>
          </cell>
          <cell r="J538" t="str">
            <v>UN</v>
          </cell>
          <cell r="K538">
            <v>45582</v>
          </cell>
        </row>
        <row r="539">
          <cell r="A539" t="str">
            <v>50714278810</v>
          </cell>
          <cell r="B539" t="str">
            <v>ZMTD</v>
          </cell>
          <cell r="C539">
            <v>45554</v>
          </cell>
          <cell r="D539" t="str">
            <v>Not delivered</v>
          </cell>
          <cell r="E539">
            <v>507142788</v>
          </cell>
          <cell r="F539">
            <v>10</v>
          </cell>
          <cell r="G539">
            <v>1168132</v>
          </cell>
          <cell r="H539" t="str">
            <v>LS-285:BS WHT NO DC WARDAH</v>
          </cell>
          <cell r="I539">
            <v>55328</v>
          </cell>
          <cell r="J539" t="str">
            <v>UN</v>
          </cell>
          <cell r="K539">
            <v>45582</v>
          </cell>
        </row>
        <row r="540">
          <cell r="A540" t="str">
            <v>50714278820</v>
          </cell>
          <cell r="B540" t="str">
            <v>ZMTD</v>
          </cell>
          <cell r="C540">
            <v>45554</v>
          </cell>
          <cell r="D540" t="str">
            <v>Not delivered</v>
          </cell>
          <cell r="E540">
            <v>507142788</v>
          </cell>
          <cell r="F540">
            <v>20</v>
          </cell>
          <cell r="G540">
            <v>1421418</v>
          </cell>
          <cell r="H540" t="str">
            <v>LS-285:CV RED P/WHT UV STRAWBERY PTI 30O</v>
          </cell>
          <cell r="I540">
            <v>55328</v>
          </cell>
          <cell r="J540" t="str">
            <v>UN</v>
          </cell>
          <cell r="K540">
            <v>45582</v>
          </cell>
        </row>
        <row r="541">
          <cell r="A541" t="str">
            <v>50714279110</v>
          </cell>
          <cell r="B541" t="str">
            <v>ZMTD</v>
          </cell>
          <cell r="C541">
            <v>45554</v>
          </cell>
          <cell r="D541" t="str">
            <v>Not delivered</v>
          </cell>
          <cell r="E541">
            <v>507142791</v>
          </cell>
          <cell r="F541">
            <v>10</v>
          </cell>
          <cell r="G541">
            <v>1390981</v>
          </cell>
          <cell r="H541" t="str">
            <v>LC-012:BTL VR5 GLAZBERY P/GLASTNG PTI60B</v>
          </cell>
          <cell r="I541">
            <v>25326</v>
          </cell>
          <cell r="J541" t="str">
            <v>UN</v>
          </cell>
          <cell r="K541">
            <v>45582</v>
          </cell>
        </row>
        <row r="542">
          <cell r="A542" t="str">
            <v>50714279120</v>
          </cell>
          <cell r="B542" t="str">
            <v>ZMTD</v>
          </cell>
          <cell r="C542">
            <v>45554</v>
          </cell>
          <cell r="D542" t="str">
            <v>Not delivered</v>
          </cell>
          <cell r="E542">
            <v>507142791</v>
          </cell>
          <cell r="F542">
            <v>20</v>
          </cell>
          <cell r="G542">
            <v>1385814</v>
          </cell>
          <cell r="H542" t="str">
            <v>LC-012:CAP VM BRWN WIP GLASTING PTI 20F</v>
          </cell>
          <cell r="I542">
            <v>25326</v>
          </cell>
          <cell r="J542" t="str">
            <v>UN</v>
          </cell>
          <cell r="K542">
            <v>45582</v>
          </cell>
        </row>
        <row r="543">
          <cell r="A543" t="str">
            <v>50714275670</v>
          </cell>
          <cell r="B543" t="str">
            <v>ZMTD</v>
          </cell>
          <cell r="C543">
            <v>45547</v>
          </cell>
          <cell r="D543" t="str">
            <v>Not delivered</v>
          </cell>
          <cell r="E543">
            <v>507142756</v>
          </cell>
          <cell r="F543">
            <v>70</v>
          </cell>
          <cell r="G543">
            <v>1411899</v>
          </cell>
          <cell r="H543" t="str">
            <v>PT-100:BS/INS GREEN P/WHT KAHF PTI 60B</v>
          </cell>
          <cell r="I543">
            <v>120064</v>
          </cell>
          <cell r="J543" t="str">
            <v>UN</v>
          </cell>
          <cell r="K543">
            <v>45582</v>
          </cell>
        </row>
        <row r="544">
          <cell r="A544" t="str">
            <v>50714275680</v>
          </cell>
          <cell r="B544" t="str">
            <v>ZMTD</v>
          </cell>
          <cell r="C544">
            <v>45547</v>
          </cell>
          <cell r="D544" t="str">
            <v>Not delivered</v>
          </cell>
          <cell r="E544">
            <v>507142756</v>
          </cell>
          <cell r="F544">
            <v>80</v>
          </cell>
          <cell r="G544">
            <v>1411898</v>
          </cell>
          <cell r="H544" t="str">
            <v>PT-100:CVR MT.GREEN EMBOS KAHF PTI 40D</v>
          </cell>
          <cell r="I544">
            <v>120064</v>
          </cell>
          <cell r="J544" t="str">
            <v>UN</v>
          </cell>
          <cell r="K544">
            <v>45582</v>
          </cell>
        </row>
        <row r="545">
          <cell r="A545" t="str">
            <v>50714266410</v>
          </cell>
          <cell r="B545" t="str">
            <v>ZMTD</v>
          </cell>
          <cell r="C545">
            <v>45525</v>
          </cell>
          <cell r="D545" t="str">
            <v>Not delivered</v>
          </cell>
          <cell r="E545">
            <v>507142664</v>
          </cell>
          <cell r="F545">
            <v>10</v>
          </cell>
          <cell r="G545">
            <v>1216572</v>
          </cell>
          <cell r="H545" t="str">
            <v>CM-216:TRUE MATCH CV PF S/SLV LOR (SEA)</v>
          </cell>
          <cell r="I545">
            <v>230400</v>
          </cell>
          <cell r="J545" t="str">
            <v>UN</v>
          </cell>
          <cell r="K545">
            <v>45582</v>
          </cell>
        </row>
        <row r="546">
          <cell r="A546" t="str">
            <v>507142416200</v>
          </cell>
          <cell r="B546" t="str">
            <v>ZMTD</v>
          </cell>
          <cell r="C546">
            <v>45474</v>
          </cell>
          <cell r="D546" t="str">
            <v>Not delivered</v>
          </cell>
          <cell r="E546">
            <v>507142416</v>
          </cell>
          <cell r="F546">
            <v>200</v>
          </cell>
          <cell r="G546">
            <v>1172027</v>
          </cell>
          <cell r="H546" t="str">
            <v>FP-008:SFT NAT L.HINGE W/LBL NO DC MDM</v>
          </cell>
          <cell r="I546">
            <v>10000</v>
          </cell>
          <cell r="J546" t="str">
            <v>UN</v>
          </cell>
          <cell r="K546">
            <v>45582</v>
          </cell>
        </row>
        <row r="547">
          <cell r="A547" t="str">
            <v>50714230610</v>
          </cell>
          <cell r="B547" t="str">
            <v>ZMTD</v>
          </cell>
          <cell r="C547">
            <v>45449</v>
          </cell>
          <cell r="D547" t="str">
            <v>Not delivered</v>
          </cell>
          <cell r="E547">
            <v>507142306</v>
          </cell>
          <cell r="F547">
            <v>10</v>
          </cell>
          <cell r="G547">
            <v>1389292</v>
          </cell>
          <cell r="H547" t="str">
            <v>CM-295:GODET MONEY MOVES G87J-01-0091</v>
          </cell>
          <cell r="I547">
            <v>10472</v>
          </cell>
          <cell r="J547" t="str">
            <v>UN</v>
          </cell>
          <cell r="K547">
            <v>45582</v>
          </cell>
        </row>
        <row r="548">
          <cell r="A548" t="str">
            <v>50800509910</v>
          </cell>
          <cell r="B548" t="str">
            <v>ZMFD</v>
          </cell>
          <cell r="C548">
            <v>45449</v>
          </cell>
          <cell r="D548" t="str">
            <v>Not delivered</v>
          </cell>
          <cell r="E548">
            <v>508005099</v>
          </cell>
          <cell r="F548">
            <v>10</v>
          </cell>
          <cell r="G548">
            <v>1389065</v>
          </cell>
          <cell r="H548" t="str">
            <v>CM-294:GODET HYPNT COOPER G0S4-07-0092</v>
          </cell>
          <cell r="I548">
            <v>10472</v>
          </cell>
          <cell r="J548" t="str">
            <v>UN</v>
          </cell>
          <cell r="K548">
            <v>45582</v>
          </cell>
        </row>
        <row r="549">
          <cell r="A549" t="str">
            <v>50800510010</v>
          </cell>
          <cell r="B549" t="str">
            <v>ZMFD</v>
          </cell>
          <cell r="C549">
            <v>45449</v>
          </cell>
          <cell r="D549" t="str">
            <v>Not delivered</v>
          </cell>
          <cell r="E549">
            <v>508005100</v>
          </cell>
          <cell r="F549">
            <v>10</v>
          </cell>
          <cell r="G549">
            <v>1389078</v>
          </cell>
          <cell r="H549" t="str">
            <v>CM-294:GODET SUBLIM SPICE G0S5-02-0092</v>
          </cell>
          <cell r="I549">
            <v>10472</v>
          </cell>
          <cell r="J549" t="str">
            <v>UN</v>
          </cell>
          <cell r="K549">
            <v>45582</v>
          </cell>
        </row>
        <row r="550">
          <cell r="A550" t="str">
            <v>50800510210</v>
          </cell>
          <cell r="B550" t="str">
            <v>ZMFD</v>
          </cell>
          <cell r="C550">
            <v>45449</v>
          </cell>
          <cell r="D550" t="str">
            <v>Not delivered</v>
          </cell>
          <cell r="E550">
            <v>508005102</v>
          </cell>
          <cell r="F550">
            <v>10</v>
          </cell>
          <cell r="G550">
            <v>1389679</v>
          </cell>
          <cell r="H550" t="str">
            <v>CM-294 GODET PEACH PASSION G0S6-01-0092</v>
          </cell>
          <cell r="I550">
            <v>10472</v>
          </cell>
          <cell r="J550" t="str">
            <v>UN</v>
          </cell>
          <cell r="K550">
            <v>45582</v>
          </cell>
        </row>
        <row r="551">
          <cell r="A551" t="str">
            <v>50714278910</v>
          </cell>
          <cell r="B551" t="str">
            <v>ZMTD</v>
          </cell>
          <cell r="C551">
            <v>45554</v>
          </cell>
          <cell r="D551" t="str">
            <v>Not delivered</v>
          </cell>
          <cell r="E551">
            <v>507142789</v>
          </cell>
          <cell r="F551">
            <v>10</v>
          </cell>
          <cell r="G551">
            <v>1411213</v>
          </cell>
          <cell r="H551" t="str">
            <v>CM-105:BLCK COAT P/MAKE OVER PTI RV1 40H</v>
          </cell>
          <cell r="I551">
            <v>10080</v>
          </cell>
          <cell r="J551" t="str">
            <v>UN</v>
          </cell>
          <cell r="K551">
            <v>45583</v>
          </cell>
        </row>
        <row r="552">
          <cell r="A552" t="str">
            <v>50714279010</v>
          </cell>
          <cell r="B552" t="str">
            <v>ZMTD</v>
          </cell>
          <cell r="C552">
            <v>45554</v>
          </cell>
          <cell r="D552" t="str">
            <v>Not delivered</v>
          </cell>
          <cell r="E552">
            <v>507142790</v>
          </cell>
          <cell r="F552">
            <v>10</v>
          </cell>
          <cell r="G552">
            <v>1361170</v>
          </cell>
          <cell r="H552" t="str">
            <v>PT-097:BODY BLACK HOUSE WHT TRANS PTI12A</v>
          </cell>
          <cell r="I552">
            <v>110160</v>
          </cell>
          <cell r="J552" t="str">
            <v>UN</v>
          </cell>
          <cell r="K552">
            <v>45583</v>
          </cell>
        </row>
        <row r="553">
          <cell r="A553" t="str">
            <v>50714279020</v>
          </cell>
          <cell r="B553" t="str">
            <v>ZMTD</v>
          </cell>
          <cell r="C553">
            <v>45554</v>
          </cell>
          <cell r="D553" t="str">
            <v>Not delivered</v>
          </cell>
          <cell r="E553">
            <v>507142790</v>
          </cell>
          <cell r="F553">
            <v>20</v>
          </cell>
          <cell r="G553">
            <v>1361175</v>
          </cell>
          <cell r="H553" t="str">
            <v>PT-097:CAP BLACK TRANS PTI 12A</v>
          </cell>
          <cell r="I553">
            <v>110160</v>
          </cell>
          <cell r="J553" t="str">
            <v>UN</v>
          </cell>
          <cell r="K553">
            <v>45583</v>
          </cell>
        </row>
        <row r="554">
          <cell r="A554" t="str">
            <v>50714270910</v>
          </cell>
          <cell r="B554" t="str">
            <v>ZMTD</v>
          </cell>
          <cell r="C554">
            <v>45534</v>
          </cell>
          <cell r="D554" t="str">
            <v>Not delivered</v>
          </cell>
          <cell r="E554">
            <v>507142709</v>
          </cell>
          <cell r="F554">
            <v>10</v>
          </cell>
          <cell r="G554">
            <v>1187960</v>
          </cell>
          <cell r="H554" t="str">
            <v>FP-014:CVR VMRAINBOW P/ULTM II RUDYS 40C</v>
          </cell>
          <cell r="I554">
            <v>30000</v>
          </cell>
          <cell r="J554" t="str">
            <v>UN</v>
          </cell>
          <cell r="K554">
            <v>45583</v>
          </cell>
        </row>
        <row r="555">
          <cell r="A555" t="str">
            <v>50714270920</v>
          </cell>
          <cell r="B555" t="str">
            <v>ZMTD</v>
          </cell>
          <cell r="C555">
            <v>45534</v>
          </cell>
          <cell r="D555" t="str">
            <v>Not delivered</v>
          </cell>
          <cell r="E555">
            <v>507142709</v>
          </cell>
          <cell r="F555">
            <v>20</v>
          </cell>
          <cell r="G555">
            <v>1172318</v>
          </cell>
          <cell r="H555" t="str">
            <v>FP-014:BASE CLEAR NO DC ULTIMA II RUDY S</v>
          </cell>
          <cell r="I555">
            <v>30000</v>
          </cell>
          <cell r="J555" t="str">
            <v>UN</v>
          </cell>
          <cell r="K555">
            <v>45583</v>
          </cell>
        </row>
        <row r="556">
          <cell r="A556" t="str">
            <v>50714270930</v>
          </cell>
          <cell r="B556" t="str">
            <v>ZMTD</v>
          </cell>
          <cell r="C556">
            <v>45534</v>
          </cell>
          <cell r="D556" t="str">
            <v>Not delivered</v>
          </cell>
          <cell r="E556">
            <v>507142709</v>
          </cell>
          <cell r="F556">
            <v>30</v>
          </cell>
          <cell r="G556">
            <v>1170826</v>
          </cell>
          <cell r="H556" t="str">
            <v>FP-014:SIFTER NT W/LBL NO DECO ULTIMA II</v>
          </cell>
          <cell r="I556">
            <v>30000</v>
          </cell>
          <cell r="J556" t="str">
            <v>UN</v>
          </cell>
          <cell r="K556">
            <v>45583</v>
          </cell>
        </row>
        <row r="557">
          <cell r="A557" t="str">
            <v>50714260010</v>
          </cell>
          <cell r="B557" t="str">
            <v>ZMTD</v>
          </cell>
          <cell r="C557">
            <v>45509</v>
          </cell>
          <cell r="D557" t="str">
            <v>Not delivered</v>
          </cell>
          <cell r="E557">
            <v>507142600</v>
          </cell>
          <cell r="F557">
            <v>10</v>
          </cell>
          <cell r="G557">
            <v>1414413</v>
          </cell>
          <cell r="H557" t="str">
            <v>CM-216:S/RED INFAILLIBLE  L'OREAL US</v>
          </cell>
          <cell r="I557">
            <v>70000</v>
          </cell>
          <cell r="J557" t="str">
            <v>UN</v>
          </cell>
          <cell r="K557">
            <v>45583</v>
          </cell>
        </row>
        <row r="558">
          <cell r="A558" t="str">
            <v>50714254320</v>
          </cell>
          <cell r="B558" t="str">
            <v>ZMTD</v>
          </cell>
          <cell r="C558">
            <v>45491</v>
          </cell>
          <cell r="D558" t="str">
            <v>Not delivered</v>
          </cell>
          <cell r="E558">
            <v>507142543</v>
          </cell>
          <cell r="F558">
            <v>20</v>
          </cell>
          <cell r="G558">
            <v>1278860</v>
          </cell>
          <cell r="H558" t="str">
            <v>CM-296:WHT P/L.AGELES W/O HOLE COTY TAOR</v>
          </cell>
          <cell r="I558">
            <v>72000</v>
          </cell>
          <cell r="J558" t="str">
            <v>UN</v>
          </cell>
          <cell r="K558">
            <v>45583</v>
          </cell>
        </row>
        <row r="559">
          <cell r="A559" t="str">
            <v>507142416180</v>
          </cell>
          <cell r="B559" t="str">
            <v>ZMTD</v>
          </cell>
          <cell r="C559">
            <v>45474</v>
          </cell>
          <cell r="D559" t="str">
            <v>Not delivered</v>
          </cell>
          <cell r="E559">
            <v>507142416</v>
          </cell>
          <cell r="F559">
            <v>180</v>
          </cell>
          <cell r="G559">
            <v>1376248</v>
          </cell>
          <cell r="H559" t="str">
            <v>FP-008:CVR L.PINK P/BLK MANDOM RV1 12A</v>
          </cell>
          <cell r="I559">
            <v>10000</v>
          </cell>
          <cell r="J559" t="str">
            <v>UN</v>
          </cell>
          <cell r="K559">
            <v>45583</v>
          </cell>
        </row>
        <row r="560">
          <cell r="A560" t="str">
            <v>507142416190</v>
          </cell>
          <cell r="B560" t="str">
            <v>ZMTD</v>
          </cell>
          <cell r="C560">
            <v>45474</v>
          </cell>
          <cell r="D560" t="str">
            <v>Not delivered</v>
          </cell>
          <cell r="E560">
            <v>507142416</v>
          </cell>
          <cell r="F560">
            <v>190</v>
          </cell>
          <cell r="G560">
            <v>1171179</v>
          </cell>
          <cell r="H560" t="str">
            <v>FP-008:BS INJ BLK NO DC MANDOM</v>
          </cell>
          <cell r="I560">
            <v>10000</v>
          </cell>
          <cell r="J560" t="str">
            <v>UN</v>
          </cell>
          <cell r="K560">
            <v>45583</v>
          </cell>
        </row>
        <row r="561">
          <cell r="A561" t="str">
            <v>50714243710</v>
          </cell>
          <cell r="B561" t="str">
            <v>ZMTD</v>
          </cell>
          <cell r="C561">
            <v>45475</v>
          </cell>
          <cell r="D561" t="str">
            <v>Not delivered</v>
          </cell>
          <cell r="E561">
            <v>507142437</v>
          </cell>
          <cell r="F561">
            <v>10</v>
          </cell>
          <cell r="G561">
            <v>1159364</v>
          </cell>
          <cell r="H561" t="str">
            <v>CP-071:PL8364 INSERT TNR 125-200ML REX</v>
          </cell>
          <cell r="I561">
            <v>111000</v>
          </cell>
          <cell r="J561" t="str">
            <v>UN</v>
          </cell>
          <cell r="K561">
            <v>45584</v>
          </cell>
        </row>
        <row r="562">
          <cell r="A562" t="str">
            <v>50714275210</v>
          </cell>
          <cell r="B562" t="str">
            <v>ZMTD</v>
          </cell>
          <cell r="C562">
            <v>45545</v>
          </cell>
          <cell r="D562" t="str">
            <v>Not delivered</v>
          </cell>
          <cell r="E562">
            <v>507142752</v>
          </cell>
          <cell r="F562">
            <v>10</v>
          </cell>
          <cell r="G562">
            <v>1169286</v>
          </cell>
          <cell r="H562" t="str">
            <v>CM-294:RECTANGULAR WITH GODET PKTJ010032</v>
          </cell>
          <cell r="I562">
            <v>43280</v>
          </cell>
          <cell r="J562" t="str">
            <v>UN</v>
          </cell>
          <cell r="K562">
            <v>45585</v>
          </cell>
        </row>
        <row r="563">
          <cell r="A563" t="str">
            <v>50714277210</v>
          </cell>
          <cell r="B563" t="str">
            <v>ZMTD</v>
          </cell>
          <cell r="C563">
            <v>45554</v>
          </cell>
          <cell r="D563" t="str">
            <v>Not delivered</v>
          </cell>
          <cell r="E563">
            <v>507142772</v>
          </cell>
          <cell r="F563">
            <v>10</v>
          </cell>
          <cell r="G563">
            <v>1378563</v>
          </cell>
          <cell r="H563" t="str">
            <v>CP-093:CAP D50 MT BLACK Ø.5 YASULOR 12A</v>
          </cell>
          <cell r="I563">
            <v>600000</v>
          </cell>
          <cell r="J563" t="str">
            <v>UN</v>
          </cell>
          <cell r="K563">
            <v>45586</v>
          </cell>
        </row>
        <row r="564">
          <cell r="A564" t="str">
            <v>50714278210</v>
          </cell>
          <cell r="B564" t="str">
            <v>ZMTD</v>
          </cell>
          <cell r="C564">
            <v>45554</v>
          </cell>
          <cell r="D564" t="str">
            <v>Not delivered</v>
          </cell>
          <cell r="E564">
            <v>507142782</v>
          </cell>
          <cell r="F564">
            <v>10</v>
          </cell>
          <cell r="G564">
            <v>1420101</v>
          </cell>
          <cell r="H564" t="str">
            <v>LS-091:BS RED P/RED FRTY CHERRY NEW 60B</v>
          </cell>
          <cell r="I564">
            <v>25688</v>
          </cell>
          <cell r="J564" t="str">
            <v>UN</v>
          </cell>
          <cell r="K564">
            <v>45586</v>
          </cell>
        </row>
        <row r="565">
          <cell r="A565" t="str">
            <v>50714278220</v>
          </cell>
          <cell r="B565" t="str">
            <v>ZMTD</v>
          </cell>
          <cell r="C565">
            <v>45554</v>
          </cell>
          <cell r="D565" t="str">
            <v>Not delivered</v>
          </cell>
          <cell r="E565">
            <v>507142782</v>
          </cell>
          <cell r="F565">
            <v>20</v>
          </cell>
          <cell r="G565">
            <v>1420102</v>
          </cell>
          <cell r="H565" t="str">
            <v>LS-091:CV WHT P/ICE FRUITY CHERRY 60B</v>
          </cell>
          <cell r="I565">
            <v>25688</v>
          </cell>
          <cell r="J565" t="str">
            <v>UN</v>
          </cell>
          <cell r="K565">
            <v>45586</v>
          </cell>
        </row>
        <row r="566">
          <cell r="A566" t="str">
            <v>50714276810</v>
          </cell>
          <cell r="B566" t="str">
            <v>ZMTD</v>
          </cell>
          <cell r="C566">
            <v>45553</v>
          </cell>
          <cell r="D566" t="str">
            <v>Not delivered</v>
          </cell>
          <cell r="E566">
            <v>507142768</v>
          </cell>
          <cell r="F566">
            <v>10</v>
          </cell>
          <cell r="G566">
            <v>1169286</v>
          </cell>
          <cell r="H566" t="str">
            <v>CM-294:RECTANGULAR WITH GODET PKTJ010032</v>
          </cell>
          <cell r="I566">
            <v>43920</v>
          </cell>
          <cell r="J566" t="str">
            <v>UN</v>
          </cell>
          <cell r="K566">
            <v>45586</v>
          </cell>
        </row>
        <row r="567">
          <cell r="A567" t="str">
            <v>50714273330</v>
          </cell>
          <cell r="B567" t="str">
            <v>ZMTD</v>
          </cell>
          <cell r="C567">
            <v>45544</v>
          </cell>
          <cell r="D567" t="str">
            <v>Not delivered</v>
          </cell>
          <cell r="E567">
            <v>507142733</v>
          </cell>
          <cell r="F567">
            <v>30</v>
          </cell>
          <cell r="G567">
            <v>1375595</v>
          </cell>
          <cell r="H567" t="str">
            <v>LC-009:BTL/INNER CLEAR P/OMG PTIPT 60B</v>
          </cell>
          <cell r="I567">
            <v>49770</v>
          </cell>
          <cell r="J567" t="str">
            <v>UN</v>
          </cell>
          <cell r="K567">
            <v>45586</v>
          </cell>
        </row>
        <row r="568">
          <cell r="A568" t="str">
            <v>50714273340</v>
          </cell>
          <cell r="B568" t="str">
            <v>ZMTD</v>
          </cell>
          <cell r="C568">
            <v>45544</v>
          </cell>
          <cell r="D568" t="str">
            <v>Not delivered</v>
          </cell>
          <cell r="E568">
            <v>507142733</v>
          </cell>
          <cell r="F568">
            <v>40</v>
          </cell>
          <cell r="G568">
            <v>1375593</v>
          </cell>
          <cell r="H568" t="str">
            <v>LC-009:CAP REDTRANS WIP S/OMG PTIPT 60B</v>
          </cell>
          <cell r="I568">
            <v>49770</v>
          </cell>
          <cell r="J568" t="str">
            <v>UN</v>
          </cell>
          <cell r="K568">
            <v>45586</v>
          </cell>
        </row>
        <row r="569">
          <cell r="A569" t="str">
            <v>50714271910</v>
          </cell>
          <cell r="B569" t="str">
            <v>ZMTD</v>
          </cell>
          <cell r="C569">
            <v>45539</v>
          </cell>
          <cell r="D569" t="str">
            <v>Not delivered</v>
          </cell>
          <cell r="E569">
            <v>507142719</v>
          </cell>
          <cell r="F569">
            <v>10</v>
          </cell>
          <cell r="G569">
            <v>1431862</v>
          </cell>
          <cell r="H569" t="str">
            <v>PT6029R JAR GARNIER 18ML YUZU SPF30(635)</v>
          </cell>
          <cell r="I569">
            <v>42336</v>
          </cell>
          <cell r="J569" t="str">
            <v>UN</v>
          </cell>
          <cell r="K569">
            <v>45586</v>
          </cell>
        </row>
        <row r="570">
          <cell r="A570" t="str">
            <v>50714269910</v>
          </cell>
          <cell r="B570" t="str">
            <v>ZMTD</v>
          </cell>
          <cell r="C570">
            <v>45533</v>
          </cell>
          <cell r="D570" t="str">
            <v>Not delivered</v>
          </cell>
          <cell r="E570">
            <v>507142699</v>
          </cell>
          <cell r="F570">
            <v>10</v>
          </cell>
          <cell r="G570">
            <v>1315622</v>
          </cell>
          <cell r="H570" t="str">
            <v>CM-306:COTY BURBERRY PLATFORM QUAD</v>
          </cell>
          <cell r="I570">
            <v>32400</v>
          </cell>
          <cell r="J570" t="str">
            <v>UN</v>
          </cell>
          <cell r="K570">
            <v>45586</v>
          </cell>
        </row>
        <row r="571">
          <cell r="A571" t="str">
            <v>50800525110</v>
          </cell>
          <cell r="B571" t="str">
            <v>ZMFD</v>
          </cell>
          <cell r="C571">
            <v>45511</v>
          </cell>
          <cell r="D571" t="str">
            <v>Not delivered</v>
          </cell>
          <cell r="E571">
            <v>508005251</v>
          </cell>
          <cell r="F571">
            <v>10</v>
          </cell>
          <cell r="G571">
            <v>1168132</v>
          </cell>
          <cell r="H571" t="str">
            <v>LS-285:BS WHT NO DC WARDAH</v>
          </cell>
          <cell r="I571">
            <v>3000</v>
          </cell>
          <cell r="J571" t="str">
            <v>UN</v>
          </cell>
          <cell r="K571">
            <v>45586</v>
          </cell>
        </row>
        <row r="572">
          <cell r="A572" t="str">
            <v>50800525120</v>
          </cell>
          <cell r="B572" t="str">
            <v>ZMFD</v>
          </cell>
          <cell r="C572">
            <v>45511</v>
          </cell>
          <cell r="D572" t="str">
            <v>Not delivered</v>
          </cell>
          <cell r="E572">
            <v>508005251</v>
          </cell>
          <cell r="F572">
            <v>20</v>
          </cell>
          <cell r="G572">
            <v>1421510</v>
          </cell>
          <cell r="H572" t="str">
            <v>LS-285:CV PINK P/WHT UV P.BLOSOM PTI 30O</v>
          </cell>
          <cell r="I572">
            <v>3000</v>
          </cell>
          <cell r="J572" t="str">
            <v>UN</v>
          </cell>
          <cell r="K572">
            <v>45586</v>
          </cell>
        </row>
        <row r="573">
          <cell r="A573" t="str">
            <v>50800523710</v>
          </cell>
          <cell r="B573" t="str">
            <v>ZMFD</v>
          </cell>
          <cell r="C573">
            <v>45505</v>
          </cell>
          <cell r="D573" t="str">
            <v>Not delivered</v>
          </cell>
          <cell r="E573">
            <v>508005237</v>
          </cell>
          <cell r="F573">
            <v>10</v>
          </cell>
          <cell r="G573">
            <v>1102728</v>
          </cell>
          <cell r="H573" t="str">
            <v>CM-274 BLACK P/WHITE LAKME CSMAX 60B</v>
          </cell>
          <cell r="I573">
            <v>30000</v>
          </cell>
          <cell r="J573" t="str">
            <v>UN</v>
          </cell>
          <cell r="K573">
            <v>45586</v>
          </cell>
        </row>
        <row r="574">
          <cell r="A574" t="str">
            <v>50714243310</v>
          </cell>
          <cell r="B574" t="str">
            <v>ZMTD</v>
          </cell>
          <cell r="C574">
            <v>45475</v>
          </cell>
          <cell r="D574" t="str">
            <v>Not delivered</v>
          </cell>
          <cell r="E574">
            <v>507142433</v>
          </cell>
          <cell r="F574">
            <v>10</v>
          </cell>
          <cell r="G574">
            <v>1406600</v>
          </cell>
          <cell r="H574" t="str">
            <v>CM-310:BLACK M086 CANNAGE S/SLV UV MT</v>
          </cell>
          <cell r="I574">
            <v>39000</v>
          </cell>
          <cell r="J574" t="str">
            <v>UN</v>
          </cell>
          <cell r="K574">
            <v>45586</v>
          </cell>
        </row>
        <row r="575">
          <cell r="A575" t="str">
            <v>50800515540</v>
          </cell>
          <cell r="B575" t="str">
            <v>ZMFD</v>
          </cell>
          <cell r="C575">
            <v>45470</v>
          </cell>
          <cell r="D575" t="str">
            <v>Not delivered</v>
          </cell>
          <cell r="E575">
            <v>508005155</v>
          </cell>
          <cell r="F575">
            <v>40</v>
          </cell>
          <cell r="G575">
            <v>1420861</v>
          </cell>
          <cell r="H575" t="str">
            <v>CM-253:CV BS MT PLUM 05  P/C.BLSH PTI40H</v>
          </cell>
          <cell r="I575">
            <v>15000</v>
          </cell>
          <cell r="J575" t="str">
            <v>UN</v>
          </cell>
          <cell r="K575">
            <v>45586</v>
          </cell>
        </row>
        <row r="576">
          <cell r="A576" t="str">
            <v>50714278020</v>
          </cell>
          <cell r="B576" t="str">
            <v>ZMTD</v>
          </cell>
          <cell r="C576">
            <v>45554</v>
          </cell>
          <cell r="D576" t="str">
            <v>Not delivered</v>
          </cell>
          <cell r="E576">
            <v>507142780</v>
          </cell>
          <cell r="F576">
            <v>20</v>
          </cell>
          <cell r="G576">
            <v>1409881</v>
          </cell>
          <cell r="H576" t="str">
            <v>CM-315:CVR/BS BLACK P/CVRLAST OMG RV160B</v>
          </cell>
          <cell r="I576">
            <v>50204</v>
          </cell>
          <cell r="J576" t="str">
            <v>UN</v>
          </cell>
          <cell r="K576">
            <v>45587</v>
          </cell>
        </row>
        <row r="577">
          <cell r="A577" t="str">
            <v>50714275750</v>
          </cell>
          <cell r="B577" t="str">
            <v>ZMTD</v>
          </cell>
          <cell r="C577">
            <v>45547</v>
          </cell>
          <cell r="D577" t="str">
            <v>Not delivered</v>
          </cell>
          <cell r="E577">
            <v>507142757</v>
          </cell>
          <cell r="F577">
            <v>50</v>
          </cell>
          <cell r="G577">
            <v>1411701</v>
          </cell>
          <cell r="H577" t="str">
            <v>PT-100:BS/INS BLUE P/WHT KAHF PTI 60B</v>
          </cell>
          <cell r="I577">
            <v>60160</v>
          </cell>
          <cell r="J577" t="str">
            <v>UN</v>
          </cell>
          <cell r="K577">
            <v>45587</v>
          </cell>
        </row>
        <row r="578">
          <cell r="A578" t="str">
            <v>50714275760</v>
          </cell>
          <cell r="B578" t="str">
            <v>ZMTD</v>
          </cell>
          <cell r="C578">
            <v>45547</v>
          </cell>
          <cell r="D578" t="str">
            <v>Not delivered</v>
          </cell>
          <cell r="E578">
            <v>507142757</v>
          </cell>
          <cell r="F578">
            <v>60</v>
          </cell>
          <cell r="G578">
            <v>1411700</v>
          </cell>
          <cell r="H578" t="str">
            <v>PT-100:CVR MT.BLUE EMBOS KAHF PTI 40D</v>
          </cell>
          <cell r="I578">
            <v>60160</v>
          </cell>
          <cell r="J578" t="str">
            <v>UN</v>
          </cell>
          <cell r="K578">
            <v>45587</v>
          </cell>
        </row>
        <row r="579">
          <cell r="A579" t="str">
            <v>50714274240</v>
          </cell>
          <cell r="B579" t="str">
            <v>ZMTD</v>
          </cell>
          <cell r="C579">
            <v>45544</v>
          </cell>
          <cell r="D579" t="str">
            <v>Not delivered</v>
          </cell>
          <cell r="E579">
            <v>507142742</v>
          </cell>
          <cell r="F579">
            <v>40</v>
          </cell>
          <cell r="G579">
            <v>1437039</v>
          </cell>
          <cell r="H579" t="str">
            <v>CM-290:1PC BS CV MT.BLK S/ EMBOS OMG 40C</v>
          </cell>
          <cell r="I579">
            <v>25032</v>
          </cell>
          <cell r="J579" t="str">
            <v>UN</v>
          </cell>
          <cell r="K579">
            <v>45587</v>
          </cell>
        </row>
        <row r="580">
          <cell r="A580" t="str">
            <v>50714274250</v>
          </cell>
          <cell r="B580" t="str">
            <v>ZMTD</v>
          </cell>
          <cell r="C580">
            <v>45544</v>
          </cell>
          <cell r="D580" t="str">
            <v>Not delivered</v>
          </cell>
          <cell r="E580">
            <v>507142742</v>
          </cell>
          <cell r="F580">
            <v>50</v>
          </cell>
          <cell r="G580">
            <v>1437140</v>
          </cell>
          <cell r="H580" t="str">
            <v>CM-290:ENGINE CV RED, BS BLK OMG PTI 12A</v>
          </cell>
          <cell r="I580">
            <v>25032</v>
          </cell>
          <cell r="J580" t="str">
            <v>UN</v>
          </cell>
          <cell r="K580">
            <v>45587</v>
          </cell>
        </row>
        <row r="581">
          <cell r="A581" t="str">
            <v>50714274260</v>
          </cell>
          <cell r="B581" t="str">
            <v>ZMTD</v>
          </cell>
          <cell r="C581">
            <v>45544</v>
          </cell>
          <cell r="D581" t="str">
            <v>Not delivered</v>
          </cell>
          <cell r="E581">
            <v>507142742</v>
          </cell>
          <cell r="F581">
            <v>60</v>
          </cell>
          <cell r="G581">
            <v>1437141</v>
          </cell>
          <cell r="H581" t="str">
            <v>CM-290:RING BLACK OMG PTI 12A</v>
          </cell>
          <cell r="I581">
            <v>25032</v>
          </cell>
          <cell r="J581" t="str">
            <v>UN</v>
          </cell>
          <cell r="K581">
            <v>45587</v>
          </cell>
        </row>
        <row r="582">
          <cell r="A582" t="str">
            <v>50714273020</v>
          </cell>
          <cell r="B582" t="str">
            <v>ZMTD</v>
          </cell>
          <cell r="C582">
            <v>45541</v>
          </cell>
          <cell r="D582" t="str">
            <v>Not delivered</v>
          </cell>
          <cell r="E582">
            <v>507142730</v>
          </cell>
          <cell r="F582">
            <v>20</v>
          </cell>
          <cell r="G582">
            <v>1371896</v>
          </cell>
          <cell r="H582" t="str">
            <v>RX-056:CM-316 CVR BLUE P/WHT SP/MTCLR</v>
          </cell>
          <cell r="I582">
            <v>110016</v>
          </cell>
          <cell r="J582" t="str">
            <v>UN</v>
          </cell>
          <cell r="K582">
            <v>45587</v>
          </cell>
        </row>
        <row r="583">
          <cell r="A583" t="str">
            <v>50714270530</v>
          </cell>
          <cell r="B583" t="str">
            <v>ZMTD</v>
          </cell>
          <cell r="C583">
            <v>45534</v>
          </cell>
          <cell r="D583" t="str">
            <v>Not delivered</v>
          </cell>
          <cell r="E583">
            <v>507142705</v>
          </cell>
          <cell r="F583">
            <v>30</v>
          </cell>
          <cell r="G583">
            <v>1342220</v>
          </cell>
          <cell r="H583" t="str">
            <v>LC-010:BTL CLR HTF COLBEIGE CFIT PTI 60C</v>
          </cell>
          <cell r="I583">
            <v>100170</v>
          </cell>
          <cell r="J583" t="str">
            <v>UN</v>
          </cell>
          <cell r="K583">
            <v>45587</v>
          </cell>
        </row>
        <row r="584">
          <cell r="A584" t="str">
            <v>50714270540</v>
          </cell>
          <cell r="B584" t="str">
            <v>ZMTD</v>
          </cell>
          <cell r="C584">
            <v>45534</v>
          </cell>
          <cell r="D584" t="str">
            <v>Not delivered</v>
          </cell>
          <cell r="E584">
            <v>507142705</v>
          </cell>
          <cell r="F584">
            <v>40</v>
          </cell>
          <cell r="G584">
            <v>1342221</v>
          </cell>
          <cell r="H584" t="str">
            <v>LC-010:CAP BEIGE WIP NAT PTI 12A</v>
          </cell>
          <cell r="I584">
            <v>100170</v>
          </cell>
          <cell r="J584" t="str">
            <v>UN</v>
          </cell>
          <cell r="K584">
            <v>45587</v>
          </cell>
        </row>
        <row r="585">
          <cell r="A585" t="str">
            <v>50714262410</v>
          </cell>
          <cell r="B585" t="str">
            <v>ZMTD</v>
          </cell>
          <cell r="C585">
            <v>45513</v>
          </cell>
          <cell r="D585" t="str">
            <v>Not delivered</v>
          </cell>
          <cell r="E585">
            <v>507142624</v>
          </cell>
          <cell r="F585">
            <v>10</v>
          </cell>
          <cell r="G585">
            <v>1195860</v>
          </cell>
          <cell r="H585" t="str">
            <v>CM-248:WHITE  ZRPJ010031 S/CLINIQUE</v>
          </cell>
          <cell r="I585">
            <v>12600</v>
          </cell>
          <cell r="J585" t="str">
            <v>UN</v>
          </cell>
          <cell r="K585">
            <v>45587</v>
          </cell>
        </row>
        <row r="586">
          <cell r="A586" t="str">
            <v>50800520110</v>
          </cell>
          <cell r="B586" t="str">
            <v>ZMFD</v>
          </cell>
          <cell r="C586">
            <v>45497</v>
          </cell>
          <cell r="D586" t="str">
            <v>Not delivered</v>
          </cell>
          <cell r="E586">
            <v>508005201</v>
          </cell>
          <cell r="F586">
            <v>10</v>
          </cell>
          <cell r="G586">
            <v>1405658</v>
          </cell>
          <cell r="H586" t="str">
            <v>LC-012:BTL VR08 P/GLASTNG PTI60B</v>
          </cell>
          <cell r="I586">
            <v>11770</v>
          </cell>
          <cell r="J586" t="str">
            <v>UN</v>
          </cell>
          <cell r="K586">
            <v>45587</v>
          </cell>
        </row>
        <row r="587">
          <cell r="A587" t="str">
            <v>50800520120</v>
          </cell>
          <cell r="B587" t="str">
            <v>ZMFD</v>
          </cell>
          <cell r="C587">
            <v>45497</v>
          </cell>
          <cell r="D587" t="str">
            <v>Not delivered</v>
          </cell>
          <cell r="E587">
            <v>508005201</v>
          </cell>
          <cell r="F587">
            <v>20</v>
          </cell>
          <cell r="G587">
            <v>1385814</v>
          </cell>
          <cell r="H587" t="str">
            <v>LC-012:CAP VM BRWN WIP GLASTING PTI 20F</v>
          </cell>
          <cell r="I587">
            <v>11770</v>
          </cell>
          <cell r="J587" t="str">
            <v>UN</v>
          </cell>
          <cell r="K587">
            <v>45587</v>
          </cell>
        </row>
        <row r="588">
          <cell r="A588" t="str">
            <v>50714247910</v>
          </cell>
          <cell r="B588" t="str">
            <v>ZMTD</v>
          </cell>
          <cell r="C588">
            <v>45483</v>
          </cell>
          <cell r="D588" t="str">
            <v>Not delivered</v>
          </cell>
          <cell r="E588">
            <v>507142479</v>
          </cell>
          <cell r="F588">
            <v>10</v>
          </cell>
          <cell r="G588">
            <v>1195535</v>
          </cell>
          <cell r="H588" t="str">
            <v>FP-039:BASE SAN CLEAR HS KIKO PREMIER</v>
          </cell>
          <cell r="I588">
            <v>51408</v>
          </cell>
          <cell r="J588" t="str">
            <v>UN</v>
          </cell>
          <cell r="K588">
            <v>45587</v>
          </cell>
        </row>
        <row r="589">
          <cell r="A589" t="str">
            <v>50714248010</v>
          </cell>
          <cell r="B589" t="str">
            <v>ZMTD</v>
          </cell>
          <cell r="C589">
            <v>45483</v>
          </cell>
          <cell r="D589" t="str">
            <v>Not delivered</v>
          </cell>
          <cell r="E589">
            <v>507142480</v>
          </cell>
          <cell r="F589">
            <v>10</v>
          </cell>
          <cell r="G589">
            <v>1191869</v>
          </cell>
          <cell r="H589" t="str">
            <v>FP-039:CVR WHITE VM DARK SILVER  KIKO</v>
          </cell>
          <cell r="I589">
            <v>50688</v>
          </cell>
          <cell r="J589" t="str">
            <v>UN</v>
          </cell>
          <cell r="K589">
            <v>45587</v>
          </cell>
        </row>
        <row r="590">
          <cell r="A590" t="str">
            <v>507142416210</v>
          </cell>
          <cell r="B590" t="str">
            <v>ZMTD</v>
          </cell>
          <cell r="C590">
            <v>45474</v>
          </cell>
          <cell r="D590" t="str">
            <v>Not delivered</v>
          </cell>
          <cell r="E590">
            <v>507142416</v>
          </cell>
          <cell r="F590">
            <v>210</v>
          </cell>
          <cell r="G590">
            <v>1376248</v>
          </cell>
          <cell r="H590" t="str">
            <v>FP-008:CVR L.PINK P/BLK MANDOM RV1 12A</v>
          </cell>
          <cell r="I590">
            <v>10000</v>
          </cell>
          <cell r="J590" t="str">
            <v>UN</v>
          </cell>
          <cell r="K590">
            <v>45587</v>
          </cell>
        </row>
        <row r="591">
          <cell r="A591" t="str">
            <v>507142416220</v>
          </cell>
          <cell r="B591" t="str">
            <v>ZMTD</v>
          </cell>
          <cell r="C591">
            <v>45474</v>
          </cell>
          <cell r="D591" t="str">
            <v>Not delivered</v>
          </cell>
          <cell r="E591">
            <v>507142416</v>
          </cell>
          <cell r="F591">
            <v>220</v>
          </cell>
          <cell r="G591">
            <v>1171179</v>
          </cell>
          <cell r="H591" t="str">
            <v>FP-008:BS INJ BLK NO DC MANDOM</v>
          </cell>
          <cell r="I591">
            <v>10000</v>
          </cell>
          <cell r="J591" t="str">
            <v>UN</v>
          </cell>
          <cell r="K591">
            <v>45587</v>
          </cell>
        </row>
        <row r="592">
          <cell r="A592" t="str">
            <v>507142416230</v>
          </cell>
          <cell r="B592" t="str">
            <v>ZMTD</v>
          </cell>
          <cell r="C592">
            <v>45474</v>
          </cell>
          <cell r="D592" t="str">
            <v>Not delivered</v>
          </cell>
          <cell r="E592">
            <v>507142416</v>
          </cell>
          <cell r="F592">
            <v>230</v>
          </cell>
          <cell r="G592">
            <v>1172027</v>
          </cell>
          <cell r="H592" t="str">
            <v>FP-008:SFT NAT L.HINGE W/LBL NO DC MDM</v>
          </cell>
          <cell r="I592">
            <v>10000</v>
          </cell>
          <cell r="J592" t="str">
            <v>UN</v>
          </cell>
          <cell r="K592">
            <v>45587</v>
          </cell>
        </row>
        <row r="593">
          <cell r="A593" t="str">
            <v>50714227910</v>
          </cell>
          <cell r="B593" t="str">
            <v>ZMTD</v>
          </cell>
          <cell r="C593">
            <v>45447</v>
          </cell>
          <cell r="D593" t="str">
            <v>Not delivered</v>
          </cell>
          <cell r="E593">
            <v>507142279</v>
          </cell>
          <cell r="F593">
            <v>10</v>
          </cell>
          <cell r="G593">
            <v>1419488</v>
          </cell>
          <cell r="H593" t="str">
            <v>CP-063R:SPOUT CAP WHITE LOREAL 12A</v>
          </cell>
          <cell r="I593">
            <v>1890000</v>
          </cell>
          <cell r="J593" t="str">
            <v>UN</v>
          </cell>
          <cell r="K593">
            <v>45587</v>
          </cell>
        </row>
        <row r="594">
          <cell r="A594" t="str">
            <v>50800478130</v>
          </cell>
          <cell r="B594" t="str">
            <v>ZMFD</v>
          </cell>
          <cell r="C594">
            <v>45307</v>
          </cell>
          <cell r="D594" t="str">
            <v>Not delivered</v>
          </cell>
          <cell r="E594">
            <v>508004781</v>
          </cell>
          <cell r="F594">
            <v>30</v>
          </cell>
          <cell r="G594">
            <v>1169152</v>
          </cell>
          <cell r="H594" t="str">
            <v>CM-295:SQUARE COMPACT&amp;GODET PHHT010032</v>
          </cell>
          <cell r="I594">
            <v>20040</v>
          </cell>
          <cell r="J594" t="str">
            <v>UN</v>
          </cell>
          <cell r="K594">
            <v>45587</v>
          </cell>
        </row>
        <row r="595">
          <cell r="A595" t="str">
            <v>50714279710</v>
          </cell>
          <cell r="B595" t="str">
            <v>ZMTD</v>
          </cell>
          <cell r="C595">
            <v>45558</v>
          </cell>
          <cell r="D595" t="str">
            <v>Not delivered</v>
          </cell>
          <cell r="E595">
            <v>507142797</v>
          </cell>
          <cell r="F595">
            <v>10</v>
          </cell>
          <cell r="G595">
            <v>1383131</v>
          </cell>
          <cell r="H595" t="str">
            <v>LC-004:CAP PINK P2037C WIP HANUM MLA 40D</v>
          </cell>
          <cell r="I595">
            <v>25000</v>
          </cell>
          <cell r="J595" t="str">
            <v>UN</v>
          </cell>
          <cell r="K595">
            <v>45588</v>
          </cell>
        </row>
        <row r="596">
          <cell r="A596" t="str">
            <v>50714279720</v>
          </cell>
          <cell r="B596" t="str">
            <v>ZMTD</v>
          </cell>
          <cell r="C596">
            <v>45558</v>
          </cell>
          <cell r="D596" t="str">
            <v>Not delivered</v>
          </cell>
          <cell r="E596">
            <v>507142797</v>
          </cell>
          <cell r="F596">
            <v>20</v>
          </cell>
          <cell r="G596">
            <v>1383133</v>
          </cell>
          <cell r="H596" t="str">
            <v>LC-004:BTLCLR CLPINK2037C P/HANUM MLA40H</v>
          </cell>
          <cell r="I596">
            <v>25000</v>
          </cell>
          <cell r="J596" t="str">
            <v>UN</v>
          </cell>
          <cell r="K596">
            <v>45588</v>
          </cell>
        </row>
        <row r="597">
          <cell r="A597" t="str">
            <v>50714276550</v>
          </cell>
          <cell r="B597" t="str">
            <v>ZMTD</v>
          </cell>
          <cell r="C597">
            <v>45552</v>
          </cell>
          <cell r="D597" t="str">
            <v>Not delivered</v>
          </cell>
          <cell r="E597">
            <v>507142765</v>
          </cell>
          <cell r="F597">
            <v>50</v>
          </cell>
          <cell r="G597">
            <v>1398383</v>
          </cell>
          <cell r="H597" t="str">
            <v>CM-319:WHITE P/BLACK UV MATTE NARS</v>
          </cell>
          <cell r="I597">
            <v>40080</v>
          </cell>
          <cell r="J597" t="str">
            <v>UN</v>
          </cell>
          <cell r="K597">
            <v>45588</v>
          </cell>
        </row>
        <row r="598">
          <cell r="A598" t="str">
            <v>50714276650</v>
          </cell>
          <cell r="B598" t="str">
            <v>ZMTD</v>
          </cell>
          <cell r="C598">
            <v>45552</v>
          </cell>
          <cell r="D598" t="str">
            <v>Not delivered</v>
          </cell>
          <cell r="E598">
            <v>507142766</v>
          </cell>
          <cell r="F598">
            <v>50</v>
          </cell>
          <cell r="G598">
            <v>1398763</v>
          </cell>
          <cell r="H598" t="str">
            <v>CM-320:WHITE S/BLACK UV MATTE NARS</v>
          </cell>
          <cell r="I598">
            <v>40500</v>
          </cell>
          <cell r="J598" t="str">
            <v>UN</v>
          </cell>
          <cell r="K598">
            <v>45588</v>
          </cell>
        </row>
        <row r="599">
          <cell r="A599" t="str">
            <v>50714275690</v>
          </cell>
          <cell r="B599" t="str">
            <v>ZMTD</v>
          </cell>
          <cell r="C599">
            <v>45547</v>
          </cell>
          <cell r="D599" t="str">
            <v>Not delivered</v>
          </cell>
          <cell r="E599">
            <v>507142756</v>
          </cell>
          <cell r="F599">
            <v>90</v>
          </cell>
          <cell r="G599">
            <v>1411899</v>
          </cell>
          <cell r="H599" t="str">
            <v>PT-100:BS/INS GREEN P/WHT KAHF PTI 60B</v>
          </cell>
          <cell r="I599">
            <v>65280</v>
          </cell>
          <cell r="J599" t="str">
            <v>UN</v>
          </cell>
          <cell r="K599">
            <v>45588</v>
          </cell>
        </row>
        <row r="600">
          <cell r="A600" t="str">
            <v>507142756100</v>
          </cell>
          <cell r="B600" t="str">
            <v>ZMTD</v>
          </cell>
          <cell r="C600">
            <v>45547</v>
          </cell>
          <cell r="D600" t="str">
            <v>Not delivered</v>
          </cell>
          <cell r="E600">
            <v>507142756</v>
          </cell>
          <cell r="F600">
            <v>100</v>
          </cell>
          <cell r="G600">
            <v>1411898</v>
          </cell>
          <cell r="H600" t="str">
            <v>PT-100:CVR MT.GREEN EMBOS KAHF PTI 40D</v>
          </cell>
          <cell r="I600">
            <v>65280</v>
          </cell>
          <cell r="J600" t="str">
            <v>UN</v>
          </cell>
          <cell r="K600">
            <v>45588</v>
          </cell>
        </row>
        <row r="601">
          <cell r="A601" t="str">
            <v>50714270810</v>
          </cell>
          <cell r="B601" t="str">
            <v>ZMTD</v>
          </cell>
          <cell r="C601">
            <v>45534</v>
          </cell>
          <cell r="D601" t="str">
            <v>Not delivered</v>
          </cell>
          <cell r="E601">
            <v>507142708</v>
          </cell>
          <cell r="F601">
            <v>10</v>
          </cell>
          <cell r="G601">
            <v>1215637</v>
          </cell>
          <cell r="H601" t="str">
            <v>CM-105:UV DBRW P/P8022C WWGLAM RUDYS 40C</v>
          </cell>
          <cell r="I601">
            <v>10000</v>
          </cell>
          <cell r="J601" t="str">
            <v>UN</v>
          </cell>
          <cell r="K601">
            <v>45588</v>
          </cell>
        </row>
        <row r="602">
          <cell r="A602" t="str">
            <v>50714263010</v>
          </cell>
          <cell r="B602" t="str">
            <v>ZMTD</v>
          </cell>
          <cell r="C602">
            <v>45516</v>
          </cell>
          <cell r="D602" t="str">
            <v>Not delivered</v>
          </cell>
          <cell r="E602">
            <v>507142630</v>
          </cell>
          <cell r="F602">
            <v>10</v>
          </cell>
          <cell r="G602">
            <v>1436641</v>
          </cell>
          <cell r="H602" t="str">
            <v>CM-310:BLUE UV S/SILVER DIOR PEPSPE+IXPE</v>
          </cell>
          <cell r="I602">
            <v>64800</v>
          </cell>
          <cell r="J602" t="str">
            <v>UN</v>
          </cell>
          <cell r="K602">
            <v>45588</v>
          </cell>
        </row>
        <row r="603">
          <cell r="A603" t="str">
            <v>50714262110</v>
          </cell>
          <cell r="B603" t="str">
            <v>ZMTD</v>
          </cell>
          <cell r="C603">
            <v>45512</v>
          </cell>
          <cell r="D603" t="str">
            <v>Not delivered</v>
          </cell>
          <cell r="E603">
            <v>507142621</v>
          </cell>
          <cell r="F603">
            <v>10</v>
          </cell>
          <cell r="G603">
            <v>1198670</v>
          </cell>
          <cell r="H603" t="str">
            <v>BRUSH HALFMOON ULT CRMY PWDRBL</v>
          </cell>
          <cell r="I603">
            <v>20000</v>
          </cell>
          <cell r="J603" t="str">
            <v>UN</v>
          </cell>
          <cell r="K603">
            <v>45588</v>
          </cell>
        </row>
        <row r="604">
          <cell r="A604" t="str">
            <v>50800523530</v>
          </cell>
          <cell r="B604" t="str">
            <v>ZMFD</v>
          </cell>
          <cell r="C604">
            <v>45505</v>
          </cell>
          <cell r="D604" t="str">
            <v>Not delivered</v>
          </cell>
          <cell r="E604">
            <v>508005235</v>
          </cell>
          <cell r="F604">
            <v>30</v>
          </cell>
          <cell r="G604">
            <v>1332995</v>
          </cell>
          <cell r="H604" t="str">
            <v>LC-008:CAP VM SLV WIP NAT EMLC PTI 20F</v>
          </cell>
          <cell r="I604">
            <v>100000</v>
          </cell>
          <cell r="J604" t="str">
            <v>UN</v>
          </cell>
          <cell r="K604">
            <v>45588</v>
          </cell>
        </row>
        <row r="605">
          <cell r="A605" t="str">
            <v>50800523540</v>
          </cell>
          <cell r="B605" t="str">
            <v>ZMFD</v>
          </cell>
          <cell r="C605">
            <v>45505</v>
          </cell>
          <cell r="D605" t="str">
            <v>Not delivered</v>
          </cell>
          <cell r="E605">
            <v>508005235</v>
          </cell>
          <cell r="F605">
            <v>40</v>
          </cell>
          <cell r="G605">
            <v>1434959</v>
          </cell>
          <cell r="H605" t="str">
            <v>LC-008:BTL CLR (PCTG) P/WHT EMLC PTI 60B</v>
          </cell>
          <cell r="I605">
            <v>100000</v>
          </cell>
          <cell r="J605" t="str">
            <v>UN</v>
          </cell>
          <cell r="K605">
            <v>45588</v>
          </cell>
        </row>
        <row r="606">
          <cell r="A606" t="str">
            <v>50800517910</v>
          </cell>
          <cell r="B606" t="str">
            <v>ZMFD</v>
          </cell>
          <cell r="C606">
            <v>45484</v>
          </cell>
          <cell r="D606" t="str">
            <v>Not delivered</v>
          </cell>
          <cell r="E606">
            <v>508005179</v>
          </cell>
          <cell r="F606">
            <v>10</v>
          </cell>
          <cell r="G606">
            <v>1167571</v>
          </cell>
          <cell r="H606" t="str">
            <v>FP-014:BS CLEAR NO DC PTI</v>
          </cell>
          <cell r="I606">
            <v>20160</v>
          </cell>
          <cell r="J606" t="str">
            <v>UN</v>
          </cell>
          <cell r="K606">
            <v>45588</v>
          </cell>
        </row>
        <row r="607">
          <cell r="A607" t="str">
            <v>50800517920</v>
          </cell>
          <cell r="B607" t="str">
            <v>ZMFD</v>
          </cell>
          <cell r="C607">
            <v>45484</v>
          </cell>
          <cell r="D607" t="str">
            <v>Not delivered</v>
          </cell>
          <cell r="E607">
            <v>508005179</v>
          </cell>
          <cell r="F607">
            <v>20</v>
          </cell>
          <cell r="G607">
            <v>1174020</v>
          </cell>
          <cell r="H607" t="str">
            <v>FP-014:CVR BLCK COAT P/DC MAKE OVER  PTI</v>
          </cell>
          <cell r="I607">
            <v>20160</v>
          </cell>
          <cell r="J607" t="str">
            <v>UN</v>
          </cell>
          <cell r="K607">
            <v>45588</v>
          </cell>
        </row>
        <row r="608">
          <cell r="A608" t="str">
            <v>50800517930</v>
          </cell>
          <cell r="B608" t="str">
            <v>ZMFD</v>
          </cell>
          <cell r="C608">
            <v>45484</v>
          </cell>
          <cell r="D608" t="str">
            <v>Not delivered</v>
          </cell>
          <cell r="E608">
            <v>508005179</v>
          </cell>
          <cell r="F608">
            <v>30</v>
          </cell>
          <cell r="G608">
            <v>1167434</v>
          </cell>
          <cell r="H608" t="str">
            <v>FP-014:SFTR NATURAL W/ LABEL POLOS PTI</v>
          </cell>
          <cell r="I608">
            <v>20160</v>
          </cell>
          <cell r="J608" t="str">
            <v>UN</v>
          </cell>
          <cell r="K608">
            <v>45588</v>
          </cell>
        </row>
        <row r="609">
          <cell r="A609" t="str">
            <v>50714243610</v>
          </cell>
          <cell r="B609" t="str">
            <v>ZMTD</v>
          </cell>
          <cell r="C609">
            <v>45475</v>
          </cell>
          <cell r="D609" t="str">
            <v>Not delivered</v>
          </cell>
          <cell r="E609">
            <v>507142436</v>
          </cell>
          <cell r="F609">
            <v>10</v>
          </cell>
          <cell r="G609">
            <v>1159364</v>
          </cell>
          <cell r="H609" t="str">
            <v>CP-071:PL8364 INSERT TNR 125-200ML REX</v>
          </cell>
          <cell r="I609">
            <v>111000</v>
          </cell>
          <cell r="J609" t="str">
            <v>UN</v>
          </cell>
          <cell r="K609">
            <v>45588</v>
          </cell>
        </row>
        <row r="610">
          <cell r="A610" t="str">
            <v>50800514020</v>
          </cell>
          <cell r="B610" t="str">
            <v>ZMFD</v>
          </cell>
          <cell r="C610">
            <v>45463</v>
          </cell>
          <cell r="D610" t="str">
            <v>Not delivered</v>
          </cell>
          <cell r="E610">
            <v>508005140</v>
          </cell>
          <cell r="F610">
            <v>20</v>
          </cell>
          <cell r="G610">
            <v>1174001</v>
          </cell>
          <cell r="H610" t="str">
            <v>CM-133:CVR/BS MTLC GREN UV S/SLV WRDH30C</v>
          </cell>
          <cell r="I610">
            <v>20160</v>
          </cell>
          <cell r="J610" t="str">
            <v>UN</v>
          </cell>
          <cell r="K610">
            <v>45588</v>
          </cell>
        </row>
        <row r="611">
          <cell r="A611" t="str">
            <v>50714277410</v>
          </cell>
          <cell r="B611" t="str">
            <v>ZMTD</v>
          </cell>
          <cell r="C611">
            <v>45554</v>
          </cell>
          <cell r="D611" t="str">
            <v>Not delivered</v>
          </cell>
          <cell r="E611">
            <v>507142774</v>
          </cell>
          <cell r="F611">
            <v>10</v>
          </cell>
          <cell r="G611">
            <v>1378563</v>
          </cell>
          <cell r="H611" t="str">
            <v>CP-093:CAP D50 MT BLACK Ø.5 YASULOR 12A</v>
          </cell>
          <cell r="I611">
            <v>200000</v>
          </cell>
          <cell r="J611" t="str">
            <v>UN</v>
          </cell>
          <cell r="K611">
            <v>45589</v>
          </cell>
        </row>
        <row r="612">
          <cell r="A612" t="str">
            <v>50800523610</v>
          </cell>
          <cell r="B612" t="str">
            <v>ZMFD</v>
          </cell>
          <cell r="C612">
            <v>45505</v>
          </cell>
          <cell r="D612" t="str">
            <v>Not delivered</v>
          </cell>
          <cell r="E612">
            <v>508005236</v>
          </cell>
          <cell r="F612">
            <v>10</v>
          </cell>
          <cell r="G612">
            <v>1291869</v>
          </cell>
          <cell r="H612" t="str">
            <v>LC-004:BTL COL GRAD P/MOUSSE NEW MLA40H</v>
          </cell>
          <cell r="I612">
            <v>50000</v>
          </cell>
          <cell r="J612" t="str">
            <v>UN</v>
          </cell>
          <cell r="K612">
            <v>45589</v>
          </cell>
        </row>
        <row r="613">
          <cell r="A613" t="str">
            <v>50800523620</v>
          </cell>
          <cell r="B613" t="str">
            <v>ZMFD</v>
          </cell>
          <cell r="C613">
            <v>45505</v>
          </cell>
          <cell r="D613" t="str">
            <v>Not delivered</v>
          </cell>
          <cell r="E613">
            <v>508005236</v>
          </cell>
          <cell r="F613">
            <v>20</v>
          </cell>
          <cell r="G613">
            <v>1291930</v>
          </cell>
          <cell r="H613" t="str">
            <v>LC-004:CAP MTPINK WIPNAT MOUS NEW MLA40D</v>
          </cell>
          <cell r="I613">
            <v>50000</v>
          </cell>
          <cell r="J613" t="str">
            <v>UN</v>
          </cell>
          <cell r="K613">
            <v>45589</v>
          </cell>
        </row>
        <row r="614">
          <cell r="A614" t="str">
            <v>50714254330</v>
          </cell>
          <cell r="B614" t="str">
            <v>ZMTD</v>
          </cell>
          <cell r="C614">
            <v>45491</v>
          </cell>
          <cell r="D614" t="str">
            <v>Not delivered</v>
          </cell>
          <cell r="E614">
            <v>507142543</v>
          </cell>
          <cell r="F614">
            <v>30</v>
          </cell>
          <cell r="G614">
            <v>1278860</v>
          </cell>
          <cell r="H614" t="str">
            <v>CM-296:WHT P/L.AGELES W/O HOLE COTY TAOR</v>
          </cell>
          <cell r="I614">
            <v>57600</v>
          </cell>
          <cell r="J614" t="str">
            <v>UN</v>
          </cell>
          <cell r="K614">
            <v>45589</v>
          </cell>
        </row>
        <row r="615">
          <cell r="A615" t="str">
            <v>50714241740</v>
          </cell>
          <cell r="B615" t="str">
            <v>ZMTD</v>
          </cell>
          <cell r="C615">
            <v>45474</v>
          </cell>
          <cell r="D615" t="str">
            <v>Not delivered</v>
          </cell>
          <cell r="E615">
            <v>507142417</v>
          </cell>
          <cell r="F615">
            <v>40</v>
          </cell>
          <cell r="G615">
            <v>1405657</v>
          </cell>
          <cell r="H615" t="str">
            <v>CM-273:CV UV BS BRONZE P/PIXYSLKY RV130L</v>
          </cell>
          <cell r="I615">
            <v>10000</v>
          </cell>
          <cell r="J615" t="str">
            <v>UN</v>
          </cell>
          <cell r="K615">
            <v>45589</v>
          </cell>
        </row>
        <row r="616">
          <cell r="A616" t="str">
            <v>50800510310</v>
          </cell>
          <cell r="B616" t="str">
            <v>ZMFD</v>
          </cell>
          <cell r="C616">
            <v>45449</v>
          </cell>
          <cell r="D616" t="str">
            <v>Not delivered</v>
          </cell>
          <cell r="E616">
            <v>508005103</v>
          </cell>
          <cell r="F616">
            <v>10</v>
          </cell>
          <cell r="G616">
            <v>1389068</v>
          </cell>
          <cell r="H616" t="str">
            <v>CM-294:GODET PRAC. DREAMER G0S8-01-0092</v>
          </cell>
          <cell r="I616">
            <v>10472</v>
          </cell>
          <cell r="J616" t="str">
            <v>UN</v>
          </cell>
          <cell r="K616">
            <v>45589</v>
          </cell>
        </row>
        <row r="617">
          <cell r="A617" t="str">
            <v>50800510410</v>
          </cell>
          <cell r="B617" t="str">
            <v>ZMFD</v>
          </cell>
          <cell r="C617">
            <v>45449</v>
          </cell>
          <cell r="D617" t="str">
            <v>Not delivered</v>
          </cell>
          <cell r="E617">
            <v>508005104</v>
          </cell>
          <cell r="F617">
            <v>10</v>
          </cell>
          <cell r="G617">
            <v>1389672</v>
          </cell>
          <cell r="H617" t="str">
            <v>CM-294:GODET HUMBLE LEGEND G0S9-01-0092</v>
          </cell>
          <cell r="I617">
            <v>10472</v>
          </cell>
          <cell r="J617" t="str">
            <v>UN</v>
          </cell>
          <cell r="K617">
            <v>45589</v>
          </cell>
        </row>
        <row r="618">
          <cell r="A618" t="str">
            <v>50800510510</v>
          </cell>
          <cell r="B618" t="str">
            <v>ZMFD</v>
          </cell>
          <cell r="C618">
            <v>45449</v>
          </cell>
          <cell r="D618" t="str">
            <v>Not delivered</v>
          </cell>
          <cell r="E618">
            <v>508005105</v>
          </cell>
          <cell r="F618">
            <v>10</v>
          </cell>
          <cell r="G618">
            <v>1389671</v>
          </cell>
          <cell r="H618" t="str">
            <v>CM-294:GODET OPEN SECRET G0SA-01-0092</v>
          </cell>
          <cell r="I618">
            <v>10472</v>
          </cell>
          <cell r="J618" t="str">
            <v>UN</v>
          </cell>
          <cell r="K618">
            <v>45589</v>
          </cell>
        </row>
        <row r="619">
          <cell r="A619" t="str">
            <v>50714279310</v>
          </cell>
          <cell r="B619" t="str">
            <v>ZMTD</v>
          </cell>
          <cell r="C619">
            <v>45555</v>
          </cell>
          <cell r="D619" t="str">
            <v>Not delivered</v>
          </cell>
          <cell r="E619">
            <v>507142793</v>
          </cell>
          <cell r="F619">
            <v>10</v>
          </cell>
          <cell r="G619">
            <v>1243914</v>
          </cell>
          <cell r="H619" t="str">
            <v>TR-007:PLUG PET LULUR100GR CLR HRTA CSMO</v>
          </cell>
          <cell r="I619">
            <v>10000</v>
          </cell>
          <cell r="J619" t="str">
            <v>UN</v>
          </cell>
          <cell r="K619">
            <v>45590</v>
          </cell>
        </row>
        <row r="620">
          <cell r="A620" t="str">
            <v>50714278230</v>
          </cell>
          <cell r="B620" t="str">
            <v>ZMTD</v>
          </cell>
          <cell r="C620">
            <v>45554</v>
          </cell>
          <cell r="D620" t="str">
            <v>Not delivered</v>
          </cell>
          <cell r="E620">
            <v>507142782</v>
          </cell>
          <cell r="F620">
            <v>30</v>
          </cell>
          <cell r="G620">
            <v>1420082</v>
          </cell>
          <cell r="H620" t="str">
            <v>LS-091:BS PEACH P/REDFRTY STRAWBR NEW60B</v>
          </cell>
          <cell r="I620">
            <v>27664</v>
          </cell>
          <cell r="J620" t="str">
            <v>UN</v>
          </cell>
          <cell r="K620">
            <v>45590</v>
          </cell>
        </row>
        <row r="621">
          <cell r="A621" t="str">
            <v>50714278240</v>
          </cell>
          <cell r="B621" t="str">
            <v>ZMTD</v>
          </cell>
          <cell r="C621">
            <v>45554</v>
          </cell>
          <cell r="D621" t="str">
            <v>Not delivered</v>
          </cell>
          <cell r="E621">
            <v>507142782</v>
          </cell>
          <cell r="F621">
            <v>40</v>
          </cell>
          <cell r="G621">
            <v>1420083</v>
          </cell>
          <cell r="H621" t="str">
            <v>LS-091:CV WHT P/ICE FRUITY STRAWBERY 60B</v>
          </cell>
          <cell r="I621">
            <v>27664</v>
          </cell>
          <cell r="J621" t="str">
            <v>UN</v>
          </cell>
          <cell r="K621">
            <v>45590</v>
          </cell>
        </row>
        <row r="622">
          <cell r="A622" t="str">
            <v>50714262610</v>
          </cell>
          <cell r="B622" t="str">
            <v>ZMTD</v>
          </cell>
          <cell r="C622">
            <v>45516</v>
          </cell>
          <cell r="D622" t="str">
            <v>Not delivered</v>
          </cell>
          <cell r="E622">
            <v>507142626</v>
          </cell>
          <cell r="F622">
            <v>10</v>
          </cell>
          <cell r="G622">
            <v>1212608</v>
          </cell>
          <cell r="H622" t="str">
            <v>FP-014:CVR BLUE S/LOGO INEZ GOLD KSI 50C</v>
          </cell>
          <cell r="I622">
            <v>25000</v>
          </cell>
          <cell r="J622" t="str">
            <v>UN</v>
          </cell>
          <cell r="K622">
            <v>45590</v>
          </cell>
        </row>
        <row r="623">
          <cell r="A623" t="str">
            <v>50714262620</v>
          </cell>
          <cell r="B623" t="str">
            <v>ZMTD</v>
          </cell>
          <cell r="C623">
            <v>45516</v>
          </cell>
          <cell r="D623" t="str">
            <v>Not delivered</v>
          </cell>
          <cell r="E623">
            <v>507142626</v>
          </cell>
          <cell r="F623">
            <v>20</v>
          </cell>
          <cell r="G623">
            <v>1212609</v>
          </cell>
          <cell r="H623" t="str">
            <v>FP-014:SFTR NAT STICKER TRANS KSI 12A</v>
          </cell>
          <cell r="I623">
            <v>25000</v>
          </cell>
          <cell r="J623" t="str">
            <v>UN</v>
          </cell>
          <cell r="K623">
            <v>45590</v>
          </cell>
        </row>
        <row r="624">
          <cell r="A624" t="str">
            <v>50714262630</v>
          </cell>
          <cell r="B624" t="str">
            <v>ZMTD</v>
          </cell>
          <cell r="C624">
            <v>45516</v>
          </cell>
          <cell r="D624" t="str">
            <v>Not delivered</v>
          </cell>
          <cell r="E624">
            <v>507142626</v>
          </cell>
          <cell r="F624">
            <v>30</v>
          </cell>
          <cell r="G624">
            <v>1212640</v>
          </cell>
          <cell r="H624" t="str">
            <v>FP-014:BS CLR SPRYGRDS S/INEZ GLD 40C</v>
          </cell>
          <cell r="I624">
            <v>25000</v>
          </cell>
          <cell r="J624" t="str">
            <v>UN</v>
          </cell>
          <cell r="K624">
            <v>45590</v>
          </cell>
        </row>
        <row r="625">
          <cell r="A625" t="str">
            <v>50800506430</v>
          </cell>
          <cell r="B625" t="str">
            <v>ZMFD</v>
          </cell>
          <cell r="C625">
            <v>45433</v>
          </cell>
          <cell r="D625" t="str">
            <v>Not delivered</v>
          </cell>
          <cell r="E625">
            <v>508005064</v>
          </cell>
          <cell r="F625">
            <v>30</v>
          </cell>
          <cell r="G625">
            <v>1411213</v>
          </cell>
          <cell r="H625" t="str">
            <v>CM-105:BLCK COAT P/MAKE OVER PTI RV1 40H</v>
          </cell>
          <cell r="I625">
            <v>30000</v>
          </cell>
          <cell r="J625" t="str">
            <v>UN</v>
          </cell>
          <cell r="K625">
            <v>45590</v>
          </cell>
        </row>
        <row r="626">
          <cell r="A626" t="str">
            <v>50714271310</v>
          </cell>
          <cell r="B626" t="str">
            <v>ZMTD</v>
          </cell>
          <cell r="C626">
            <v>45538</v>
          </cell>
          <cell r="D626" t="str">
            <v>Not delivered</v>
          </cell>
          <cell r="E626">
            <v>507142713</v>
          </cell>
          <cell r="F626">
            <v>10</v>
          </cell>
          <cell r="G626">
            <v>1376248</v>
          </cell>
          <cell r="H626" t="str">
            <v>FP-008:CVR L.PINK P/BLK MANDOM RV1 12A</v>
          </cell>
          <cell r="I626">
            <v>10000</v>
          </cell>
          <cell r="J626" t="str">
            <v>UN</v>
          </cell>
          <cell r="K626">
            <v>45591</v>
          </cell>
        </row>
        <row r="627">
          <cell r="A627" t="str">
            <v>50714271320</v>
          </cell>
          <cell r="B627" t="str">
            <v>ZMTD</v>
          </cell>
          <cell r="C627">
            <v>45538</v>
          </cell>
          <cell r="D627" t="str">
            <v>Not delivered</v>
          </cell>
          <cell r="E627">
            <v>507142713</v>
          </cell>
          <cell r="F627">
            <v>20</v>
          </cell>
          <cell r="G627">
            <v>1171179</v>
          </cell>
          <cell r="H627" t="str">
            <v>FP-008:BS INJ BLK NO DC MANDOM</v>
          </cell>
          <cell r="I627">
            <v>10000</v>
          </cell>
          <cell r="J627" t="str">
            <v>UN</v>
          </cell>
          <cell r="K627">
            <v>45591</v>
          </cell>
        </row>
        <row r="628">
          <cell r="A628" t="str">
            <v>50714271330</v>
          </cell>
          <cell r="B628" t="str">
            <v>ZMTD</v>
          </cell>
          <cell r="C628">
            <v>45538</v>
          </cell>
          <cell r="D628" t="str">
            <v>Not delivered</v>
          </cell>
          <cell r="E628">
            <v>507142713</v>
          </cell>
          <cell r="F628">
            <v>30</v>
          </cell>
          <cell r="G628">
            <v>1172027</v>
          </cell>
          <cell r="H628" t="str">
            <v>FP-008:SFT NAT L.HINGE W/LBL NO DC MDM</v>
          </cell>
          <cell r="I628">
            <v>10000</v>
          </cell>
          <cell r="J628" t="str">
            <v>UN</v>
          </cell>
          <cell r="K628">
            <v>45591</v>
          </cell>
        </row>
        <row r="629">
          <cell r="A629" t="str">
            <v>50714271340</v>
          </cell>
          <cell r="B629" t="str">
            <v>ZMTD</v>
          </cell>
          <cell r="C629">
            <v>45538</v>
          </cell>
          <cell r="D629" t="str">
            <v>Not delivered</v>
          </cell>
          <cell r="E629">
            <v>507142713</v>
          </cell>
          <cell r="F629">
            <v>40</v>
          </cell>
          <cell r="G629">
            <v>1376248</v>
          </cell>
          <cell r="H629" t="str">
            <v>FP-008:CVR L.PINK P/BLK MANDOM RV1 12A</v>
          </cell>
          <cell r="I629">
            <v>10000</v>
          </cell>
          <cell r="J629" t="str">
            <v>UN</v>
          </cell>
          <cell r="K629">
            <v>45591</v>
          </cell>
        </row>
        <row r="630">
          <cell r="A630" t="str">
            <v>50714271350</v>
          </cell>
          <cell r="B630" t="str">
            <v>ZMTD</v>
          </cell>
          <cell r="C630">
            <v>45538</v>
          </cell>
          <cell r="D630" t="str">
            <v>Not delivered</v>
          </cell>
          <cell r="E630">
            <v>507142713</v>
          </cell>
          <cell r="F630">
            <v>50</v>
          </cell>
          <cell r="G630">
            <v>1171179</v>
          </cell>
          <cell r="H630" t="str">
            <v>FP-008:BS INJ BLK NO DC MANDOM</v>
          </cell>
          <cell r="I630">
            <v>10000</v>
          </cell>
          <cell r="J630" t="str">
            <v>UN</v>
          </cell>
          <cell r="K630">
            <v>45591</v>
          </cell>
        </row>
        <row r="631">
          <cell r="A631" t="str">
            <v>50714271360</v>
          </cell>
          <cell r="B631" t="str">
            <v>ZMTD</v>
          </cell>
          <cell r="C631">
            <v>45538</v>
          </cell>
          <cell r="D631" t="str">
            <v>Not delivered</v>
          </cell>
          <cell r="E631">
            <v>507142713</v>
          </cell>
          <cell r="F631">
            <v>60</v>
          </cell>
          <cell r="G631">
            <v>1172027</v>
          </cell>
          <cell r="H631" t="str">
            <v>FP-008:SFT NAT L.HINGE W/LBL NO DC MDM</v>
          </cell>
          <cell r="I631">
            <v>10000</v>
          </cell>
          <cell r="J631" t="str">
            <v>UN</v>
          </cell>
          <cell r="K631">
            <v>45591</v>
          </cell>
        </row>
        <row r="632">
          <cell r="A632" t="str">
            <v>50714271370</v>
          </cell>
          <cell r="B632" t="str">
            <v>ZMTD</v>
          </cell>
          <cell r="C632">
            <v>45538</v>
          </cell>
          <cell r="D632" t="str">
            <v>Not delivered</v>
          </cell>
          <cell r="E632">
            <v>507142713</v>
          </cell>
          <cell r="F632">
            <v>70</v>
          </cell>
          <cell r="G632">
            <v>1256191</v>
          </cell>
          <cell r="H632" t="str">
            <v>LS-285:COVER RED PX LCC NO DC MNDOM 12A</v>
          </cell>
          <cell r="I632">
            <v>10000</v>
          </cell>
          <cell r="J632" t="str">
            <v>UN</v>
          </cell>
          <cell r="K632">
            <v>45591</v>
          </cell>
        </row>
        <row r="633">
          <cell r="A633" t="str">
            <v>50714271380</v>
          </cell>
          <cell r="B633" t="str">
            <v>ZMTD</v>
          </cell>
          <cell r="C633">
            <v>45538</v>
          </cell>
          <cell r="D633" t="str">
            <v>Not delivered</v>
          </cell>
          <cell r="E633">
            <v>507142713</v>
          </cell>
          <cell r="F633">
            <v>80</v>
          </cell>
          <cell r="G633">
            <v>1393259</v>
          </cell>
          <cell r="H633" t="str">
            <v>LS-285:BS RED PX LCC P/BLK MNDOM RV1 60B</v>
          </cell>
          <cell r="I633">
            <v>10000</v>
          </cell>
          <cell r="J633" t="str">
            <v>UN</v>
          </cell>
          <cell r="K633">
            <v>45591</v>
          </cell>
        </row>
        <row r="634">
          <cell r="A634" t="str">
            <v>50800522610</v>
          </cell>
          <cell r="B634" t="str">
            <v>ZMFD</v>
          </cell>
          <cell r="C634">
            <v>45499</v>
          </cell>
          <cell r="D634" t="str">
            <v>Not delivered</v>
          </cell>
          <cell r="E634">
            <v>508005226</v>
          </cell>
          <cell r="F634">
            <v>10</v>
          </cell>
          <cell r="G634">
            <v>1291869</v>
          </cell>
          <cell r="H634" t="str">
            <v>LC-004:BTL COL GRAD P/MOUSSE NEW MLA40H</v>
          </cell>
          <cell r="I634">
            <v>25000</v>
          </cell>
          <cell r="J634" t="str">
            <v>UN</v>
          </cell>
          <cell r="K634">
            <v>45591</v>
          </cell>
        </row>
        <row r="635">
          <cell r="A635" t="str">
            <v>50800522620</v>
          </cell>
          <cell r="B635" t="str">
            <v>ZMFD</v>
          </cell>
          <cell r="C635">
            <v>45499</v>
          </cell>
          <cell r="D635" t="str">
            <v>Not delivered</v>
          </cell>
          <cell r="E635">
            <v>508005226</v>
          </cell>
          <cell r="F635">
            <v>20</v>
          </cell>
          <cell r="G635">
            <v>1291930</v>
          </cell>
          <cell r="H635" t="str">
            <v>LC-004:CAP MTPINK WIPNAT MOUS NEW MLA40D</v>
          </cell>
          <cell r="I635">
            <v>25000</v>
          </cell>
          <cell r="J635" t="str">
            <v>UN</v>
          </cell>
          <cell r="K635">
            <v>45591</v>
          </cell>
        </row>
        <row r="636">
          <cell r="A636" t="str">
            <v>50714241750</v>
          </cell>
          <cell r="B636" t="str">
            <v>ZMTD</v>
          </cell>
          <cell r="C636">
            <v>45474</v>
          </cell>
          <cell r="D636" t="str">
            <v>Not delivered</v>
          </cell>
          <cell r="E636">
            <v>507142417</v>
          </cell>
          <cell r="F636">
            <v>50</v>
          </cell>
          <cell r="G636">
            <v>1405657</v>
          </cell>
          <cell r="H636" t="str">
            <v>CM-273:CV UV BS BRONZE P/PIXYSLKY RV130L</v>
          </cell>
          <cell r="I636">
            <v>10000</v>
          </cell>
          <cell r="J636" t="str">
            <v>UN</v>
          </cell>
          <cell r="K636">
            <v>45591</v>
          </cell>
        </row>
        <row r="637">
          <cell r="A637" t="str">
            <v>50714271810</v>
          </cell>
          <cell r="B637" t="str">
            <v>ZMTD</v>
          </cell>
          <cell r="C637">
            <v>45539</v>
          </cell>
          <cell r="D637" t="str">
            <v>Not delivered</v>
          </cell>
          <cell r="E637">
            <v>507142718</v>
          </cell>
          <cell r="F637">
            <v>10</v>
          </cell>
          <cell r="G637">
            <v>1175678</v>
          </cell>
          <cell r="H637" t="str">
            <v>CM-073:MATTE SLV TWO WAY CAKE NO DC IMM</v>
          </cell>
          <cell r="I637">
            <v>10000</v>
          </cell>
          <cell r="J637" t="str">
            <v>UN</v>
          </cell>
          <cell r="K637">
            <v>45593</v>
          </cell>
        </row>
        <row r="638">
          <cell r="A638" t="str">
            <v>50714243320</v>
          </cell>
          <cell r="B638" t="str">
            <v>ZMTD</v>
          </cell>
          <cell r="C638">
            <v>45475</v>
          </cell>
          <cell r="D638" t="str">
            <v>Not delivered</v>
          </cell>
          <cell r="E638">
            <v>507142433</v>
          </cell>
          <cell r="F638">
            <v>20</v>
          </cell>
          <cell r="G638">
            <v>1406600</v>
          </cell>
          <cell r="H638" t="str">
            <v>CM-310:BLACK M086 CANNAGE S/SLV UV MT</v>
          </cell>
          <cell r="I638">
            <v>39000</v>
          </cell>
          <cell r="J638" t="str">
            <v>UN</v>
          </cell>
          <cell r="K638">
            <v>45593</v>
          </cell>
        </row>
        <row r="639">
          <cell r="A639" t="str">
            <v>50800515930</v>
          </cell>
          <cell r="B639" t="str">
            <v>ZMFD</v>
          </cell>
          <cell r="C639">
            <v>45475</v>
          </cell>
          <cell r="D639" t="str">
            <v>Not delivered</v>
          </cell>
          <cell r="E639">
            <v>508005159</v>
          </cell>
          <cell r="F639">
            <v>30</v>
          </cell>
          <cell r="G639">
            <v>1285116</v>
          </cell>
          <cell r="H639" t="str">
            <v>CM-292:CV/BS MTBLK LENS S/SLV MO PTI 40C</v>
          </cell>
          <cell r="I639">
            <v>50000</v>
          </cell>
          <cell r="J639" t="str">
            <v>UN</v>
          </cell>
          <cell r="K639">
            <v>45593</v>
          </cell>
        </row>
        <row r="640">
          <cell r="A640" t="str">
            <v>50714277420</v>
          </cell>
          <cell r="B640" t="str">
            <v>ZMTD</v>
          </cell>
          <cell r="C640">
            <v>45554</v>
          </cell>
          <cell r="D640" t="str">
            <v>Not delivered</v>
          </cell>
          <cell r="E640">
            <v>507142774</v>
          </cell>
          <cell r="F640">
            <v>20</v>
          </cell>
          <cell r="G640">
            <v>1378563</v>
          </cell>
          <cell r="H640" t="str">
            <v>CP-093:CAP D50 MT BLACK Ø.5 YASULOR 12A</v>
          </cell>
          <cell r="I640">
            <v>800000</v>
          </cell>
          <cell r="J640" t="str">
            <v>UN</v>
          </cell>
          <cell r="K640">
            <v>45594</v>
          </cell>
        </row>
        <row r="641">
          <cell r="A641" t="str">
            <v>50714278030</v>
          </cell>
          <cell r="B641" t="str">
            <v>ZMTD</v>
          </cell>
          <cell r="C641">
            <v>45554</v>
          </cell>
          <cell r="D641" t="str">
            <v>Not delivered</v>
          </cell>
          <cell r="E641">
            <v>507142780</v>
          </cell>
          <cell r="F641">
            <v>30</v>
          </cell>
          <cell r="G641">
            <v>1409881</v>
          </cell>
          <cell r="H641" t="str">
            <v>CM-315:CVR/BS BLACK P/CVRLAST OMG RV160B</v>
          </cell>
          <cell r="I641">
            <v>18172</v>
          </cell>
          <cell r="J641" t="str">
            <v>UN</v>
          </cell>
          <cell r="K641">
            <v>45594</v>
          </cell>
        </row>
        <row r="642">
          <cell r="A642" t="str">
            <v>50714275770</v>
          </cell>
          <cell r="B642" t="str">
            <v>ZMTD</v>
          </cell>
          <cell r="C642">
            <v>45547</v>
          </cell>
          <cell r="D642" t="str">
            <v>Not delivered</v>
          </cell>
          <cell r="E642">
            <v>507142757</v>
          </cell>
          <cell r="F642">
            <v>70</v>
          </cell>
          <cell r="G642">
            <v>1411701</v>
          </cell>
          <cell r="H642" t="str">
            <v>PT-100:BS/INS BLUE P/WHT KAHF PTI 60B</v>
          </cell>
          <cell r="I642">
            <v>21504</v>
          </cell>
          <cell r="J642" t="str">
            <v>UN</v>
          </cell>
          <cell r="K642">
            <v>45594</v>
          </cell>
        </row>
        <row r="643">
          <cell r="A643" t="str">
            <v>50714275780</v>
          </cell>
          <cell r="B643" t="str">
            <v>ZMTD</v>
          </cell>
          <cell r="C643">
            <v>45547</v>
          </cell>
          <cell r="D643" t="str">
            <v>Not delivered</v>
          </cell>
          <cell r="E643">
            <v>507142757</v>
          </cell>
          <cell r="F643">
            <v>80</v>
          </cell>
          <cell r="G643">
            <v>1411700</v>
          </cell>
          <cell r="H643" t="str">
            <v>PT-100:CVR MT.BLUE EMBOS KAHF PTI 40D</v>
          </cell>
          <cell r="I643">
            <v>21504</v>
          </cell>
          <cell r="J643" t="str">
            <v>UN</v>
          </cell>
          <cell r="K643">
            <v>45594</v>
          </cell>
        </row>
        <row r="644">
          <cell r="A644" t="str">
            <v>50714274270</v>
          </cell>
          <cell r="B644" t="str">
            <v>ZMTD</v>
          </cell>
          <cell r="C644">
            <v>45544</v>
          </cell>
          <cell r="D644" t="str">
            <v>Not delivered</v>
          </cell>
          <cell r="E644">
            <v>507142742</v>
          </cell>
          <cell r="F644">
            <v>70</v>
          </cell>
          <cell r="G644">
            <v>1437039</v>
          </cell>
          <cell r="H644" t="str">
            <v>CM-290:1PC BS CV MT.BLK S/ EMBOS OMG 40C</v>
          </cell>
          <cell r="I644">
            <v>25032</v>
          </cell>
          <cell r="J644" t="str">
            <v>UN</v>
          </cell>
          <cell r="K644">
            <v>45594</v>
          </cell>
        </row>
        <row r="645">
          <cell r="A645" t="str">
            <v>50714274280</v>
          </cell>
          <cell r="B645" t="str">
            <v>ZMTD</v>
          </cell>
          <cell r="C645">
            <v>45544</v>
          </cell>
          <cell r="D645" t="str">
            <v>Not delivered</v>
          </cell>
          <cell r="E645">
            <v>507142742</v>
          </cell>
          <cell r="F645">
            <v>80</v>
          </cell>
          <cell r="G645">
            <v>1437140</v>
          </cell>
          <cell r="H645" t="str">
            <v>CM-290:ENGINE CV RED, BS BLK OMG PTI 12A</v>
          </cell>
          <cell r="I645">
            <v>25032</v>
          </cell>
          <cell r="J645" t="str">
            <v>UN</v>
          </cell>
          <cell r="K645">
            <v>45594</v>
          </cell>
        </row>
        <row r="646">
          <cell r="A646" t="str">
            <v>50714274290</v>
          </cell>
          <cell r="B646" t="str">
            <v>ZMTD</v>
          </cell>
          <cell r="C646">
            <v>45544</v>
          </cell>
          <cell r="D646" t="str">
            <v>Not delivered</v>
          </cell>
          <cell r="E646">
            <v>507142742</v>
          </cell>
          <cell r="F646">
            <v>90</v>
          </cell>
          <cell r="G646">
            <v>1437141</v>
          </cell>
          <cell r="H646" t="str">
            <v>CM-290:RING BLACK OMG PTI 12A</v>
          </cell>
          <cell r="I646">
            <v>25032</v>
          </cell>
          <cell r="J646" t="str">
            <v>UN</v>
          </cell>
          <cell r="K646">
            <v>45594</v>
          </cell>
        </row>
        <row r="647">
          <cell r="A647" t="str">
            <v>50714272410</v>
          </cell>
          <cell r="B647" t="str">
            <v>ZMTD</v>
          </cell>
          <cell r="C647">
            <v>45541</v>
          </cell>
          <cell r="D647" t="str">
            <v>Not delivered</v>
          </cell>
          <cell r="E647">
            <v>507142724</v>
          </cell>
          <cell r="F647">
            <v>10</v>
          </cell>
          <cell r="G647">
            <v>1233451</v>
          </cell>
          <cell r="H647" t="str">
            <v>CM-260:EYSHDW CVR BLKSPRY S/GLD VIVA 40C</v>
          </cell>
          <cell r="I647">
            <v>10080</v>
          </cell>
          <cell r="J647" t="str">
            <v>UN</v>
          </cell>
          <cell r="K647">
            <v>45594</v>
          </cell>
        </row>
        <row r="648">
          <cell r="A648" t="str">
            <v>50714273030</v>
          </cell>
          <cell r="B648" t="str">
            <v>ZMTD</v>
          </cell>
          <cell r="C648">
            <v>45541</v>
          </cell>
          <cell r="D648" t="str">
            <v>Not delivered</v>
          </cell>
          <cell r="E648">
            <v>507142730</v>
          </cell>
          <cell r="F648">
            <v>30</v>
          </cell>
          <cell r="G648">
            <v>1371896</v>
          </cell>
          <cell r="H648" t="str">
            <v>RX-056:CM-316 CVR BLUE P/WHT SP/MTCLR</v>
          </cell>
          <cell r="I648">
            <v>110016</v>
          </cell>
          <cell r="J648" t="str">
            <v>UN</v>
          </cell>
          <cell r="K648">
            <v>45594</v>
          </cell>
        </row>
        <row r="649">
          <cell r="A649" t="str">
            <v>50714270310</v>
          </cell>
          <cell r="B649" t="str">
            <v>ZMTD</v>
          </cell>
          <cell r="C649">
            <v>45534</v>
          </cell>
          <cell r="D649" t="str">
            <v>Not delivered</v>
          </cell>
          <cell r="E649">
            <v>507142703</v>
          </cell>
          <cell r="F649">
            <v>10</v>
          </cell>
          <cell r="G649">
            <v>1268053</v>
          </cell>
          <cell r="H649" t="str">
            <v>CM-117:CVR BS BLACK S/CLRSTA'22 SAS 50C</v>
          </cell>
          <cell r="I649">
            <v>10000</v>
          </cell>
          <cell r="J649" t="str">
            <v>UN</v>
          </cell>
          <cell r="K649">
            <v>45594</v>
          </cell>
        </row>
        <row r="650">
          <cell r="A650" t="str">
            <v>50714252910</v>
          </cell>
          <cell r="B650" t="str">
            <v>ZMTD</v>
          </cell>
          <cell r="C650">
            <v>45488</v>
          </cell>
          <cell r="D650" t="str">
            <v>Not delivered</v>
          </cell>
          <cell r="E650">
            <v>507142529</v>
          </cell>
          <cell r="F650">
            <v>10</v>
          </cell>
          <cell r="G650">
            <v>1255662</v>
          </cell>
          <cell r="H650" t="str">
            <v>LC-002:BTL MT VAR12 P/WRDH B.MARK PTI40H</v>
          </cell>
          <cell r="I650">
            <v>31500</v>
          </cell>
          <cell r="J650" t="str">
            <v>UN</v>
          </cell>
          <cell r="K650">
            <v>45594</v>
          </cell>
        </row>
        <row r="651">
          <cell r="A651" t="str">
            <v>50714252920</v>
          </cell>
          <cell r="B651" t="str">
            <v>ZMTD</v>
          </cell>
          <cell r="C651">
            <v>45488</v>
          </cell>
          <cell r="D651" t="str">
            <v>Not delivered</v>
          </cell>
          <cell r="E651">
            <v>507142529</v>
          </cell>
          <cell r="F651">
            <v>20</v>
          </cell>
          <cell r="G651">
            <v>1174820</v>
          </cell>
          <cell r="H651" t="str">
            <v>LC-002:CP S/MT VAR12 STM-WHT WNAT PTI40D</v>
          </cell>
          <cell r="I651">
            <v>31500</v>
          </cell>
          <cell r="J651" t="str">
            <v>UN</v>
          </cell>
          <cell r="K651">
            <v>45594</v>
          </cell>
        </row>
        <row r="652">
          <cell r="A652" t="str">
            <v>50714241760</v>
          </cell>
          <cell r="B652" t="str">
            <v>ZMTD</v>
          </cell>
          <cell r="C652">
            <v>45474</v>
          </cell>
          <cell r="D652" t="str">
            <v>Not delivered</v>
          </cell>
          <cell r="E652">
            <v>507142417</v>
          </cell>
          <cell r="F652">
            <v>60</v>
          </cell>
          <cell r="G652">
            <v>1405657</v>
          </cell>
          <cell r="H652" t="str">
            <v>CM-273:CV UV BS BRONZE P/PIXYSLKY RV130L</v>
          </cell>
          <cell r="I652">
            <v>10000</v>
          </cell>
          <cell r="J652" t="str">
            <v>UN</v>
          </cell>
          <cell r="K652">
            <v>45594</v>
          </cell>
        </row>
        <row r="653">
          <cell r="A653" t="str">
            <v>50714228010</v>
          </cell>
          <cell r="B653" t="str">
            <v>ZMTD</v>
          </cell>
          <cell r="C653">
            <v>45447</v>
          </cell>
          <cell r="D653" t="str">
            <v>Not delivered</v>
          </cell>
          <cell r="E653">
            <v>507142280</v>
          </cell>
          <cell r="F653">
            <v>10</v>
          </cell>
          <cell r="G653">
            <v>1419488</v>
          </cell>
          <cell r="H653" t="str">
            <v>CP-063R:SPOUT CAP WHITE LOREAL 12A</v>
          </cell>
          <cell r="I653">
            <v>1890000</v>
          </cell>
          <cell r="J653" t="str">
            <v>UN</v>
          </cell>
          <cell r="K653">
            <v>45594</v>
          </cell>
        </row>
        <row r="654">
          <cell r="A654" t="str">
            <v>50714278110</v>
          </cell>
          <cell r="B654" t="str">
            <v>ZMTD</v>
          </cell>
          <cell r="C654">
            <v>45554</v>
          </cell>
          <cell r="D654" t="str">
            <v>Not delivered</v>
          </cell>
          <cell r="E654">
            <v>507142781</v>
          </cell>
          <cell r="F654">
            <v>10</v>
          </cell>
          <cell r="G654">
            <v>1244215</v>
          </cell>
          <cell r="H654" t="str">
            <v>LC-004:CAP WHITE PEARL WIPNAT ROHTO 12A</v>
          </cell>
          <cell r="I654">
            <v>5000</v>
          </cell>
          <cell r="J654" t="str">
            <v>UN</v>
          </cell>
          <cell r="K654">
            <v>45595</v>
          </cell>
        </row>
        <row r="655">
          <cell r="A655" t="str">
            <v>50714278120</v>
          </cell>
          <cell r="B655" t="str">
            <v>ZMTD</v>
          </cell>
          <cell r="C655">
            <v>45554</v>
          </cell>
          <cell r="D655" t="str">
            <v>Not delivered</v>
          </cell>
          <cell r="E655">
            <v>507142781</v>
          </cell>
          <cell r="F655">
            <v>20</v>
          </cell>
          <cell r="G655">
            <v>1270258</v>
          </cell>
          <cell r="H655" t="str">
            <v>LC-004:BTL TRANS P/WHT FRUTPINK ROHTO60B</v>
          </cell>
          <cell r="I655">
            <v>5000</v>
          </cell>
          <cell r="J655" t="str">
            <v>UN</v>
          </cell>
          <cell r="K655">
            <v>45595</v>
          </cell>
        </row>
        <row r="656">
          <cell r="A656" t="str">
            <v>50714276560</v>
          </cell>
          <cell r="B656" t="str">
            <v>ZMTD</v>
          </cell>
          <cell r="C656">
            <v>45552</v>
          </cell>
          <cell r="D656" t="str">
            <v>Not delivered</v>
          </cell>
          <cell r="E656">
            <v>507142765</v>
          </cell>
          <cell r="F656">
            <v>60</v>
          </cell>
          <cell r="G656">
            <v>1398383</v>
          </cell>
          <cell r="H656" t="str">
            <v>CM-319:WHITE P/BLACK UV MATTE NARS</v>
          </cell>
          <cell r="I656">
            <v>40080</v>
          </cell>
          <cell r="J656" t="str">
            <v>UN</v>
          </cell>
          <cell r="K656">
            <v>45595</v>
          </cell>
        </row>
        <row r="657">
          <cell r="A657" t="str">
            <v>50714276660</v>
          </cell>
          <cell r="B657" t="str">
            <v>ZMTD</v>
          </cell>
          <cell r="C657">
            <v>45552</v>
          </cell>
          <cell r="D657" t="str">
            <v>Not delivered</v>
          </cell>
          <cell r="E657">
            <v>507142766</v>
          </cell>
          <cell r="F657">
            <v>60</v>
          </cell>
          <cell r="G657">
            <v>1398763</v>
          </cell>
          <cell r="H657" t="str">
            <v>CM-320:WHITE S/BLACK UV MATTE NARS</v>
          </cell>
          <cell r="I657">
            <v>8100</v>
          </cell>
          <cell r="J657" t="str">
            <v>UN</v>
          </cell>
          <cell r="K657">
            <v>45595</v>
          </cell>
        </row>
        <row r="658">
          <cell r="A658" t="str">
            <v>50714268220</v>
          </cell>
          <cell r="B658" t="str">
            <v>ZMTD</v>
          </cell>
          <cell r="C658">
            <v>45532</v>
          </cell>
          <cell r="D658" t="str">
            <v>Not delivered</v>
          </cell>
          <cell r="E658">
            <v>507142682</v>
          </cell>
          <cell r="F658">
            <v>20</v>
          </cell>
          <cell r="G658">
            <v>1209330</v>
          </cell>
          <cell r="H658" t="str">
            <v>RUBICELL:PUFF 52X5.8MM WHT W/RIBBON GNRL</v>
          </cell>
          <cell r="I658">
            <v>10000</v>
          </cell>
          <cell r="J658" t="str">
            <v>UN</v>
          </cell>
          <cell r="K658">
            <v>45595</v>
          </cell>
        </row>
        <row r="659">
          <cell r="A659" t="str">
            <v>50714268230</v>
          </cell>
          <cell r="B659" t="str">
            <v>ZMTD</v>
          </cell>
          <cell r="C659">
            <v>45532</v>
          </cell>
          <cell r="D659" t="str">
            <v>Not delivered</v>
          </cell>
          <cell r="E659">
            <v>507142682</v>
          </cell>
          <cell r="F659">
            <v>30</v>
          </cell>
          <cell r="G659">
            <v>1440082</v>
          </cell>
          <cell r="H659" t="str">
            <v>CM-290:1PC CV/BS PINK P/NEWFIVEZ MLA 60B</v>
          </cell>
          <cell r="I659">
            <v>10000</v>
          </cell>
          <cell r="J659" t="str">
            <v>UN</v>
          </cell>
          <cell r="K659">
            <v>45595</v>
          </cell>
        </row>
        <row r="660">
          <cell r="A660" t="str">
            <v>50714268240</v>
          </cell>
          <cell r="B660" t="str">
            <v>ZMTD</v>
          </cell>
          <cell r="C660">
            <v>45532</v>
          </cell>
          <cell r="D660" t="str">
            <v>Not delivered</v>
          </cell>
          <cell r="E660">
            <v>507142682</v>
          </cell>
          <cell r="F660">
            <v>40</v>
          </cell>
          <cell r="G660">
            <v>1440083</v>
          </cell>
          <cell r="H660" t="str">
            <v>CM-290:ENGINE PINK NEWFIVEZ MLA 12A</v>
          </cell>
          <cell r="I660">
            <v>10000</v>
          </cell>
          <cell r="J660" t="str">
            <v>UN</v>
          </cell>
          <cell r="K660">
            <v>45595</v>
          </cell>
        </row>
        <row r="661">
          <cell r="A661" t="str">
            <v>50714268250</v>
          </cell>
          <cell r="B661" t="str">
            <v>ZMTD</v>
          </cell>
          <cell r="C661">
            <v>45532</v>
          </cell>
          <cell r="D661" t="str">
            <v>Not delivered</v>
          </cell>
          <cell r="E661">
            <v>507142682</v>
          </cell>
          <cell r="F661">
            <v>50</v>
          </cell>
          <cell r="G661">
            <v>1440084</v>
          </cell>
          <cell r="H661" t="str">
            <v>CM-290:RING PINK NEWFIVEZ MLA 12A</v>
          </cell>
          <cell r="I661">
            <v>10000</v>
          </cell>
          <cell r="J661" t="str">
            <v>UN</v>
          </cell>
          <cell r="K661">
            <v>45595</v>
          </cell>
        </row>
        <row r="662">
          <cell r="A662" t="str">
            <v>50714263020</v>
          </cell>
          <cell r="B662" t="str">
            <v>ZMTD</v>
          </cell>
          <cell r="C662">
            <v>45516</v>
          </cell>
          <cell r="D662" t="str">
            <v>Not delivered</v>
          </cell>
          <cell r="E662">
            <v>507142630</v>
          </cell>
          <cell r="F662">
            <v>20</v>
          </cell>
          <cell r="G662">
            <v>1436641</v>
          </cell>
          <cell r="H662" t="str">
            <v>CM-310:BLUE UV S/SILVER DIOR PEPSPE+IXPE</v>
          </cell>
          <cell r="I662">
            <v>64800</v>
          </cell>
          <cell r="J662" t="str">
            <v>UN</v>
          </cell>
          <cell r="K662">
            <v>45595</v>
          </cell>
        </row>
        <row r="663">
          <cell r="A663" t="str">
            <v>50714244510</v>
          </cell>
          <cell r="B663" t="str">
            <v>ZMTD</v>
          </cell>
          <cell r="C663">
            <v>45476</v>
          </cell>
          <cell r="D663" t="str">
            <v>Not delivered</v>
          </cell>
          <cell r="E663">
            <v>507142445</v>
          </cell>
          <cell r="F663">
            <v>10</v>
          </cell>
          <cell r="G663">
            <v>1210981</v>
          </cell>
          <cell r="H663" t="str">
            <v>LS-092:COVER CLEAR P/WHT CSMAX 60B</v>
          </cell>
          <cell r="I663">
            <v>50400</v>
          </cell>
          <cell r="J663" t="str">
            <v>UN</v>
          </cell>
          <cell r="K663">
            <v>45595</v>
          </cell>
        </row>
        <row r="664">
          <cell r="A664" t="str">
            <v>50714244520</v>
          </cell>
          <cell r="B664" t="str">
            <v>ZMTD</v>
          </cell>
          <cell r="C664">
            <v>45476</v>
          </cell>
          <cell r="D664" t="str">
            <v>Not delivered</v>
          </cell>
          <cell r="E664">
            <v>507142445</v>
          </cell>
          <cell r="F664">
            <v>20</v>
          </cell>
          <cell r="G664">
            <v>1430493</v>
          </cell>
          <cell r="H664" t="str">
            <v>LS-092:BS WHT P/BLUE NP BLUE CSMXR02 60B</v>
          </cell>
          <cell r="I664">
            <v>50400</v>
          </cell>
          <cell r="J664" t="str">
            <v>UN</v>
          </cell>
          <cell r="K664">
            <v>45595</v>
          </cell>
        </row>
        <row r="665">
          <cell r="A665" t="str">
            <v>50714271010</v>
          </cell>
          <cell r="B665" t="str">
            <v>ZMTD</v>
          </cell>
          <cell r="C665">
            <v>45534</v>
          </cell>
          <cell r="D665" t="str">
            <v>Not delivered</v>
          </cell>
          <cell r="E665">
            <v>507142710</v>
          </cell>
          <cell r="F665">
            <v>10</v>
          </cell>
          <cell r="G665">
            <v>1187960</v>
          </cell>
          <cell r="H665" t="str">
            <v>FP-014:CVR VMRAINBOW P/ULTM II RUDYS 40C</v>
          </cell>
          <cell r="I665">
            <v>30000</v>
          </cell>
          <cell r="J665" t="str">
            <v>UN</v>
          </cell>
          <cell r="K665">
            <v>45596</v>
          </cell>
        </row>
        <row r="666">
          <cell r="A666" t="str">
            <v>50714271020</v>
          </cell>
          <cell r="B666" t="str">
            <v>ZMTD</v>
          </cell>
          <cell r="C666">
            <v>45534</v>
          </cell>
          <cell r="D666" t="str">
            <v>Not delivered</v>
          </cell>
          <cell r="E666">
            <v>507142710</v>
          </cell>
          <cell r="F666">
            <v>20</v>
          </cell>
          <cell r="G666">
            <v>1172318</v>
          </cell>
          <cell r="H666" t="str">
            <v>FP-014:BASE CLEAR NO DC ULTIMA II RUDY S</v>
          </cell>
          <cell r="I666">
            <v>30000</v>
          </cell>
          <cell r="J666" t="str">
            <v>UN</v>
          </cell>
          <cell r="K666">
            <v>45596</v>
          </cell>
        </row>
        <row r="667">
          <cell r="A667" t="str">
            <v>50714271030</v>
          </cell>
          <cell r="B667" t="str">
            <v>ZMTD</v>
          </cell>
          <cell r="C667">
            <v>45534</v>
          </cell>
          <cell r="D667" t="str">
            <v>Not delivered</v>
          </cell>
          <cell r="E667">
            <v>507142710</v>
          </cell>
          <cell r="F667">
            <v>30</v>
          </cell>
          <cell r="G667">
            <v>1170826</v>
          </cell>
          <cell r="H667" t="str">
            <v>FP-014:SIFTER NT W/LBL NO DECO ULTIMA II</v>
          </cell>
          <cell r="I667">
            <v>30000</v>
          </cell>
          <cell r="J667" t="str">
            <v>UN</v>
          </cell>
          <cell r="K667">
            <v>45596</v>
          </cell>
        </row>
        <row r="668">
          <cell r="A668" t="str">
            <v>50714268210</v>
          </cell>
          <cell r="B668" t="str">
            <v>ZMTD</v>
          </cell>
          <cell r="C668">
            <v>45532</v>
          </cell>
          <cell r="D668" t="str">
            <v>Not delivered</v>
          </cell>
          <cell r="E668">
            <v>507142682</v>
          </cell>
          <cell r="F668">
            <v>10</v>
          </cell>
          <cell r="G668">
            <v>1188806</v>
          </cell>
          <cell r="H668" t="str">
            <v>FILLER SPONGE DIA 50X11.5MM GNRL</v>
          </cell>
          <cell r="I668">
            <v>10000</v>
          </cell>
          <cell r="J668" t="str">
            <v>UN</v>
          </cell>
          <cell r="K668">
            <v>45596</v>
          </cell>
        </row>
        <row r="669">
          <cell r="A669" t="str">
            <v>50714254410</v>
          </cell>
          <cell r="B669" t="str">
            <v>ZMTD</v>
          </cell>
          <cell r="C669">
            <v>45491</v>
          </cell>
          <cell r="D669" t="str">
            <v>Not delivered</v>
          </cell>
          <cell r="E669">
            <v>507142544</v>
          </cell>
          <cell r="F669">
            <v>10</v>
          </cell>
          <cell r="G669">
            <v>1278860</v>
          </cell>
          <cell r="H669" t="str">
            <v>CM-296:WHT P/L.AGELES W/O HOLE COTY TAOR</v>
          </cell>
          <cell r="I669">
            <v>72000</v>
          </cell>
          <cell r="J669" t="str">
            <v>UN</v>
          </cell>
          <cell r="K669">
            <v>45596</v>
          </cell>
        </row>
        <row r="670">
          <cell r="A670" t="str">
            <v>50800509320</v>
          </cell>
          <cell r="B670" t="str">
            <v>ZMFD</v>
          </cell>
          <cell r="C670">
            <v>45449</v>
          </cell>
          <cell r="D670" t="str">
            <v>Not delivered</v>
          </cell>
          <cell r="E670">
            <v>508005093</v>
          </cell>
          <cell r="F670">
            <v>20</v>
          </cell>
          <cell r="G670">
            <v>1390354</v>
          </cell>
          <cell r="H670" t="str">
            <v>CM-294:GODET REBELL. ROSE G0S4-01-0092</v>
          </cell>
          <cell r="I670">
            <v>10472</v>
          </cell>
          <cell r="J670" t="str">
            <v>UN</v>
          </cell>
          <cell r="K670">
            <v>45596</v>
          </cell>
        </row>
        <row r="671">
          <cell r="A671" t="str">
            <v>50800510610</v>
          </cell>
          <cell r="B671" t="str">
            <v>ZMFD</v>
          </cell>
          <cell r="C671">
            <v>45449</v>
          </cell>
          <cell r="D671" t="str">
            <v>Not delivered</v>
          </cell>
          <cell r="E671">
            <v>508005106</v>
          </cell>
          <cell r="F671">
            <v>10</v>
          </cell>
          <cell r="G671">
            <v>1389249</v>
          </cell>
          <cell r="H671" t="str">
            <v>CM-295:GODET GALLERY HOPE G85W-01-0091</v>
          </cell>
          <cell r="I671">
            <v>10472</v>
          </cell>
          <cell r="J671" t="str">
            <v>UN</v>
          </cell>
          <cell r="K671">
            <v>45596</v>
          </cell>
        </row>
        <row r="672">
          <cell r="A672" t="str">
            <v>50800510710</v>
          </cell>
          <cell r="B672" t="str">
            <v>ZMFD</v>
          </cell>
          <cell r="C672">
            <v>45449</v>
          </cell>
          <cell r="D672" t="str">
            <v>Not delivered</v>
          </cell>
          <cell r="E672">
            <v>508005107</v>
          </cell>
          <cell r="F672">
            <v>10</v>
          </cell>
          <cell r="G672">
            <v>1389492</v>
          </cell>
          <cell r="H672" t="str">
            <v>CM-295:GODET POWER BRUNCH G85Y-01-0001</v>
          </cell>
          <cell r="I672">
            <v>10472</v>
          </cell>
          <cell r="J672" t="str">
            <v>UN</v>
          </cell>
          <cell r="K672">
            <v>45596</v>
          </cell>
        </row>
        <row r="673">
          <cell r="A673" t="str">
            <v>50800506830</v>
          </cell>
          <cell r="B673" t="str">
            <v>ZMFD</v>
          </cell>
          <cell r="C673">
            <v>45433</v>
          </cell>
          <cell r="D673" t="str">
            <v>Not delivered</v>
          </cell>
          <cell r="E673">
            <v>508005068</v>
          </cell>
          <cell r="F673">
            <v>30</v>
          </cell>
          <cell r="G673">
            <v>1255663</v>
          </cell>
          <cell r="H673" t="str">
            <v>LC-002:BTL MT VAR13 P/WRDH B.MARK PTI40H</v>
          </cell>
          <cell r="I673">
            <v>25000</v>
          </cell>
          <cell r="J673" t="str">
            <v>UN</v>
          </cell>
          <cell r="K673">
            <v>45596</v>
          </cell>
        </row>
        <row r="674">
          <cell r="A674" t="str">
            <v>50800506840</v>
          </cell>
          <cell r="B674" t="str">
            <v>ZMFD</v>
          </cell>
          <cell r="C674">
            <v>45433</v>
          </cell>
          <cell r="D674" t="str">
            <v>Not delivered</v>
          </cell>
          <cell r="E674">
            <v>508005068</v>
          </cell>
          <cell r="F674">
            <v>40</v>
          </cell>
          <cell r="G674">
            <v>1173170</v>
          </cell>
          <cell r="H674" t="str">
            <v>LC-002:CP S/MT VAR13 STM-WHT WNAT PTI40D</v>
          </cell>
          <cell r="I674">
            <v>25000</v>
          </cell>
          <cell r="J674" t="str">
            <v>UN</v>
          </cell>
          <cell r="K674">
            <v>45596</v>
          </cell>
        </row>
        <row r="675">
          <cell r="A675" t="str">
            <v>50800494830</v>
          </cell>
          <cell r="B675" t="str">
            <v>ZMFD</v>
          </cell>
          <cell r="C675">
            <v>45370</v>
          </cell>
          <cell r="D675" t="str">
            <v>Not delivered</v>
          </cell>
          <cell r="E675">
            <v>508004948</v>
          </cell>
          <cell r="F675">
            <v>30</v>
          </cell>
          <cell r="G675">
            <v>1411700</v>
          </cell>
          <cell r="H675" t="str">
            <v>PT-100:CVR MT.BLUE EMBOS KAHF PTI 40D</v>
          </cell>
          <cell r="I675">
            <v>22000</v>
          </cell>
          <cell r="J675" t="str">
            <v>UN</v>
          </cell>
          <cell r="K675">
            <v>45596</v>
          </cell>
        </row>
        <row r="676">
          <cell r="A676" t="str">
            <v>50800494840</v>
          </cell>
          <cell r="B676" t="str">
            <v>ZMFD</v>
          </cell>
          <cell r="C676">
            <v>45370</v>
          </cell>
          <cell r="D676" t="str">
            <v>Not delivered</v>
          </cell>
          <cell r="E676">
            <v>508004948</v>
          </cell>
          <cell r="F676">
            <v>40</v>
          </cell>
          <cell r="G676">
            <v>1411701</v>
          </cell>
          <cell r="H676" t="str">
            <v>PT-100:BS/INS BLUE P/WHT KAHF PTI 60B</v>
          </cell>
          <cell r="I676">
            <v>22000</v>
          </cell>
          <cell r="J676" t="str">
            <v>UN</v>
          </cell>
          <cell r="K676">
            <v>45596</v>
          </cell>
        </row>
        <row r="677">
          <cell r="A677" t="str">
            <v>50800522910</v>
          </cell>
          <cell r="B677" t="str">
            <v>ZMFD</v>
          </cell>
          <cell r="C677">
            <v>45499</v>
          </cell>
          <cell r="D677" t="str">
            <v>Not delivered</v>
          </cell>
          <cell r="E677">
            <v>508005229</v>
          </cell>
          <cell r="F677">
            <v>10</v>
          </cell>
          <cell r="G677">
            <v>1361170</v>
          </cell>
          <cell r="H677" t="str">
            <v>PT-097:BODY BLACK HOUSE WHT TRANS PTI12A</v>
          </cell>
          <cell r="I677">
            <v>150000</v>
          </cell>
          <cell r="J677" t="str">
            <v>UN</v>
          </cell>
          <cell r="K677">
            <v>45597</v>
          </cell>
        </row>
        <row r="678">
          <cell r="A678" t="str">
            <v>50800522920</v>
          </cell>
          <cell r="B678" t="str">
            <v>ZMFD</v>
          </cell>
          <cell r="C678">
            <v>45499</v>
          </cell>
          <cell r="D678" t="str">
            <v>Not delivered</v>
          </cell>
          <cell r="E678">
            <v>508005229</v>
          </cell>
          <cell r="F678">
            <v>20</v>
          </cell>
          <cell r="G678">
            <v>1361175</v>
          </cell>
          <cell r="H678" t="str">
            <v>PT-097:CAP BLACK TRANS PTI 12A</v>
          </cell>
          <cell r="I678">
            <v>150000</v>
          </cell>
          <cell r="J678" t="str">
            <v>UN</v>
          </cell>
          <cell r="K678">
            <v>45597</v>
          </cell>
        </row>
        <row r="679">
          <cell r="A679" t="str">
            <v>50714253110</v>
          </cell>
          <cell r="B679" t="str">
            <v>ZMTD</v>
          </cell>
          <cell r="C679">
            <v>45488</v>
          </cell>
          <cell r="D679" t="str">
            <v>Not delivered</v>
          </cell>
          <cell r="E679">
            <v>507142531</v>
          </cell>
          <cell r="F679">
            <v>10</v>
          </cell>
          <cell r="G679">
            <v>1164947</v>
          </cell>
          <cell r="H679" t="str">
            <v>CM-253:CVR CLR BS BLUE P2748C P/WHT NSF</v>
          </cell>
          <cell r="I679">
            <v>21600</v>
          </cell>
          <cell r="J679" t="str">
            <v>UN</v>
          </cell>
          <cell r="K679">
            <v>45597</v>
          </cell>
        </row>
        <row r="680">
          <cell r="A680" t="str">
            <v>50714253120</v>
          </cell>
          <cell r="B680" t="str">
            <v>ZMTD</v>
          </cell>
          <cell r="C680">
            <v>45488</v>
          </cell>
          <cell r="D680" t="str">
            <v>Not delivered</v>
          </cell>
          <cell r="E680">
            <v>507142531</v>
          </cell>
          <cell r="F680">
            <v>20</v>
          </cell>
          <cell r="G680">
            <v>1164946</v>
          </cell>
          <cell r="H680" t="str">
            <v>CM-255:CVR CLR BS RED P186C P/WHT NSF</v>
          </cell>
          <cell r="I680">
            <v>33600</v>
          </cell>
          <cell r="J680" t="str">
            <v>UN</v>
          </cell>
          <cell r="K680">
            <v>45597</v>
          </cell>
        </row>
        <row r="681">
          <cell r="A681" t="str">
            <v>50714253130</v>
          </cell>
          <cell r="B681" t="str">
            <v>ZMTD</v>
          </cell>
          <cell r="C681">
            <v>45488</v>
          </cell>
          <cell r="D681" t="str">
            <v>Not delivered</v>
          </cell>
          <cell r="E681">
            <v>507142531</v>
          </cell>
          <cell r="F681">
            <v>30</v>
          </cell>
          <cell r="G681">
            <v>1164945</v>
          </cell>
          <cell r="H681" t="str">
            <v>CM-256:CVR CLR BS BLUE P2748C P/RED NSF</v>
          </cell>
          <cell r="I681">
            <v>33600</v>
          </cell>
          <cell r="J681" t="str">
            <v>UN</v>
          </cell>
          <cell r="K681">
            <v>45597</v>
          </cell>
        </row>
        <row r="682">
          <cell r="A682" t="str">
            <v>50800518110</v>
          </cell>
          <cell r="B682" t="str">
            <v>ZMFD</v>
          </cell>
          <cell r="C682">
            <v>45485</v>
          </cell>
          <cell r="D682" t="str">
            <v>Not delivered</v>
          </cell>
          <cell r="E682">
            <v>508005181</v>
          </cell>
          <cell r="F682">
            <v>10</v>
          </cell>
          <cell r="G682">
            <v>1413967</v>
          </cell>
          <cell r="H682" t="str">
            <v>CM-323:VM SILVER DIOR JUMBO M080</v>
          </cell>
          <cell r="I682">
            <v>12600</v>
          </cell>
          <cell r="J682" t="str">
            <v>UN</v>
          </cell>
          <cell r="K682">
            <v>45597</v>
          </cell>
        </row>
        <row r="683">
          <cell r="A683" t="str">
            <v>50714243110</v>
          </cell>
          <cell r="B683" t="str">
            <v>ZMTD</v>
          </cell>
          <cell r="C683">
            <v>45475</v>
          </cell>
          <cell r="D683" t="str">
            <v>Not delivered</v>
          </cell>
          <cell r="E683">
            <v>507142431</v>
          </cell>
          <cell r="F683">
            <v>10</v>
          </cell>
          <cell r="G683">
            <v>1160336</v>
          </cell>
          <cell r="H683" t="str">
            <v>CP-071:CP8364 TNR WPRL 200 REX IS 763</v>
          </cell>
          <cell r="I683">
            <v>43500</v>
          </cell>
          <cell r="J683" t="str">
            <v>UN</v>
          </cell>
          <cell r="K683">
            <v>45597</v>
          </cell>
        </row>
        <row r="684">
          <cell r="A684" t="str">
            <v>50714274610</v>
          </cell>
          <cell r="B684" t="str">
            <v>ZMTD</v>
          </cell>
          <cell r="C684">
            <v>45545</v>
          </cell>
          <cell r="D684" t="str">
            <v>Not delivered</v>
          </cell>
          <cell r="E684">
            <v>507142746</v>
          </cell>
          <cell r="F684">
            <v>10</v>
          </cell>
          <cell r="G684">
            <v>1272832</v>
          </cell>
          <cell r="H684" t="str">
            <v>CM-133:CVR BS MTLC PRPL UV P/S/BFCIAL30B</v>
          </cell>
          <cell r="I684">
            <v>10000</v>
          </cell>
          <cell r="J684" t="str">
            <v>UN</v>
          </cell>
          <cell r="K684">
            <v>45598</v>
          </cell>
        </row>
        <row r="685">
          <cell r="A685" t="str">
            <v>50714241770</v>
          </cell>
          <cell r="B685" t="str">
            <v>ZMTD</v>
          </cell>
          <cell r="C685">
            <v>45474</v>
          </cell>
          <cell r="D685" t="str">
            <v>Not delivered</v>
          </cell>
          <cell r="E685">
            <v>507142417</v>
          </cell>
          <cell r="F685">
            <v>70</v>
          </cell>
          <cell r="G685">
            <v>1405657</v>
          </cell>
          <cell r="H685" t="str">
            <v>CM-273:CV UV BS BRONZE P/PIXYSLKY RV130L</v>
          </cell>
          <cell r="I685">
            <v>10000</v>
          </cell>
          <cell r="J685" t="str">
            <v>UN</v>
          </cell>
          <cell r="K685">
            <v>45598</v>
          </cell>
        </row>
        <row r="686">
          <cell r="A686" t="str">
            <v>50800525240</v>
          </cell>
          <cell r="B686" t="str">
            <v>ZMFD</v>
          </cell>
          <cell r="C686">
            <v>45512</v>
          </cell>
          <cell r="D686" t="str">
            <v>Not delivered</v>
          </cell>
          <cell r="E686">
            <v>508005252</v>
          </cell>
          <cell r="F686">
            <v>40</v>
          </cell>
          <cell r="G686">
            <v>1382368</v>
          </cell>
          <cell r="H686" t="str">
            <v>CP-067R:FT CAP35 SNAP BLK MATTE  Ø5 LRL</v>
          </cell>
          <cell r="I686">
            <v>300000</v>
          </cell>
          <cell r="J686" t="str">
            <v>UN</v>
          </cell>
          <cell r="K686">
            <v>45600</v>
          </cell>
        </row>
        <row r="687">
          <cell r="A687" t="str">
            <v>50800524110</v>
          </cell>
          <cell r="B687" t="str">
            <v>ZMFD</v>
          </cell>
          <cell r="C687">
            <v>45510</v>
          </cell>
          <cell r="D687" t="str">
            <v>Not delivered</v>
          </cell>
          <cell r="E687">
            <v>508005241</v>
          </cell>
          <cell r="F687">
            <v>10</v>
          </cell>
          <cell r="G687">
            <v>1411213</v>
          </cell>
          <cell r="H687" t="str">
            <v>CM-105:BLCK COAT P/MAKE OVER PTI RV1 40H</v>
          </cell>
          <cell r="I687">
            <v>60000</v>
          </cell>
          <cell r="J687" t="str">
            <v>UN</v>
          </cell>
          <cell r="K687">
            <v>45600</v>
          </cell>
        </row>
        <row r="688">
          <cell r="A688" t="str">
            <v>50714257510</v>
          </cell>
          <cell r="B688" t="str">
            <v>ZMTD</v>
          </cell>
          <cell r="C688">
            <v>45499</v>
          </cell>
          <cell r="D688" t="str">
            <v>Not delivered</v>
          </cell>
          <cell r="E688">
            <v>507142575</v>
          </cell>
          <cell r="F688">
            <v>10</v>
          </cell>
          <cell r="G688">
            <v>1431860</v>
          </cell>
          <cell r="H688" t="str">
            <v>PT6029R CAP GARNIER 18ML WHITE PLZ (553)</v>
          </cell>
          <cell r="I688">
            <v>52080</v>
          </cell>
          <cell r="J688" t="str">
            <v>UN</v>
          </cell>
          <cell r="K688">
            <v>45600</v>
          </cell>
        </row>
        <row r="689">
          <cell r="A689" t="str">
            <v>50714257520</v>
          </cell>
          <cell r="B689" t="str">
            <v>ZMTD</v>
          </cell>
          <cell r="C689">
            <v>45499</v>
          </cell>
          <cell r="D689" t="str">
            <v>Not delivered</v>
          </cell>
          <cell r="E689">
            <v>507142575</v>
          </cell>
          <cell r="F689">
            <v>20</v>
          </cell>
          <cell r="G689">
            <v>1431860</v>
          </cell>
          <cell r="H689" t="str">
            <v>PT6029R CAP GARNIER 18ML WHITE PLZ (553)</v>
          </cell>
          <cell r="I689">
            <v>20160</v>
          </cell>
          <cell r="J689" t="str">
            <v>UN</v>
          </cell>
          <cell r="K689">
            <v>45600</v>
          </cell>
        </row>
        <row r="690">
          <cell r="A690" t="str">
            <v>50800517450</v>
          </cell>
          <cell r="B690" t="str">
            <v>ZMFD</v>
          </cell>
          <cell r="C690">
            <v>45481</v>
          </cell>
          <cell r="D690" t="str">
            <v>Not delivered</v>
          </cell>
          <cell r="E690">
            <v>508005174</v>
          </cell>
          <cell r="F690">
            <v>50</v>
          </cell>
          <cell r="G690">
            <v>1194012</v>
          </cell>
          <cell r="H690" t="str">
            <v>CP-090:ROSETNR VM RSPINK NO EMBOS PTI20F</v>
          </cell>
          <cell r="I690">
            <v>25000</v>
          </cell>
          <cell r="J690" t="str">
            <v>UN</v>
          </cell>
          <cell r="K690">
            <v>45600</v>
          </cell>
        </row>
        <row r="691">
          <cell r="A691" t="str">
            <v>50800497810</v>
          </cell>
          <cell r="B691" t="str">
            <v>ZMFD</v>
          </cell>
          <cell r="C691">
            <v>45401</v>
          </cell>
          <cell r="D691" t="str">
            <v>Not delivered</v>
          </cell>
          <cell r="E691">
            <v>508004978</v>
          </cell>
          <cell r="F691">
            <v>10</v>
          </cell>
          <cell r="G691">
            <v>1120086</v>
          </cell>
          <cell r="H691" t="str">
            <v>CM-290:ENGINE WHITE KF SKIN 12A</v>
          </cell>
          <cell r="I691">
            <v>10000</v>
          </cell>
          <cell r="J691" t="str">
            <v>UN</v>
          </cell>
          <cell r="K691">
            <v>45600</v>
          </cell>
        </row>
        <row r="692">
          <cell r="A692" t="str">
            <v>50800497820</v>
          </cell>
          <cell r="B692" t="str">
            <v>ZMFD</v>
          </cell>
          <cell r="C692">
            <v>45401</v>
          </cell>
          <cell r="D692" t="str">
            <v>Not delivered</v>
          </cell>
          <cell r="E692">
            <v>508004978</v>
          </cell>
          <cell r="F692">
            <v>20</v>
          </cell>
          <cell r="G692">
            <v>1120087</v>
          </cell>
          <cell r="H692" t="str">
            <v>CM-290:RING WHITE KF SKIN 12A</v>
          </cell>
          <cell r="I692">
            <v>10000</v>
          </cell>
          <cell r="J692" t="str">
            <v>UN</v>
          </cell>
          <cell r="K692">
            <v>45600</v>
          </cell>
        </row>
        <row r="693">
          <cell r="A693" t="str">
            <v>50800497830</v>
          </cell>
          <cell r="B693" t="str">
            <v>ZMFD</v>
          </cell>
          <cell r="C693">
            <v>45401</v>
          </cell>
          <cell r="D693" t="str">
            <v>Not delivered</v>
          </cell>
          <cell r="E693">
            <v>508004978</v>
          </cell>
          <cell r="F693">
            <v>30</v>
          </cell>
          <cell r="G693">
            <v>1187970</v>
          </cell>
          <cell r="H693" t="str">
            <v>CM-290:BS CVR WHT P/LGHT NAT  MDALA50B</v>
          </cell>
          <cell r="I693">
            <v>10000</v>
          </cell>
          <cell r="J693" t="str">
            <v>UN</v>
          </cell>
          <cell r="K693">
            <v>45600</v>
          </cell>
        </row>
        <row r="694">
          <cell r="A694" t="str">
            <v>50800497840</v>
          </cell>
          <cell r="B694" t="str">
            <v>ZMFD</v>
          </cell>
          <cell r="C694">
            <v>45401</v>
          </cell>
          <cell r="D694" t="str">
            <v>Not delivered</v>
          </cell>
          <cell r="E694">
            <v>508004978</v>
          </cell>
          <cell r="F694">
            <v>40</v>
          </cell>
          <cell r="G694">
            <v>1188807</v>
          </cell>
          <cell r="H694" t="str">
            <v>RUBICELL PUFF WITH RIBBON P/KFSKIN MDALA</v>
          </cell>
          <cell r="I694">
            <v>10000</v>
          </cell>
          <cell r="J694" t="str">
            <v>UN</v>
          </cell>
          <cell r="K694">
            <v>45600</v>
          </cell>
        </row>
        <row r="695">
          <cell r="A695" t="str">
            <v>50800497850</v>
          </cell>
          <cell r="B695" t="str">
            <v>ZMFD</v>
          </cell>
          <cell r="C695">
            <v>45401</v>
          </cell>
          <cell r="D695" t="str">
            <v>Not delivered</v>
          </cell>
          <cell r="E695">
            <v>508004978</v>
          </cell>
          <cell r="F695">
            <v>50</v>
          </cell>
          <cell r="G695">
            <v>1188806</v>
          </cell>
          <cell r="H695" t="str">
            <v>FILLER SPONGE DIA 50X11.5MM GNRL</v>
          </cell>
          <cell r="I695">
            <v>10000</v>
          </cell>
          <cell r="J695" t="str">
            <v>UN</v>
          </cell>
          <cell r="K695">
            <v>45600</v>
          </cell>
        </row>
        <row r="696">
          <cell r="A696" t="str">
            <v>50800493430</v>
          </cell>
          <cell r="B696" t="str">
            <v>ZMFD</v>
          </cell>
          <cell r="C696">
            <v>45364</v>
          </cell>
          <cell r="D696" t="str">
            <v>Not delivered</v>
          </cell>
          <cell r="E696">
            <v>508004934</v>
          </cell>
          <cell r="F696">
            <v>30</v>
          </cell>
          <cell r="G696">
            <v>1378563</v>
          </cell>
          <cell r="H696" t="str">
            <v>CP-093:CAP D50 MT BLACK Ø.5 YASULOR 12A</v>
          </cell>
          <cell r="I696">
            <v>500000</v>
          </cell>
          <cell r="J696" t="str">
            <v>UN</v>
          </cell>
          <cell r="K696">
            <v>45600</v>
          </cell>
        </row>
        <row r="697">
          <cell r="A697" t="str">
            <v>50714279410</v>
          </cell>
          <cell r="B697" t="str">
            <v>ZMTD</v>
          </cell>
          <cell r="C697">
            <v>45558</v>
          </cell>
          <cell r="D697" t="str">
            <v>Not delivered</v>
          </cell>
          <cell r="E697">
            <v>507142794</v>
          </cell>
          <cell r="F697">
            <v>10</v>
          </cell>
          <cell r="G697">
            <v>1163327</v>
          </cell>
          <cell r="H697" t="str">
            <v>CM-246:CVR S.SLV PAN WHITE 6MPY 01 0034</v>
          </cell>
          <cell r="I697">
            <v>25056</v>
          </cell>
          <cell r="J697" t="str">
            <v>UN</v>
          </cell>
          <cell r="K697">
            <v>45601</v>
          </cell>
        </row>
        <row r="698">
          <cell r="A698" t="str">
            <v>507142742100</v>
          </cell>
          <cell r="B698" t="str">
            <v>ZMTD</v>
          </cell>
          <cell r="C698">
            <v>45544</v>
          </cell>
          <cell r="D698" t="str">
            <v>Not delivered</v>
          </cell>
          <cell r="E698">
            <v>507142742</v>
          </cell>
          <cell r="F698">
            <v>100</v>
          </cell>
          <cell r="G698">
            <v>1437039</v>
          </cell>
          <cell r="H698" t="str">
            <v>CM-290:1PC BS CV MT.BLK S/ EMBOS OMG 40C</v>
          </cell>
          <cell r="I698">
            <v>25032</v>
          </cell>
          <cell r="J698" t="str">
            <v>UN</v>
          </cell>
          <cell r="K698">
            <v>45601</v>
          </cell>
        </row>
        <row r="699">
          <cell r="A699" t="str">
            <v>507142742110</v>
          </cell>
          <cell r="B699" t="str">
            <v>ZMTD</v>
          </cell>
          <cell r="C699">
            <v>45544</v>
          </cell>
          <cell r="D699" t="str">
            <v>Not delivered</v>
          </cell>
          <cell r="E699">
            <v>507142742</v>
          </cell>
          <cell r="F699">
            <v>110</v>
          </cell>
          <cell r="G699">
            <v>1437140</v>
          </cell>
          <cell r="H699" t="str">
            <v>CM-290:ENGINE CV RED, BS BLK OMG PTI 12A</v>
          </cell>
          <cell r="I699">
            <v>25032</v>
          </cell>
          <cell r="J699" t="str">
            <v>UN</v>
          </cell>
          <cell r="K699">
            <v>45601</v>
          </cell>
        </row>
        <row r="700">
          <cell r="A700" t="str">
            <v>507142742120</v>
          </cell>
          <cell r="B700" t="str">
            <v>ZMTD</v>
          </cell>
          <cell r="C700">
            <v>45544</v>
          </cell>
          <cell r="D700" t="str">
            <v>Not delivered</v>
          </cell>
          <cell r="E700">
            <v>507142742</v>
          </cell>
          <cell r="F700">
            <v>120</v>
          </cell>
          <cell r="G700">
            <v>1437141</v>
          </cell>
          <cell r="H700" t="str">
            <v>CM-290:RING BLACK OMG PTI 12A</v>
          </cell>
          <cell r="I700">
            <v>25032</v>
          </cell>
          <cell r="J700" t="str">
            <v>UN</v>
          </cell>
          <cell r="K700">
            <v>45601</v>
          </cell>
        </row>
        <row r="701">
          <cell r="A701" t="str">
            <v>50714273040</v>
          </cell>
          <cell r="B701" t="str">
            <v>ZMTD</v>
          </cell>
          <cell r="C701">
            <v>45541</v>
          </cell>
          <cell r="D701" t="str">
            <v>Not delivered</v>
          </cell>
          <cell r="E701">
            <v>507142730</v>
          </cell>
          <cell r="F701">
            <v>40</v>
          </cell>
          <cell r="G701">
            <v>1371896</v>
          </cell>
          <cell r="H701" t="str">
            <v>RX-056:CM-316 CVR BLUE P/WHT SP/MTCLR</v>
          </cell>
          <cell r="I701">
            <v>69952</v>
          </cell>
          <cell r="J701" t="str">
            <v>UN</v>
          </cell>
          <cell r="K701">
            <v>45601</v>
          </cell>
        </row>
        <row r="702">
          <cell r="A702" t="str">
            <v>50800525830</v>
          </cell>
          <cell r="B702" t="str">
            <v>ZMFD</v>
          </cell>
          <cell r="C702">
            <v>45523</v>
          </cell>
          <cell r="D702" t="str">
            <v>Not delivered</v>
          </cell>
          <cell r="E702">
            <v>508005258</v>
          </cell>
          <cell r="F702">
            <v>30</v>
          </cell>
          <cell r="G702">
            <v>1168132</v>
          </cell>
          <cell r="H702" t="str">
            <v>LS-285:BS WHT NO DC WARDAH</v>
          </cell>
          <cell r="I702">
            <v>75000</v>
          </cell>
          <cell r="J702" t="str">
            <v>UN</v>
          </cell>
          <cell r="K702">
            <v>45601</v>
          </cell>
        </row>
        <row r="703">
          <cell r="A703" t="str">
            <v>50800525840</v>
          </cell>
          <cell r="B703" t="str">
            <v>ZMFD</v>
          </cell>
          <cell r="C703">
            <v>45523</v>
          </cell>
          <cell r="D703" t="str">
            <v>Not delivered</v>
          </cell>
          <cell r="E703">
            <v>508005258</v>
          </cell>
          <cell r="F703">
            <v>40</v>
          </cell>
          <cell r="G703">
            <v>1421418</v>
          </cell>
          <cell r="H703" t="str">
            <v>LS-285:CV RED P/WHT UV STRAWBERY PTI 30O</v>
          </cell>
          <cell r="I703">
            <v>75000</v>
          </cell>
          <cell r="J703" t="str">
            <v>UN</v>
          </cell>
          <cell r="K703">
            <v>45601</v>
          </cell>
        </row>
        <row r="704">
          <cell r="A704" t="str">
            <v>50800524610</v>
          </cell>
          <cell r="B704" t="str">
            <v>ZMFD</v>
          </cell>
          <cell r="C704">
            <v>45510</v>
          </cell>
          <cell r="D704" t="str">
            <v>Not delivered</v>
          </cell>
          <cell r="E704">
            <v>508005246</v>
          </cell>
          <cell r="F704">
            <v>10</v>
          </cell>
          <cell r="G704">
            <v>1408740</v>
          </cell>
          <cell r="H704" t="str">
            <v>PT-097B:BDSR.2 BLU HOUS WHT TRNS PTI12A</v>
          </cell>
          <cell r="I704">
            <v>440000</v>
          </cell>
          <cell r="J704" t="str">
            <v>UN</v>
          </cell>
          <cell r="K704">
            <v>45601</v>
          </cell>
        </row>
        <row r="705">
          <cell r="A705" t="str">
            <v>50800524630</v>
          </cell>
          <cell r="B705" t="str">
            <v>ZMFD</v>
          </cell>
          <cell r="C705">
            <v>45510</v>
          </cell>
          <cell r="D705" t="str">
            <v>Not delivered</v>
          </cell>
          <cell r="E705">
            <v>508005246</v>
          </cell>
          <cell r="F705">
            <v>30</v>
          </cell>
          <cell r="G705">
            <v>1408739</v>
          </cell>
          <cell r="H705" t="str">
            <v>PT-097B:CAP SR.2 BLUE TRANS PTI 12A</v>
          </cell>
          <cell r="I705">
            <v>440000</v>
          </cell>
          <cell r="J705" t="str">
            <v>UN</v>
          </cell>
          <cell r="K705">
            <v>45601</v>
          </cell>
        </row>
        <row r="706">
          <cell r="A706" t="str">
            <v>50800524710</v>
          </cell>
          <cell r="B706" t="str">
            <v>ZMFD</v>
          </cell>
          <cell r="C706">
            <v>45510</v>
          </cell>
          <cell r="D706" t="str">
            <v>Not delivered</v>
          </cell>
          <cell r="E706">
            <v>508005247</v>
          </cell>
          <cell r="F706">
            <v>10</v>
          </cell>
          <cell r="G706">
            <v>1361170</v>
          </cell>
          <cell r="H706" t="str">
            <v>PT-097:BODY BLACK HOUSE WHT TRANS PTI12A</v>
          </cell>
          <cell r="I706">
            <v>180000</v>
          </cell>
          <cell r="J706" t="str">
            <v>UN</v>
          </cell>
          <cell r="K706">
            <v>45601</v>
          </cell>
        </row>
        <row r="707">
          <cell r="A707" t="str">
            <v>50800524730</v>
          </cell>
          <cell r="B707" t="str">
            <v>ZMFD</v>
          </cell>
          <cell r="C707">
            <v>45510</v>
          </cell>
          <cell r="D707" t="str">
            <v>Not delivered</v>
          </cell>
          <cell r="E707">
            <v>508005247</v>
          </cell>
          <cell r="F707">
            <v>30</v>
          </cell>
          <cell r="G707">
            <v>1361175</v>
          </cell>
          <cell r="H707" t="str">
            <v>PT-097:CAP BLACK TRANS PTI 12A</v>
          </cell>
          <cell r="I707">
            <v>180000</v>
          </cell>
          <cell r="J707" t="str">
            <v>UN</v>
          </cell>
          <cell r="K707">
            <v>45601</v>
          </cell>
        </row>
        <row r="708">
          <cell r="A708" t="str">
            <v>50800524820</v>
          </cell>
          <cell r="B708" t="str">
            <v>ZMFD</v>
          </cell>
          <cell r="C708">
            <v>45510</v>
          </cell>
          <cell r="D708" t="str">
            <v>Not delivered</v>
          </cell>
          <cell r="E708">
            <v>508005248</v>
          </cell>
          <cell r="F708">
            <v>20</v>
          </cell>
          <cell r="G708">
            <v>1367372</v>
          </cell>
          <cell r="H708" t="str">
            <v>PT-097:BODY GREN HOUSE WHT TRANS PTI 12A</v>
          </cell>
          <cell r="I708">
            <v>160000</v>
          </cell>
          <cell r="J708" t="str">
            <v>UN</v>
          </cell>
          <cell r="K708">
            <v>45601</v>
          </cell>
        </row>
        <row r="709">
          <cell r="A709" t="str">
            <v>50800524850</v>
          </cell>
          <cell r="B709" t="str">
            <v>ZMFD</v>
          </cell>
          <cell r="C709">
            <v>45510</v>
          </cell>
          <cell r="D709" t="str">
            <v>Not delivered</v>
          </cell>
          <cell r="E709">
            <v>508005248</v>
          </cell>
          <cell r="F709">
            <v>50</v>
          </cell>
          <cell r="G709">
            <v>1367370</v>
          </cell>
          <cell r="H709" t="str">
            <v>PT-097:CAP GREN TRANS PTI 12A</v>
          </cell>
          <cell r="I709">
            <v>160000</v>
          </cell>
          <cell r="J709" t="str">
            <v>UN</v>
          </cell>
          <cell r="K709">
            <v>45601</v>
          </cell>
        </row>
        <row r="710">
          <cell r="A710" t="str">
            <v>50800524910</v>
          </cell>
          <cell r="B710" t="str">
            <v>ZMFD</v>
          </cell>
          <cell r="C710">
            <v>45510</v>
          </cell>
          <cell r="D710" t="str">
            <v>Not delivered</v>
          </cell>
          <cell r="E710">
            <v>508005249</v>
          </cell>
          <cell r="F710">
            <v>10</v>
          </cell>
          <cell r="G710">
            <v>1336783</v>
          </cell>
          <cell r="H710" t="str">
            <v>LC-003:BTL CLR CLVM P/S/INSTSUEDE PTI20Y</v>
          </cell>
          <cell r="I710">
            <v>25000</v>
          </cell>
          <cell r="J710" t="str">
            <v>UN</v>
          </cell>
          <cell r="K710">
            <v>45601</v>
          </cell>
        </row>
        <row r="711">
          <cell r="A711" t="str">
            <v>50800524920</v>
          </cell>
          <cell r="B711" t="str">
            <v>ZMFD</v>
          </cell>
          <cell r="C711">
            <v>45510</v>
          </cell>
          <cell r="D711" t="str">
            <v>Not delivered</v>
          </cell>
          <cell r="E711">
            <v>508005249</v>
          </cell>
          <cell r="F711">
            <v>20</v>
          </cell>
          <cell r="G711">
            <v>1378266</v>
          </cell>
          <cell r="H711" t="str">
            <v>LC-003:CAP VM RS PINK INSTASUEDE PTI 20F</v>
          </cell>
          <cell r="I711">
            <v>25000</v>
          </cell>
          <cell r="J711" t="str">
            <v>UN</v>
          </cell>
          <cell r="K711">
            <v>45601</v>
          </cell>
        </row>
        <row r="712">
          <cell r="A712" t="str">
            <v>50714246510</v>
          </cell>
          <cell r="B712" t="str">
            <v>ZMTD</v>
          </cell>
          <cell r="C712">
            <v>45481</v>
          </cell>
          <cell r="D712" t="str">
            <v>Not delivered</v>
          </cell>
          <cell r="E712">
            <v>507142465</v>
          </cell>
          <cell r="F712">
            <v>10</v>
          </cell>
          <cell r="G712">
            <v>1382893</v>
          </cell>
          <cell r="H712" t="str">
            <v>LC-012:BTL VR1 CRMLCOAT P/GLASTNG PTI60B</v>
          </cell>
          <cell r="I712">
            <v>25326</v>
          </cell>
          <cell r="J712" t="str">
            <v>UN</v>
          </cell>
          <cell r="K712">
            <v>45601</v>
          </cell>
        </row>
        <row r="713">
          <cell r="A713" t="str">
            <v>50714246520</v>
          </cell>
          <cell r="B713" t="str">
            <v>ZMTD</v>
          </cell>
          <cell r="C713">
            <v>45481</v>
          </cell>
          <cell r="D713" t="str">
            <v>Not delivered</v>
          </cell>
          <cell r="E713">
            <v>507142465</v>
          </cell>
          <cell r="F713">
            <v>20</v>
          </cell>
          <cell r="G713">
            <v>1385814</v>
          </cell>
          <cell r="H713" t="str">
            <v>LC-012:CAP VM BRWN WIP GLASTING PTI 20F</v>
          </cell>
          <cell r="I713">
            <v>25326</v>
          </cell>
          <cell r="J713" t="str">
            <v>UN</v>
          </cell>
          <cell r="K713">
            <v>45601</v>
          </cell>
        </row>
        <row r="714">
          <cell r="A714" t="str">
            <v>50800516110</v>
          </cell>
          <cell r="B714" t="str">
            <v>ZMFD</v>
          </cell>
          <cell r="C714">
            <v>45475</v>
          </cell>
          <cell r="D714" t="str">
            <v>Not delivered</v>
          </cell>
          <cell r="E714">
            <v>508005161</v>
          </cell>
          <cell r="F714">
            <v>10</v>
          </cell>
          <cell r="G714">
            <v>1386990</v>
          </cell>
          <cell r="H714" t="str">
            <v>CM-099:CVR BS MTBEIGE P/QUAD RV1 PTI 40H</v>
          </cell>
          <cell r="I714">
            <v>10000</v>
          </cell>
          <cell r="J714" t="str">
            <v>UN</v>
          </cell>
          <cell r="K714">
            <v>45601</v>
          </cell>
        </row>
        <row r="715">
          <cell r="A715" t="str">
            <v>50800515430</v>
          </cell>
          <cell r="B715" t="str">
            <v>ZMFD</v>
          </cell>
          <cell r="C715">
            <v>45470</v>
          </cell>
          <cell r="D715" t="str">
            <v>Not delivered</v>
          </cell>
          <cell r="E715">
            <v>508005154</v>
          </cell>
          <cell r="F715">
            <v>30</v>
          </cell>
          <cell r="G715">
            <v>1388326</v>
          </cell>
          <cell r="H715" t="str">
            <v>CM-253:CV BS MTPEACH P/C.BLSH RV1 PTI40H</v>
          </cell>
          <cell r="I715">
            <v>15000</v>
          </cell>
          <cell r="J715" t="str">
            <v>UN</v>
          </cell>
          <cell r="K715">
            <v>45601</v>
          </cell>
        </row>
        <row r="716">
          <cell r="A716" t="str">
            <v>50800515560</v>
          </cell>
          <cell r="B716" t="str">
            <v>ZMFD</v>
          </cell>
          <cell r="C716">
            <v>45470</v>
          </cell>
          <cell r="D716" t="str">
            <v>Not delivered</v>
          </cell>
          <cell r="E716">
            <v>508005155</v>
          </cell>
          <cell r="F716">
            <v>60</v>
          </cell>
          <cell r="G716">
            <v>1304094</v>
          </cell>
          <cell r="H716" t="str">
            <v>CM-253:CV CLR BS M.PINK P/EMINA C.LIT40H</v>
          </cell>
          <cell r="I716">
            <v>25000</v>
          </cell>
          <cell r="J716" t="str">
            <v>UN</v>
          </cell>
          <cell r="K716">
            <v>45601</v>
          </cell>
        </row>
        <row r="717">
          <cell r="A717" t="str">
            <v>50800514530</v>
          </cell>
          <cell r="B717" t="str">
            <v>ZMFD</v>
          </cell>
          <cell r="C717">
            <v>45464</v>
          </cell>
          <cell r="D717" t="str">
            <v>Not delivered</v>
          </cell>
          <cell r="E717">
            <v>508005145</v>
          </cell>
          <cell r="F717">
            <v>30</v>
          </cell>
          <cell r="G717">
            <v>1288811</v>
          </cell>
          <cell r="H717" t="str">
            <v>CP-065:FT 50 SNAP SLV GLOSSY ELSEVE</v>
          </cell>
          <cell r="I717">
            <v>109600</v>
          </cell>
          <cell r="J717" t="str">
            <v>UN</v>
          </cell>
          <cell r="K717">
            <v>45601</v>
          </cell>
        </row>
        <row r="718">
          <cell r="A718" t="str">
            <v>50800513020</v>
          </cell>
          <cell r="B718" t="str">
            <v>ZMFD</v>
          </cell>
          <cell r="C718">
            <v>45455</v>
          </cell>
          <cell r="D718" t="str">
            <v>Not delivered</v>
          </cell>
          <cell r="E718">
            <v>508005130</v>
          </cell>
          <cell r="F718">
            <v>20</v>
          </cell>
          <cell r="G718">
            <v>1386990</v>
          </cell>
          <cell r="H718" t="str">
            <v>CM-099:CVR BS MTBEIGE P/QUAD RV1 PTI 40H</v>
          </cell>
          <cell r="I718">
            <v>10000</v>
          </cell>
          <cell r="J718" t="str">
            <v>UN</v>
          </cell>
          <cell r="K718">
            <v>45601</v>
          </cell>
        </row>
        <row r="719">
          <cell r="A719" t="str">
            <v>50714228110</v>
          </cell>
          <cell r="B719" t="str">
            <v>ZMTD</v>
          </cell>
          <cell r="C719">
            <v>45447</v>
          </cell>
          <cell r="D719" t="str">
            <v>Not delivered</v>
          </cell>
          <cell r="E719">
            <v>507142281</v>
          </cell>
          <cell r="F719">
            <v>10</v>
          </cell>
          <cell r="G719">
            <v>1419488</v>
          </cell>
          <cell r="H719" t="str">
            <v>CP-063R:SPOUT CAP WHITE LOREAL 12A</v>
          </cell>
          <cell r="I719">
            <v>1890000</v>
          </cell>
          <cell r="J719" t="str">
            <v>UN</v>
          </cell>
          <cell r="K719">
            <v>45601</v>
          </cell>
        </row>
        <row r="720">
          <cell r="A720" t="str">
            <v>50714228210</v>
          </cell>
          <cell r="B720" t="str">
            <v>ZMTD</v>
          </cell>
          <cell r="C720">
            <v>45447</v>
          </cell>
          <cell r="D720" t="str">
            <v>Not delivered</v>
          </cell>
          <cell r="E720">
            <v>507142282</v>
          </cell>
          <cell r="F720">
            <v>10</v>
          </cell>
          <cell r="G720">
            <v>1419488</v>
          </cell>
          <cell r="H720" t="str">
            <v>CP-063R:SPOUT CAP WHITE LOREAL 12A</v>
          </cell>
          <cell r="I720">
            <v>1890000</v>
          </cell>
          <cell r="J720" t="str">
            <v>UN</v>
          </cell>
          <cell r="K720">
            <v>45601</v>
          </cell>
        </row>
        <row r="721">
          <cell r="A721" t="str">
            <v>50800507330</v>
          </cell>
          <cell r="B721" t="str">
            <v>ZMFD</v>
          </cell>
          <cell r="C721">
            <v>45433</v>
          </cell>
          <cell r="D721" t="str">
            <v>Not delivered</v>
          </cell>
          <cell r="E721">
            <v>508005073</v>
          </cell>
          <cell r="F721">
            <v>30</v>
          </cell>
          <cell r="G721">
            <v>1169047</v>
          </cell>
          <cell r="H721" t="str">
            <v>LS-285:B V/SL P/1PS SLEV H/SL BLM PTI20R</v>
          </cell>
          <cell r="I721">
            <v>25536</v>
          </cell>
          <cell r="J721" t="str">
            <v>UN</v>
          </cell>
          <cell r="K721">
            <v>45601</v>
          </cell>
        </row>
        <row r="722">
          <cell r="A722" t="str">
            <v>50800507340</v>
          </cell>
          <cell r="B722" t="str">
            <v>ZMFD</v>
          </cell>
          <cell r="C722">
            <v>45433</v>
          </cell>
          <cell r="D722" t="str">
            <v>Not delivered</v>
          </cell>
          <cell r="E722">
            <v>508005073</v>
          </cell>
          <cell r="F722">
            <v>40</v>
          </cell>
          <cell r="G722">
            <v>1171873</v>
          </cell>
          <cell r="H722" t="str">
            <v>LS-285:CV TRANS MATE 6 P/1PS VAR5 PTI40H</v>
          </cell>
          <cell r="I722">
            <v>25536</v>
          </cell>
          <cell r="J722" t="str">
            <v>UN</v>
          </cell>
          <cell r="K722">
            <v>45601</v>
          </cell>
        </row>
        <row r="723">
          <cell r="A723" t="str">
            <v>50800496630</v>
          </cell>
          <cell r="B723" t="str">
            <v>ZMFD</v>
          </cell>
          <cell r="C723">
            <v>45385</v>
          </cell>
          <cell r="D723" t="str">
            <v>Not delivered</v>
          </cell>
          <cell r="E723">
            <v>508004966</v>
          </cell>
          <cell r="F723">
            <v>30</v>
          </cell>
          <cell r="G723">
            <v>1388326</v>
          </cell>
          <cell r="H723" t="str">
            <v>CM-253:CV BS MTPEACH P/C.BLSH RV1 PTI40H</v>
          </cell>
          <cell r="I723">
            <v>15000</v>
          </cell>
          <cell r="J723" t="str">
            <v>UN</v>
          </cell>
          <cell r="K723">
            <v>45601</v>
          </cell>
        </row>
        <row r="724">
          <cell r="A724" t="str">
            <v>50714276570</v>
          </cell>
          <cell r="B724" t="str">
            <v>ZMTD</v>
          </cell>
          <cell r="C724">
            <v>45552</v>
          </cell>
          <cell r="D724" t="str">
            <v>Not delivered</v>
          </cell>
          <cell r="E724">
            <v>507142765</v>
          </cell>
          <cell r="F724">
            <v>70</v>
          </cell>
          <cell r="G724">
            <v>1398383</v>
          </cell>
          <cell r="H724" t="str">
            <v>CM-319:WHITE P/BLACK UV MATTE NARS</v>
          </cell>
          <cell r="I724">
            <v>40080</v>
          </cell>
          <cell r="J724" t="str">
            <v>UN</v>
          </cell>
          <cell r="K724">
            <v>45602</v>
          </cell>
        </row>
        <row r="725">
          <cell r="A725" t="str">
            <v>50800525130</v>
          </cell>
          <cell r="B725" t="str">
            <v>ZMFD</v>
          </cell>
          <cell r="C725">
            <v>45511</v>
          </cell>
          <cell r="D725" t="str">
            <v>Not delivered</v>
          </cell>
          <cell r="E725">
            <v>508005251</v>
          </cell>
          <cell r="F725">
            <v>30</v>
          </cell>
          <cell r="G725">
            <v>1168132</v>
          </cell>
          <cell r="H725" t="str">
            <v>LS-285:BS WHT NO DC WARDAH</v>
          </cell>
          <cell r="I725">
            <v>100000</v>
          </cell>
          <cell r="J725" t="str">
            <v>UN</v>
          </cell>
          <cell r="K725">
            <v>45602</v>
          </cell>
        </row>
        <row r="726">
          <cell r="A726" t="str">
            <v>50800525140</v>
          </cell>
          <cell r="B726" t="str">
            <v>ZMFD</v>
          </cell>
          <cell r="C726">
            <v>45511</v>
          </cell>
          <cell r="D726" t="str">
            <v>Not delivered</v>
          </cell>
          <cell r="E726">
            <v>508005251</v>
          </cell>
          <cell r="F726">
            <v>40</v>
          </cell>
          <cell r="G726">
            <v>1421510</v>
          </cell>
          <cell r="H726" t="str">
            <v>LS-285:CV PINK P/WHT UV P.BLOSOM PTI 30O</v>
          </cell>
          <cell r="I726">
            <v>100000</v>
          </cell>
          <cell r="J726" t="str">
            <v>UN</v>
          </cell>
          <cell r="K726">
            <v>45602</v>
          </cell>
        </row>
        <row r="727">
          <cell r="A727" t="str">
            <v>50714261210</v>
          </cell>
          <cell r="B727" t="str">
            <v>ZMTD</v>
          </cell>
          <cell r="C727">
            <v>45510</v>
          </cell>
          <cell r="D727" t="str">
            <v>Not delivered</v>
          </cell>
          <cell r="E727">
            <v>507142612</v>
          </cell>
          <cell r="F727">
            <v>10</v>
          </cell>
          <cell r="G727">
            <v>1436641</v>
          </cell>
          <cell r="H727" t="str">
            <v>CM-310:BLUE UV S/SILVER DIOR PEPSPE+IXPE</v>
          </cell>
          <cell r="I727">
            <v>64800</v>
          </cell>
          <cell r="J727" t="str">
            <v>UN</v>
          </cell>
          <cell r="K727">
            <v>45602</v>
          </cell>
        </row>
        <row r="728">
          <cell r="A728" t="str">
            <v>50800524310</v>
          </cell>
          <cell r="B728" t="str">
            <v>ZMFD</v>
          </cell>
          <cell r="C728">
            <v>45510</v>
          </cell>
          <cell r="D728" t="str">
            <v>Not delivered</v>
          </cell>
          <cell r="E728">
            <v>508005243</v>
          </cell>
          <cell r="F728">
            <v>10</v>
          </cell>
          <cell r="G728">
            <v>1285116</v>
          </cell>
          <cell r="H728" t="str">
            <v>CM-292:CV/BS MTBLK LENS S/SLV MO PTI 40C</v>
          </cell>
          <cell r="I728">
            <v>100000</v>
          </cell>
          <cell r="J728" t="str">
            <v>UN</v>
          </cell>
          <cell r="K728">
            <v>45602</v>
          </cell>
        </row>
        <row r="729">
          <cell r="A729" t="str">
            <v>50800519450</v>
          </cell>
          <cell r="B729" t="str">
            <v>ZMFD</v>
          </cell>
          <cell r="C729">
            <v>45497</v>
          </cell>
          <cell r="D729" t="str">
            <v>Not delivered</v>
          </cell>
          <cell r="E729">
            <v>508005194</v>
          </cell>
          <cell r="F729">
            <v>50</v>
          </cell>
          <cell r="G729">
            <v>1385814</v>
          </cell>
          <cell r="H729" t="str">
            <v>LC-012:CAP VM BRWN WIP GLASTING PTI 20F</v>
          </cell>
          <cell r="I729">
            <v>25000</v>
          </cell>
          <cell r="J729" t="str">
            <v>UN</v>
          </cell>
          <cell r="K729">
            <v>45602</v>
          </cell>
        </row>
        <row r="730">
          <cell r="A730" t="str">
            <v>50800519460</v>
          </cell>
          <cell r="B730" t="str">
            <v>ZMFD</v>
          </cell>
          <cell r="C730">
            <v>45497</v>
          </cell>
          <cell r="D730" t="str">
            <v>Not delivered</v>
          </cell>
          <cell r="E730">
            <v>508005194</v>
          </cell>
          <cell r="F730">
            <v>60</v>
          </cell>
          <cell r="G730">
            <v>1406580</v>
          </cell>
          <cell r="H730" t="str">
            <v>LC-012:BTL VR09 P/GLASTNG PTI60B</v>
          </cell>
          <cell r="I730">
            <v>25000</v>
          </cell>
          <cell r="J730" t="str">
            <v>UN</v>
          </cell>
          <cell r="K730">
            <v>45602</v>
          </cell>
        </row>
        <row r="731">
          <cell r="A731" t="str">
            <v>50800519710</v>
          </cell>
          <cell r="B731" t="str">
            <v>ZMFD</v>
          </cell>
          <cell r="C731">
            <v>45497</v>
          </cell>
          <cell r="D731" t="str">
            <v>Not delivered</v>
          </cell>
          <cell r="E731">
            <v>508005197</v>
          </cell>
          <cell r="F731">
            <v>10</v>
          </cell>
          <cell r="G731">
            <v>1385811</v>
          </cell>
          <cell r="H731" t="str">
            <v>LC-012:BTL VR4 ROSEWOOD P/GLASTNG PTI60B</v>
          </cell>
          <cell r="I731">
            <v>25000</v>
          </cell>
          <cell r="J731" t="str">
            <v>UN</v>
          </cell>
          <cell r="K731">
            <v>45602</v>
          </cell>
        </row>
        <row r="732">
          <cell r="A732" t="str">
            <v>50800519720</v>
          </cell>
          <cell r="B732" t="str">
            <v>ZMFD</v>
          </cell>
          <cell r="C732">
            <v>45497</v>
          </cell>
          <cell r="D732" t="str">
            <v>Not delivered</v>
          </cell>
          <cell r="E732">
            <v>508005197</v>
          </cell>
          <cell r="F732">
            <v>20</v>
          </cell>
          <cell r="G732">
            <v>1385814</v>
          </cell>
          <cell r="H732" t="str">
            <v>LC-012:CAP VM BRWN WIP GLASTING PTI 20F</v>
          </cell>
          <cell r="I732">
            <v>25000</v>
          </cell>
          <cell r="J732" t="str">
            <v>UN</v>
          </cell>
          <cell r="K732">
            <v>45602</v>
          </cell>
        </row>
        <row r="733">
          <cell r="A733" t="str">
            <v>50800520010</v>
          </cell>
          <cell r="B733" t="str">
            <v>ZMFD</v>
          </cell>
          <cell r="C733">
            <v>45497</v>
          </cell>
          <cell r="D733" t="str">
            <v>Not delivered</v>
          </cell>
          <cell r="E733">
            <v>508005200</v>
          </cell>
          <cell r="F733">
            <v>10</v>
          </cell>
          <cell r="G733">
            <v>1405278</v>
          </cell>
          <cell r="H733" t="str">
            <v>LC-012:BTL VR07 P/GLASTNG PTI60B</v>
          </cell>
          <cell r="I733">
            <v>25000</v>
          </cell>
          <cell r="J733" t="str">
            <v>UN</v>
          </cell>
          <cell r="K733">
            <v>45602</v>
          </cell>
        </row>
        <row r="734">
          <cell r="A734" t="str">
            <v>50800520020</v>
          </cell>
          <cell r="B734" t="str">
            <v>ZMFD</v>
          </cell>
          <cell r="C734">
            <v>45497</v>
          </cell>
          <cell r="D734" t="str">
            <v>Not delivered</v>
          </cell>
          <cell r="E734">
            <v>508005200</v>
          </cell>
          <cell r="F734">
            <v>20</v>
          </cell>
          <cell r="G734">
            <v>1385814</v>
          </cell>
          <cell r="H734" t="str">
            <v>LC-012:CAP VM BRWN WIP GLASTING PTI 20F</v>
          </cell>
          <cell r="I734">
            <v>25000</v>
          </cell>
          <cell r="J734" t="str">
            <v>UN</v>
          </cell>
          <cell r="K734">
            <v>45602</v>
          </cell>
        </row>
        <row r="735">
          <cell r="A735" t="str">
            <v>50800517440</v>
          </cell>
          <cell r="B735" t="str">
            <v>ZMFD</v>
          </cell>
          <cell r="C735">
            <v>45481</v>
          </cell>
          <cell r="D735" t="str">
            <v>Not delivered</v>
          </cell>
          <cell r="E735">
            <v>508005174</v>
          </cell>
          <cell r="F735">
            <v>40</v>
          </cell>
          <cell r="G735">
            <v>1206787</v>
          </cell>
          <cell r="H735" t="str">
            <v>CP-090:CAP TONER VM SLV NO EMBOS PTI20F</v>
          </cell>
          <cell r="I735">
            <v>20000</v>
          </cell>
          <cell r="J735" t="str">
            <v>UN</v>
          </cell>
          <cell r="K735">
            <v>45602</v>
          </cell>
        </row>
        <row r="736">
          <cell r="A736" t="str">
            <v>50800515940</v>
          </cell>
          <cell r="B736" t="str">
            <v>ZMFD</v>
          </cell>
          <cell r="C736">
            <v>45475</v>
          </cell>
          <cell r="D736" t="str">
            <v>Not delivered</v>
          </cell>
          <cell r="E736">
            <v>508005159</v>
          </cell>
          <cell r="F736">
            <v>40</v>
          </cell>
          <cell r="G736">
            <v>1285116</v>
          </cell>
          <cell r="H736" t="str">
            <v>CM-292:CV/BS MTBLK LENS S/SLV MO PTI 40C</v>
          </cell>
          <cell r="I736">
            <v>100000</v>
          </cell>
          <cell r="J736" t="str">
            <v>UN</v>
          </cell>
          <cell r="K736">
            <v>45602</v>
          </cell>
        </row>
        <row r="737">
          <cell r="A737" t="str">
            <v>50800515410</v>
          </cell>
          <cell r="B737" t="str">
            <v>ZMFD</v>
          </cell>
          <cell r="C737">
            <v>45470</v>
          </cell>
          <cell r="D737" t="str">
            <v>Not delivered</v>
          </cell>
          <cell r="E737">
            <v>508005154</v>
          </cell>
          <cell r="F737">
            <v>10</v>
          </cell>
          <cell r="G737">
            <v>1388034</v>
          </cell>
          <cell r="H737" t="str">
            <v>CM-253:CV BS MTCORL P/C.BLSH RV1 PTI40H</v>
          </cell>
          <cell r="I737">
            <v>30000</v>
          </cell>
          <cell r="J737" t="str">
            <v>UN</v>
          </cell>
          <cell r="K737">
            <v>45602</v>
          </cell>
        </row>
        <row r="738">
          <cell r="A738" t="str">
            <v>50800515510</v>
          </cell>
          <cell r="B738" t="str">
            <v>ZMFD</v>
          </cell>
          <cell r="C738">
            <v>45470</v>
          </cell>
          <cell r="D738" t="str">
            <v>Not delivered</v>
          </cell>
          <cell r="E738">
            <v>508005155</v>
          </cell>
          <cell r="F738">
            <v>10</v>
          </cell>
          <cell r="G738">
            <v>1388036</v>
          </cell>
          <cell r="H738" t="str">
            <v>CM-253:CV BS MTMAUVE P/C.BLSH RV1 PTI40H</v>
          </cell>
          <cell r="I738">
            <v>30000</v>
          </cell>
          <cell r="J738" t="str">
            <v>UN</v>
          </cell>
          <cell r="K738">
            <v>45602</v>
          </cell>
        </row>
        <row r="739">
          <cell r="A739" t="str">
            <v>50800514130</v>
          </cell>
          <cell r="B739" t="str">
            <v>ZMFD</v>
          </cell>
          <cell r="C739">
            <v>45463</v>
          </cell>
          <cell r="D739" t="str">
            <v>Not delivered</v>
          </cell>
          <cell r="E739">
            <v>508005141</v>
          </cell>
          <cell r="F739">
            <v>30</v>
          </cell>
          <cell r="G739">
            <v>1340516</v>
          </cell>
          <cell r="H739" t="str">
            <v>CM-133:CVR BS MTLC GRN UV DP S/WARDH 30T</v>
          </cell>
          <cell r="I739">
            <v>30240</v>
          </cell>
          <cell r="J739" t="str">
            <v>UN</v>
          </cell>
          <cell r="K739">
            <v>45602</v>
          </cell>
        </row>
        <row r="740">
          <cell r="A740" t="str">
            <v>50800506610</v>
          </cell>
          <cell r="B740" t="str">
            <v>ZMFD</v>
          </cell>
          <cell r="C740">
            <v>45433</v>
          </cell>
          <cell r="D740" t="str">
            <v>Not delivered</v>
          </cell>
          <cell r="E740">
            <v>508005066</v>
          </cell>
          <cell r="F740">
            <v>10</v>
          </cell>
          <cell r="G740">
            <v>1276491</v>
          </cell>
          <cell r="H740" t="str">
            <v>CM-105:CV VM RSGLD BS MT P/INSTA PTI 20X</v>
          </cell>
          <cell r="I740">
            <v>25200</v>
          </cell>
          <cell r="J740" t="str">
            <v>UN</v>
          </cell>
          <cell r="K740">
            <v>45602</v>
          </cell>
        </row>
        <row r="741">
          <cell r="A741" t="str">
            <v>50714274110</v>
          </cell>
          <cell r="B741" t="str">
            <v>ZMTD</v>
          </cell>
          <cell r="C741">
            <v>45544</v>
          </cell>
          <cell r="D741" t="str">
            <v>Not delivered</v>
          </cell>
          <cell r="E741">
            <v>507142741</v>
          </cell>
          <cell r="F741">
            <v>10</v>
          </cell>
          <cell r="G741">
            <v>1323605</v>
          </cell>
          <cell r="H741" t="str">
            <v>CM-040:MT BLK S/LTPROBRNZE 8HL RMBKA 40I</v>
          </cell>
          <cell r="I741">
            <v>5000</v>
          </cell>
          <cell r="J741" t="str">
            <v>UN</v>
          </cell>
          <cell r="K741">
            <v>45603</v>
          </cell>
        </row>
        <row r="742">
          <cell r="A742" t="str">
            <v>50714266510</v>
          </cell>
          <cell r="B742" t="str">
            <v>ZMTD</v>
          </cell>
          <cell r="C742">
            <v>45525</v>
          </cell>
          <cell r="D742" t="str">
            <v>Not delivered</v>
          </cell>
          <cell r="E742">
            <v>507142665</v>
          </cell>
          <cell r="F742">
            <v>10</v>
          </cell>
          <cell r="G742">
            <v>1218707</v>
          </cell>
          <cell r="H742" t="str">
            <v>LS-086:BS L.BEIGE NODC N.CUP MAYB BULK</v>
          </cell>
          <cell r="I742">
            <v>30000</v>
          </cell>
          <cell r="J742" t="str">
            <v>UN</v>
          </cell>
          <cell r="K742">
            <v>45603</v>
          </cell>
        </row>
        <row r="743">
          <cell r="A743" t="str">
            <v>50714266610</v>
          </cell>
          <cell r="B743" t="str">
            <v>ZMTD</v>
          </cell>
          <cell r="C743">
            <v>45525</v>
          </cell>
          <cell r="D743" t="str">
            <v>Not delivered</v>
          </cell>
          <cell r="E743">
            <v>507142666</v>
          </cell>
          <cell r="F743">
            <v>10</v>
          </cell>
          <cell r="G743">
            <v>1218709</v>
          </cell>
          <cell r="H743" t="str">
            <v>LS-086:CVR CLR CVRSTICK DC4 N.MOLD MAYB</v>
          </cell>
          <cell r="I743">
            <v>69120</v>
          </cell>
          <cell r="J743" t="str">
            <v>UN</v>
          </cell>
          <cell r="K743">
            <v>45603</v>
          </cell>
        </row>
        <row r="744">
          <cell r="A744" t="str">
            <v>50714266810</v>
          </cell>
          <cell r="B744" t="str">
            <v>ZMTD</v>
          </cell>
          <cell r="C744">
            <v>45525</v>
          </cell>
          <cell r="D744" t="str">
            <v>Not delivered</v>
          </cell>
          <cell r="E744">
            <v>507142668</v>
          </cell>
          <cell r="F744">
            <v>10</v>
          </cell>
          <cell r="G744">
            <v>1256831</v>
          </cell>
          <cell r="H744" t="str">
            <v>LS-086:BS M.BEIGE NODC N.CUP MAYB BULK</v>
          </cell>
          <cell r="I744">
            <v>30000</v>
          </cell>
          <cell r="J744" t="str">
            <v>UN</v>
          </cell>
          <cell r="K744">
            <v>45603</v>
          </cell>
        </row>
        <row r="745">
          <cell r="A745" t="str">
            <v>50714254420</v>
          </cell>
          <cell r="B745" t="str">
            <v>ZMTD</v>
          </cell>
          <cell r="C745">
            <v>45491</v>
          </cell>
          <cell r="D745" t="str">
            <v>Not delivered</v>
          </cell>
          <cell r="E745">
            <v>507142544</v>
          </cell>
          <cell r="F745">
            <v>20</v>
          </cell>
          <cell r="G745">
            <v>1319857</v>
          </cell>
          <cell r="H745" t="str">
            <v>CM-296:WHT P/L.AGELES W/O HOLE COTY EPS</v>
          </cell>
          <cell r="I745">
            <v>72000</v>
          </cell>
          <cell r="J745" t="str">
            <v>UN</v>
          </cell>
          <cell r="K745">
            <v>45603</v>
          </cell>
        </row>
        <row r="746">
          <cell r="A746" t="str">
            <v>50800518120</v>
          </cell>
          <cell r="B746" t="str">
            <v>ZMFD</v>
          </cell>
          <cell r="C746">
            <v>45485</v>
          </cell>
          <cell r="D746" t="str">
            <v>Not delivered</v>
          </cell>
          <cell r="E746">
            <v>508005181</v>
          </cell>
          <cell r="F746">
            <v>20</v>
          </cell>
          <cell r="G746">
            <v>1413967</v>
          </cell>
          <cell r="H746" t="str">
            <v>CM-323:VM SILVER DIOR JUMBO M080</v>
          </cell>
          <cell r="I746">
            <v>18000</v>
          </cell>
          <cell r="J746" t="str">
            <v>UN</v>
          </cell>
          <cell r="K746">
            <v>45603</v>
          </cell>
        </row>
        <row r="747">
          <cell r="A747" t="str">
            <v>50800509420</v>
          </cell>
          <cell r="B747" t="str">
            <v>ZMFD</v>
          </cell>
          <cell r="C747">
            <v>45449</v>
          </cell>
          <cell r="D747" t="str">
            <v>Not delivered</v>
          </cell>
          <cell r="E747">
            <v>508005094</v>
          </cell>
          <cell r="F747">
            <v>20</v>
          </cell>
          <cell r="G747">
            <v>1388946</v>
          </cell>
          <cell r="H747" t="str">
            <v>CM-294:GODET PINK KISS G0S4-02-0092</v>
          </cell>
          <cell r="I747">
            <v>10472</v>
          </cell>
          <cell r="J747" t="str">
            <v>UN</v>
          </cell>
          <cell r="K747">
            <v>45603</v>
          </cell>
        </row>
        <row r="748">
          <cell r="A748" t="str">
            <v>50800509620</v>
          </cell>
          <cell r="B748" t="str">
            <v>ZMFD</v>
          </cell>
          <cell r="C748">
            <v>45449</v>
          </cell>
          <cell r="D748" t="str">
            <v>Not delivered</v>
          </cell>
          <cell r="E748">
            <v>508005096</v>
          </cell>
          <cell r="F748">
            <v>20</v>
          </cell>
          <cell r="G748">
            <v>1389067</v>
          </cell>
          <cell r="H748" t="str">
            <v>CM-294:GODET MAGNETIC GLOW G0S4-04-0092</v>
          </cell>
          <cell r="I748">
            <v>10472</v>
          </cell>
          <cell r="J748" t="str">
            <v>UN</v>
          </cell>
          <cell r="K748">
            <v>45603</v>
          </cell>
        </row>
        <row r="749">
          <cell r="A749" t="str">
            <v>50800509820</v>
          </cell>
          <cell r="B749" t="str">
            <v>ZMFD</v>
          </cell>
          <cell r="C749">
            <v>45449</v>
          </cell>
          <cell r="D749" t="str">
            <v>Not delivered</v>
          </cell>
          <cell r="E749">
            <v>508005098</v>
          </cell>
          <cell r="F749">
            <v>20</v>
          </cell>
          <cell r="G749">
            <v>1390352</v>
          </cell>
          <cell r="H749" t="str">
            <v>CM-294:GODET SENSOUSE ROSE G0S4-06-0092</v>
          </cell>
          <cell r="I749">
            <v>10472</v>
          </cell>
          <cell r="J749" t="str">
            <v>UN</v>
          </cell>
          <cell r="K749">
            <v>45603</v>
          </cell>
        </row>
        <row r="750">
          <cell r="A750" t="str">
            <v>50800525710</v>
          </cell>
          <cell r="B750" t="str">
            <v>ZMFD</v>
          </cell>
          <cell r="C750">
            <v>45518</v>
          </cell>
          <cell r="D750" t="str">
            <v>Not delivered</v>
          </cell>
          <cell r="E750">
            <v>508005257</v>
          </cell>
          <cell r="F750">
            <v>10</v>
          </cell>
          <cell r="G750">
            <v>1409881</v>
          </cell>
          <cell r="H750" t="str">
            <v>CM-315:CVR/BS BLACK P/CVRLAST OMG RV160B</v>
          </cell>
          <cell r="I750">
            <v>100000</v>
          </cell>
          <cell r="J750" t="str">
            <v>UN</v>
          </cell>
          <cell r="K750">
            <v>45604</v>
          </cell>
        </row>
        <row r="751">
          <cell r="A751" t="str">
            <v>50800517510</v>
          </cell>
          <cell r="B751" t="str">
            <v>ZMFD</v>
          </cell>
          <cell r="C751">
            <v>45481</v>
          </cell>
          <cell r="D751" t="str">
            <v>Not delivered</v>
          </cell>
          <cell r="E751">
            <v>508005175</v>
          </cell>
          <cell r="F751">
            <v>10</v>
          </cell>
          <cell r="G751">
            <v>1255657</v>
          </cell>
          <cell r="H751" t="str">
            <v>LC-002:BTL MT VAR7 P/WRDH B.MARK PTI40H</v>
          </cell>
          <cell r="I751">
            <v>17000</v>
          </cell>
          <cell r="J751" t="str">
            <v>UN</v>
          </cell>
          <cell r="K751">
            <v>45604</v>
          </cell>
        </row>
        <row r="752">
          <cell r="A752" t="str">
            <v>50800517520</v>
          </cell>
          <cell r="B752" t="str">
            <v>ZMFD</v>
          </cell>
          <cell r="C752">
            <v>45481</v>
          </cell>
          <cell r="D752" t="str">
            <v>Not delivered</v>
          </cell>
          <cell r="E752">
            <v>508005175</v>
          </cell>
          <cell r="F752">
            <v>20</v>
          </cell>
          <cell r="G752">
            <v>1264019</v>
          </cell>
          <cell r="H752" t="str">
            <v>LC-002:CAP S/MTVAR7 STM-WHT WPNAT PTI40D</v>
          </cell>
          <cell r="I752">
            <v>17000</v>
          </cell>
          <cell r="J752" t="str">
            <v>UN</v>
          </cell>
          <cell r="K752">
            <v>45604</v>
          </cell>
        </row>
        <row r="753">
          <cell r="A753" t="str">
            <v>50800517570</v>
          </cell>
          <cell r="B753" t="str">
            <v>ZMFD</v>
          </cell>
          <cell r="C753">
            <v>45481</v>
          </cell>
          <cell r="D753" t="str">
            <v>Not delivered</v>
          </cell>
          <cell r="E753">
            <v>508005175</v>
          </cell>
          <cell r="F753">
            <v>70</v>
          </cell>
          <cell r="G753">
            <v>1255657</v>
          </cell>
          <cell r="H753" t="str">
            <v>LC-002:BTL MT VAR7 P/WRDH B.MARK PTI40H</v>
          </cell>
          <cell r="I753">
            <v>8000</v>
          </cell>
          <cell r="J753" t="str">
            <v>UN</v>
          </cell>
          <cell r="K753">
            <v>45604</v>
          </cell>
        </row>
        <row r="754">
          <cell r="A754" t="str">
            <v>50800517580</v>
          </cell>
          <cell r="B754" t="str">
            <v>ZMFD</v>
          </cell>
          <cell r="C754">
            <v>45481</v>
          </cell>
          <cell r="D754" t="str">
            <v>Not delivered</v>
          </cell>
          <cell r="E754">
            <v>508005175</v>
          </cell>
          <cell r="F754">
            <v>80</v>
          </cell>
          <cell r="G754">
            <v>1264019</v>
          </cell>
          <cell r="H754" t="str">
            <v>LC-002:CAP S/MTVAR7 STM-WHT WPNAT PTI40D</v>
          </cell>
          <cell r="I754">
            <v>8000</v>
          </cell>
          <cell r="J754" t="str">
            <v>UN</v>
          </cell>
          <cell r="K754">
            <v>45604</v>
          </cell>
        </row>
        <row r="755">
          <cell r="A755" t="str">
            <v>50800515580</v>
          </cell>
          <cell r="B755" t="str">
            <v>ZMFD</v>
          </cell>
          <cell r="C755">
            <v>45470</v>
          </cell>
          <cell r="D755" t="str">
            <v>Not delivered</v>
          </cell>
          <cell r="E755">
            <v>508005155</v>
          </cell>
          <cell r="F755">
            <v>80</v>
          </cell>
          <cell r="G755">
            <v>1420925</v>
          </cell>
          <cell r="H755" t="str">
            <v>CM-253:CV BS MT ROSE 04 P/C.BLSH PTI40H</v>
          </cell>
          <cell r="I755">
            <v>15000</v>
          </cell>
          <cell r="J755" t="str">
            <v>UN</v>
          </cell>
          <cell r="K755">
            <v>45604</v>
          </cell>
        </row>
        <row r="756">
          <cell r="A756" t="str">
            <v>50800507370</v>
          </cell>
          <cell r="B756" t="str">
            <v>ZMFD</v>
          </cell>
          <cell r="C756">
            <v>45433</v>
          </cell>
          <cell r="D756" t="str">
            <v>Not delivered</v>
          </cell>
          <cell r="E756">
            <v>508005073</v>
          </cell>
          <cell r="F756">
            <v>70</v>
          </cell>
          <cell r="G756">
            <v>1169047</v>
          </cell>
          <cell r="H756" t="str">
            <v>LS-285:B V/SL P/1PS SLEV H/SL BLM PTI20R</v>
          </cell>
          <cell r="I756">
            <v>25536</v>
          </cell>
          <cell r="J756" t="str">
            <v>UN</v>
          </cell>
          <cell r="K756">
            <v>45604</v>
          </cell>
        </row>
        <row r="757">
          <cell r="A757" t="str">
            <v>50800507380</v>
          </cell>
          <cell r="B757" t="str">
            <v>ZMFD</v>
          </cell>
          <cell r="C757">
            <v>45433</v>
          </cell>
          <cell r="D757" t="str">
            <v>Not delivered</v>
          </cell>
          <cell r="E757">
            <v>508005073</v>
          </cell>
          <cell r="F757">
            <v>80</v>
          </cell>
          <cell r="G757">
            <v>1171160</v>
          </cell>
          <cell r="H757" t="str">
            <v>LS-285:CV TRANS LONG 9 P/1PS VAR7 PTI40H</v>
          </cell>
          <cell r="I757">
            <v>25536</v>
          </cell>
          <cell r="J757" t="str">
            <v>UN</v>
          </cell>
          <cell r="K757">
            <v>45604</v>
          </cell>
        </row>
        <row r="758">
          <cell r="A758" t="str">
            <v>50800507710</v>
          </cell>
          <cell r="B758" t="str">
            <v>ZMFD</v>
          </cell>
          <cell r="C758">
            <v>45433</v>
          </cell>
          <cell r="D758" t="str">
            <v>Not delivered</v>
          </cell>
          <cell r="E758">
            <v>508005077</v>
          </cell>
          <cell r="F758">
            <v>10</v>
          </cell>
          <cell r="G758">
            <v>1153319</v>
          </cell>
          <cell r="H758" t="str">
            <v>LS-285:BS/SPRL BEIGE P/WRDH PTI 40H</v>
          </cell>
          <cell r="I758">
            <v>25536</v>
          </cell>
          <cell r="J758" t="str">
            <v>UN</v>
          </cell>
          <cell r="K758">
            <v>45604</v>
          </cell>
        </row>
        <row r="759">
          <cell r="A759" t="str">
            <v>50800507720</v>
          </cell>
          <cell r="B759" t="str">
            <v>ZMFD</v>
          </cell>
          <cell r="C759">
            <v>45433</v>
          </cell>
          <cell r="D759" t="str">
            <v>Not delivered</v>
          </cell>
          <cell r="E759">
            <v>508005077</v>
          </cell>
          <cell r="F759">
            <v>20</v>
          </cell>
          <cell r="G759">
            <v>1153467</v>
          </cell>
          <cell r="H759" t="str">
            <v>LS-285:CVR MT BEIGE P/S.SEOUL PTI40H</v>
          </cell>
          <cell r="I759">
            <v>25536</v>
          </cell>
          <cell r="J759" t="str">
            <v>UN</v>
          </cell>
          <cell r="K759">
            <v>45604</v>
          </cell>
        </row>
        <row r="760">
          <cell r="A760" t="str">
            <v>50714277730</v>
          </cell>
          <cell r="B760" t="str">
            <v>ZMTD</v>
          </cell>
          <cell r="C760">
            <v>45554</v>
          </cell>
          <cell r="D760" t="str">
            <v>Not delivered</v>
          </cell>
          <cell r="E760">
            <v>507142777</v>
          </cell>
          <cell r="F760">
            <v>30</v>
          </cell>
          <cell r="G760">
            <v>1435311</v>
          </cell>
          <cell r="H760" t="str">
            <v>LC-002:BTL/COL MTGRAD SLV AZURA LION 40D</v>
          </cell>
          <cell r="I760">
            <v>50589</v>
          </cell>
          <cell r="J760" t="str">
            <v>UN</v>
          </cell>
          <cell r="K760">
            <v>45605</v>
          </cell>
        </row>
        <row r="761">
          <cell r="A761" t="str">
            <v>50714277740</v>
          </cell>
          <cell r="B761" t="str">
            <v>ZMTD</v>
          </cell>
          <cell r="C761">
            <v>45554</v>
          </cell>
          <cell r="D761" t="str">
            <v>Not delivered</v>
          </cell>
          <cell r="E761">
            <v>507142777</v>
          </cell>
          <cell r="F761">
            <v>40</v>
          </cell>
          <cell r="G761">
            <v>1435313</v>
          </cell>
          <cell r="H761" t="str">
            <v>LC-002:CAP MTSLV WIPNAT S/AZURA LION 40C</v>
          </cell>
          <cell r="I761">
            <v>50589</v>
          </cell>
          <cell r="J761" t="str">
            <v>UN</v>
          </cell>
          <cell r="K761">
            <v>45605</v>
          </cell>
        </row>
        <row r="762">
          <cell r="A762" t="str">
            <v>50714243330</v>
          </cell>
          <cell r="B762" t="str">
            <v>ZMTD</v>
          </cell>
          <cell r="C762">
            <v>45475</v>
          </cell>
          <cell r="D762" t="str">
            <v>Not delivered</v>
          </cell>
          <cell r="E762">
            <v>507142433</v>
          </cell>
          <cell r="F762">
            <v>30</v>
          </cell>
          <cell r="G762">
            <v>1406600</v>
          </cell>
          <cell r="H762" t="str">
            <v>CM-310:BLACK M086 CANNAGE S/SLV UV MT</v>
          </cell>
          <cell r="I762">
            <v>39000</v>
          </cell>
          <cell r="J762" t="str">
            <v>UN</v>
          </cell>
          <cell r="K762">
            <v>45607</v>
          </cell>
        </row>
        <row r="763">
          <cell r="A763" t="str">
            <v>50800493060</v>
          </cell>
          <cell r="B763" t="str">
            <v>ZMFD</v>
          </cell>
          <cell r="C763">
            <v>45364</v>
          </cell>
          <cell r="D763" t="str">
            <v>Not delivered</v>
          </cell>
          <cell r="E763">
            <v>508004930</v>
          </cell>
          <cell r="F763">
            <v>60</v>
          </cell>
          <cell r="G763">
            <v>1159912</v>
          </cell>
          <cell r="H763" t="str">
            <v>CP-064:CAP 25 SCREW BLK MT L'OREAL</v>
          </cell>
          <cell r="I763">
            <v>150000</v>
          </cell>
          <cell r="J763" t="str">
            <v>UN</v>
          </cell>
          <cell r="K763">
            <v>45607</v>
          </cell>
        </row>
        <row r="764">
          <cell r="A764" t="str">
            <v>50800493440</v>
          </cell>
          <cell r="B764" t="str">
            <v>ZMFD</v>
          </cell>
          <cell r="C764">
            <v>45364</v>
          </cell>
          <cell r="D764" t="str">
            <v>Not delivered</v>
          </cell>
          <cell r="E764">
            <v>508004934</v>
          </cell>
          <cell r="F764">
            <v>40</v>
          </cell>
          <cell r="G764">
            <v>1378563</v>
          </cell>
          <cell r="H764" t="str">
            <v>CP-093:CAP D50 MT BLACK Ø.5 YASULOR 12A</v>
          </cell>
          <cell r="I764">
            <v>500000</v>
          </cell>
          <cell r="J764" t="str">
            <v>UN</v>
          </cell>
          <cell r="K764">
            <v>45607</v>
          </cell>
        </row>
        <row r="765">
          <cell r="A765" t="str">
            <v>50800525250</v>
          </cell>
          <cell r="B765" t="str">
            <v>ZMFD</v>
          </cell>
          <cell r="C765">
            <v>45512</v>
          </cell>
          <cell r="D765" t="str">
            <v>Not delivered</v>
          </cell>
          <cell r="E765">
            <v>508005252</v>
          </cell>
          <cell r="F765">
            <v>50</v>
          </cell>
          <cell r="G765">
            <v>1382368</v>
          </cell>
          <cell r="H765" t="str">
            <v>CP-067R:FT CAP35 SNAP BLK MATTE  Ø5 LRL</v>
          </cell>
          <cell r="I765">
            <v>461000</v>
          </cell>
          <cell r="J765" t="str">
            <v>UN</v>
          </cell>
          <cell r="K765">
            <v>45608</v>
          </cell>
        </row>
        <row r="766">
          <cell r="A766" t="str">
            <v>50800524510</v>
          </cell>
          <cell r="B766" t="str">
            <v>ZMFD</v>
          </cell>
          <cell r="C766">
            <v>45510</v>
          </cell>
          <cell r="D766" t="str">
            <v>Not delivered</v>
          </cell>
          <cell r="E766">
            <v>508005245</v>
          </cell>
          <cell r="F766">
            <v>10</v>
          </cell>
          <cell r="G766">
            <v>1340516</v>
          </cell>
          <cell r="H766" t="str">
            <v>CM-133:CVR BS MTLC GRN UV DP S/WARDH 30T</v>
          </cell>
          <cell r="I766">
            <v>10080</v>
          </cell>
          <cell r="J766" t="str">
            <v>UN</v>
          </cell>
          <cell r="K766">
            <v>45608</v>
          </cell>
        </row>
        <row r="767">
          <cell r="A767" t="str">
            <v>50800520230</v>
          </cell>
          <cell r="B767" t="str">
            <v>ZMFD</v>
          </cell>
          <cell r="C767">
            <v>45497</v>
          </cell>
          <cell r="D767" t="str">
            <v>Not delivered</v>
          </cell>
          <cell r="E767">
            <v>508005202</v>
          </cell>
          <cell r="F767">
            <v>30</v>
          </cell>
          <cell r="G767">
            <v>1405884</v>
          </cell>
          <cell r="H767" t="str">
            <v>LC-012:BTL VR10 P/GLASTNG PTI60B</v>
          </cell>
          <cell r="I767">
            <v>25000</v>
          </cell>
          <cell r="J767" t="str">
            <v>UN</v>
          </cell>
          <cell r="K767">
            <v>45608</v>
          </cell>
        </row>
        <row r="768">
          <cell r="A768" t="str">
            <v>50800520240</v>
          </cell>
          <cell r="B768" t="str">
            <v>ZMFD</v>
          </cell>
          <cell r="C768">
            <v>45497</v>
          </cell>
          <cell r="D768" t="str">
            <v>Not delivered</v>
          </cell>
          <cell r="E768">
            <v>508005202</v>
          </cell>
          <cell r="F768">
            <v>40</v>
          </cell>
          <cell r="G768">
            <v>1385814</v>
          </cell>
          <cell r="H768" t="str">
            <v>LC-012:CAP VM BRWN WIP GLASTING PTI 20F</v>
          </cell>
          <cell r="I768">
            <v>25000</v>
          </cell>
          <cell r="J768" t="str">
            <v>UN</v>
          </cell>
          <cell r="K768">
            <v>45608</v>
          </cell>
        </row>
        <row r="769">
          <cell r="A769" t="str">
            <v>50714246530</v>
          </cell>
          <cell r="B769" t="str">
            <v>ZMTD</v>
          </cell>
          <cell r="C769">
            <v>45481</v>
          </cell>
          <cell r="D769" t="str">
            <v>Not delivered</v>
          </cell>
          <cell r="E769">
            <v>507142465</v>
          </cell>
          <cell r="F769">
            <v>30</v>
          </cell>
          <cell r="G769">
            <v>1382893</v>
          </cell>
          <cell r="H769" t="str">
            <v>LC-012:BTL VR1 CRMLCOAT P/GLASTNG PTI60B</v>
          </cell>
          <cell r="I769">
            <v>52920</v>
          </cell>
          <cell r="J769" t="str">
            <v>UN</v>
          </cell>
          <cell r="K769">
            <v>45608</v>
          </cell>
        </row>
        <row r="770">
          <cell r="A770" t="str">
            <v>50714246540</v>
          </cell>
          <cell r="B770" t="str">
            <v>ZMTD</v>
          </cell>
          <cell r="C770">
            <v>45481</v>
          </cell>
          <cell r="D770" t="str">
            <v>Not delivered</v>
          </cell>
          <cell r="E770">
            <v>507142465</v>
          </cell>
          <cell r="F770">
            <v>40</v>
          </cell>
          <cell r="G770">
            <v>1385814</v>
          </cell>
          <cell r="H770" t="str">
            <v>LC-012:CAP VM BRWN WIP GLASTING PTI 20F</v>
          </cell>
          <cell r="I770">
            <v>52920</v>
          </cell>
          <cell r="J770" t="str">
            <v>UN</v>
          </cell>
          <cell r="K770">
            <v>45608</v>
          </cell>
        </row>
        <row r="771">
          <cell r="A771" t="str">
            <v>50714228310</v>
          </cell>
          <cell r="B771" t="str">
            <v>ZMTD</v>
          </cell>
          <cell r="C771">
            <v>45447</v>
          </cell>
          <cell r="D771" t="str">
            <v>Not delivered</v>
          </cell>
          <cell r="E771">
            <v>507142283</v>
          </cell>
          <cell r="F771">
            <v>10</v>
          </cell>
          <cell r="G771">
            <v>1419488</v>
          </cell>
          <cell r="H771" t="str">
            <v>CP-063R:SPOUT CAP WHITE LOREAL 12A</v>
          </cell>
          <cell r="I771">
            <v>1890000</v>
          </cell>
          <cell r="J771" t="str">
            <v>UN</v>
          </cell>
          <cell r="K771">
            <v>45608</v>
          </cell>
        </row>
        <row r="772">
          <cell r="A772" t="str">
            <v>50714276580</v>
          </cell>
          <cell r="B772" t="str">
            <v>ZMTD</v>
          </cell>
          <cell r="C772">
            <v>45552</v>
          </cell>
          <cell r="D772" t="str">
            <v>Not delivered</v>
          </cell>
          <cell r="E772">
            <v>507142765</v>
          </cell>
          <cell r="F772">
            <v>80</v>
          </cell>
          <cell r="G772">
            <v>1398383</v>
          </cell>
          <cell r="H772" t="str">
            <v>CM-319:WHITE P/BLACK UV MATTE NARS</v>
          </cell>
          <cell r="I772">
            <v>40080</v>
          </cell>
          <cell r="J772" t="str">
            <v>UN</v>
          </cell>
          <cell r="K772">
            <v>45609</v>
          </cell>
        </row>
        <row r="773">
          <cell r="A773" t="str">
            <v>50800525930</v>
          </cell>
          <cell r="B773" t="str">
            <v>ZMFD</v>
          </cell>
          <cell r="C773">
            <v>45523</v>
          </cell>
          <cell r="D773" t="str">
            <v>Not delivered</v>
          </cell>
          <cell r="E773">
            <v>508005259</v>
          </cell>
          <cell r="F773">
            <v>30</v>
          </cell>
          <cell r="G773">
            <v>1168132</v>
          </cell>
          <cell r="H773" t="str">
            <v>LS-285:BS WHT NO DC WARDAH</v>
          </cell>
          <cell r="I773">
            <v>50000</v>
          </cell>
          <cell r="J773" t="str">
            <v>UN</v>
          </cell>
          <cell r="K773">
            <v>45609</v>
          </cell>
        </row>
        <row r="774">
          <cell r="A774" t="str">
            <v>50800525940</v>
          </cell>
          <cell r="B774" t="str">
            <v>ZMFD</v>
          </cell>
          <cell r="C774">
            <v>45523</v>
          </cell>
          <cell r="D774" t="str">
            <v>Not delivered</v>
          </cell>
          <cell r="E774">
            <v>508005259</v>
          </cell>
          <cell r="F774">
            <v>40</v>
          </cell>
          <cell r="G774">
            <v>1421509</v>
          </cell>
          <cell r="H774" t="str">
            <v>LS-285:CV ORNG P/WHT UV ORGSQUEZE PTI30O</v>
          </cell>
          <cell r="I774">
            <v>50000</v>
          </cell>
          <cell r="J774" t="str">
            <v>UN</v>
          </cell>
          <cell r="K774">
            <v>45609</v>
          </cell>
        </row>
        <row r="775">
          <cell r="A775" t="str">
            <v>50714264110</v>
          </cell>
          <cell r="B775" t="str">
            <v>ZMTD</v>
          </cell>
          <cell r="C775">
            <v>45520</v>
          </cell>
          <cell r="D775" t="str">
            <v>Not delivered</v>
          </cell>
          <cell r="E775">
            <v>507142641</v>
          </cell>
          <cell r="F775">
            <v>10</v>
          </cell>
          <cell r="G775">
            <v>1419206</v>
          </cell>
          <cell r="H775" t="str">
            <v>PT-055:BODY BLUE CITRUS HERBAL FAREVA</v>
          </cell>
          <cell r="I775">
            <v>24030</v>
          </cell>
          <cell r="J775" t="str">
            <v>UN</v>
          </cell>
          <cell r="K775">
            <v>45609</v>
          </cell>
        </row>
        <row r="776">
          <cell r="A776" t="str">
            <v>50714264120</v>
          </cell>
          <cell r="B776" t="str">
            <v>ZMTD</v>
          </cell>
          <cell r="C776">
            <v>45520</v>
          </cell>
          <cell r="D776" t="str">
            <v>Not delivered</v>
          </cell>
          <cell r="E776">
            <v>507142641</v>
          </cell>
          <cell r="F776">
            <v>20</v>
          </cell>
          <cell r="G776">
            <v>1194606</v>
          </cell>
          <cell r="H776" t="str">
            <v>PT-055:PLUG BLUE BAXTER FAREVA</v>
          </cell>
          <cell r="I776">
            <v>25110</v>
          </cell>
          <cell r="J776" t="str">
            <v>UN</v>
          </cell>
          <cell r="K776">
            <v>45609</v>
          </cell>
        </row>
        <row r="777">
          <cell r="A777" t="str">
            <v>50714261310</v>
          </cell>
          <cell r="B777" t="str">
            <v>ZMTD</v>
          </cell>
          <cell r="C777">
            <v>45510</v>
          </cell>
          <cell r="D777" t="str">
            <v>Not delivered</v>
          </cell>
          <cell r="E777">
            <v>507142613</v>
          </cell>
          <cell r="F777">
            <v>10</v>
          </cell>
          <cell r="G777">
            <v>1436641</v>
          </cell>
          <cell r="H777" t="str">
            <v>CM-310:BLUE UV S/SILVER DIOR PEPSPE+IXPE</v>
          </cell>
          <cell r="I777">
            <v>64800</v>
          </cell>
          <cell r="J777" t="str">
            <v>UN</v>
          </cell>
          <cell r="K777">
            <v>45609</v>
          </cell>
        </row>
        <row r="778">
          <cell r="A778" t="str">
            <v>50800523550</v>
          </cell>
          <cell r="B778" t="str">
            <v>ZMFD</v>
          </cell>
          <cell r="C778">
            <v>45505</v>
          </cell>
          <cell r="D778" t="str">
            <v>Not delivered</v>
          </cell>
          <cell r="E778">
            <v>508005235</v>
          </cell>
          <cell r="F778">
            <v>50</v>
          </cell>
          <cell r="G778">
            <v>1332995</v>
          </cell>
          <cell r="H778" t="str">
            <v>LC-008:CAP VM SLV WIP NAT EMLC PTI 20F</v>
          </cell>
          <cell r="I778">
            <v>100000</v>
          </cell>
          <cell r="J778" t="str">
            <v>UN</v>
          </cell>
          <cell r="K778">
            <v>45609</v>
          </cell>
        </row>
        <row r="779">
          <cell r="A779" t="str">
            <v>50800523560</v>
          </cell>
          <cell r="B779" t="str">
            <v>ZMFD</v>
          </cell>
          <cell r="C779">
            <v>45505</v>
          </cell>
          <cell r="D779" t="str">
            <v>Not delivered</v>
          </cell>
          <cell r="E779">
            <v>508005235</v>
          </cell>
          <cell r="F779">
            <v>60</v>
          </cell>
          <cell r="G779">
            <v>1434959</v>
          </cell>
          <cell r="H779" t="str">
            <v>LC-008:BTL CLR (PCTG) P/WHT EMLC PTI 60B</v>
          </cell>
          <cell r="I779">
            <v>100000</v>
          </cell>
          <cell r="J779" t="str">
            <v>UN</v>
          </cell>
          <cell r="K779">
            <v>45609</v>
          </cell>
        </row>
        <row r="780">
          <cell r="A780" t="str">
            <v>50800523310</v>
          </cell>
          <cell r="B780" t="str">
            <v>ZMFD</v>
          </cell>
          <cell r="C780">
            <v>45504</v>
          </cell>
          <cell r="D780" t="str">
            <v>Not delivered</v>
          </cell>
          <cell r="E780">
            <v>508005233</v>
          </cell>
          <cell r="F780">
            <v>10</v>
          </cell>
          <cell r="G780">
            <v>1169152</v>
          </cell>
          <cell r="H780" t="str">
            <v>CM-295:SQUARE COMPACT&amp;GODET PHHT010032</v>
          </cell>
          <cell r="I780">
            <v>20040</v>
          </cell>
          <cell r="J780" t="str">
            <v>UN</v>
          </cell>
          <cell r="K780">
            <v>45609</v>
          </cell>
        </row>
        <row r="781">
          <cell r="A781" t="str">
            <v>50800519230</v>
          </cell>
          <cell r="B781" t="str">
            <v>ZMFD</v>
          </cell>
          <cell r="C781">
            <v>45492</v>
          </cell>
          <cell r="D781" t="str">
            <v>Not delivered</v>
          </cell>
          <cell r="E781">
            <v>508005192</v>
          </cell>
          <cell r="F781">
            <v>30</v>
          </cell>
          <cell r="G781">
            <v>1430093</v>
          </cell>
          <cell r="H781" t="str">
            <v>LS-285:CV MT.TR BLUE P/SHERCLEAR PTI 40H</v>
          </cell>
          <cell r="I781">
            <v>25000</v>
          </cell>
          <cell r="J781" t="str">
            <v>UN</v>
          </cell>
          <cell r="K781">
            <v>45609</v>
          </cell>
        </row>
        <row r="782">
          <cell r="A782" t="str">
            <v>50800519240</v>
          </cell>
          <cell r="B782" t="str">
            <v>ZMFD</v>
          </cell>
          <cell r="C782">
            <v>45492</v>
          </cell>
          <cell r="D782" t="str">
            <v>Not delivered</v>
          </cell>
          <cell r="E782">
            <v>508005192</v>
          </cell>
          <cell r="F782">
            <v>40</v>
          </cell>
          <cell r="G782">
            <v>1430094</v>
          </cell>
          <cell r="H782" t="str">
            <v>LS-285:BS BLUE NO DC WARDAH PTI 12A</v>
          </cell>
          <cell r="I782">
            <v>25000</v>
          </cell>
          <cell r="J782" t="str">
            <v>UN</v>
          </cell>
          <cell r="K782">
            <v>45609</v>
          </cell>
        </row>
        <row r="783">
          <cell r="A783" t="str">
            <v>50800517130</v>
          </cell>
          <cell r="B783" t="str">
            <v>ZMFD</v>
          </cell>
          <cell r="C783">
            <v>45481</v>
          </cell>
          <cell r="D783" t="str">
            <v>Not delivered</v>
          </cell>
          <cell r="E783">
            <v>508005171</v>
          </cell>
          <cell r="F783">
            <v>30</v>
          </cell>
          <cell r="G783">
            <v>1375595</v>
          </cell>
          <cell r="H783" t="str">
            <v>LC-009:BTL/INNER CLEAR P/OMG PTIPT 60B</v>
          </cell>
          <cell r="I783">
            <v>648000</v>
          </cell>
          <cell r="J783" t="str">
            <v>UN</v>
          </cell>
          <cell r="K783">
            <v>45609</v>
          </cell>
        </row>
        <row r="784">
          <cell r="A784" t="str">
            <v>50800517140</v>
          </cell>
          <cell r="B784" t="str">
            <v>ZMFD</v>
          </cell>
          <cell r="C784">
            <v>45481</v>
          </cell>
          <cell r="D784" t="str">
            <v>Not delivered</v>
          </cell>
          <cell r="E784">
            <v>508005171</v>
          </cell>
          <cell r="F784">
            <v>40</v>
          </cell>
          <cell r="G784">
            <v>1375593</v>
          </cell>
          <cell r="H784" t="str">
            <v>LC-009:CAP REDTRANS WIP S/OMG PTIPT 60B</v>
          </cell>
          <cell r="I784">
            <v>648000</v>
          </cell>
          <cell r="J784" t="str">
            <v>UN</v>
          </cell>
          <cell r="K784">
            <v>45609</v>
          </cell>
        </row>
        <row r="785">
          <cell r="A785" t="str">
            <v>50800517230</v>
          </cell>
          <cell r="B785" t="str">
            <v>ZMFD</v>
          </cell>
          <cell r="C785">
            <v>45481</v>
          </cell>
          <cell r="D785" t="str">
            <v>Not delivered</v>
          </cell>
          <cell r="E785">
            <v>508005172</v>
          </cell>
          <cell r="F785">
            <v>30</v>
          </cell>
          <cell r="G785">
            <v>1417990</v>
          </cell>
          <cell r="H785" t="str">
            <v>LC-009:BTL #2#3 INNER CLR P/OMG PTIPT60B</v>
          </cell>
          <cell r="I785">
            <v>1600000</v>
          </cell>
          <cell r="J785" t="str">
            <v>UN</v>
          </cell>
          <cell r="K785">
            <v>45609</v>
          </cell>
        </row>
        <row r="786">
          <cell r="A786" t="str">
            <v>50800517240</v>
          </cell>
          <cell r="B786" t="str">
            <v>ZMFD</v>
          </cell>
          <cell r="C786">
            <v>45481</v>
          </cell>
          <cell r="D786" t="str">
            <v>Not delivered</v>
          </cell>
          <cell r="E786">
            <v>508005172</v>
          </cell>
          <cell r="F786">
            <v>40</v>
          </cell>
          <cell r="G786">
            <v>1417978</v>
          </cell>
          <cell r="H786" t="str">
            <v>LC-009:CAP #2#3 REDTR WIP S/OMG PTIPT60B</v>
          </cell>
          <cell r="I786">
            <v>1600000</v>
          </cell>
          <cell r="J786" t="str">
            <v>UN</v>
          </cell>
          <cell r="K786">
            <v>45609</v>
          </cell>
        </row>
        <row r="787">
          <cell r="A787" t="str">
            <v>50800514030</v>
          </cell>
          <cell r="B787" t="str">
            <v>ZMFD</v>
          </cell>
          <cell r="C787">
            <v>45463</v>
          </cell>
          <cell r="D787" t="str">
            <v>Not delivered</v>
          </cell>
          <cell r="E787">
            <v>508005140</v>
          </cell>
          <cell r="F787">
            <v>30</v>
          </cell>
          <cell r="G787">
            <v>1174001</v>
          </cell>
          <cell r="H787" t="str">
            <v>CM-133:CVR/BS MTLC GREN UV S/SLV WRDH30C</v>
          </cell>
          <cell r="I787">
            <v>20160</v>
          </cell>
          <cell r="J787" t="str">
            <v>UN</v>
          </cell>
          <cell r="K787">
            <v>45609</v>
          </cell>
        </row>
        <row r="788">
          <cell r="A788" t="str">
            <v>50714279810</v>
          </cell>
          <cell r="B788" t="str">
            <v>ZMTD</v>
          </cell>
          <cell r="C788">
            <v>45558</v>
          </cell>
          <cell r="D788" t="str">
            <v>Not delivered</v>
          </cell>
          <cell r="E788">
            <v>507142798</v>
          </cell>
          <cell r="F788">
            <v>10</v>
          </cell>
          <cell r="G788">
            <v>1305089</v>
          </cell>
          <cell r="H788" t="str">
            <v>CM-207:VM SHY SLV P/MATTE ZGH6010038 EL</v>
          </cell>
          <cell r="I788">
            <v>25920</v>
          </cell>
          <cell r="J788" t="str">
            <v>UN</v>
          </cell>
          <cell r="K788">
            <v>45610</v>
          </cell>
        </row>
        <row r="789">
          <cell r="A789" t="str">
            <v>50714277310</v>
          </cell>
          <cell r="B789" t="str">
            <v>ZMTD</v>
          </cell>
          <cell r="C789">
            <v>45554</v>
          </cell>
          <cell r="D789" t="str">
            <v>Not delivered</v>
          </cell>
          <cell r="E789">
            <v>507142773</v>
          </cell>
          <cell r="F789">
            <v>10</v>
          </cell>
          <cell r="G789">
            <v>1218709</v>
          </cell>
          <cell r="H789" t="str">
            <v>LS-086:CVR CLR CVRSTICK DC4 N.MOLD MAYB</v>
          </cell>
          <cell r="I789">
            <v>50400</v>
          </cell>
          <cell r="J789" t="str">
            <v>UN</v>
          </cell>
          <cell r="K789">
            <v>45610</v>
          </cell>
        </row>
        <row r="790">
          <cell r="A790" t="str">
            <v>50714277510</v>
          </cell>
          <cell r="B790" t="str">
            <v>ZMTD</v>
          </cell>
          <cell r="C790">
            <v>45554</v>
          </cell>
          <cell r="D790" t="str">
            <v>Not delivered</v>
          </cell>
          <cell r="E790">
            <v>507142775</v>
          </cell>
          <cell r="F790">
            <v>10</v>
          </cell>
          <cell r="G790">
            <v>1256831</v>
          </cell>
          <cell r="H790" t="str">
            <v>LS-086:BS M.BEIGE NODC N.CUP MAYB BULK</v>
          </cell>
          <cell r="I790">
            <v>30000</v>
          </cell>
          <cell r="J790" t="str">
            <v>UN</v>
          </cell>
          <cell r="K790">
            <v>45610</v>
          </cell>
        </row>
        <row r="791">
          <cell r="A791" t="str">
            <v>50714276710</v>
          </cell>
          <cell r="B791" t="str">
            <v>ZMTD</v>
          </cell>
          <cell r="C791">
            <v>45553</v>
          </cell>
          <cell r="D791" t="str">
            <v>Not delivered</v>
          </cell>
          <cell r="E791">
            <v>507142767</v>
          </cell>
          <cell r="F791">
            <v>10</v>
          </cell>
          <cell r="G791">
            <v>1286626</v>
          </cell>
          <cell r="H791" t="str">
            <v>FP-038:BASE AMBER GWLT010705 EL</v>
          </cell>
          <cell r="I791">
            <v>25020</v>
          </cell>
          <cell r="J791" t="str">
            <v>UN</v>
          </cell>
          <cell r="K791">
            <v>45610</v>
          </cell>
        </row>
        <row r="792">
          <cell r="A792" t="str">
            <v>50714255510</v>
          </cell>
          <cell r="B792" t="str">
            <v>ZMTD</v>
          </cell>
          <cell r="C792">
            <v>45495</v>
          </cell>
          <cell r="D792" t="str">
            <v>Not delivered</v>
          </cell>
          <cell r="E792">
            <v>507142555</v>
          </cell>
          <cell r="F792">
            <v>10</v>
          </cell>
          <cell r="G792">
            <v>1432356</v>
          </cell>
          <cell r="H792" t="str">
            <v>CM-280:BS/CV BO BLUE UV P/S/INEZ FTC 30M</v>
          </cell>
          <cell r="I792">
            <v>30000</v>
          </cell>
          <cell r="J792" t="str">
            <v>UN</v>
          </cell>
          <cell r="K792">
            <v>45610</v>
          </cell>
        </row>
        <row r="793">
          <cell r="A793" t="str">
            <v>50714254430</v>
          </cell>
          <cell r="B793" t="str">
            <v>ZMTD</v>
          </cell>
          <cell r="C793">
            <v>45491</v>
          </cell>
          <cell r="D793" t="str">
            <v>Not delivered</v>
          </cell>
          <cell r="E793">
            <v>507142544</v>
          </cell>
          <cell r="F793">
            <v>30</v>
          </cell>
          <cell r="G793">
            <v>1319857</v>
          </cell>
          <cell r="H793" t="str">
            <v>CM-296:WHT P/L.AGELES W/O HOLE COTY EPS</v>
          </cell>
          <cell r="I793">
            <v>57600</v>
          </cell>
          <cell r="J793" t="str">
            <v>UN</v>
          </cell>
          <cell r="K793">
            <v>45610</v>
          </cell>
        </row>
        <row r="794">
          <cell r="A794" t="str">
            <v>50800518130</v>
          </cell>
          <cell r="B794" t="str">
            <v>ZMFD</v>
          </cell>
          <cell r="C794">
            <v>45485</v>
          </cell>
          <cell r="D794" t="str">
            <v>Not delivered</v>
          </cell>
          <cell r="E794">
            <v>508005181</v>
          </cell>
          <cell r="F794">
            <v>30</v>
          </cell>
          <cell r="G794">
            <v>1413967</v>
          </cell>
          <cell r="H794" t="str">
            <v>CM-323:VM SILVER DIOR JUMBO M080</v>
          </cell>
          <cell r="I794">
            <v>27000</v>
          </cell>
          <cell r="J794" t="str">
            <v>UN</v>
          </cell>
          <cell r="K794">
            <v>45610</v>
          </cell>
        </row>
        <row r="795">
          <cell r="A795" t="str">
            <v>50800511640</v>
          </cell>
          <cell r="B795" t="str">
            <v>ZMFD</v>
          </cell>
          <cell r="C795">
            <v>45453</v>
          </cell>
          <cell r="D795" t="str">
            <v>Not delivered</v>
          </cell>
          <cell r="E795">
            <v>508005116</v>
          </cell>
          <cell r="F795">
            <v>40</v>
          </cell>
          <cell r="G795">
            <v>1409881</v>
          </cell>
          <cell r="H795" t="str">
            <v>CM-315:CVR/BS BLACK P/CVRLAST OMG RV160B</v>
          </cell>
          <cell r="I795">
            <v>108516</v>
          </cell>
          <cell r="J795" t="str">
            <v>UN</v>
          </cell>
          <cell r="K795">
            <v>45610</v>
          </cell>
        </row>
        <row r="796">
          <cell r="A796" t="str">
            <v>50714275410</v>
          </cell>
          <cell r="B796" t="str">
            <v>ZMTD</v>
          </cell>
          <cell r="C796">
            <v>45547</v>
          </cell>
          <cell r="D796" t="str">
            <v>Not delivered</v>
          </cell>
          <cell r="E796">
            <v>507142754</v>
          </cell>
          <cell r="F796">
            <v>10</v>
          </cell>
          <cell r="G796">
            <v>1192463</v>
          </cell>
          <cell r="H796" t="str">
            <v>FP-014:LATULIPE FACE POWDER</v>
          </cell>
          <cell r="I796">
            <v>20000</v>
          </cell>
          <cell r="J796" t="str">
            <v>UN</v>
          </cell>
          <cell r="K796">
            <v>45611</v>
          </cell>
        </row>
        <row r="797">
          <cell r="A797" t="str">
            <v>50714275420</v>
          </cell>
          <cell r="B797" t="str">
            <v>ZMTD</v>
          </cell>
          <cell r="C797">
            <v>45547</v>
          </cell>
          <cell r="D797" t="str">
            <v>Not delivered</v>
          </cell>
          <cell r="E797">
            <v>507142754</v>
          </cell>
          <cell r="F797">
            <v>20</v>
          </cell>
          <cell r="G797">
            <v>1192460</v>
          </cell>
          <cell r="H797" t="str">
            <v>FP-014:SIFTER NAT W/LABEL NO DC REMBAKA</v>
          </cell>
          <cell r="I797">
            <v>20000</v>
          </cell>
          <cell r="J797" t="str">
            <v>UN</v>
          </cell>
          <cell r="K797">
            <v>45611</v>
          </cell>
        </row>
        <row r="798">
          <cell r="A798" t="str">
            <v>50800527510</v>
          </cell>
          <cell r="B798" t="str">
            <v>ZMFD</v>
          </cell>
          <cell r="C798">
            <v>45539</v>
          </cell>
          <cell r="D798" t="str">
            <v>Not delivered</v>
          </cell>
          <cell r="E798">
            <v>508005275</v>
          </cell>
          <cell r="F798">
            <v>10</v>
          </cell>
          <cell r="G798">
            <v>1210646</v>
          </cell>
          <cell r="H798" t="str">
            <v>FP-014:CVR BLACK MATTE BLACK SS SMITH</v>
          </cell>
          <cell r="I798">
            <v>20000</v>
          </cell>
          <cell r="J798" t="str">
            <v>UN</v>
          </cell>
          <cell r="K798">
            <v>45611</v>
          </cell>
        </row>
        <row r="799">
          <cell r="A799" t="str">
            <v>50800527520</v>
          </cell>
          <cell r="B799" t="str">
            <v>ZMFD</v>
          </cell>
          <cell r="C799">
            <v>45539</v>
          </cell>
          <cell r="D799" t="str">
            <v>Not delivered</v>
          </cell>
          <cell r="E799">
            <v>508005275</v>
          </cell>
          <cell r="F799">
            <v>20</v>
          </cell>
          <cell r="G799">
            <v>1210647</v>
          </cell>
          <cell r="H799" t="str">
            <v>FP-014:BASE BLK MATTE BLACK SS SMITH</v>
          </cell>
          <cell r="I799">
            <v>20000</v>
          </cell>
          <cell r="J799" t="str">
            <v>UN</v>
          </cell>
          <cell r="K799">
            <v>45611</v>
          </cell>
        </row>
        <row r="800">
          <cell r="A800" t="str">
            <v>50800523430</v>
          </cell>
          <cell r="B800" t="str">
            <v>ZMFD</v>
          </cell>
          <cell r="C800">
            <v>45504</v>
          </cell>
          <cell r="D800" t="str">
            <v>Not delivered</v>
          </cell>
          <cell r="E800">
            <v>508005234</v>
          </cell>
          <cell r="F800">
            <v>30</v>
          </cell>
          <cell r="G800">
            <v>1169286</v>
          </cell>
          <cell r="H800" t="str">
            <v>CM-294:RECTANGULAR WITH GODET PKTJ010032</v>
          </cell>
          <cell r="I800">
            <v>37920</v>
          </cell>
          <cell r="J800" t="str">
            <v>UN</v>
          </cell>
          <cell r="K800">
            <v>45611</v>
          </cell>
        </row>
        <row r="801">
          <cell r="A801" t="str">
            <v>50714156910</v>
          </cell>
          <cell r="B801" t="str">
            <v>ZMTD</v>
          </cell>
          <cell r="C801">
            <v>45303</v>
          </cell>
          <cell r="D801" t="str">
            <v>Not delivered</v>
          </cell>
          <cell r="E801">
            <v>507141569</v>
          </cell>
          <cell r="F801">
            <v>10</v>
          </cell>
          <cell r="G801">
            <v>1175313</v>
          </cell>
          <cell r="H801" t="str">
            <v>CM-101:N.GRN MRBL B/O 618J010304 CLNQ EL</v>
          </cell>
          <cell r="I801">
            <v>25350</v>
          </cell>
          <cell r="J801" t="str">
            <v>UN</v>
          </cell>
          <cell r="K801">
            <v>45611</v>
          </cell>
        </row>
        <row r="802">
          <cell r="A802" t="str">
            <v>50714273110</v>
          </cell>
          <cell r="B802" t="str">
            <v>ZMTD</v>
          </cell>
          <cell r="C802">
            <v>45544</v>
          </cell>
          <cell r="D802" t="str">
            <v>Not delivered</v>
          </cell>
          <cell r="E802">
            <v>507142731</v>
          </cell>
          <cell r="F802">
            <v>10</v>
          </cell>
          <cell r="G802">
            <v>1181524</v>
          </cell>
          <cell r="H802" t="str">
            <v>CM-297:WHITE PERFECT LIGHT PP BOOTS</v>
          </cell>
          <cell r="I802">
            <v>29064</v>
          </cell>
          <cell r="J802" t="str">
            <v>UN</v>
          </cell>
          <cell r="K802">
            <v>45614</v>
          </cell>
        </row>
        <row r="803">
          <cell r="A803" t="str">
            <v>50714272010</v>
          </cell>
          <cell r="B803" t="str">
            <v>ZMTD</v>
          </cell>
          <cell r="C803">
            <v>45539</v>
          </cell>
          <cell r="D803" t="str">
            <v>Not delivered</v>
          </cell>
          <cell r="E803">
            <v>507142720</v>
          </cell>
          <cell r="F803">
            <v>10</v>
          </cell>
          <cell r="G803">
            <v>1431862</v>
          </cell>
          <cell r="H803" t="str">
            <v>PT6029R JAR GARNIER 18ML YUZU SPF30(635)</v>
          </cell>
          <cell r="I803">
            <v>56448</v>
          </cell>
          <cell r="J803" t="str">
            <v>UN</v>
          </cell>
          <cell r="K803">
            <v>45614</v>
          </cell>
        </row>
        <row r="804">
          <cell r="A804" t="str">
            <v>50714271210</v>
          </cell>
          <cell r="B804" t="str">
            <v>ZMTD</v>
          </cell>
          <cell r="C804">
            <v>45538</v>
          </cell>
          <cell r="D804" t="str">
            <v>Not delivered</v>
          </cell>
          <cell r="E804">
            <v>507142712</v>
          </cell>
          <cell r="F804">
            <v>10</v>
          </cell>
          <cell r="G804">
            <v>1332672</v>
          </cell>
          <cell r="H804" t="str">
            <v>CM-095:VM ROSE GOLD P/BLACK COTY</v>
          </cell>
          <cell r="I804">
            <v>56160</v>
          </cell>
          <cell r="J804" t="str">
            <v>UN</v>
          </cell>
          <cell r="K804">
            <v>45614</v>
          </cell>
        </row>
        <row r="805">
          <cell r="A805" t="str">
            <v>50800520330</v>
          </cell>
          <cell r="B805" t="str">
            <v>ZMFD</v>
          </cell>
          <cell r="C805">
            <v>45497</v>
          </cell>
          <cell r="D805" t="str">
            <v>Not delivered</v>
          </cell>
          <cell r="E805">
            <v>508005203</v>
          </cell>
          <cell r="F805">
            <v>30</v>
          </cell>
          <cell r="G805">
            <v>1405377</v>
          </cell>
          <cell r="H805" t="str">
            <v>LC-012:BTL VR11 P/GLASTNG PTI60B</v>
          </cell>
          <cell r="I805">
            <v>25000</v>
          </cell>
          <cell r="J805" t="str">
            <v>UN</v>
          </cell>
          <cell r="K805">
            <v>45614</v>
          </cell>
        </row>
        <row r="806">
          <cell r="A806" t="str">
            <v>50800520340</v>
          </cell>
          <cell r="B806" t="str">
            <v>ZMFD</v>
          </cell>
          <cell r="C806">
            <v>45497</v>
          </cell>
          <cell r="D806" t="str">
            <v>Not delivered</v>
          </cell>
          <cell r="E806">
            <v>508005203</v>
          </cell>
          <cell r="F806">
            <v>40</v>
          </cell>
          <cell r="G806">
            <v>1385814</v>
          </cell>
          <cell r="H806" t="str">
            <v>LC-012:CAP VM BRWN WIP GLASTING PTI 20F</v>
          </cell>
          <cell r="I806">
            <v>25000</v>
          </cell>
          <cell r="J806" t="str">
            <v>UN</v>
          </cell>
          <cell r="K806">
            <v>45614</v>
          </cell>
        </row>
        <row r="807">
          <cell r="A807" t="str">
            <v>50714247030</v>
          </cell>
          <cell r="B807" t="str">
            <v>ZMTD</v>
          </cell>
          <cell r="C807">
            <v>45482</v>
          </cell>
          <cell r="D807" t="str">
            <v>Not delivered</v>
          </cell>
          <cell r="E807">
            <v>507142470</v>
          </cell>
          <cell r="F807">
            <v>30</v>
          </cell>
          <cell r="G807">
            <v>1390981</v>
          </cell>
          <cell r="H807" t="str">
            <v>LC-012:BTL VR5 GLAZBERY P/GLASTNG PTI60B</v>
          </cell>
          <cell r="I807">
            <v>24948</v>
          </cell>
          <cell r="J807" t="str">
            <v>UN</v>
          </cell>
          <cell r="K807">
            <v>45614</v>
          </cell>
        </row>
        <row r="808">
          <cell r="A808" t="str">
            <v>50714247040</v>
          </cell>
          <cell r="B808" t="str">
            <v>ZMTD</v>
          </cell>
          <cell r="C808">
            <v>45482</v>
          </cell>
          <cell r="D808" t="str">
            <v>Not delivered</v>
          </cell>
          <cell r="E808">
            <v>507142470</v>
          </cell>
          <cell r="F808">
            <v>40</v>
          </cell>
          <cell r="G808">
            <v>1385814</v>
          </cell>
          <cell r="H808" t="str">
            <v>LC-012:CAP VM BRWN WIP GLASTING PTI 20F</v>
          </cell>
          <cell r="I808">
            <v>24948</v>
          </cell>
          <cell r="J808" t="str">
            <v>UN</v>
          </cell>
          <cell r="K808">
            <v>45614</v>
          </cell>
        </row>
        <row r="809">
          <cell r="A809" t="str">
            <v>50714240910</v>
          </cell>
          <cell r="B809" t="str">
            <v>ZMTD</v>
          </cell>
          <cell r="C809">
            <v>45470</v>
          </cell>
          <cell r="D809" t="str">
            <v>Not delivered</v>
          </cell>
          <cell r="E809">
            <v>507142409</v>
          </cell>
          <cell r="F809">
            <v>10</v>
          </cell>
          <cell r="G809">
            <v>1382935</v>
          </cell>
          <cell r="H809" t="str">
            <v>LC-012:BTL VR2 PEACHPLS P/GLASTNG PTI60B</v>
          </cell>
          <cell r="I809">
            <v>37422</v>
          </cell>
          <cell r="J809" t="str">
            <v>UN</v>
          </cell>
          <cell r="K809">
            <v>45614</v>
          </cell>
        </row>
        <row r="810">
          <cell r="A810" t="str">
            <v>50714240920</v>
          </cell>
          <cell r="B810" t="str">
            <v>ZMTD</v>
          </cell>
          <cell r="C810">
            <v>45470</v>
          </cell>
          <cell r="D810" t="str">
            <v>Not delivered</v>
          </cell>
          <cell r="E810">
            <v>507142409</v>
          </cell>
          <cell r="F810">
            <v>20</v>
          </cell>
          <cell r="G810">
            <v>1385814</v>
          </cell>
          <cell r="H810" t="str">
            <v>LC-012:CAP VM BRWN WIP GLASTING PTI 20F</v>
          </cell>
          <cell r="I810">
            <v>37422</v>
          </cell>
          <cell r="J810" t="str">
            <v>UN</v>
          </cell>
          <cell r="K810">
            <v>45614</v>
          </cell>
        </row>
        <row r="811">
          <cell r="A811" t="str">
            <v>50800494730</v>
          </cell>
          <cell r="B811" t="str">
            <v>ZMFD</v>
          </cell>
          <cell r="C811">
            <v>45370</v>
          </cell>
          <cell r="D811" t="str">
            <v>Not delivered</v>
          </cell>
          <cell r="E811">
            <v>508004947</v>
          </cell>
          <cell r="F811">
            <v>30</v>
          </cell>
          <cell r="G811">
            <v>1411898</v>
          </cell>
          <cell r="H811" t="str">
            <v>PT-100:CVR MT.GREEN EMBOS KAHF PTI 40D</v>
          </cell>
          <cell r="I811">
            <v>177000</v>
          </cell>
          <cell r="J811" t="str">
            <v>UN</v>
          </cell>
          <cell r="K811">
            <v>45614</v>
          </cell>
        </row>
        <row r="812">
          <cell r="A812" t="str">
            <v>50800494740</v>
          </cell>
          <cell r="B812" t="str">
            <v>ZMFD</v>
          </cell>
          <cell r="C812">
            <v>45370</v>
          </cell>
          <cell r="D812" t="str">
            <v>Not delivered</v>
          </cell>
          <cell r="E812">
            <v>508004947</v>
          </cell>
          <cell r="F812">
            <v>40</v>
          </cell>
          <cell r="G812">
            <v>1411899</v>
          </cell>
          <cell r="H812" t="str">
            <v>PT-100:BS/INS GREEN P/WHT KAHF PTI 60B</v>
          </cell>
          <cell r="I812">
            <v>177000</v>
          </cell>
          <cell r="J812" t="str">
            <v>UN</v>
          </cell>
          <cell r="K812">
            <v>45614</v>
          </cell>
        </row>
        <row r="813">
          <cell r="A813" t="str">
            <v>50800493450</v>
          </cell>
          <cell r="B813" t="str">
            <v>ZMFD</v>
          </cell>
          <cell r="C813">
            <v>45364</v>
          </cell>
          <cell r="D813" t="str">
            <v>Not delivered</v>
          </cell>
          <cell r="E813">
            <v>508004934</v>
          </cell>
          <cell r="F813">
            <v>50</v>
          </cell>
          <cell r="G813">
            <v>1378563</v>
          </cell>
          <cell r="H813" t="str">
            <v>CP-093:CAP D50 MT BLACK Ø.5 YASULOR 12A</v>
          </cell>
          <cell r="I813">
            <v>500000</v>
          </cell>
          <cell r="J813" t="str">
            <v>UN</v>
          </cell>
          <cell r="K813">
            <v>45614</v>
          </cell>
        </row>
        <row r="814">
          <cell r="A814" t="str">
            <v>50714270550</v>
          </cell>
          <cell r="B814" t="str">
            <v>ZMTD</v>
          </cell>
          <cell r="C814">
            <v>45534</v>
          </cell>
          <cell r="D814" t="str">
            <v>Not delivered</v>
          </cell>
          <cell r="E814">
            <v>507142705</v>
          </cell>
          <cell r="F814">
            <v>50</v>
          </cell>
          <cell r="G814">
            <v>1342220</v>
          </cell>
          <cell r="H814" t="str">
            <v>LC-010:BTL CLR HTF COLBEIGE CFIT PTI 60C</v>
          </cell>
          <cell r="I814">
            <v>100170</v>
          </cell>
          <cell r="J814" t="str">
            <v>UN</v>
          </cell>
          <cell r="K814">
            <v>45615</v>
          </cell>
        </row>
        <row r="815">
          <cell r="A815" t="str">
            <v>50714270560</v>
          </cell>
          <cell r="B815" t="str">
            <v>ZMTD</v>
          </cell>
          <cell r="C815">
            <v>45534</v>
          </cell>
          <cell r="D815" t="str">
            <v>Not delivered</v>
          </cell>
          <cell r="E815">
            <v>507142705</v>
          </cell>
          <cell r="F815">
            <v>60</v>
          </cell>
          <cell r="G815">
            <v>1342221</v>
          </cell>
          <cell r="H815" t="str">
            <v>LC-010:CAP BEIGE WIP NAT PTI 12A</v>
          </cell>
          <cell r="I815">
            <v>100170</v>
          </cell>
          <cell r="J815" t="str">
            <v>UN</v>
          </cell>
          <cell r="K815">
            <v>45615</v>
          </cell>
        </row>
        <row r="816">
          <cell r="A816" t="str">
            <v>50800520250</v>
          </cell>
          <cell r="B816" t="str">
            <v>ZMFD</v>
          </cell>
          <cell r="C816">
            <v>45497</v>
          </cell>
          <cell r="D816" t="str">
            <v>Not delivered</v>
          </cell>
          <cell r="E816">
            <v>508005202</v>
          </cell>
          <cell r="F816">
            <v>50</v>
          </cell>
          <cell r="G816">
            <v>1405884</v>
          </cell>
          <cell r="H816" t="str">
            <v>LC-012:BTL VR10 P/GLASTNG PTI60B</v>
          </cell>
          <cell r="I816">
            <v>25000</v>
          </cell>
          <cell r="J816" t="str">
            <v>UN</v>
          </cell>
          <cell r="K816">
            <v>45615</v>
          </cell>
        </row>
        <row r="817">
          <cell r="A817" t="str">
            <v>50800520260</v>
          </cell>
          <cell r="B817" t="str">
            <v>ZMFD</v>
          </cell>
          <cell r="C817">
            <v>45497</v>
          </cell>
          <cell r="D817" t="str">
            <v>Not delivered</v>
          </cell>
          <cell r="E817">
            <v>508005202</v>
          </cell>
          <cell r="F817">
            <v>60</v>
          </cell>
          <cell r="G817">
            <v>1385814</v>
          </cell>
          <cell r="H817" t="str">
            <v>LC-012:CAP VM BRWN WIP GLASTING PTI 20F</v>
          </cell>
          <cell r="I817">
            <v>25000</v>
          </cell>
          <cell r="J817" t="str">
            <v>UN</v>
          </cell>
          <cell r="K817">
            <v>45615</v>
          </cell>
        </row>
        <row r="818">
          <cell r="A818" t="str">
            <v>50714255520</v>
          </cell>
          <cell r="B818" t="str">
            <v>ZMTD</v>
          </cell>
          <cell r="C818">
            <v>45495</v>
          </cell>
          <cell r="D818" t="str">
            <v>Not delivered</v>
          </cell>
          <cell r="E818">
            <v>507142555</v>
          </cell>
          <cell r="F818">
            <v>20</v>
          </cell>
          <cell r="G818">
            <v>1432444</v>
          </cell>
          <cell r="H818" t="str">
            <v>CM-280:BS/CV ES BLUE UV P/S/INEZ FTC 30M</v>
          </cell>
          <cell r="I818">
            <v>25000</v>
          </cell>
          <cell r="J818" t="str">
            <v>UN</v>
          </cell>
          <cell r="K818">
            <v>45615</v>
          </cell>
        </row>
        <row r="819">
          <cell r="A819" t="str">
            <v>50714250410</v>
          </cell>
          <cell r="B819" t="str">
            <v>ZMTD</v>
          </cell>
          <cell r="C819">
            <v>45488</v>
          </cell>
          <cell r="D819" t="str">
            <v>Not delivered</v>
          </cell>
          <cell r="E819">
            <v>507142504</v>
          </cell>
          <cell r="F819">
            <v>10</v>
          </cell>
          <cell r="G819">
            <v>1419488</v>
          </cell>
          <cell r="H819" t="str">
            <v>CP-063R:SPOUT CAP WHITE LOREAL 12A</v>
          </cell>
          <cell r="I819">
            <v>1890000</v>
          </cell>
          <cell r="J819" t="str">
            <v>UN</v>
          </cell>
          <cell r="K819">
            <v>45615</v>
          </cell>
        </row>
        <row r="820">
          <cell r="A820" t="str">
            <v>50714228410</v>
          </cell>
          <cell r="B820" t="str">
            <v>ZMTD</v>
          </cell>
          <cell r="C820">
            <v>45447</v>
          </cell>
          <cell r="D820" t="str">
            <v>Not delivered</v>
          </cell>
          <cell r="E820">
            <v>507142284</v>
          </cell>
          <cell r="F820">
            <v>10</v>
          </cell>
          <cell r="G820">
            <v>1419488</v>
          </cell>
          <cell r="H820" t="str">
            <v>CP-063R:SPOUT CAP WHITE LOREAL 12A</v>
          </cell>
          <cell r="I820">
            <v>1890000</v>
          </cell>
          <cell r="J820" t="str">
            <v>UN</v>
          </cell>
          <cell r="K820">
            <v>45615</v>
          </cell>
        </row>
        <row r="821">
          <cell r="A821" t="str">
            <v>50714276590</v>
          </cell>
          <cell r="B821" t="str">
            <v>ZMTD</v>
          </cell>
          <cell r="C821">
            <v>45552</v>
          </cell>
          <cell r="D821" t="str">
            <v>Not delivered</v>
          </cell>
          <cell r="E821">
            <v>507142765</v>
          </cell>
          <cell r="F821">
            <v>90</v>
          </cell>
          <cell r="G821">
            <v>1398383</v>
          </cell>
          <cell r="H821" t="str">
            <v>CM-319:WHITE P/BLACK UV MATTE NARS</v>
          </cell>
          <cell r="I821">
            <v>40080</v>
          </cell>
          <cell r="J821" t="str">
            <v>UN</v>
          </cell>
          <cell r="K821">
            <v>45616</v>
          </cell>
        </row>
        <row r="822">
          <cell r="A822" t="str">
            <v>50800527110</v>
          </cell>
          <cell r="B822" t="str">
            <v>ZMFD</v>
          </cell>
          <cell r="C822">
            <v>45538</v>
          </cell>
          <cell r="D822" t="str">
            <v>Not delivered</v>
          </cell>
          <cell r="E822">
            <v>508005271</v>
          </cell>
          <cell r="F822">
            <v>10</v>
          </cell>
          <cell r="G822">
            <v>1411701</v>
          </cell>
          <cell r="H822" t="str">
            <v>PT-100:BS/INS BLUE P/WHT KAHF PTI 60B</v>
          </cell>
          <cell r="I822">
            <v>240000</v>
          </cell>
          <cell r="J822" t="str">
            <v>UN</v>
          </cell>
          <cell r="K822">
            <v>45616</v>
          </cell>
        </row>
        <row r="823">
          <cell r="A823" t="str">
            <v>50800527120</v>
          </cell>
          <cell r="B823" t="str">
            <v>ZMFD</v>
          </cell>
          <cell r="C823">
            <v>45538</v>
          </cell>
          <cell r="D823" t="str">
            <v>Not delivered</v>
          </cell>
          <cell r="E823">
            <v>508005271</v>
          </cell>
          <cell r="F823">
            <v>20</v>
          </cell>
          <cell r="G823">
            <v>1411700</v>
          </cell>
          <cell r="H823" t="str">
            <v>PT-100:CVR MT.BLUE EMBOS KAHF PTI 40D</v>
          </cell>
          <cell r="I823">
            <v>240000</v>
          </cell>
          <cell r="J823" t="str">
            <v>UN</v>
          </cell>
          <cell r="K823">
            <v>45616</v>
          </cell>
        </row>
        <row r="824">
          <cell r="A824" t="str">
            <v>50800525510</v>
          </cell>
          <cell r="B824" t="str">
            <v>ZMFD</v>
          </cell>
          <cell r="C824">
            <v>45516</v>
          </cell>
          <cell r="D824" t="str">
            <v>Not delivered</v>
          </cell>
          <cell r="E824">
            <v>508005255</v>
          </cell>
          <cell r="F824">
            <v>10</v>
          </cell>
          <cell r="G824">
            <v>1436641</v>
          </cell>
          <cell r="H824" t="str">
            <v>CM-310:BLUE UV S/SILVER DIOR PEPSPE+IXPE</v>
          </cell>
          <cell r="I824">
            <v>64800</v>
          </cell>
          <cell r="J824" t="str">
            <v>UN</v>
          </cell>
          <cell r="K824">
            <v>45616</v>
          </cell>
        </row>
        <row r="825">
          <cell r="A825" t="str">
            <v>50714261110</v>
          </cell>
          <cell r="B825" t="str">
            <v>ZMTD</v>
          </cell>
          <cell r="C825">
            <v>45510</v>
          </cell>
          <cell r="D825" t="str">
            <v>Not delivered</v>
          </cell>
          <cell r="E825">
            <v>507142611</v>
          </cell>
          <cell r="F825">
            <v>10</v>
          </cell>
          <cell r="G825">
            <v>1436641</v>
          </cell>
          <cell r="H825" t="str">
            <v>CM-310:BLUE UV S/SILVER DIOR PEPSPE+IXPE</v>
          </cell>
          <cell r="I825">
            <v>64800</v>
          </cell>
          <cell r="J825" t="str">
            <v>UN</v>
          </cell>
          <cell r="K825">
            <v>45616</v>
          </cell>
        </row>
        <row r="826">
          <cell r="A826" t="str">
            <v>50800523570</v>
          </cell>
          <cell r="B826" t="str">
            <v>ZMFD</v>
          </cell>
          <cell r="C826">
            <v>45505</v>
          </cell>
          <cell r="D826" t="str">
            <v>Not delivered</v>
          </cell>
          <cell r="E826">
            <v>508005235</v>
          </cell>
          <cell r="F826">
            <v>70</v>
          </cell>
          <cell r="G826">
            <v>1332995</v>
          </cell>
          <cell r="H826" t="str">
            <v>LC-008:CAP VM SLV WIP NAT EMLC PTI 20F</v>
          </cell>
          <cell r="I826">
            <v>100000</v>
          </cell>
          <cell r="J826" t="str">
            <v>UN</v>
          </cell>
          <cell r="K826">
            <v>45616</v>
          </cell>
        </row>
        <row r="827">
          <cell r="A827" t="str">
            <v>50800523580</v>
          </cell>
          <cell r="B827" t="str">
            <v>ZMFD</v>
          </cell>
          <cell r="C827">
            <v>45505</v>
          </cell>
          <cell r="D827" t="str">
            <v>Not delivered</v>
          </cell>
          <cell r="E827">
            <v>508005235</v>
          </cell>
          <cell r="F827">
            <v>80</v>
          </cell>
          <cell r="G827">
            <v>1434959</v>
          </cell>
          <cell r="H827" t="str">
            <v>LC-008:BTL CLR (PCTG) P/WHT EMLC PTI 60B</v>
          </cell>
          <cell r="I827">
            <v>100000</v>
          </cell>
          <cell r="J827" t="str">
            <v>UN</v>
          </cell>
          <cell r="K827">
            <v>45616</v>
          </cell>
        </row>
        <row r="828">
          <cell r="A828" t="str">
            <v>50800523320</v>
          </cell>
          <cell r="B828" t="str">
            <v>ZMFD</v>
          </cell>
          <cell r="C828">
            <v>45504</v>
          </cell>
          <cell r="D828" t="str">
            <v>Not delivered</v>
          </cell>
          <cell r="E828">
            <v>508005233</v>
          </cell>
          <cell r="F828">
            <v>20</v>
          </cell>
          <cell r="G828">
            <v>1169152</v>
          </cell>
          <cell r="H828" t="str">
            <v>CM-295:SQUARE COMPACT&amp;GODET PHHT010032</v>
          </cell>
          <cell r="I828">
            <v>20040</v>
          </cell>
          <cell r="J828" t="str">
            <v>UN</v>
          </cell>
          <cell r="K828">
            <v>45616</v>
          </cell>
        </row>
        <row r="829">
          <cell r="A829" t="str">
            <v>50800519610</v>
          </cell>
          <cell r="B829" t="str">
            <v>ZMFD</v>
          </cell>
          <cell r="C829">
            <v>45497</v>
          </cell>
          <cell r="D829" t="str">
            <v>Not delivered</v>
          </cell>
          <cell r="E829">
            <v>508005196</v>
          </cell>
          <cell r="F829">
            <v>10</v>
          </cell>
          <cell r="G829">
            <v>1382935</v>
          </cell>
          <cell r="H829" t="str">
            <v>LC-012:BTL VR2 PEACHPLS P/GLASTNG PTI60B</v>
          </cell>
          <cell r="I829">
            <v>13000</v>
          </cell>
          <cell r="J829" t="str">
            <v>UN</v>
          </cell>
          <cell r="K829">
            <v>45616</v>
          </cell>
        </row>
        <row r="830">
          <cell r="A830" t="str">
            <v>50800519620</v>
          </cell>
          <cell r="B830" t="str">
            <v>ZMFD</v>
          </cell>
          <cell r="C830">
            <v>45497</v>
          </cell>
          <cell r="D830" t="str">
            <v>Not delivered</v>
          </cell>
          <cell r="E830">
            <v>508005196</v>
          </cell>
          <cell r="F830">
            <v>20</v>
          </cell>
          <cell r="G830">
            <v>1385814</v>
          </cell>
          <cell r="H830" t="str">
            <v>LC-012:CAP VM BRWN WIP GLASTING PTI 20F</v>
          </cell>
          <cell r="I830">
            <v>13000</v>
          </cell>
          <cell r="J830" t="str">
            <v>UN</v>
          </cell>
          <cell r="K830">
            <v>45616</v>
          </cell>
        </row>
        <row r="831">
          <cell r="A831" t="str">
            <v>50800517620</v>
          </cell>
          <cell r="B831" t="str">
            <v>ZMFD</v>
          </cell>
          <cell r="C831">
            <v>45482</v>
          </cell>
          <cell r="D831" t="str">
            <v>Not delivered</v>
          </cell>
          <cell r="E831">
            <v>508005176</v>
          </cell>
          <cell r="F831">
            <v>20</v>
          </cell>
          <cell r="G831">
            <v>1171241</v>
          </cell>
          <cell r="H831" t="str">
            <v>CP-059:60ML UV GOLD WHT LN 7712010071 EL</v>
          </cell>
          <cell r="I831">
            <v>25080</v>
          </cell>
          <cell r="J831" t="str">
            <v>UN</v>
          </cell>
          <cell r="K831">
            <v>45616</v>
          </cell>
        </row>
        <row r="832">
          <cell r="A832" t="str">
            <v>50800517730</v>
          </cell>
          <cell r="B832" t="str">
            <v>ZMFD</v>
          </cell>
          <cell r="C832">
            <v>45482</v>
          </cell>
          <cell r="D832" t="str">
            <v>Not delivered</v>
          </cell>
          <cell r="E832">
            <v>508005177</v>
          </cell>
          <cell r="F832">
            <v>30</v>
          </cell>
          <cell r="G832">
            <v>1163327</v>
          </cell>
          <cell r="H832" t="str">
            <v>CM-246:CVR S.SLV PAN WHITE 6MPY 01 0034</v>
          </cell>
          <cell r="I832">
            <v>25056</v>
          </cell>
          <cell r="J832" t="str">
            <v>UN</v>
          </cell>
          <cell r="K832">
            <v>45616</v>
          </cell>
        </row>
        <row r="833">
          <cell r="A833" t="str">
            <v>50800506810</v>
          </cell>
          <cell r="B833" t="str">
            <v>ZMFD</v>
          </cell>
          <cell r="C833">
            <v>45433</v>
          </cell>
          <cell r="D833" t="str">
            <v>Not delivered</v>
          </cell>
          <cell r="E833">
            <v>508005068</v>
          </cell>
          <cell r="F833">
            <v>10</v>
          </cell>
          <cell r="G833">
            <v>1255662</v>
          </cell>
          <cell r="H833" t="str">
            <v>LC-002:BTL MT VAR12 P/WRDH B.MARK PTI40H</v>
          </cell>
          <cell r="I833">
            <v>31000</v>
          </cell>
          <cell r="J833" t="str">
            <v>UN</v>
          </cell>
          <cell r="K833">
            <v>45616</v>
          </cell>
        </row>
        <row r="834">
          <cell r="A834" t="str">
            <v>50800506820</v>
          </cell>
          <cell r="B834" t="str">
            <v>ZMFD</v>
          </cell>
          <cell r="C834">
            <v>45433</v>
          </cell>
          <cell r="D834" t="str">
            <v>Not delivered</v>
          </cell>
          <cell r="E834">
            <v>508005068</v>
          </cell>
          <cell r="F834">
            <v>20</v>
          </cell>
          <cell r="G834">
            <v>1174820</v>
          </cell>
          <cell r="H834" t="str">
            <v>LC-002:CP S/MT VAR12 STM-WHT WNAT PTI40D</v>
          </cell>
          <cell r="I834">
            <v>31000</v>
          </cell>
          <cell r="J834" t="str">
            <v>UN</v>
          </cell>
          <cell r="K834">
            <v>45616</v>
          </cell>
        </row>
        <row r="835">
          <cell r="A835" t="str">
            <v>50714268310</v>
          </cell>
          <cell r="B835" t="str">
            <v>ZMTD</v>
          </cell>
          <cell r="C835">
            <v>45532</v>
          </cell>
          <cell r="D835" t="str">
            <v>Not delivered</v>
          </cell>
          <cell r="E835">
            <v>507142683</v>
          </cell>
          <cell r="F835">
            <v>10</v>
          </cell>
          <cell r="G835">
            <v>1284957</v>
          </cell>
          <cell r="H835" t="str">
            <v>CM-244:WHITE U/CLR  S/SLVR ZGNC010031 EL</v>
          </cell>
          <cell r="I835">
            <v>10080</v>
          </cell>
          <cell r="J835" t="str">
            <v>UN</v>
          </cell>
          <cell r="K835">
            <v>45617</v>
          </cell>
        </row>
        <row r="836">
          <cell r="A836" t="str">
            <v>50800518140</v>
          </cell>
          <cell r="B836" t="str">
            <v>ZMFD</v>
          </cell>
          <cell r="C836">
            <v>45485</v>
          </cell>
          <cell r="D836" t="str">
            <v>Not delivered</v>
          </cell>
          <cell r="E836">
            <v>508005181</v>
          </cell>
          <cell r="F836">
            <v>40</v>
          </cell>
          <cell r="G836">
            <v>1413967</v>
          </cell>
          <cell r="H836" t="str">
            <v>CM-323:VM SILVER DIOR JUMBO M080</v>
          </cell>
          <cell r="I836">
            <v>27000</v>
          </cell>
          <cell r="J836" t="str">
            <v>UN</v>
          </cell>
          <cell r="K836">
            <v>45617</v>
          </cell>
        </row>
        <row r="837">
          <cell r="A837" t="str">
            <v>50714243340</v>
          </cell>
          <cell r="B837" t="str">
            <v>ZMTD</v>
          </cell>
          <cell r="C837">
            <v>45475</v>
          </cell>
          <cell r="D837" t="str">
            <v>Not delivered</v>
          </cell>
          <cell r="E837">
            <v>507142433</v>
          </cell>
          <cell r="F837">
            <v>40</v>
          </cell>
          <cell r="G837">
            <v>1406600</v>
          </cell>
          <cell r="H837" t="str">
            <v>CM-310:BLACK M086 CANNAGE S/SLV UV MT</v>
          </cell>
          <cell r="I837">
            <v>39000</v>
          </cell>
          <cell r="J837" t="str">
            <v>UN</v>
          </cell>
          <cell r="K837">
            <v>45617</v>
          </cell>
        </row>
        <row r="838">
          <cell r="A838" t="str">
            <v>50800528010</v>
          </cell>
          <cell r="B838" t="str">
            <v>ZMFD</v>
          </cell>
          <cell r="C838">
            <v>45553</v>
          </cell>
          <cell r="D838" t="str">
            <v>Not delivered</v>
          </cell>
          <cell r="E838">
            <v>508005280</v>
          </cell>
          <cell r="F838">
            <v>10</v>
          </cell>
          <cell r="G838">
            <v>1169286</v>
          </cell>
          <cell r="H838" t="str">
            <v>CM-294:RECTANGULAR WITH GODET PKTJ010032</v>
          </cell>
          <cell r="I838">
            <v>46880</v>
          </cell>
          <cell r="J838" t="str">
            <v>UN</v>
          </cell>
          <cell r="K838">
            <v>45618</v>
          </cell>
        </row>
        <row r="839">
          <cell r="A839" t="str">
            <v>50714276340</v>
          </cell>
          <cell r="B839" t="str">
            <v>ZMTD</v>
          </cell>
          <cell r="C839">
            <v>45552</v>
          </cell>
          <cell r="D839" t="str">
            <v>Not delivered</v>
          </cell>
          <cell r="E839">
            <v>507142763</v>
          </cell>
          <cell r="F839">
            <v>40</v>
          </cell>
          <cell r="G839">
            <v>1182817</v>
          </cell>
          <cell r="H839" t="str">
            <v>FP-014:JAR P/BLACK ALMAY</v>
          </cell>
          <cell r="I839">
            <v>25056</v>
          </cell>
          <cell r="J839" t="str">
            <v>UN</v>
          </cell>
          <cell r="K839">
            <v>45618</v>
          </cell>
        </row>
        <row r="840">
          <cell r="A840" t="str">
            <v>50714276410</v>
          </cell>
          <cell r="B840" t="str">
            <v>ZMTD</v>
          </cell>
          <cell r="C840">
            <v>45552</v>
          </cell>
          <cell r="D840" t="str">
            <v>Not delivered</v>
          </cell>
          <cell r="E840">
            <v>507142764</v>
          </cell>
          <cell r="F840">
            <v>10</v>
          </cell>
          <cell r="G840">
            <v>1211756</v>
          </cell>
          <cell r="H840" t="str">
            <v>CM-246:COVER VM SHNY SLV ALMOST PWD</v>
          </cell>
          <cell r="I840">
            <v>120120</v>
          </cell>
          <cell r="J840" t="str">
            <v>UN</v>
          </cell>
          <cell r="K840">
            <v>45618</v>
          </cell>
        </row>
        <row r="841">
          <cell r="A841" t="str">
            <v>50714275510</v>
          </cell>
          <cell r="B841" t="str">
            <v>ZMTD</v>
          </cell>
          <cell r="C841">
            <v>45547</v>
          </cell>
          <cell r="D841" t="str">
            <v>Not delivered</v>
          </cell>
          <cell r="E841">
            <v>507142755</v>
          </cell>
          <cell r="F841">
            <v>10</v>
          </cell>
          <cell r="G841">
            <v>1216572</v>
          </cell>
          <cell r="H841" t="str">
            <v>CM-216:TRUE MATCH CV PF S/SLV LOR (SEA)</v>
          </cell>
          <cell r="I841">
            <v>207600</v>
          </cell>
          <cell r="J841" t="str">
            <v>UN</v>
          </cell>
          <cell r="K841">
            <v>45618</v>
          </cell>
        </row>
        <row r="842">
          <cell r="A842" t="str">
            <v>50800527210</v>
          </cell>
          <cell r="B842" t="str">
            <v>ZMFD</v>
          </cell>
          <cell r="C842">
            <v>45538</v>
          </cell>
          <cell r="D842" t="str">
            <v>Not delivered</v>
          </cell>
          <cell r="E842">
            <v>508005272</v>
          </cell>
          <cell r="F842">
            <v>10</v>
          </cell>
          <cell r="G842">
            <v>1411899</v>
          </cell>
          <cell r="H842" t="str">
            <v>PT-100:BS/INS GREEN P/WHT KAHF PTI 60B</v>
          </cell>
          <cell r="I842">
            <v>63000</v>
          </cell>
          <cell r="J842" t="str">
            <v>UN</v>
          </cell>
          <cell r="K842">
            <v>45618</v>
          </cell>
        </row>
        <row r="843">
          <cell r="A843" t="str">
            <v>50800527220</v>
          </cell>
          <cell r="B843" t="str">
            <v>ZMFD</v>
          </cell>
          <cell r="C843">
            <v>45538</v>
          </cell>
          <cell r="D843" t="str">
            <v>Not delivered</v>
          </cell>
          <cell r="E843">
            <v>508005272</v>
          </cell>
          <cell r="F843">
            <v>20</v>
          </cell>
          <cell r="G843">
            <v>1411898</v>
          </cell>
          <cell r="H843" t="str">
            <v>PT-100:CVR MT.GREEN EMBOS KAHF PTI 40D</v>
          </cell>
          <cell r="I843">
            <v>63000</v>
          </cell>
          <cell r="J843" t="str">
            <v>UN</v>
          </cell>
          <cell r="K843">
            <v>45618</v>
          </cell>
        </row>
        <row r="844">
          <cell r="A844" t="str">
            <v>50714243810</v>
          </cell>
          <cell r="B844" t="str">
            <v>ZMTD</v>
          </cell>
          <cell r="C844">
            <v>45475</v>
          </cell>
          <cell r="D844" t="str">
            <v>Not delivered</v>
          </cell>
          <cell r="E844">
            <v>507142438</v>
          </cell>
          <cell r="F844">
            <v>10</v>
          </cell>
          <cell r="G844">
            <v>1159364</v>
          </cell>
          <cell r="H844" t="str">
            <v>CP-071:PL8364 INSERT TNR 125-200ML REX</v>
          </cell>
          <cell r="I844">
            <v>111000</v>
          </cell>
          <cell r="J844" t="str">
            <v>UN</v>
          </cell>
          <cell r="K844">
            <v>45619</v>
          </cell>
        </row>
        <row r="845">
          <cell r="A845" t="str">
            <v>50714270710</v>
          </cell>
          <cell r="B845" t="str">
            <v>ZMTD</v>
          </cell>
          <cell r="C845">
            <v>45534</v>
          </cell>
          <cell r="D845" t="str">
            <v>Not delivered</v>
          </cell>
          <cell r="E845">
            <v>507142707</v>
          </cell>
          <cell r="F845">
            <v>10</v>
          </cell>
          <cell r="G845">
            <v>1187758</v>
          </cell>
          <cell r="H845" t="str">
            <v>CM-105:VM RAINBOW P/ULTIMA II RUDYS 40C</v>
          </cell>
          <cell r="I845">
            <v>20000</v>
          </cell>
          <cell r="J845" t="str">
            <v>UN</v>
          </cell>
          <cell r="K845">
            <v>45620</v>
          </cell>
        </row>
        <row r="846">
          <cell r="A846" t="str">
            <v>50714275320</v>
          </cell>
          <cell r="B846" t="str">
            <v>ZMTD</v>
          </cell>
          <cell r="C846">
            <v>45546</v>
          </cell>
          <cell r="D846" t="str">
            <v>Not delivered</v>
          </cell>
          <cell r="E846">
            <v>507142753</v>
          </cell>
          <cell r="F846">
            <v>20</v>
          </cell>
          <cell r="G846">
            <v>1442652</v>
          </cell>
          <cell r="H846" t="str">
            <v>CM-253:BS BEIGE CV VMGLD P/INEZ RV1 20Y</v>
          </cell>
          <cell r="I846">
            <v>25000</v>
          </cell>
          <cell r="J846" t="str">
            <v>UN</v>
          </cell>
          <cell r="K846">
            <v>45621</v>
          </cell>
        </row>
        <row r="847">
          <cell r="A847" t="str">
            <v>50800527710</v>
          </cell>
          <cell r="B847" t="str">
            <v>ZMFD</v>
          </cell>
          <cell r="C847">
            <v>45541</v>
          </cell>
          <cell r="D847" t="str">
            <v>Not delivered</v>
          </cell>
          <cell r="E847">
            <v>508005277</v>
          </cell>
          <cell r="F847">
            <v>10</v>
          </cell>
          <cell r="G847">
            <v>1285453</v>
          </cell>
          <cell r="H847" t="str">
            <v>CM-216:TRUE MATCH PP CV PF S/SLV LOR US</v>
          </cell>
          <cell r="I847">
            <v>250000</v>
          </cell>
          <cell r="J847" t="str">
            <v>UN</v>
          </cell>
          <cell r="K847">
            <v>45621</v>
          </cell>
        </row>
        <row r="848">
          <cell r="A848" t="str">
            <v>50800526710</v>
          </cell>
          <cell r="B848" t="str">
            <v>ZMFD</v>
          </cell>
          <cell r="C848">
            <v>45532</v>
          </cell>
          <cell r="D848" t="str">
            <v>Not delivered</v>
          </cell>
          <cell r="E848">
            <v>508005267</v>
          </cell>
          <cell r="F848">
            <v>10</v>
          </cell>
          <cell r="G848">
            <v>1217479</v>
          </cell>
          <cell r="H848" t="str">
            <v>CM-172:8W UV SLV P/ S.CLNQ 6P40010031 EL</v>
          </cell>
          <cell r="I848">
            <v>25080</v>
          </cell>
          <cell r="J848" t="str">
            <v>UN</v>
          </cell>
          <cell r="K848">
            <v>45621</v>
          </cell>
        </row>
        <row r="849">
          <cell r="A849" t="str">
            <v>50800519730</v>
          </cell>
          <cell r="B849" t="str">
            <v>ZMFD</v>
          </cell>
          <cell r="C849">
            <v>45497</v>
          </cell>
          <cell r="D849" t="str">
            <v>Not delivered</v>
          </cell>
          <cell r="E849">
            <v>508005197</v>
          </cell>
          <cell r="F849">
            <v>30</v>
          </cell>
          <cell r="G849">
            <v>1385811</v>
          </cell>
          <cell r="H849" t="str">
            <v>LC-012:BTL VR4 ROSEWOOD P/GLASTNG PTI60B</v>
          </cell>
          <cell r="I849">
            <v>50000</v>
          </cell>
          <cell r="J849" t="str">
            <v>UN</v>
          </cell>
          <cell r="K849">
            <v>45621</v>
          </cell>
        </row>
        <row r="850">
          <cell r="A850" t="str">
            <v>50800519740</v>
          </cell>
          <cell r="B850" t="str">
            <v>ZMFD</v>
          </cell>
          <cell r="C850">
            <v>45497</v>
          </cell>
          <cell r="D850" t="str">
            <v>Not delivered</v>
          </cell>
          <cell r="E850">
            <v>508005197</v>
          </cell>
          <cell r="F850">
            <v>40</v>
          </cell>
          <cell r="G850">
            <v>1385814</v>
          </cell>
          <cell r="H850" t="str">
            <v>LC-012:CAP VM BRWN WIP GLASTING PTI 20F</v>
          </cell>
          <cell r="I850">
            <v>50000</v>
          </cell>
          <cell r="J850" t="str">
            <v>UN</v>
          </cell>
          <cell r="K850">
            <v>45621</v>
          </cell>
        </row>
        <row r="851">
          <cell r="A851" t="str">
            <v>50800520130</v>
          </cell>
          <cell r="B851" t="str">
            <v>ZMFD</v>
          </cell>
          <cell r="C851">
            <v>45497</v>
          </cell>
          <cell r="D851" t="str">
            <v>Not delivered</v>
          </cell>
          <cell r="E851">
            <v>508005201</v>
          </cell>
          <cell r="F851">
            <v>30</v>
          </cell>
          <cell r="G851">
            <v>1405658</v>
          </cell>
          <cell r="H851" t="str">
            <v>LC-012:BTL VR08 P/GLASTNG PTI60B</v>
          </cell>
          <cell r="I851">
            <v>25000</v>
          </cell>
          <cell r="J851" t="str">
            <v>UN</v>
          </cell>
          <cell r="K851">
            <v>45621</v>
          </cell>
        </row>
        <row r="852">
          <cell r="A852" t="str">
            <v>50800520140</v>
          </cell>
          <cell r="B852" t="str">
            <v>ZMFD</v>
          </cell>
          <cell r="C852">
            <v>45497</v>
          </cell>
          <cell r="D852" t="str">
            <v>Not delivered</v>
          </cell>
          <cell r="E852">
            <v>508005201</v>
          </cell>
          <cell r="F852">
            <v>40</v>
          </cell>
          <cell r="G852">
            <v>1385814</v>
          </cell>
          <cell r="H852" t="str">
            <v>LC-012:CAP VM BRWN WIP GLASTING PTI 20F</v>
          </cell>
          <cell r="I852">
            <v>25000</v>
          </cell>
          <cell r="J852" t="str">
            <v>UN</v>
          </cell>
          <cell r="K852">
            <v>45621</v>
          </cell>
        </row>
        <row r="853">
          <cell r="A853" t="str">
            <v>50714248910</v>
          </cell>
          <cell r="B853" t="str">
            <v>ZMTD</v>
          </cell>
          <cell r="C853">
            <v>45485</v>
          </cell>
          <cell r="D853" t="str">
            <v>Not delivered</v>
          </cell>
          <cell r="E853">
            <v>507142489</v>
          </cell>
          <cell r="F853">
            <v>10</v>
          </cell>
          <cell r="G853">
            <v>1385814</v>
          </cell>
          <cell r="H853" t="str">
            <v>LC-012:CAP VM BRWN WIP GLASTING PTI 20F</v>
          </cell>
          <cell r="I853">
            <v>25326</v>
          </cell>
          <cell r="J853" t="str">
            <v>UN</v>
          </cell>
          <cell r="K853">
            <v>45621</v>
          </cell>
        </row>
        <row r="854">
          <cell r="A854" t="str">
            <v>50714248920</v>
          </cell>
          <cell r="B854" t="str">
            <v>ZMTD</v>
          </cell>
          <cell r="C854">
            <v>45485</v>
          </cell>
          <cell r="D854" t="str">
            <v>Not delivered</v>
          </cell>
          <cell r="E854">
            <v>507142489</v>
          </cell>
          <cell r="F854">
            <v>20</v>
          </cell>
          <cell r="G854">
            <v>1390058</v>
          </cell>
          <cell r="H854" t="str">
            <v>LC-012:BTL VR6 RUBYSPAR P/GLASTNG PTI60B</v>
          </cell>
          <cell r="I854">
            <v>25326</v>
          </cell>
          <cell r="J854" t="str">
            <v>UN</v>
          </cell>
          <cell r="K854">
            <v>45621</v>
          </cell>
        </row>
        <row r="855">
          <cell r="A855" t="str">
            <v>50714245830</v>
          </cell>
          <cell r="B855" t="str">
            <v>ZMTD</v>
          </cell>
          <cell r="C855">
            <v>45481</v>
          </cell>
          <cell r="D855" t="str">
            <v>Not delivered</v>
          </cell>
          <cell r="E855">
            <v>507142458</v>
          </cell>
          <cell r="F855">
            <v>30</v>
          </cell>
          <cell r="G855">
            <v>1385814</v>
          </cell>
          <cell r="H855" t="str">
            <v>LC-012:CAP VM BRWN WIP GLASTING PTI 20F</v>
          </cell>
          <cell r="I855">
            <v>24948</v>
          </cell>
          <cell r="J855" t="str">
            <v>UN</v>
          </cell>
          <cell r="K855">
            <v>45621</v>
          </cell>
        </row>
        <row r="856">
          <cell r="A856" t="str">
            <v>50714245840</v>
          </cell>
          <cell r="B856" t="str">
            <v>ZMTD</v>
          </cell>
          <cell r="C856">
            <v>45481</v>
          </cell>
          <cell r="D856" t="str">
            <v>Not delivered</v>
          </cell>
          <cell r="E856">
            <v>507142458</v>
          </cell>
          <cell r="F856">
            <v>40</v>
          </cell>
          <cell r="G856">
            <v>1405883</v>
          </cell>
          <cell r="H856" t="str">
            <v>LC-012:BTL VR13 P/GLASTNG PTI60B</v>
          </cell>
          <cell r="I856">
            <v>24948</v>
          </cell>
          <cell r="J856" t="str">
            <v>UN</v>
          </cell>
          <cell r="K856">
            <v>45621</v>
          </cell>
        </row>
        <row r="857">
          <cell r="A857" t="str">
            <v>50800493460</v>
          </cell>
          <cell r="B857" t="str">
            <v>ZMFD</v>
          </cell>
          <cell r="C857">
            <v>45364</v>
          </cell>
          <cell r="D857" t="str">
            <v>Not delivered</v>
          </cell>
          <cell r="E857">
            <v>508004934</v>
          </cell>
          <cell r="F857">
            <v>60</v>
          </cell>
          <cell r="G857">
            <v>1378563</v>
          </cell>
          <cell r="H857" t="str">
            <v>CP-093:CAP D50 MT BLACK Ø.5 YASULOR 12A</v>
          </cell>
          <cell r="I857">
            <v>500000</v>
          </cell>
          <cell r="J857" t="str">
            <v>UN</v>
          </cell>
          <cell r="K857">
            <v>45621</v>
          </cell>
        </row>
        <row r="858">
          <cell r="A858" t="str">
            <v>50714276420</v>
          </cell>
          <cell r="B858" t="str">
            <v>ZMTD</v>
          </cell>
          <cell r="C858">
            <v>45552</v>
          </cell>
          <cell r="D858" t="str">
            <v>Not delivered</v>
          </cell>
          <cell r="E858">
            <v>507142764</v>
          </cell>
          <cell r="F858">
            <v>20</v>
          </cell>
          <cell r="G858">
            <v>1211756</v>
          </cell>
          <cell r="H858" t="str">
            <v>CM-246:COVER VM SHNY SLV ALMOST PWD</v>
          </cell>
          <cell r="I858">
            <v>120120</v>
          </cell>
          <cell r="J858" t="str">
            <v>UN</v>
          </cell>
          <cell r="K858">
            <v>45622</v>
          </cell>
        </row>
        <row r="859">
          <cell r="A859" t="str">
            <v>50800519470</v>
          </cell>
          <cell r="B859" t="str">
            <v>ZMFD</v>
          </cell>
          <cell r="C859">
            <v>45497</v>
          </cell>
          <cell r="D859" t="str">
            <v>Not delivered</v>
          </cell>
          <cell r="E859">
            <v>508005194</v>
          </cell>
          <cell r="F859">
            <v>70</v>
          </cell>
          <cell r="G859">
            <v>1385814</v>
          </cell>
          <cell r="H859" t="str">
            <v>LC-012:CAP VM BRWN WIP GLASTING PTI 20F</v>
          </cell>
          <cell r="I859">
            <v>25000</v>
          </cell>
          <cell r="J859" t="str">
            <v>UN</v>
          </cell>
          <cell r="K859">
            <v>45622</v>
          </cell>
        </row>
        <row r="860">
          <cell r="A860" t="str">
            <v>50800519480</v>
          </cell>
          <cell r="B860" t="str">
            <v>ZMFD</v>
          </cell>
          <cell r="C860">
            <v>45497</v>
          </cell>
          <cell r="D860" t="str">
            <v>Not delivered</v>
          </cell>
          <cell r="E860">
            <v>508005194</v>
          </cell>
          <cell r="F860">
            <v>80</v>
          </cell>
          <cell r="G860">
            <v>1406580</v>
          </cell>
          <cell r="H860" t="str">
            <v>LC-012:BTL VR09 P/GLASTNG PTI60B</v>
          </cell>
          <cell r="I860">
            <v>25000</v>
          </cell>
          <cell r="J860" t="str">
            <v>UN</v>
          </cell>
          <cell r="K860">
            <v>45622</v>
          </cell>
        </row>
        <row r="861">
          <cell r="A861" t="str">
            <v>50800519630</v>
          </cell>
          <cell r="B861" t="str">
            <v>ZMFD</v>
          </cell>
          <cell r="C861">
            <v>45497</v>
          </cell>
          <cell r="D861" t="str">
            <v>Not delivered</v>
          </cell>
          <cell r="E861">
            <v>508005196</v>
          </cell>
          <cell r="F861">
            <v>30</v>
          </cell>
          <cell r="G861">
            <v>1382935</v>
          </cell>
          <cell r="H861" t="str">
            <v>LC-012:BTL VR2 PEACHPLS P/GLASTNG PTI60B</v>
          </cell>
          <cell r="I861">
            <v>50000</v>
          </cell>
          <cell r="J861" t="str">
            <v>UN</v>
          </cell>
          <cell r="K861">
            <v>45622</v>
          </cell>
        </row>
        <row r="862">
          <cell r="A862" t="str">
            <v>50800519640</v>
          </cell>
          <cell r="B862" t="str">
            <v>ZMFD</v>
          </cell>
          <cell r="C862">
            <v>45497</v>
          </cell>
          <cell r="D862" t="str">
            <v>Not delivered</v>
          </cell>
          <cell r="E862">
            <v>508005196</v>
          </cell>
          <cell r="F862">
            <v>40</v>
          </cell>
          <cell r="G862">
            <v>1385814</v>
          </cell>
          <cell r="H862" t="str">
            <v>LC-012:CAP VM BRWN WIP GLASTING PTI 20F</v>
          </cell>
          <cell r="I862">
            <v>50000</v>
          </cell>
          <cell r="J862" t="str">
            <v>UN</v>
          </cell>
          <cell r="K862">
            <v>45622</v>
          </cell>
        </row>
        <row r="863">
          <cell r="A863" t="str">
            <v>50800520410</v>
          </cell>
          <cell r="B863" t="str">
            <v>ZMFD</v>
          </cell>
          <cell r="C863">
            <v>45497</v>
          </cell>
          <cell r="D863" t="str">
            <v>Not delivered</v>
          </cell>
          <cell r="E863">
            <v>508005204</v>
          </cell>
          <cell r="F863">
            <v>10</v>
          </cell>
          <cell r="G863">
            <v>1405883</v>
          </cell>
          <cell r="H863" t="str">
            <v>LC-012:BTL VR13 P/GLASTNG PTI60B</v>
          </cell>
          <cell r="I863">
            <v>25000</v>
          </cell>
          <cell r="J863" t="str">
            <v>UN</v>
          </cell>
          <cell r="K863">
            <v>45622</v>
          </cell>
        </row>
        <row r="864">
          <cell r="A864" t="str">
            <v>50800520420</v>
          </cell>
          <cell r="B864" t="str">
            <v>ZMFD</v>
          </cell>
          <cell r="C864">
            <v>45497</v>
          </cell>
          <cell r="D864" t="str">
            <v>Not delivered</v>
          </cell>
          <cell r="E864">
            <v>508005204</v>
          </cell>
          <cell r="F864">
            <v>20</v>
          </cell>
          <cell r="G864">
            <v>1385814</v>
          </cell>
          <cell r="H864" t="str">
            <v>LC-012:CAP VM BRWN WIP GLASTING PTI 20F</v>
          </cell>
          <cell r="I864">
            <v>25000</v>
          </cell>
          <cell r="J864" t="str">
            <v>UN</v>
          </cell>
          <cell r="K864">
            <v>45622</v>
          </cell>
        </row>
        <row r="865">
          <cell r="A865" t="str">
            <v>50714250510</v>
          </cell>
          <cell r="B865" t="str">
            <v>ZMTD</v>
          </cell>
          <cell r="C865">
            <v>45488</v>
          </cell>
          <cell r="D865" t="str">
            <v>Not delivered</v>
          </cell>
          <cell r="E865">
            <v>507142505</v>
          </cell>
          <cell r="F865">
            <v>10</v>
          </cell>
          <cell r="G865">
            <v>1419488</v>
          </cell>
          <cell r="H865" t="str">
            <v>CP-063R:SPOUT CAP WHITE LOREAL 12A</v>
          </cell>
          <cell r="I865">
            <v>1890000</v>
          </cell>
          <cell r="J865" t="str">
            <v>UN</v>
          </cell>
          <cell r="K865">
            <v>45622</v>
          </cell>
        </row>
        <row r="866">
          <cell r="A866" t="str">
            <v>50714226810</v>
          </cell>
          <cell r="B866" t="str">
            <v>ZMTD</v>
          </cell>
          <cell r="C866">
            <v>45443</v>
          </cell>
          <cell r="D866" t="str">
            <v>Not delivered</v>
          </cell>
          <cell r="E866">
            <v>507142268</v>
          </cell>
          <cell r="F866">
            <v>10</v>
          </cell>
          <cell r="G866">
            <v>1187961</v>
          </cell>
          <cell r="H866" t="str">
            <v>FP-029:CVR VMRAINBOW P/ULTM II RUDYS 40C</v>
          </cell>
          <cell r="I866">
            <v>5000</v>
          </cell>
          <cell r="J866" t="str">
            <v>UN</v>
          </cell>
          <cell r="K866">
            <v>45622</v>
          </cell>
        </row>
        <row r="867">
          <cell r="A867" t="str">
            <v>50714226820</v>
          </cell>
          <cell r="B867" t="str">
            <v>ZMTD</v>
          </cell>
          <cell r="C867">
            <v>45443</v>
          </cell>
          <cell r="D867" t="str">
            <v>Not delivered</v>
          </cell>
          <cell r="E867">
            <v>507142268</v>
          </cell>
          <cell r="F867">
            <v>20</v>
          </cell>
          <cell r="G867">
            <v>1176240</v>
          </cell>
          <cell r="H867" t="str">
            <v>FP-029:BASE CLEAR NO DC ULTIMA II RUDY S</v>
          </cell>
          <cell r="I867">
            <v>5000</v>
          </cell>
          <cell r="J867" t="str">
            <v>UN</v>
          </cell>
          <cell r="K867">
            <v>45622</v>
          </cell>
        </row>
        <row r="868">
          <cell r="A868" t="str">
            <v>50714226830</v>
          </cell>
          <cell r="B868" t="str">
            <v>ZMTD</v>
          </cell>
          <cell r="C868">
            <v>45443</v>
          </cell>
          <cell r="D868" t="str">
            <v>Not delivered</v>
          </cell>
          <cell r="E868">
            <v>507142268</v>
          </cell>
          <cell r="F868">
            <v>30</v>
          </cell>
          <cell r="G868">
            <v>1173507</v>
          </cell>
          <cell r="H868" t="str">
            <v>FP-029:SIFTER NT W/LBL NO DECO ULTIMA II</v>
          </cell>
          <cell r="I868">
            <v>5000</v>
          </cell>
          <cell r="J868" t="str">
            <v>UN</v>
          </cell>
          <cell r="K868">
            <v>45622</v>
          </cell>
        </row>
        <row r="869">
          <cell r="A869" t="str">
            <v>50714226840</v>
          </cell>
          <cell r="B869" t="str">
            <v>ZMTD</v>
          </cell>
          <cell r="C869">
            <v>45443</v>
          </cell>
          <cell r="D869" t="str">
            <v>Not delivered</v>
          </cell>
          <cell r="E869">
            <v>507142268</v>
          </cell>
          <cell r="F869">
            <v>40</v>
          </cell>
          <cell r="G869">
            <v>1187961</v>
          </cell>
          <cell r="H869" t="str">
            <v>FP-029:CVR VMRAINBOW P/ULTM II RUDYS 40C</v>
          </cell>
          <cell r="I869">
            <v>20000</v>
          </cell>
          <cell r="J869" t="str">
            <v>UN</v>
          </cell>
          <cell r="K869">
            <v>45622</v>
          </cell>
        </row>
        <row r="870">
          <cell r="A870" t="str">
            <v>50714226850</v>
          </cell>
          <cell r="B870" t="str">
            <v>ZMTD</v>
          </cell>
          <cell r="C870">
            <v>45443</v>
          </cell>
          <cell r="D870" t="str">
            <v>Not delivered</v>
          </cell>
          <cell r="E870">
            <v>507142268</v>
          </cell>
          <cell r="F870">
            <v>50</v>
          </cell>
          <cell r="G870">
            <v>1176240</v>
          </cell>
          <cell r="H870" t="str">
            <v>FP-029:BASE CLEAR NO DC ULTIMA II RUDY S</v>
          </cell>
          <cell r="I870">
            <v>20000</v>
          </cell>
          <cell r="J870" t="str">
            <v>UN</v>
          </cell>
          <cell r="K870">
            <v>45622</v>
          </cell>
        </row>
        <row r="871">
          <cell r="A871" t="str">
            <v>50714226860</v>
          </cell>
          <cell r="B871" t="str">
            <v>ZMTD</v>
          </cell>
          <cell r="C871">
            <v>45443</v>
          </cell>
          <cell r="D871" t="str">
            <v>Not delivered</v>
          </cell>
          <cell r="E871">
            <v>507142268</v>
          </cell>
          <cell r="F871">
            <v>60</v>
          </cell>
          <cell r="G871">
            <v>1173507</v>
          </cell>
          <cell r="H871" t="str">
            <v>FP-029:SIFTER NT W/LBL NO DECO ULTIMA II</v>
          </cell>
          <cell r="I871">
            <v>20000</v>
          </cell>
          <cell r="J871" t="str">
            <v>UN</v>
          </cell>
          <cell r="K871">
            <v>45622</v>
          </cell>
        </row>
        <row r="872">
          <cell r="A872" t="str">
            <v>507142765100</v>
          </cell>
          <cell r="B872" t="str">
            <v>ZMTD</v>
          </cell>
          <cell r="C872">
            <v>45552</v>
          </cell>
          <cell r="D872" t="str">
            <v>Not delivered</v>
          </cell>
          <cell r="E872">
            <v>507142765</v>
          </cell>
          <cell r="F872">
            <v>100</v>
          </cell>
          <cell r="G872">
            <v>1398383</v>
          </cell>
          <cell r="H872" t="str">
            <v>CM-319:WHITE P/BLACK UV MATTE NARS</v>
          </cell>
          <cell r="I872">
            <v>40080</v>
          </cell>
          <cell r="J872" t="str">
            <v>UN</v>
          </cell>
          <cell r="K872">
            <v>45623</v>
          </cell>
        </row>
        <row r="873">
          <cell r="A873" t="str">
            <v>50800527810</v>
          </cell>
          <cell r="B873" t="str">
            <v>ZMFD</v>
          </cell>
          <cell r="C873">
            <v>45544</v>
          </cell>
          <cell r="D873" t="str">
            <v>Not delivered</v>
          </cell>
          <cell r="E873">
            <v>508005278</v>
          </cell>
          <cell r="F873">
            <v>10</v>
          </cell>
          <cell r="G873">
            <v>1437039</v>
          </cell>
          <cell r="H873" t="str">
            <v>CM-290:1PC BS CV MT.BLK S/ EMBOS OMG 40C</v>
          </cell>
          <cell r="I873">
            <v>75000</v>
          </cell>
          <cell r="J873" t="str">
            <v>UN</v>
          </cell>
          <cell r="K873">
            <v>45623</v>
          </cell>
        </row>
        <row r="874">
          <cell r="A874" t="str">
            <v>50800527820</v>
          </cell>
          <cell r="B874" t="str">
            <v>ZMFD</v>
          </cell>
          <cell r="C874">
            <v>45544</v>
          </cell>
          <cell r="D874" t="str">
            <v>Not delivered</v>
          </cell>
          <cell r="E874">
            <v>508005278</v>
          </cell>
          <cell r="F874">
            <v>20</v>
          </cell>
          <cell r="G874">
            <v>1437140</v>
          </cell>
          <cell r="H874" t="str">
            <v>CM-290:ENGINE CV RED, BS BLK OMG PTI 12A</v>
          </cell>
          <cell r="I874">
            <v>75000</v>
          </cell>
          <cell r="J874" t="str">
            <v>UN</v>
          </cell>
          <cell r="K874">
            <v>45623</v>
          </cell>
        </row>
        <row r="875">
          <cell r="A875" t="str">
            <v>50800527830</v>
          </cell>
          <cell r="B875" t="str">
            <v>ZMFD</v>
          </cell>
          <cell r="C875">
            <v>45544</v>
          </cell>
          <cell r="D875" t="str">
            <v>Not delivered</v>
          </cell>
          <cell r="E875">
            <v>508005278</v>
          </cell>
          <cell r="F875">
            <v>30</v>
          </cell>
          <cell r="G875">
            <v>1437141</v>
          </cell>
          <cell r="H875" t="str">
            <v>CM-290:RING BLACK OMG PTI 12A</v>
          </cell>
          <cell r="I875">
            <v>75000</v>
          </cell>
          <cell r="J875" t="str">
            <v>UN</v>
          </cell>
          <cell r="K875">
            <v>45623</v>
          </cell>
        </row>
        <row r="876">
          <cell r="A876" t="str">
            <v>50714262810</v>
          </cell>
          <cell r="B876" t="str">
            <v>ZMTD</v>
          </cell>
          <cell r="C876">
            <v>45516</v>
          </cell>
          <cell r="D876" t="str">
            <v>Not delivered</v>
          </cell>
          <cell r="E876">
            <v>507142628</v>
          </cell>
          <cell r="F876">
            <v>10</v>
          </cell>
          <cell r="G876">
            <v>1263107</v>
          </cell>
          <cell r="H876" t="str">
            <v>CM-117:CVR BLK S/SLV BS BLK KSIPT 30K</v>
          </cell>
          <cell r="I876">
            <v>10000</v>
          </cell>
          <cell r="J876" t="str">
            <v>UN</v>
          </cell>
          <cell r="K876">
            <v>45623</v>
          </cell>
        </row>
        <row r="877">
          <cell r="A877" t="str">
            <v>50800523330</v>
          </cell>
          <cell r="B877" t="str">
            <v>ZMFD</v>
          </cell>
          <cell r="C877">
            <v>45504</v>
          </cell>
          <cell r="D877" t="str">
            <v>Not delivered</v>
          </cell>
          <cell r="E877">
            <v>508005233</v>
          </cell>
          <cell r="F877">
            <v>30</v>
          </cell>
          <cell r="G877">
            <v>1169152</v>
          </cell>
          <cell r="H877" t="str">
            <v>CM-295:SQUARE COMPACT&amp;GODET PHHT010032</v>
          </cell>
          <cell r="I877">
            <v>20040</v>
          </cell>
          <cell r="J877" t="str">
            <v>UN</v>
          </cell>
          <cell r="K877">
            <v>45623</v>
          </cell>
        </row>
        <row r="878">
          <cell r="A878" t="str">
            <v>50714272910</v>
          </cell>
          <cell r="B878" t="str">
            <v>ZMTD</v>
          </cell>
          <cell r="C878">
            <v>45541</v>
          </cell>
          <cell r="D878" t="str">
            <v>Not delivered</v>
          </cell>
          <cell r="E878">
            <v>507142729</v>
          </cell>
          <cell r="F878">
            <v>10</v>
          </cell>
          <cell r="G878">
            <v>1193139</v>
          </cell>
          <cell r="H878" t="str">
            <v>FP-026:APPLICT VM SILVER FACES</v>
          </cell>
          <cell r="I878">
            <v>15000</v>
          </cell>
          <cell r="J878" t="str">
            <v>UN</v>
          </cell>
          <cell r="K878">
            <v>45624</v>
          </cell>
        </row>
        <row r="879">
          <cell r="A879" t="str">
            <v>50714272920</v>
          </cell>
          <cell r="B879" t="str">
            <v>ZMTD</v>
          </cell>
          <cell r="C879">
            <v>45541</v>
          </cell>
          <cell r="D879" t="str">
            <v>Not delivered</v>
          </cell>
          <cell r="E879">
            <v>507142729</v>
          </cell>
          <cell r="F879">
            <v>20</v>
          </cell>
          <cell r="G879">
            <v>1193250</v>
          </cell>
          <cell r="H879" t="str">
            <v>FP-026:BASE BLACK P/SLVR 2018 RGIND 60B</v>
          </cell>
          <cell r="I879">
            <v>15000</v>
          </cell>
          <cell r="J879" t="str">
            <v>UN</v>
          </cell>
          <cell r="K879">
            <v>45624</v>
          </cell>
        </row>
        <row r="880">
          <cell r="A880" t="str">
            <v>50714262710</v>
          </cell>
          <cell r="B880" t="str">
            <v>ZMTD</v>
          </cell>
          <cell r="C880">
            <v>45516</v>
          </cell>
          <cell r="D880" t="str">
            <v>Not delivered</v>
          </cell>
          <cell r="E880">
            <v>507142627</v>
          </cell>
          <cell r="F880">
            <v>10</v>
          </cell>
          <cell r="G880">
            <v>1238216</v>
          </cell>
          <cell r="H880" t="str">
            <v>FP-041:CVR NAT VM SLV P/LG INEZ KSI 20Y</v>
          </cell>
          <cell r="I880">
            <v>20000</v>
          </cell>
          <cell r="J880" t="str">
            <v>UN</v>
          </cell>
          <cell r="K880">
            <v>45624</v>
          </cell>
        </row>
        <row r="881">
          <cell r="A881" t="str">
            <v>50714262720</v>
          </cell>
          <cell r="B881" t="str">
            <v>ZMTD</v>
          </cell>
          <cell r="C881">
            <v>45516</v>
          </cell>
          <cell r="D881" t="str">
            <v>Not delivered</v>
          </cell>
          <cell r="E881">
            <v>507142627</v>
          </cell>
          <cell r="F881">
            <v>20</v>
          </cell>
          <cell r="G881">
            <v>1238217</v>
          </cell>
          <cell r="H881" t="str">
            <v>FP-041:BS CLR NO DECO KSI 12A</v>
          </cell>
          <cell r="I881">
            <v>20000</v>
          </cell>
          <cell r="J881" t="str">
            <v>UN</v>
          </cell>
          <cell r="K881">
            <v>45624</v>
          </cell>
        </row>
        <row r="882">
          <cell r="A882" t="str">
            <v>50714262730</v>
          </cell>
          <cell r="B882" t="str">
            <v>ZMTD</v>
          </cell>
          <cell r="C882">
            <v>45516</v>
          </cell>
          <cell r="D882" t="str">
            <v>Not delivered</v>
          </cell>
          <cell r="E882">
            <v>507142627</v>
          </cell>
          <cell r="F882">
            <v>30</v>
          </cell>
          <cell r="G882">
            <v>1238218</v>
          </cell>
          <cell r="H882" t="str">
            <v>FP-041:SFTR NAT W/LBL CLEAR KSI 12A</v>
          </cell>
          <cell r="I882">
            <v>20000</v>
          </cell>
          <cell r="J882" t="str">
            <v>UN</v>
          </cell>
          <cell r="K882">
            <v>45624</v>
          </cell>
        </row>
        <row r="883">
          <cell r="A883" t="str">
            <v>50800518150</v>
          </cell>
          <cell r="B883" t="str">
            <v>ZMFD</v>
          </cell>
          <cell r="C883">
            <v>45485</v>
          </cell>
          <cell r="D883" t="str">
            <v>Not delivered</v>
          </cell>
          <cell r="E883">
            <v>508005181</v>
          </cell>
          <cell r="F883">
            <v>50</v>
          </cell>
          <cell r="G883">
            <v>1413967</v>
          </cell>
          <cell r="H883" t="str">
            <v>CM-323:VM SILVER DIOR JUMBO M080</v>
          </cell>
          <cell r="I883">
            <v>18000</v>
          </cell>
          <cell r="J883" t="str">
            <v>UN</v>
          </cell>
          <cell r="K883">
            <v>45624</v>
          </cell>
        </row>
        <row r="884">
          <cell r="A884" t="str">
            <v>50714236710</v>
          </cell>
          <cell r="B884" t="str">
            <v>ZMTD</v>
          </cell>
          <cell r="C884">
            <v>45463</v>
          </cell>
          <cell r="D884" t="str">
            <v>Not delivered</v>
          </cell>
          <cell r="E884">
            <v>507142367</v>
          </cell>
          <cell r="F884">
            <v>10</v>
          </cell>
          <cell r="G884">
            <v>1175305</v>
          </cell>
          <cell r="H884" t="str">
            <v>CM-088:BROWN PRL S/GLD REVLON NEW RUDY</v>
          </cell>
          <cell r="I884">
            <v>10000</v>
          </cell>
          <cell r="J884" t="str">
            <v>UN</v>
          </cell>
          <cell r="K884">
            <v>45624</v>
          </cell>
        </row>
        <row r="885">
          <cell r="A885" t="str">
            <v>50800500140</v>
          </cell>
          <cell r="B885" t="str">
            <v>ZMFD</v>
          </cell>
          <cell r="C885">
            <v>45412</v>
          </cell>
          <cell r="D885" t="str">
            <v>Not delivered</v>
          </cell>
          <cell r="E885">
            <v>508005001</v>
          </cell>
          <cell r="F885">
            <v>40</v>
          </cell>
          <cell r="G885">
            <v>1212608</v>
          </cell>
          <cell r="H885" t="str">
            <v>FP-014:CVR BLUE S/LOGO INEZ GOLD KSI 50C</v>
          </cell>
          <cell r="I885">
            <v>25000</v>
          </cell>
          <cell r="J885" t="str">
            <v>UN</v>
          </cell>
          <cell r="K885">
            <v>45624</v>
          </cell>
        </row>
        <row r="886">
          <cell r="A886" t="str">
            <v>50800500150</v>
          </cell>
          <cell r="B886" t="str">
            <v>ZMFD</v>
          </cell>
          <cell r="C886">
            <v>45412</v>
          </cell>
          <cell r="D886" t="str">
            <v>Not delivered</v>
          </cell>
          <cell r="E886">
            <v>508005001</v>
          </cell>
          <cell r="F886">
            <v>50</v>
          </cell>
          <cell r="G886">
            <v>1212609</v>
          </cell>
          <cell r="H886" t="str">
            <v>FP-014:SFTR NAT STICKER TRANS KSI 12A</v>
          </cell>
          <cell r="I886">
            <v>25000</v>
          </cell>
          <cell r="J886" t="str">
            <v>UN</v>
          </cell>
          <cell r="K886">
            <v>45624</v>
          </cell>
        </row>
        <row r="887">
          <cell r="A887" t="str">
            <v>50800500160</v>
          </cell>
          <cell r="B887" t="str">
            <v>ZMFD</v>
          </cell>
          <cell r="C887">
            <v>45412</v>
          </cell>
          <cell r="D887" t="str">
            <v>Not delivered</v>
          </cell>
          <cell r="E887">
            <v>508005001</v>
          </cell>
          <cell r="F887">
            <v>60</v>
          </cell>
          <cell r="G887">
            <v>1212640</v>
          </cell>
          <cell r="H887" t="str">
            <v>FP-014:BS CLR SPRYGRDS S/INEZ GLD 40C</v>
          </cell>
          <cell r="I887">
            <v>25000</v>
          </cell>
          <cell r="J887" t="str">
            <v>UN</v>
          </cell>
          <cell r="K887">
            <v>45624</v>
          </cell>
        </row>
        <row r="888">
          <cell r="A888" t="str">
            <v>50800469420</v>
          </cell>
          <cell r="B888" t="str">
            <v>ZMFD</v>
          </cell>
          <cell r="C888">
            <v>45252</v>
          </cell>
          <cell r="D888" t="str">
            <v>Not delivered</v>
          </cell>
          <cell r="E888">
            <v>508004694</v>
          </cell>
          <cell r="F888">
            <v>20</v>
          </cell>
          <cell r="G888">
            <v>1262549</v>
          </cell>
          <cell r="H888" t="str">
            <v>CM-280:BLUE S/GOLD ES INEZ</v>
          </cell>
          <cell r="I888">
            <v>30000</v>
          </cell>
          <cell r="J888" t="str">
            <v>UN</v>
          </cell>
          <cell r="K888">
            <v>45624</v>
          </cell>
        </row>
        <row r="889">
          <cell r="A889" t="str">
            <v>50800469530</v>
          </cell>
          <cell r="B889" t="str">
            <v>ZMFD</v>
          </cell>
          <cell r="C889">
            <v>45252</v>
          </cell>
          <cell r="D889" t="str">
            <v>Not delivered</v>
          </cell>
          <cell r="E889">
            <v>508004695</v>
          </cell>
          <cell r="F889">
            <v>30</v>
          </cell>
          <cell r="G889">
            <v>1262590</v>
          </cell>
          <cell r="H889" t="str">
            <v>CM-280:BLUE S/GOLD BO INEZ</v>
          </cell>
          <cell r="I889">
            <v>30000</v>
          </cell>
          <cell r="J889" t="str">
            <v>UN</v>
          </cell>
          <cell r="K889">
            <v>45624</v>
          </cell>
        </row>
        <row r="890">
          <cell r="A890" t="str">
            <v>50800526210</v>
          </cell>
          <cell r="B890" t="str">
            <v>ZMFD</v>
          </cell>
          <cell r="C890">
            <v>45524</v>
          </cell>
          <cell r="D890" t="str">
            <v>Not delivered</v>
          </cell>
          <cell r="E890">
            <v>508005262</v>
          </cell>
          <cell r="F890">
            <v>10</v>
          </cell>
          <cell r="G890">
            <v>1163327</v>
          </cell>
          <cell r="H890" t="str">
            <v>CM-246:CVR S.SLV PAN WHITE 6MPY 01 0034</v>
          </cell>
          <cell r="I890">
            <v>25056</v>
          </cell>
          <cell r="J890" t="str">
            <v>UN</v>
          </cell>
          <cell r="K890">
            <v>45625</v>
          </cell>
        </row>
        <row r="891">
          <cell r="A891" t="str">
            <v>50800523220</v>
          </cell>
          <cell r="B891" t="str">
            <v>ZMFD</v>
          </cell>
          <cell r="C891">
            <v>45503</v>
          </cell>
          <cell r="D891" t="str">
            <v>Not delivered</v>
          </cell>
          <cell r="E891">
            <v>508005232</v>
          </cell>
          <cell r="F891">
            <v>20</v>
          </cell>
          <cell r="G891">
            <v>1305089</v>
          </cell>
          <cell r="H891" t="str">
            <v>CM-207:VM SHY SLV P/MATTE ZGH6010038 EL</v>
          </cell>
          <cell r="I891">
            <v>25920</v>
          </cell>
          <cell r="J891" t="str">
            <v>UN</v>
          </cell>
          <cell r="K891">
            <v>45625</v>
          </cell>
        </row>
        <row r="892">
          <cell r="A892" t="str">
            <v>50714277750</v>
          </cell>
          <cell r="B892" t="str">
            <v>ZMTD</v>
          </cell>
          <cell r="C892">
            <v>45554</v>
          </cell>
          <cell r="D892" t="str">
            <v>Not delivered</v>
          </cell>
          <cell r="E892">
            <v>507142777</v>
          </cell>
          <cell r="F892">
            <v>50</v>
          </cell>
          <cell r="G892">
            <v>1435311</v>
          </cell>
          <cell r="H892" t="str">
            <v>LC-002:BTL/COL MTGRAD SLV AZURA LION 40D</v>
          </cell>
          <cell r="I892">
            <v>50589</v>
          </cell>
          <cell r="J892" t="str">
            <v>UN</v>
          </cell>
          <cell r="K892">
            <v>45628</v>
          </cell>
        </row>
        <row r="893">
          <cell r="A893" t="str">
            <v>50714277760</v>
          </cell>
          <cell r="B893" t="str">
            <v>ZMTD</v>
          </cell>
          <cell r="C893">
            <v>45554</v>
          </cell>
          <cell r="D893" t="str">
            <v>Not delivered</v>
          </cell>
          <cell r="E893">
            <v>507142777</v>
          </cell>
          <cell r="F893">
            <v>60</v>
          </cell>
          <cell r="G893">
            <v>1435313</v>
          </cell>
          <cell r="H893" t="str">
            <v>LC-002:CAP MTSLV WIPNAT S/AZURA LION 40C</v>
          </cell>
          <cell r="I893">
            <v>50589</v>
          </cell>
          <cell r="J893" t="str">
            <v>UN</v>
          </cell>
          <cell r="K893">
            <v>45628</v>
          </cell>
        </row>
        <row r="894">
          <cell r="A894" t="str">
            <v>50714254010</v>
          </cell>
          <cell r="B894" t="str">
            <v>ZMTD</v>
          </cell>
          <cell r="C894">
            <v>45490</v>
          </cell>
          <cell r="D894" t="str">
            <v>Not delivered</v>
          </cell>
          <cell r="E894">
            <v>507142540</v>
          </cell>
          <cell r="F894">
            <v>10</v>
          </cell>
          <cell r="G894">
            <v>1160334</v>
          </cell>
          <cell r="H894" t="str">
            <v>CP-071:CP8364 RL RED 200ML MASS TINT 407</v>
          </cell>
          <cell r="I894">
            <v>43500</v>
          </cell>
          <cell r="J894" t="str">
            <v>UN</v>
          </cell>
          <cell r="K894">
            <v>45628</v>
          </cell>
        </row>
        <row r="895">
          <cell r="A895" t="str">
            <v>50714248930</v>
          </cell>
          <cell r="B895" t="str">
            <v>ZMTD</v>
          </cell>
          <cell r="C895">
            <v>45485</v>
          </cell>
          <cell r="D895" t="str">
            <v>Not delivered</v>
          </cell>
          <cell r="E895">
            <v>507142489</v>
          </cell>
          <cell r="F895">
            <v>30</v>
          </cell>
          <cell r="G895">
            <v>1385814</v>
          </cell>
          <cell r="H895" t="str">
            <v>LC-012:CAP VM BRWN WIP GLASTING PTI 20F</v>
          </cell>
          <cell r="I895">
            <v>27972</v>
          </cell>
          <cell r="J895" t="str">
            <v>UN</v>
          </cell>
          <cell r="K895">
            <v>45628</v>
          </cell>
        </row>
        <row r="896">
          <cell r="A896" t="str">
            <v>50714248940</v>
          </cell>
          <cell r="B896" t="str">
            <v>ZMTD</v>
          </cell>
          <cell r="C896">
            <v>45485</v>
          </cell>
          <cell r="D896" t="str">
            <v>Not delivered</v>
          </cell>
          <cell r="E896">
            <v>507142489</v>
          </cell>
          <cell r="F896">
            <v>40</v>
          </cell>
          <cell r="G896">
            <v>1390058</v>
          </cell>
          <cell r="H896" t="str">
            <v>LC-012:BTL VR6 RUBYSPAR P/GLASTNG PTI60B</v>
          </cell>
          <cell r="I896">
            <v>27972</v>
          </cell>
          <cell r="J896" t="str">
            <v>UN</v>
          </cell>
          <cell r="K896">
            <v>45628</v>
          </cell>
        </row>
        <row r="897">
          <cell r="A897" t="str">
            <v>50714248630</v>
          </cell>
          <cell r="B897" t="str">
            <v>ZMTD</v>
          </cell>
          <cell r="C897">
            <v>45484</v>
          </cell>
          <cell r="D897" t="str">
            <v>Not delivered</v>
          </cell>
          <cell r="E897">
            <v>507142486</v>
          </cell>
          <cell r="F897">
            <v>30</v>
          </cell>
          <cell r="G897">
            <v>1225724</v>
          </cell>
          <cell r="H897" t="str">
            <v>CL-003:BTL CLR COL BEIGE P/EMINA PTI 60B</v>
          </cell>
          <cell r="I897">
            <v>24948</v>
          </cell>
          <cell r="J897" t="str">
            <v>UN</v>
          </cell>
          <cell r="K897">
            <v>45628</v>
          </cell>
        </row>
        <row r="898">
          <cell r="A898" t="str">
            <v>50714248640</v>
          </cell>
          <cell r="B898" t="str">
            <v>ZMTD</v>
          </cell>
          <cell r="C898">
            <v>45484</v>
          </cell>
          <cell r="D898" t="str">
            <v>Not delivered</v>
          </cell>
          <cell r="E898">
            <v>507142486</v>
          </cell>
          <cell r="F898">
            <v>40</v>
          </cell>
          <cell r="G898">
            <v>1225723</v>
          </cell>
          <cell r="H898" t="str">
            <v>CL-003:CAP BEIGE P/EMINA WIP NAT PTI 60B</v>
          </cell>
          <cell r="I898">
            <v>24948</v>
          </cell>
          <cell r="J898" t="str">
            <v>UN</v>
          </cell>
          <cell r="K898">
            <v>45628</v>
          </cell>
        </row>
        <row r="899">
          <cell r="A899" t="str">
            <v>50800528020</v>
          </cell>
          <cell r="B899" t="str">
            <v>ZMFD</v>
          </cell>
          <cell r="C899">
            <v>45553</v>
          </cell>
          <cell r="D899" t="str">
            <v>Not delivered</v>
          </cell>
          <cell r="E899">
            <v>508005280</v>
          </cell>
          <cell r="F899">
            <v>20</v>
          </cell>
          <cell r="G899">
            <v>1169286</v>
          </cell>
          <cell r="H899" t="str">
            <v>CM-294:RECTANGULAR WITH GODET PKTJ010032</v>
          </cell>
          <cell r="I899">
            <v>35000</v>
          </cell>
          <cell r="J899" t="str">
            <v>UN</v>
          </cell>
          <cell r="K899">
            <v>45629</v>
          </cell>
        </row>
        <row r="900">
          <cell r="A900" t="str">
            <v>50714276430</v>
          </cell>
          <cell r="B900" t="str">
            <v>ZMTD</v>
          </cell>
          <cell r="C900">
            <v>45552</v>
          </cell>
          <cell r="D900" t="str">
            <v>Not delivered</v>
          </cell>
          <cell r="E900">
            <v>507142764</v>
          </cell>
          <cell r="F900">
            <v>30</v>
          </cell>
          <cell r="G900">
            <v>1211756</v>
          </cell>
          <cell r="H900" t="str">
            <v>CM-246:COVER VM SHNY SLV ALMOST PWD</v>
          </cell>
          <cell r="I900">
            <v>120120</v>
          </cell>
          <cell r="J900" t="str">
            <v>UN</v>
          </cell>
          <cell r="K900">
            <v>45629</v>
          </cell>
        </row>
        <row r="901">
          <cell r="A901" t="str">
            <v>50714267010</v>
          </cell>
          <cell r="B901" t="str">
            <v>ZMTD</v>
          </cell>
          <cell r="C901">
            <v>45526</v>
          </cell>
          <cell r="D901" t="str">
            <v>Not delivered</v>
          </cell>
          <cell r="E901">
            <v>507142670</v>
          </cell>
          <cell r="F901">
            <v>10</v>
          </cell>
          <cell r="G901">
            <v>1391910</v>
          </cell>
          <cell r="H901" t="str">
            <v>CM-133:CV BS WHT PRL S/NAVAGRN RV1 50C</v>
          </cell>
          <cell r="I901">
            <v>10000</v>
          </cell>
          <cell r="J901" t="str">
            <v>UN</v>
          </cell>
          <cell r="K901">
            <v>45629</v>
          </cell>
        </row>
        <row r="902">
          <cell r="A902" t="str">
            <v>50714267020</v>
          </cell>
          <cell r="B902" t="str">
            <v>ZMTD</v>
          </cell>
          <cell r="C902">
            <v>45526</v>
          </cell>
          <cell r="D902" t="str">
            <v>Not delivered</v>
          </cell>
          <cell r="E902">
            <v>507142670</v>
          </cell>
          <cell r="F902">
            <v>20</v>
          </cell>
          <cell r="G902">
            <v>1369453</v>
          </cell>
          <cell r="H902" t="str">
            <v>SPONGE WHT 55X6T NBR TWC D.FARMA(T)</v>
          </cell>
          <cell r="I902">
            <v>10000</v>
          </cell>
          <cell r="J902" t="str">
            <v>UN</v>
          </cell>
          <cell r="K902">
            <v>45629</v>
          </cell>
        </row>
        <row r="903">
          <cell r="A903" t="str">
            <v>50714267030</v>
          </cell>
          <cell r="B903" t="str">
            <v>ZMTD</v>
          </cell>
          <cell r="C903">
            <v>45526</v>
          </cell>
          <cell r="D903" t="str">
            <v>Not delivered</v>
          </cell>
          <cell r="E903">
            <v>507142670</v>
          </cell>
          <cell r="F903">
            <v>30</v>
          </cell>
          <cell r="G903">
            <v>1387222</v>
          </cell>
          <cell r="H903" t="str">
            <v>PUFF:WHT SATIN55X7T P/NAAVAGR NEWLOGO(T)</v>
          </cell>
          <cell r="I903">
            <v>10000</v>
          </cell>
          <cell r="J903" t="str">
            <v>UN</v>
          </cell>
          <cell r="K903">
            <v>45629</v>
          </cell>
        </row>
        <row r="904">
          <cell r="A904" t="str">
            <v>50800525260</v>
          </cell>
          <cell r="B904" t="str">
            <v>ZMFD</v>
          </cell>
          <cell r="C904">
            <v>45512</v>
          </cell>
          <cell r="D904" t="str">
            <v>Not delivered</v>
          </cell>
          <cell r="E904">
            <v>508005252</v>
          </cell>
          <cell r="F904">
            <v>60</v>
          </cell>
          <cell r="G904">
            <v>1382368</v>
          </cell>
          <cell r="H904" t="str">
            <v>CP-067R:FT CAP35 SNAP BLK MATTE  Ø5 LRL</v>
          </cell>
          <cell r="I904">
            <v>300000</v>
          </cell>
          <cell r="J904" t="str">
            <v>UN</v>
          </cell>
          <cell r="K904">
            <v>45629</v>
          </cell>
        </row>
        <row r="905">
          <cell r="A905" t="str">
            <v>50800523920</v>
          </cell>
          <cell r="B905" t="str">
            <v>ZMFD</v>
          </cell>
          <cell r="C905">
            <v>45505</v>
          </cell>
          <cell r="D905" t="str">
            <v>Not delivered</v>
          </cell>
          <cell r="E905">
            <v>508005239</v>
          </cell>
          <cell r="F905">
            <v>20</v>
          </cell>
          <cell r="G905">
            <v>1388326</v>
          </cell>
          <cell r="H905" t="str">
            <v>CM-253:CV BS MTPEACH P/C.BLSH RV1 PTI40H</v>
          </cell>
          <cell r="I905">
            <v>15000</v>
          </cell>
          <cell r="J905" t="str">
            <v>UN</v>
          </cell>
          <cell r="K905">
            <v>45629</v>
          </cell>
        </row>
        <row r="906">
          <cell r="A906" t="str">
            <v>50800519490</v>
          </cell>
          <cell r="B906" t="str">
            <v>ZMFD</v>
          </cell>
          <cell r="C906">
            <v>45497</v>
          </cell>
          <cell r="D906" t="str">
            <v>Not delivered</v>
          </cell>
          <cell r="E906">
            <v>508005194</v>
          </cell>
          <cell r="F906">
            <v>90</v>
          </cell>
          <cell r="G906">
            <v>1385814</v>
          </cell>
          <cell r="H906" t="str">
            <v>LC-012:CAP VM BRWN WIP GLASTING PTI 20F</v>
          </cell>
          <cell r="I906">
            <v>25000</v>
          </cell>
          <cell r="J906" t="str">
            <v>UN</v>
          </cell>
          <cell r="K906">
            <v>45629</v>
          </cell>
        </row>
        <row r="907">
          <cell r="A907" t="str">
            <v>508005194100</v>
          </cell>
          <cell r="B907" t="str">
            <v>ZMFD</v>
          </cell>
          <cell r="C907">
            <v>45497</v>
          </cell>
          <cell r="D907" t="str">
            <v>Not delivered</v>
          </cell>
          <cell r="E907">
            <v>508005194</v>
          </cell>
          <cell r="F907">
            <v>100</v>
          </cell>
          <cell r="G907">
            <v>1406580</v>
          </cell>
          <cell r="H907" t="str">
            <v>LC-012:BTL VR09 P/GLASTNG PTI60B</v>
          </cell>
          <cell r="I907">
            <v>25000</v>
          </cell>
          <cell r="J907" t="str">
            <v>UN</v>
          </cell>
          <cell r="K907">
            <v>45629</v>
          </cell>
        </row>
        <row r="908">
          <cell r="A908" t="str">
            <v>50800519510</v>
          </cell>
          <cell r="B908" t="str">
            <v>ZMFD</v>
          </cell>
          <cell r="C908">
            <v>45497</v>
          </cell>
          <cell r="D908" t="str">
            <v>Not delivered</v>
          </cell>
          <cell r="E908">
            <v>508005195</v>
          </cell>
          <cell r="F908">
            <v>10</v>
          </cell>
          <cell r="G908">
            <v>1382893</v>
          </cell>
          <cell r="H908" t="str">
            <v>LC-012:BTL VR1 CRMLCOAT P/GLASTNG PTI60B</v>
          </cell>
          <cell r="I908">
            <v>23000</v>
          </cell>
          <cell r="J908" t="str">
            <v>UN</v>
          </cell>
          <cell r="K908">
            <v>45629</v>
          </cell>
        </row>
        <row r="909">
          <cell r="A909" t="str">
            <v>50800519520</v>
          </cell>
          <cell r="B909" t="str">
            <v>ZMFD</v>
          </cell>
          <cell r="C909">
            <v>45497</v>
          </cell>
          <cell r="D909" t="str">
            <v>Not delivered</v>
          </cell>
          <cell r="E909">
            <v>508005195</v>
          </cell>
          <cell r="F909">
            <v>20</v>
          </cell>
          <cell r="G909">
            <v>1385814</v>
          </cell>
          <cell r="H909" t="str">
            <v>LC-012:CAP VM BRWN WIP GLASTING PTI 20F</v>
          </cell>
          <cell r="I909">
            <v>23000</v>
          </cell>
          <cell r="J909" t="str">
            <v>UN</v>
          </cell>
          <cell r="K909">
            <v>45629</v>
          </cell>
        </row>
        <row r="910">
          <cell r="A910" t="str">
            <v>50800519650</v>
          </cell>
          <cell r="B910" t="str">
            <v>ZMFD</v>
          </cell>
          <cell r="C910">
            <v>45497</v>
          </cell>
          <cell r="D910" t="str">
            <v>Not delivered</v>
          </cell>
          <cell r="E910">
            <v>508005196</v>
          </cell>
          <cell r="F910">
            <v>50</v>
          </cell>
          <cell r="G910">
            <v>1382935</v>
          </cell>
          <cell r="H910" t="str">
            <v>LC-012:BTL VR2 PEACHPLS P/GLASTNG PTI60B</v>
          </cell>
          <cell r="I910">
            <v>50000</v>
          </cell>
          <cell r="J910" t="str">
            <v>UN</v>
          </cell>
          <cell r="K910">
            <v>45629</v>
          </cell>
        </row>
        <row r="911">
          <cell r="A911" t="str">
            <v>50800519660</v>
          </cell>
          <cell r="B911" t="str">
            <v>ZMFD</v>
          </cell>
          <cell r="C911">
            <v>45497</v>
          </cell>
          <cell r="D911" t="str">
            <v>Not delivered</v>
          </cell>
          <cell r="E911">
            <v>508005196</v>
          </cell>
          <cell r="F911">
            <v>60</v>
          </cell>
          <cell r="G911">
            <v>1385814</v>
          </cell>
          <cell r="H911" t="str">
            <v>LC-012:CAP VM BRWN WIP GLASTING PTI 20F</v>
          </cell>
          <cell r="I911">
            <v>50000</v>
          </cell>
          <cell r="J911" t="str">
            <v>UN</v>
          </cell>
          <cell r="K911">
            <v>45629</v>
          </cell>
        </row>
        <row r="912">
          <cell r="A912" t="str">
            <v>50800519750</v>
          </cell>
          <cell r="B912" t="str">
            <v>ZMFD</v>
          </cell>
          <cell r="C912">
            <v>45497</v>
          </cell>
          <cell r="D912" t="str">
            <v>Not delivered</v>
          </cell>
          <cell r="E912">
            <v>508005197</v>
          </cell>
          <cell r="F912">
            <v>50</v>
          </cell>
          <cell r="G912">
            <v>1385811</v>
          </cell>
          <cell r="H912" t="str">
            <v>LC-012:BTL VR4 ROSEWOOD P/GLASTNG PTI60B</v>
          </cell>
          <cell r="I912">
            <v>75000</v>
          </cell>
          <cell r="J912" t="str">
            <v>UN</v>
          </cell>
          <cell r="K912">
            <v>45629</v>
          </cell>
        </row>
        <row r="913">
          <cell r="A913" t="str">
            <v>50800519760</v>
          </cell>
          <cell r="B913" t="str">
            <v>ZMFD</v>
          </cell>
          <cell r="C913">
            <v>45497</v>
          </cell>
          <cell r="D913" t="str">
            <v>Not delivered</v>
          </cell>
          <cell r="E913">
            <v>508005197</v>
          </cell>
          <cell r="F913">
            <v>60</v>
          </cell>
          <cell r="G913">
            <v>1385814</v>
          </cell>
          <cell r="H913" t="str">
            <v>LC-012:CAP VM BRWN WIP GLASTING PTI 20F</v>
          </cell>
          <cell r="I913">
            <v>75000</v>
          </cell>
          <cell r="J913" t="str">
            <v>UN</v>
          </cell>
          <cell r="K913">
            <v>45629</v>
          </cell>
        </row>
        <row r="914">
          <cell r="A914" t="str">
            <v>50800519910</v>
          </cell>
          <cell r="B914" t="str">
            <v>ZMFD</v>
          </cell>
          <cell r="C914">
            <v>45497</v>
          </cell>
          <cell r="D914" t="str">
            <v>Not delivered</v>
          </cell>
          <cell r="E914">
            <v>508005199</v>
          </cell>
          <cell r="F914">
            <v>10</v>
          </cell>
          <cell r="G914">
            <v>1390058</v>
          </cell>
          <cell r="H914" t="str">
            <v>LC-012:BTL VR6 RUBYSPAR P/GLASTNG PTI60B</v>
          </cell>
          <cell r="I914">
            <v>23000</v>
          </cell>
          <cell r="J914" t="str">
            <v>UN</v>
          </cell>
          <cell r="K914">
            <v>45629</v>
          </cell>
        </row>
        <row r="915">
          <cell r="A915" t="str">
            <v>50800519920</v>
          </cell>
          <cell r="B915" t="str">
            <v>ZMFD</v>
          </cell>
          <cell r="C915">
            <v>45497</v>
          </cell>
          <cell r="D915" t="str">
            <v>Not delivered</v>
          </cell>
          <cell r="E915">
            <v>508005199</v>
          </cell>
          <cell r="F915">
            <v>20</v>
          </cell>
          <cell r="G915">
            <v>1385814</v>
          </cell>
          <cell r="H915" t="str">
            <v>LC-012:CAP VM BRWN WIP GLASTING PTI 20F</v>
          </cell>
          <cell r="I915">
            <v>23000</v>
          </cell>
          <cell r="J915" t="str">
            <v>UN</v>
          </cell>
          <cell r="K915">
            <v>45629</v>
          </cell>
        </row>
        <row r="916">
          <cell r="A916" t="str">
            <v>50800519350</v>
          </cell>
          <cell r="B916" t="str">
            <v>ZMFD</v>
          </cell>
          <cell r="C916">
            <v>45492</v>
          </cell>
          <cell r="D916" t="str">
            <v>Not delivered</v>
          </cell>
          <cell r="E916">
            <v>508005193</v>
          </cell>
          <cell r="F916">
            <v>50</v>
          </cell>
          <cell r="G916">
            <v>1342220</v>
          </cell>
          <cell r="H916" t="str">
            <v>LC-010:BTL CLR HTF COLBEIGE CFIT PTI 60C</v>
          </cell>
          <cell r="I916">
            <v>100000</v>
          </cell>
          <cell r="J916" t="str">
            <v>UN</v>
          </cell>
          <cell r="K916">
            <v>45629</v>
          </cell>
        </row>
        <row r="917">
          <cell r="A917" t="str">
            <v>50800519360</v>
          </cell>
          <cell r="B917" t="str">
            <v>ZMFD</v>
          </cell>
          <cell r="C917">
            <v>45492</v>
          </cell>
          <cell r="D917" t="str">
            <v>Not delivered</v>
          </cell>
          <cell r="E917">
            <v>508005193</v>
          </cell>
          <cell r="F917">
            <v>60</v>
          </cell>
          <cell r="G917">
            <v>1342221</v>
          </cell>
          <cell r="H917" t="str">
            <v>LC-010:CAP BEIGE WIP NAT PTI 12A</v>
          </cell>
          <cell r="I917">
            <v>100000</v>
          </cell>
          <cell r="J917" t="str">
            <v>UN</v>
          </cell>
          <cell r="K917">
            <v>45629</v>
          </cell>
        </row>
        <row r="918">
          <cell r="A918" t="str">
            <v>50800519370</v>
          </cell>
          <cell r="B918" t="str">
            <v>ZMFD</v>
          </cell>
          <cell r="C918">
            <v>45492</v>
          </cell>
          <cell r="D918" t="str">
            <v>Not delivered</v>
          </cell>
          <cell r="E918">
            <v>508005193</v>
          </cell>
          <cell r="F918">
            <v>70</v>
          </cell>
          <cell r="G918">
            <v>1342220</v>
          </cell>
          <cell r="H918" t="str">
            <v>LC-010:BTL CLR HTF COLBEIGE CFIT PTI 60C</v>
          </cell>
          <cell r="I918">
            <v>50000</v>
          </cell>
          <cell r="J918" t="str">
            <v>UN</v>
          </cell>
          <cell r="K918">
            <v>45629</v>
          </cell>
        </row>
        <row r="919">
          <cell r="A919" t="str">
            <v>50800519380</v>
          </cell>
          <cell r="B919" t="str">
            <v>ZMFD</v>
          </cell>
          <cell r="C919">
            <v>45492</v>
          </cell>
          <cell r="D919" t="str">
            <v>Not delivered</v>
          </cell>
          <cell r="E919">
            <v>508005193</v>
          </cell>
          <cell r="F919">
            <v>80</v>
          </cell>
          <cell r="G919">
            <v>1342221</v>
          </cell>
          <cell r="H919" t="str">
            <v>LC-010:CAP BEIGE WIP NAT PTI 12A</v>
          </cell>
          <cell r="I919">
            <v>50000</v>
          </cell>
          <cell r="J919" t="str">
            <v>UN</v>
          </cell>
          <cell r="K919">
            <v>45629</v>
          </cell>
        </row>
        <row r="920">
          <cell r="A920" t="str">
            <v>50714250710</v>
          </cell>
          <cell r="B920" t="str">
            <v>ZMTD</v>
          </cell>
          <cell r="C920">
            <v>45488</v>
          </cell>
          <cell r="D920" t="str">
            <v>Not delivered</v>
          </cell>
          <cell r="E920">
            <v>507142507</v>
          </cell>
          <cell r="F920">
            <v>10</v>
          </cell>
          <cell r="G920">
            <v>1419488</v>
          </cell>
          <cell r="H920" t="str">
            <v>CP-063R:SPOUT CAP WHITE LOREAL 12A</v>
          </cell>
          <cell r="I920">
            <v>1890000</v>
          </cell>
          <cell r="J920" t="str">
            <v>UN</v>
          </cell>
          <cell r="K920">
            <v>45629</v>
          </cell>
        </row>
        <row r="921">
          <cell r="A921" t="str">
            <v>50714251110</v>
          </cell>
          <cell r="B921" t="str">
            <v>ZMTD</v>
          </cell>
          <cell r="C921">
            <v>45488</v>
          </cell>
          <cell r="D921" t="str">
            <v>Not delivered</v>
          </cell>
          <cell r="E921">
            <v>507142511</v>
          </cell>
          <cell r="F921">
            <v>10</v>
          </cell>
          <cell r="G921">
            <v>1419488</v>
          </cell>
          <cell r="H921" t="str">
            <v>CP-063R:SPOUT CAP WHITE LOREAL 12A</v>
          </cell>
          <cell r="I921">
            <v>1890000</v>
          </cell>
          <cell r="J921" t="str">
            <v>UN</v>
          </cell>
          <cell r="K921">
            <v>45629</v>
          </cell>
        </row>
        <row r="922">
          <cell r="A922" t="str">
            <v>50714246550</v>
          </cell>
          <cell r="B922" t="str">
            <v>ZMTD</v>
          </cell>
          <cell r="C922">
            <v>45481</v>
          </cell>
          <cell r="D922" t="str">
            <v>Not delivered</v>
          </cell>
          <cell r="E922">
            <v>507142465</v>
          </cell>
          <cell r="F922">
            <v>50</v>
          </cell>
          <cell r="G922">
            <v>1382893</v>
          </cell>
          <cell r="H922" t="str">
            <v>LC-012:BTL VR1 CRMLCOAT P/GLASTNG PTI60B</v>
          </cell>
          <cell r="I922">
            <v>27972</v>
          </cell>
          <cell r="J922" t="str">
            <v>UN</v>
          </cell>
          <cell r="K922">
            <v>45629</v>
          </cell>
        </row>
        <row r="923">
          <cell r="A923" t="str">
            <v>50714246560</v>
          </cell>
          <cell r="B923" t="str">
            <v>ZMTD</v>
          </cell>
          <cell r="C923">
            <v>45481</v>
          </cell>
          <cell r="D923" t="str">
            <v>Not delivered</v>
          </cell>
          <cell r="E923">
            <v>507142465</v>
          </cell>
          <cell r="F923">
            <v>60</v>
          </cell>
          <cell r="G923">
            <v>1385814</v>
          </cell>
          <cell r="H923" t="str">
            <v>LC-012:CAP VM BRWN WIP GLASTING PTI 20F</v>
          </cell>
          <cell r="I923">
            <v>27972</v>
          </cell>
          <cell r="J923" t="str">
            <v>UN</v>
          </cell>
          <cell r="K923">
            <v>45629</v>
          </cell>
        </row>
        <row r="924">
          <cell r="A924" t="str">
            <v>50800516120</v>
          </cell>
          <cell r="B924" t="str">
            <v>ZMFD</v>
          </cell>
          <cell r="C924">
            <v>45475</v>
          </cell>
          <cell r="D924" t="str">
            <v>Not delivered</v>
          </cell>
          <cell r="E924">
            <v>508005161</v>
          </cell>
          <cell r="F924">
            <v>20</v>
          </cell>
          <cell r="G924">
            <v>1386990</v>
          </cell>
          <cell r="H924" t="str">
            <v>CM-099:CVR BS MTBEIGE P/QUAD RV1 PTI 40H</v>
          </cell>
          <cell r="I924">
            <v>30000</v>
          </cell>
          <cell r="J924" t="str">
            <v>UN</v>
          </cell>
          <cell r="K924">
            <v>45629</v>
          </cell>
        </row>
        <row r="925">
          <cell r="A925" t="str">
            <v>50800514540</v>
          </cell>
          <cell r="B925" t="str">
            <v>ZMFD</v>
          </cell>
          <cell r="C925">
            <v>45464</v>
          </cell>
          <cell r="D925" t="str">
            <v>Not delivered</v>
          </cell>
          <cell r="E925">
            <v>508005145</v>
          </cell>
          <cell r="F925">
            <v>40</v>
          </cell>
          <cell r="G925">
            <v>1288811</v>
          </cell>
          <cell r="H925" t="str">
            <v>CP-065:FT 50 SNAP SLV GLOSSY ELSEVE</v>
          </cell>
          <cell r="I925">
            <v>109600</v>
          </cell>
          <cell r="J925" t="str">
            <v>UN</v>
          </cell>
          <cell r="K925">
            <v>45629</v>
          </cell>
        </row>
        <row r="926">
          <cell r="A926" t="str">
            <v>50800507310</v>
          </cell>
          <cell r="B926" t="str">
            <v>ZMFD</v>
          </cell>
          <cell r="C926">
            <v>45433</v>
          </cell>
          <cell r="D926" t="str">
            <v>Not delivered</v>
          </cell>
          <cell r="E926">
            <v>508005073</v>
          </cell>
          <cell r="F926">
            <v>10</v>
          </cell>
          <cell r="G926">
            <v>1169047</v>
          </cell>
          <cell r="H926" t="str">
            <v>LS-285:B V/SL P/1PS SLEV H/SL BLM PTI20R</v>
          </cell>
          <cell r="I926">
            <v>25536</v>
          </cell>
          <cell r="J926" t="str">
            <v>UN</v>
          </cell>
          <cell r="K926">
            <v>45629</v>
          </cell>
        </row>
        <row r="927">
          <cell r="A927" t="str">
            <v>50800507320</v>
          </cell>
          <cell r="B927" t="str">
            <v>ZMFD</v>
          </cell>
          <cell r="C927">
            <v>45433</v>
          </cell>
          <cell r="D927" t="str">
            <v>Not delivered</v>
          </cell>
          <cell r="E927">
            <v>508005073</v>
          </cell>
          <cell r="F927">
            <v>20</v>
          </cell>
          <cell r="G927">
            <v>1171170</v>
          </cell>
          <cell r="H927" t="str">
            <v>LS-285:CV TRANS LONG13 P/1PS VAR4 PTI40H</v>
          </cell>
          <cell r="I927">
            <v>25536</v>
          </cell>
          <cell r="J927" t="str">
            <v>UN</v>
          </cell>
          <cell r="K927">
            <v>45629</v>
          </cell>
        </row>
        <row r="928">
          <cell r="A928" t="str">
            <v>50800507440</v>
          </cell>
          <cell r="B928" t="str">
            <v>ZMFD</v>
          </cell>
          <cell r="C928">
            <v>45433</v>
          </cell>
          <cell r="D928" t="str">
            <v>Not delivered</v>
          </cell>
          <cell r="E928">
            <v>508005074</v>
          </cell>
          <cell r="F928">
            <v>40</v>
          </cell>
          <cell r="G928">
            <v>1169047</v>
          </cell>
          <cell r="H928" t="str">
            <v>LS-285:B V/SL P/1PS SLEV H/SL BLM PTI20R</v>
          </cell>
          <cell r="I928">
            <v>25536</v>
          </cell>
          <cell r="J928" t="str">
            <v>UN</v>
          </cell>
          <cell r="K928">
            <v>45629</v>
          </cell>
        </row>
        <row r="929">
          <cell r="A929" t="str">
            <v>50800507450</v>
          </cell>
          <cell r="B929" t="str">
            <v>ZMFD</v>
          </cell>
          <cell r="C929">
            <v>45433</v>
          </cell>
          <cell r="D929" t="str">
            <v>Not delivered</v>
          </cell>
          <cell r="E929">
            <v>508005074</v>
          </cell>
          <cell r="F929">
            <v>50</v>
          </cell>
          <cell r="G929">
            <v>1171873</v>
          </cell>
          <cell r="H929" t="str">
            <v>LS-285:CV TRANS MATE 6 P/1PS VAR5 PTI40H</v>
          </cell>
          <cell r="I929">
            <v>25536</v>
          </cell>
          <cell r="J929" t="str">
            <v>UN</v>
          </cell>
          <cell r="K929">
            <v>45629</v>
          </cell>
        </row>
        <row r="930">
          <cell r="A930" t="str">
            <v>507142765110</v>
          </cell>
          <cell r="B930" t="str">
            <v>ZMTD</v>
          </cell>
          <cell r="C930">
            <v>45552</v>
          </cell>
          <cell r="D930" t="str">
            <v>Not delivered</v>
          </cell>
          <cell r="E930">
            <v>507142765</v>
          </cell>
          <cell r="F930">
            <v>110</v>
          </cell>
          <cell r="G930">
            <v>1398383</v>
          </cell>
          <cell r="H930" t="str">
            <v>CM-319:WHITE P/BLACK UV MATTE NARS</v>
          </cell>
          <cell r="I930">
            <v>40080</v>
          </cell>
          <cell r="J930" t="str">
            <v>UN</v>
          </cell>
          <cell r="K930">
            <v>45630</v>
          </cell>
        </row>
        <row r="931">
          <cell r="A931" t="str">
            <v>50800527840</v>
          </cell>
          <cell r="B931" t="str">
            <v>ZMFD</v>
          </cell>
          <cell r="C931">
            <v>45544</v>
          </cell>
          <cell r="D931" t="str">
            <v>Not delivered</v>
          </cell>
          <cell r="E931">
            <v>508005278</v>
          </cell>
          <cell r="F931">
            <v>40</v>
          </cell>
          <cell r="G931">
            <v>1437039</v>
          </cell>
          <cell r="H931" t="str">
            <v>CM-290:1PC BS CV MT.BLK S/ EMBOS OMG 40C</v>
          </cell>
          <cell r="I931">
            <v>75000</v>
          </cell>
          <cell r="J931" t="str">
            <v>UN</v>
          </cell>
          <cell r="K931">
            <v>45630</v>
          </cell>
        </row>
        <row r="932">
          <cell r="A932" t="str">
            <v>50800527850</v>
          </cell>
          <cell r="B932" t="str">
            <v>ZMFD</v>
          </cell>
          <cell r="C932">
            <v>45544</v>
          </cell>
          <cell r="D932" t="str">
            <v>Not delivered</v>
          </cell>
          <cell r="E932">
            <v>508005278</v>
          </cell>
          <cell r="F932">
            <v>50</v>
          </cell>
          <cell r="G932">
            <v>1437140</v>
          </cell>
          <cell r="H932" t="str">
            <v>CM-290:ENGINE CV RED, BS BLK OMG PTI 12A</v>
          </cell>
          <cell r="I932">
            <v>75000</v>
          </cell>
          <cell r="J932" t="str">
            <v>UN</v>
          </cell>
          <cell r="K932">
            <v>45630</v>
          </cell>
        </row>
        <row r="933">
          <cell r="A933" t="str">
            <v>50800527860</v>
          </cell>
          <cell r="B933" t="str">
            <v>ZMFD</v>
          </cell>
          <cell r="C933">
            <v>45544</v>
          </cell>
          <cell r="D933" t="str">
            <v>Not delivered</v>
          </cell>
          <cell r="E933">
            <v>508005278</v>
          </cell>
          <cell r="F933">
            <v>60</v>
          </cell>
          <cell r="G933">
            <v>1437141</v>
          </cell>
          <cell r="H933" t="str">
            <v>CM-290:RING BLACK OMG PTI 12A</v>
          </cell>
          <cell r="I933">
            <v>75000</v>
          </cell>
          <cell r="J933" t="str">
            <v>UN</v>
          </cell>
          <cell r="K933">
            <v>45630</v>
          </cell>
        </row>
        <row r="934">
          <cell r="A934" t="str">
            <v>50800525150</v>
          </cell>
          <cell r="B934" t="str">
            <v>ZMFD</v>
          </cell>
          <cell r="C934">
            <v>45511</v>
          </cell>
          <cell r="D934" t="str">
            <v>Not delivered</v>
          </cell>
          <cell r="E934">
            <v>508005251</v>
          </cell>
          <cell r="F934">
            <v>50</v>
          </cell>
          <cell r="G934">
            <v>1168132</v>
          </cell>
          <cell r="H934" t="str">
            <v>LS-285:BS WHT NO DC WARDAH</v>
          </cell>
          <cell r="I934">
            <v>50000</v>
          </cell>
          <cell r="J934" t="str">
            <v>UN</v>
          </cell>
          <cell r="K934">
            <v>45630</v>
          </cell>
        </row>
        <row r="935">
          <cell r="A935" t="str">
            <v>50800525160</v>
          </cell>
          <cell r="B935" t="str">
            <v>ZMFD</v>
          </cell>
          <cell r="C935">
            <v>45511</v>
          </cell>
          <cell r="D935" t="str">
            <v>Not delivered</v>
          </cell>
          <cell r="E935">
            <v>508005251</v>
          </cell>
          <cell r="F935">
            <v>60</v>
          </cell>
          <cell r="G935">
            <v>1421510</v>
          </cell>
          <cell r="H935" t="str">
            <v>LS-285:CV PINK P/WHT UV P.BLOSOM PTI 30O</v>
          </cell>
          <cell r="I935">
            <v>50000</v>
          </cell>
          <cell r="J935" t="str">
            <v>UN</v>
          </cell>
          <cell r="K935">
            <v>45630</v>
          </cell>
        </row>
        <row r="936">
          <cell r="A936" t="str">
            <v>50800524120</v>
          </cell>
          <cell r="B936" t="str">
            <v>ZMFD</v>
          </cell>
          <cell r="C936">
            <v>45510</v>
          </cell>
          <cell r="D936" t="str">
            <v>Not delivered</v>
          </cell>
          <cell r="E936">
            <v>508005241</v>
          </cell>
          <cell r="F936">
            <v>20</v>
          </cell>
          <cell r="G936">
            <v>1411213</v>
          </cell>
          <cell r="H936" t="str">
            <v>CM-105:BLCK COAT P/MAKE OVER PTI RV1 40H</v>
          </cell>
          <cell r="I936">
            <v>10000</v>
          </cell>
          <cell r="J936" t="str">
            <v>UN</v>
          </cell>
          <cell r="K936">
            <v>45630</v>
          </cell>
        </row>
        <row r="937">
          <cell r="A937" t="str">
            <v>50800523590</v>
          </cell>
          <cell r="B937" t="str">
            <v>ZMFD</v>
          </cell>
          <cell r="C937">
            <v>45505</v>
          </cell>
          <cell r="D937" t="str">
            <v>Not delivered</v>
          </cell>
          <cell r="E937">
            <v>508005235</v>
          </cell>
          <cell r="F937">
            <v>90</v>
          </cell>
          <cell r="G937">
            <v>1332995</v>
          </cell>
          <cell r="H937" t="str">
            <v>LC-008:CAP VM SLV WIP NAT EMLC PTI 20F</v>
          </cell>
          <cell r="I937">
            <v>100000</v>
          </cell>
          <cell r="J937" t="str">
            <v>UN</v>
          </cell>
          <cell r="K937">
            <v>45630</v>
          </cell>
        </row>
        <row r="938">
          <cell r="A938" t="str">
            <v>508005235100</v>
          </cell>
          <cell r="B938" t="str">
            <v>ZMFD</v>
          </cell>
          <cell r="C938">
            <v>45505</v>
          </cell>
          <cell r="D938" t="str">
            <v>Not delivered</v>
          </cell>
          <cell r="E938">
            <v>508005235</v>
          </cell>
          <cell r="F938">
            <v>100</v>
          </cell>
          <cell r="G938">
            <v>1434959</v>
          </cell>
          <cell r="H938" t="str">
            <v>LC-008:BTL CLR (PCTG) P/WHT EMLC PTI 60B</v>
          </cell>
          <cell r="I938">
            <v>100000</v>
          </cell>
          <cell r="J938" t="str">
            <v>UN</v>
          </cell>
          <cell r="K938">
            <v>45630</v>
          </cell>
        </row>
        <row r="939">
          <cell r="A939" t="str">
            <v>50800523340</v>
          </cell>
          <cell r="B939" t="str">
            <v>ZMFD</v>
          </cell>
          <cell r="C939">
            <v>45504</v>
          </cell>
          <cell r="D939" t="str">
            <v>Not delivered</v>
          </cell>
          <cell r="E939">
            <v>508005233</v>
          </cell>
          <cell r="F939">
            <v>40</v>
          </cell>
          <cell r="G939">
            <v>1169152</v>
          </cell>
          <cell r="H939" t="str">
            <v>CM-295:SQUARE COMPACT&amp;GODET PHHT010032</v>
          </cell>
          <cell r="I939">
            <v>20040</v>
          </cell>
          <cell r="J939" t="str">
            <v>UN</v>
          </cell>
          <cell r="K939">
            <v>45630</v>
          </cell>
        </row>
        <row r="940">
          <cell r="A940" t="str">
            <v>50800515950</v>
          </cell>
          <cell r="B940" t="str">
            <v>ZMFD</v>
          </cell>
          <cell r="C940">
            <v>45475</v>
          </cell>
          <cell r="D940" t="str">
            <v>Not delivered</v>
          </cell>
          <cell r="E940">
            <v>508005159</v>
          </cell>
          <cell r="F940">
            <v>50</v>
          </cell>
          <cell r="G940">
            <v>1285116</v>
          </cell>
          <cell r="H940" t="str">
            <v>CM-292:CV/BS MTBLK LENS S/SLV MO PTI 40C</v>
          </cell>
          <cell r="I940">
            <v>50000</v>
          </cell>
          <cell r="J940" t="str">
            <v>UN</v>
          </cell>
          <cell r="K940">
            <v>45630</v>
          </cell>
        </row>
        <row r="941">
          <cell r="A941" t="str">
            <v>50800513930</v>
          </cell>
          <cell r="B941" t="str">
            <v>ZMFD</v>
          </cell>
          <cell r="C941">
            <v>45462</v>
          </cell>
          <cell r="D941" t="str">
            <v>Not delivered</v>
          </cell>
          <cell r="E941">
            <v>508005139</v>
          </cell>
          <cell r="F941">
            <v>30</v>
          </cell>
          <cell r="G941">
            <v>1388034</v>
          </cell>
          <cell r="H941" t="str">
            <v>CM-253:CV BS MTCORL P/C.BLSH RV1 PTI40H</v>
          </cell>
          <cell r="I941">
            <v>15000</v>
          </cell>
          <cell r="J941" t="str">
            <v>UN</v>
          </cell>
          <cell r="K941">
            <v>45630</v>
          </cell>
        </row>
        <row r="942">
          <cell r="A942" t="str">
            <v>50800506620</v>
          </cell>
          <cell r="B942" t="str">
            <v>ZMFD</v>
          </cell>
          <cell r="C942">
            <v>45433</v>
          </cell>
          <cell r="D942" t="str">
            <v>Not delivered</v>
          </cell>
          <cell r="E942">
            <v>508005066</v>
          </cell>
          <cell r="F942">
            <v>20</v>
          </cell>
          <cell r="G942">
            <v>1276491</v>
          </cell>
          <cell r="H942" t="str">
            <v>CM-105:CV VM RSGLD BS MT P/INSTA PTI 20X</v>
          </cell>
          <cell r="I942">
            <v>25200</v>
          </cell>
          <cell r="J942" t="str">
            <v>UN</v>
          </cell>
          <cell r="K942">
            <v>45630</v>
          </cell>
        </row>
        <row r="943">
          <cell r="A943" t="str">
            <v>50714279210</v>
          </cell>
          <cell r="B943" t="str">
            <v>ZMTD</v>
          </cell>
          <cell r="C943">
            <v>45555</v>
          </cell>
          <cell r="D943" t="str">
            <v>Not delivered</v>
          </cell>
          <cell r="E943">
            <v>507142792</v>
          </cell>
          <cell r="F943">
            <v>10</v>
          </cell>
          <cell r="G943">
            <v>1406600</v>
          </cell>
          <cell r="H943" t="str">
            <v>CM-310:BLACK M086 CANNAGE S/SLV UV MT</v>
          </cell>
          <cell r="I943">
            <v>39000</v>
          </cell>
          <cell r="J943" t="str">
            <v>UN</v>
          </cell>
          <cell r="K943">
            <v>45631</v>
          </cell>
        </row>
        <row r="944">
          <cell r="A944" t="str">
            <v>50800527230</v>
          </cell>
          <cell r="B944" t="str">
            <v>ZMFD</v>
          </cell>
          <cell r="C944">
            <v>45538</v>
          </cell>
          <cell r="D944" t="str">
            <v>Not delivered</v>
          </cell>
          <cell r="E944">
            <v>508005272</v>
          </cell>
          <cell r="F944">
            <v>30</v>
          </cell>
          <cell r="G944">
            <v>1411899</v>
          </cell>
          <cell r="H944" t="str">
            <v>PT-100:BS/INS GREEN P/WHT KAHF PTI 60B</v>
          </cell>
          <cell r="I944">
            <v>180000</v>
          </cell>
          <cell r="J944" t="str">
            <v>UN</v>
          </cell>
          <cell r="K944">
            <v>45631</v>
          </cell>
        </row>
        <row r="945">
          <cell r="A945" t="str">
            <v>50800527240</v>
          </cell>
          <cell r="B945" t="str">
            <v>ZMFD</v>
          </cell>
          <cell r="C945">
            <v>45538</v>
          </cell>
          <cell r="D945" t="str">
            <v>Not delivered</v>
          </cell>
          <cell r="E945">
            <v>508005272</v>
          </cell>
          <cell r="F945">
            <v>40</v>
          </cell>
          <cell r="G945">
            <v>1411898</v>
          </cell>
          <cell r="H945" t="str">
            <v>PT-100:CVR MT.GREEN EMBOS KAHF PTI 40D</v>
          </cell>
          <cell r="I945">
            <v>180000</v>
          </cell>
          <cell r="J945" t="str">
            <v>UN</v>
          </cell>
          <cell r="K945">
            <v>45631</v>
          </cell>
        </row>
        <row r="946">
          <cell r="A946" t="str">
            <v>50800525850</v>
          </cell>
          <cell r="B946" t="str">
            <v>ZMFD</v>
          </cell>
          <cell r="C946">
            <v>45523</v>
          </cell>
          <cell r="D946" t="str">
            <v>Not delivered</v>
          </cell>
          <cell r="E946">
            <v>508005258</v>
          </cell>
          <cell r="F946">
            <v>50</v>
          </cell>
          <cell r="G946">
            <v>1168132</v>
          </cell>
          <cell r="H946" t="str">
            <v>LS-285:BS WHT NO DC WARDAH</v>
          </cell>
          <cell r="I946">
            <v>100000</v>
          </cell>
          <cell r="J946" t="str">
            <v>UN</v>
          </cell>
          <cell r="K946">
            <v>45631</v>
          </cell>
        </row>
        <row r="947">
          <cell r="A947" t="str">
            <v>50800525860</v>
          </cell>
          <cell r="B947" t="str">
            <v>ZMFD</v>
          </cell>
          <cell r="C947">
            <v>45523</v>
          </cell>
          <cell r="D947" t="str">
            <v>Not delivered</v>
          </cell>
          <cell r="E947">
            <v>508005258</v>
          </cell>
          <cell r="F947">
            <v>60</v>
          </cell>
          <cell r="G947">
            <v>1421418</v>
          </cell>
          <cell r="H947" t="str">
            <v>LS-285:CV RED P/WHT UV STRAWBERY PTI 30O</v>
          </cell>
          <cell r="I947">
            <v>100000</v>
          </cell>
          <cell r="J947" t="str">
            <v>UN</v>
          </cell>
          <cell r="K947">
            <v>45631</v>
          </cell>
        </row>
        <row r="948">
          <cell r="A948" t="str">
            <v>50800525410</v>
          </cell>
          <cell r="B948" t="str">
            <v>ZMFD</v>
          </cell>
          <cell r="C948">
            <v>45516</v>
          </cell>
          <cell r="D948" t="str">
            <v>Not delivered</v>
          </cell>
          <cell r="E948">
            <v>508005254</v>
          </cell>
          <cell r="F948">
            <v>10</v>
          </cell>
          <cell r="G948">
            <v>1304094</v>
          </cell>
          <cell r="H948" t="str">
            <v>CM-253:CV CLR BS M.PINK P/EMINA C.LIT40H</v>
          </cell>
          <cell r="I948">
            <v>50000</v>
          </cell>
          <cell r="J948" t="str">
            <v>UN</v>
          </cell>
          <cell r="K948">
            <v>45631</v>
          </cell>
        </row>
        <row r="949">
          <cell r="A949" t="str">
            <v>50800524410</v>
          </cell>
          <cell r="B949" t="str">
            <v>ZMFD</v>
          </cell>
          <cell r="C949">
            <v>45510</v>
          </cell>
          <cell r="D949" t="str">
            <v>Not delivered</v>
          </cell>
          <cell r="E949">
            <v>508005244</v>
          </cell>
          <cell r="F949">
            <v>10</v>
          </cell>
          <cell r="G949">
            <v>1174001</v>
          </cell>
          <cell r="H949" t="str">
            <v>CM-133:CVR/BS MTLC GREN UV S/SLV WRDH30C</v>
          </cell>
          <cell r="I949">
            <v>10080</v>
          </cell>
          <cell r="J949" t="str">
            <v>UN</v>
          </cell>
          <cell r="K949">
            <v>45631</v>
          </cell>
        </row>
        <row r="950">
          <cell r="A950" t="str">
            <v>50800524520</v>
          </cell>
          <cell r="B950" t="str">
            <v>ZMFD</v>
          </cell>
          <cell r="C950">
            <v>45510</v>
          </cell>
          <cell r="D950" t="str">
            <v>Not delivered</v>
          </cell>
          <cell r="E950">
            <v>508005245</v>
          </cell>
          <cell r="F950">
            <v>20</v>
          </cell>
          <cell r="G950">
            <v>1340516</v>
          </cell>
          <cell r="H950" t="str">
            <v>CM-133:CVR BS MTLC GRN UV DP S/WARDH 30T</v>
          </cell>
          <cell r="I950">
            <v>30240</v>
          </cell>
          <cell r="J950" t="str">
            <v>UN</v>
          </cell>
          <cell r="K950">
            <v>45631</v>
          </cell>
        </row>
        <row r="951">
          <cell r="A951" t="str">
            <v>50800524620</v>
          </cell>
          <cell r="B951" t="str">
            <v>ZMFD</v>
          </cell>
          <cell r="C951">
            <v>45510</v>
          </cell>
          <cell r="D951" t="str">
            <v>Not delivered</v>
          </cell>
          <cell r="E951">
            <v>508005246</v>
          </cell>
          <cell r="F951">
            <v>20</v>
          </cell>
          <cell r="G951">
            <v>1408740</v>
          </cell>
          <cell r="H951" t="str">
            <v>PT-097B:BDSR.2 BLU HOUS WHT TRNS PTI12A</v>
          </cell>
          <cell r="I951">
            <v>330000</v>
          </cell>
          <cell r="J951" t="str">
            <v>UN</v>
          </cell>
          <cell r="K951">
            <v>45631</v>
          </cell>
        </row>
        <row r="952">
          <cell r="A952" t="str">
            <v>50800524640</v>
          </cell>
          <cell r="B952" t="str">
            <v>ZMFD</v>
          </cell>
          <cell r="C952">
            <v>45510</v>
          </cell>
          <cell r="D952" t="str">
            <v>Not delivered</v>
          </cell>
          <cell r="E952">
            <v>508005246</v>
          </cell>
          <cell r="F952">
            <v>40</v>
          </cell>
          <cell r="G952">
            <v>1408739</v>
          </cell>
          <cell r="H952" t="str">
            <v>PT-097B:CAP SR.2 BLUE TRANS PTI 12A</v>
          </cell>
          <cell r="I952">
            <v>330000</v>
          </cell>
          <cell r="J952" t="str">
            <v>UN</v>
          </cell>
          <cell r="K952">
            <v>45631</v>
          </cell>
        </row>
        <row r="953">
          <cell r="A953" t="str">
            <v>50800524720</v>
          </cell>
          <cell r="B953" t="str">
            <v>ZMFD</v>
          </cell>
          <cell r="C953">
            <v>45510</v>
          </cell>
          <cell r="D953" t="str">
            <v>Not delivered</v>
          </cell>
          <cell r="E953">
            <v>508005247</v>
          </cell>
          <cell r="F953">
            <v>20</v>
          </cell>
          <cell r="G953">
            <v>1361170</v>
          </cell>
          <cell r="H953" t="str">
            <v>PT-097:BODY BLACK HOUSE WHT TRANS PTI12A</v>
          </cell>
          <cell r="I953">
            <v>100000</v>
          </cell>
          <cell r="J953" t="str">
            <v>UN</v>
          </cell>
          <cell r="K953">
            <v>45631</v>
          </cell>
        </row>
        <row r="954">
          <cell r="A954" t="str">
            <v>50800524740</v>
          </cell>
          <cell r="B954" t="str">
            <v>ZMFD</v>
          </cell>
          <cell r="C954">
            <v>45510</v>
          </cell>
          <cell r="D954" t="str">
            <v>Not delivered</v>
          </cell>
          <cell r="E954">
            <v>508005247</v>
          </cell>
          <cell r="F954">
            <v>40</v>
          </cell>
          <cell r="G954">
            <v>1361175</v>
          </cell>
          <cell r="H954" t="str">
            <v>PT-097:CAP BLACK TRANS PTI 12A</v>
          </cell>
          <cell r="I954">
            <v>100000</v>
          </cell>
          <cell r="J954" t="str">
            <v>UN</v>
          </cell>
          <cell r="K954">
            <v>45631</v>
          </cell>
        </row>
        <row r="955">
          <cell r="A955" t="str">
            <v>50800524830</v>
          </cell>
          <cell r="B955" t="str">
            <v>ZMFD</v>
          </cell>
          <cell r="C955">
            <v>45510</v>
          </cell>
          <cell r="D955" t="str">
            <v>Not delivered</v>
          </cell>
          <cell r="E955">
            <v>508005248</v>
          </cell>
          <cell r="F955">
            <v>30</v>
          </cell>
          <cell r="G955">
            <v>1367372</v>
          </cell>
          <cell r="H955" t="str">
            <v>PT-097:BODY GREN HOUSE WHT TRANS PTI 12A</v>
          </cell>
          <cell r="I955">
            <v>260000</v>
          </cell>
          <cell r="J955" t="str">
            <v>UN</v>
          </cell>
          <cell r="K955">
            <v>45631</v>
          </cell>
        </row>
        <row r="956">
          <cell r="A956" t="str">
            <v>50800524860</v>
          </cell>
          <cell r="B956" t="str">
            <v>ZMFD</v>
          </cell>
          <cell r="C956">
            <v>45510</v>
          </cell>
          <cell r="D956" t="str">
            <v>Not delivered</v>
          </cell>
          <cell r="E956">
            <v>508005248</v>
          </cell>
          <cell r="F956">
            <v>60</v>
          </cell>
          <cell r="G956">
            <v>1367370</v>
          </cell>
          <cell r="H956" t="str">
            <v>PT-097:CAP GREN TRANS PTI 12A</v>
          </cell>
          <cell r="I956">
            <v>260000</v>
          </cell>
          <cell r="J956" t="str">
            <v>UN</v>
          </cell>
          <cell r="K956">
            <v>45631</v>
          </cell>
        </row>
        <row r="957">
          <cell r="A957" t="str">
            <v>50714254810</v>
          </cell>
          <cell r="B957" t="str">
            <v>ZMTD</v>
          </cell>
          <cell r="C957">
            <v>45492</v>
          </cell>
          <cell r="D957" t="str">
            <v>Not delivered</v>
          </cell>
          <cell r="E957">
            <v>507142548</v>
          </cell>
          <cell r="F957">
            <v>10</v>
          </cell>
          <cell r="G957">
            <v>1182817</v>
          </cell>
          <cell r="H957" t="str">
            <v>FP-014:JAR P/BLACK ALMAY</v>
          </cell>
          <cell r="I957">
            <v>25056</v>
          </cell>
          <cell r="J957" t="str">
            <v>UN</v>
          </cell>
          <cell r="K957">
            <v>45631</v>
          </cell>
        </row>
        <row r="958">
          <cell r="A958" t="str">
            <v>50714254820</v>
          </cell>
          <cell r="B958" t="str">
            <v>ZMTD</v>
          </cell>
          <cell r="C958">
            <v>45492</v>
          </cell>
          <cell r="D958" t="str">
            <v>Not delivered</v>
          </cell>
          <cell r="E958">
            <v>507142548</v>
          </cell>
          <cell r="F958">
            <v>20</v>
          </cell>
          <cell r="G958">
            <v>1171483</v>
          </cell>
          <cell r="H958" t="str">
            <v>FP-014:COVER GREY MATTE IN MOLD REVLON</v>
          </cell>
          <cell r="I958">
            <v>34992</v>
          </cell>
          <cell r="J958" t="str">
            <v>UN</v>
          </cell>
          <cell r="K958">
            <v>45631</v>
          </cell>
        </row>
        <row r="959">
          <cell r="A959" t="str">
            <v>50714254830</v>
          </cell>
          <cell r="B959" t="str">
            <v>ZMTD</v>
          </cell>
          <cell r="C959">
            <v>45492</v>
          </cell>
          <cell r="D959" t="str">
            <v>Not delivered</v>
          </cell>
          <cell r="E959">
            <v>507142548</v>
          </cell>
          <cell r="F959">
            <v>30</v>
          </cell>
          <cell r="G959">
            <v>1240862</v>
          </cell>
          <cell r="H959" t="str">
            <v>FP-014 SIFTER NAT W/ORDERED LABEL REVLON</v>
          </cell>
          <cell r="I959">
            <v>38750</v>
          </cell>
          <cell r="J959" t="str">
            <v>UN</v>
          </cell>
          <cell r="K959">
            <v>45631</v>
          </cell>
        </row>
        <row r="960">
          <cell r="A960" t="str">
            <v>50800519250</v>
          </cell>
          <cell r="B960" t="str">
            <v>ZMFD</v>
          </cell>
          <cell r="C960">
            <v>45492</v>
          </cell>
          <cell r="D960" t="str">
            <v>Not delivered</v>
          </cell>
          <cell r="E960">
            <v>508005192</v>
          </cell>
          <cell r="F960">
            <v>50</v>
          </cell>
          <cell r="G960">
            <v>1430093</v>
          </cell>
          <cell r="H960" t="str">
            <v>LS-285:CV MT.TR BLUE P/SHERCLEAR PTI 40H</v>
          </cell>
          <cell r="I960">
            <v>25000</v>
          </cell>
          <cell r="J960" t="str">
            <v>UN</v>
          </cell>
          <cell r="K960">
            <v>45631</v>
          </cell>
        </row>
        <row r="961">
          <cell r="A961" t="str">
            <v>50800519260</v>
          </cell>
          <cell r="B961" t="str">
            <v>ZMFD</v>
          </cell>
          <cell r="C961">
            <v>45492</v>
          </cell>
          <cell r="D961" t="str">
            <v>Not delivered</v>
          </cell>
          <cell r="E961">
            <v>508005192</v>
          </cell>
          <cell r="F961">
            <v>60</v>
          </cell>
          <cell r="G961">
            <v>1430094</v>
          </cell>
          <cell r="H961" t="str">
            <v>LS-285:BS BLUE NO DC WARDAH PTI 12A</v>
          </cell>
          <cell r="I961">
            <v>25000</v>
          </cell>
          <cell r="J961" t="str">
            <v>UN</v>
          </cell>
          <cell r="K961">
            <v>45631</v>
          </cell>
        </row>
        <row r="962">
          <cell r="A962" t="str">
            <v>50800517150</v>
          </cell>
          <cell r="B962" t="str">
            <v>ZMFD</v>
          </cell>
          <cell r="C962">
            <v>45481</v>
          </cell>
          <cell r="D962" t="str">
            <v>Not delivered</v>
          </cell>
          <cell r="E962">
            <v>508005171</v>
          </cell>
          <cell r="F962">
            <v>50</v>
          </cell>
          <cell r="G962">
            <v>1375595</v>
          </cell>
          <cell r="H962" t="str">
            <v>LC-009:BTL/INNER CLEAR P/OMG PTIPT 60B</v>
          </cell>
          <cell r="I962">
            <v>486000</v>
          </cell>
          <cell r="J962" t="str">
            <v>UN</v>
          </cell>
          <cell r="K962">
            <v>45631</v>
          </cell>
        </row>
        <row r="963">
          <cell r="A963" t="str">
            <v>50800517160</v>
          </cell>
          <cell r="B963" t="str">
            <v>ZMFD</v>
          </cell>
          <cell r="C963">
            <v>45481</v>
          </cell>
          <cell r="D963" t="str">
            <v>Not delivered</v>
          </cell>
          <cell r="E963">
            <v>508005171</v>
          </cell>
          <cell r="F963">
            <v>60</v>
          </cell>
          <cell r="G963">
            <v>1375593</v>
          </cell>
          <cell r="H963" t="str">
            <v>LC-009:CAP REDTRANS WIP S/OMG PTIPT 60B</v>
          </cell>
          <cell r="I963">
            <v>486000</v>
          </cell>
          <cell r="J963" t="str">
            <v>UN</v>
          </cell>
          <cell r="K963">
            <v>45631</v>
          </cell>
        </row>
        <row r="964">
          <cell r="A964" t="str">
            <v>50800517250</v>
          </cell>
          <cell r="B964" t="str">
            <v>ZMFD</v>
          </cell>
          <cell r="C964">
            <v>45481</v>
          </cell>
          <cell r="D964" t="str">
            <v>Not delivered</v>
          </cell>
          <cell r="E964">
            <v>508005172</v>
          </cell>
          <cell r="F964">
            <v>50</v>
          </cell>
          <cell r="G964">
            <v>1417990</v>
          </cell>
          <cell r="H964" t="str">
            <v>LC-009:BTL #2#3 INNER CLR P/OMG PTIPT60B</v>
          </cell>
          <cell r="I964">
            <v>1200000</v>
          </cell>
          <cell r="J964" t="str">
            <v>UN</v>
          </cell>
          <cell r="K964">
            <v>45631</v>
          </cell>
        </row>
        <row r="965">
          <cell r="A965" t="str">
            <v>50800517260</v>
          </cell>
          <cell r="B965" t="str">
            <v>ZMFD</v>
          </cell>
          <cell r="C965">
            <v>45481</v>
          </cell>
          <cell r="D965" t="str">
            <v>Not delivered</v>
          </cell>
          <cell r="E965">
            <v>508005172</v>
          </cell>
          <cell r="F965">
            <v>60</v>
          </cell>
          <cell r="G965">
            <v>1417978</v>
          </cell>
          <cell r="H965" t="str">
            <v>LC-009:CAP #2#3 REDTR WIP S/OMG PTIPT60B</v>
          </cell>
          <cell r="I965">
            <v>1200000</v>
          </cell>
          <cell r="J965" t="str">
            <v>UN</v>
          </cell>
          <cell r="K965">
            <v>45631</v>
          </cell>
        </row>
        <row r="966">
          <cell r="A966" t="str">
            <v>50800515570</v>
          </cell>
          <cell r="B966" t="str">
            <v>ZMFD</v>
          </cell>
          <cell r="C966">
            <v>45470</v>
          </cell>
          <cell r="D966" t="str">
            <v>Not delivered</v>
          </cell>
          <cell r="E966">
            <v>508005155</v>
          </cell>
          <cell r="F966">
            <v>70</v>
          </cell>
          <cell r="G966">
            <v>1388036</v>
          </cell>
          <cell r="H966" t="str">
            <v>CM-253:CV BS MTMAUVE P/C.BLSH RV1 PTI40H</v>
          </cell>
          <cell r="I966">
            <v>30000</v>
          </cell>
          <cell r="J966" t="str">
            <v>UN</v>
          </cell>
          <cell r="K966">
            <v>45631</v>
          </cell>
        </row>
        <row r="967">
          <cell r="A967" t="str">
            <v>50800511220</v>
          </cell>
          <cell r="B967" t="str">
            <v>ZMFD</v>
          </cell>
          <cell r="C967">
            <v>45450</v>
          </cell>
          <cell r="D967" t="str">
            <v>Not delivered</v>
          </cell>
          <cell r="E967">
            <v>508005112</v>
          </cell>
          <cell r="F967">
            <v>20</v>
          </cell>
          <cell r="G967">
            <v>1169658</v>
          </cell>
          <cell r="H967" t="str">
            <v>CM-156:NEW GREEN MRBL 6339010303 CLNQ EL</v>
          </cell>
          <cell r="I967">
            <v>22680</v>
          </cell>
          <cell r="J967" t="str">
            <v>UN</v>
          </cell>
          <cell r="K967">
            <v>45631</v>
          </cell>
        </row>
        <row r="968">
          <cell r="A968" t="str">
            <v>50800504010</v>
          </cell>
          <cell r="B968" t="str">
            <v>ZMFD</v>
          </cell>
          <cell r="C968">
            <v>45427</v>
          </cell>
          <cell r="D968" t="str">
            <v>Not delivered</v>
          </cell>
          <cell r="E968">
            <v>508005040</v>
          </cell>
          <cell r="F968">
            <v>10</v>
          </cell>
          <cell r="G968">
            <v>1286393</v>
          </cell>
          <cell r="H968" t="str">
            <v>CM-300:BLUE UV S/SLV DIOR GALASHN PEPSPE</v>
          </cell>
          <cell r="I968">
            <v>62720</v>
          </cell>
          <cell r="J968" t="str">
            <v>UN</v>
          </cell>
          <cell r="K968">
            <v>45631</v>
          </cell>
        </row>
        <row r="969">
          <cell r="A969" t="str">
            <v>50800528110</v>
          </cell>
          <cell r="B969" t="str">
            <v>ZMFD</v>
          </cell>
          <cell r="C969">
            <v>45553</v>
          </cell>
          <cell r="D969" t="str">
            <v>Not delivered</v>
          </cell>
          <cell r="E969">
            <v>508005281</v>
          </cell>
          <cell r="F969">
            <v>10</v>
          </cell>
          <cell r="G969">
            <v>1175313</v>
          </cell>
          <cell r="H969" t="str">
            <v>CM-101:N.GRN MRBL B/O 618J010304 CLNQ EL</v>
          </cell>
          <cell r="I969">
            <v>25350</v>
          </cell>
          <cell r="J969" t="str">
            <v>UN</v>
          </cell>
          <cell r="K969">
            <v>45632</v>
          </cell>
        </row>
        <row r="970">
          <cell r="A970" t="str">
            <v>50800524210</v>
          </cell>
          <cell r="B970" t="str">
            <v>ZMFD</v>
          </cell>
          <cell r="C970">
            <v>45510</v>
          </cell>
          <cell r="D970" t="str">
            <v>Not delivered</v>
          </cell>
          <cell r="E970">
            <v>508005242</v>
          </cell>
          <cell r="F970">
            <v>10</v>
          </cell>
          <cell r="G970">
            <v>1412602</v>
          </cell>
          <cell r="H970" t="str">
            <v>CM-105:CVR/BS MTBLK S/PWRSTAY RV1 PTI30C</v>
          </cell>
          <cell r="I970">
            <v>10080</v>
          </cell>
          <cell r="J970" t="str">
            <v>UN</v>
          </cell>
          <cell r="K970">
            <v>45632</v>
          </cell>
        </row>
        <row r="971">
          <cell r="A971" t="str">
            <v>50800524010</v>
          </cell>
          <cell r="B971" t="str">
            <v>ZMFD</v>
          </cell>
          <cell r="C971">
            <v>45505</v>
          </cell>
          <cell r="D971" t="str">
            <v>Not delivered</v>
          </cell>
          <cell r="E971">
            <v>508005240</v>
          </cell>
          <cell r="F971">
            <v>10</v>
          </cell>
          <cell r="G971">
            <v>1420925</v>
          </cell>
          <cell r="H971" t="str">
            <v>CM-253:CV BS MT ROSE 04 P/C.BLSH PTI40H</v>
          </cell>
          <cell r="I971">
            <v>15000</v>
          </cell>
          <cell r="J971" t="str">
            <v>UN</v>
          </cell>
          <cell r="K971">
            <v>45632</v>
          </cell>
        </row>
        <row r="972">
          <cell r="A972" t="str">
            <v>50714243210</v>
          </cell>
          <cell r="B972" t="str">
            <v>ZMTD</v>
          </cell>
          <cell r="C972">
            <v>45475</v>
          </cell>
          <cell r="D972" t="str">
            <v>Not delivered</v>
          </cell>
          <cell r="E972">
            <v>507142432</v>
          </cell>
          <cell r="F972">
            <v>10</v>
          </cell>
          <cell r="G972">
            <v>1160336</v>
          </cell>
          <cell r="H972" t="str">
            <v>CP-071:CP8364 TNR WPRL 200 REX IS 763</v>
          </cell>
          <cell r="I972">
            <v>65250</v>
          </cell>
          <cell r="J972" t="str">
            <v>UN</v>
          </cell>
          <cell r="K972">
            <v>45632</v>
          </cell>
        </row>
        <row r="973">
          <cell r="A973" t="str">
            <v>50800515590</v>
          </cell>
          <cell r="B973" t="str">
            <v>ZMFD</v>
          </cell>
          <cell r="C973">
            <v>45470</v>
          </cell>
          <cell r="D973" t="str">
            <v>Not delivered</v>
          </cell>
          <cell r="E973">
            <v>508005155</v>
          </cell>
          <cell r="F973">
            <v>90</v>
          </cell>
          <cell r="G973">
            <v>1420861</v>
          </cell>
          <cell r="H973" t="str">
            <v>CM-253:CV BS MT PLUM 05  P/C.BLSH PTI40H</v>
          </cell>
          <cell r="I973">
            <v>15000</v>
          </cell>
          <cell r="J973" t="str">
            <v>UN</v>
          </cell>
          <cell r="K973">
            <v>45632</v>
          </cell>
        </row>
        <row r="974">
          <cell r="A974" t="str">
            <v>50714243910</v>
          </cell>
          <cell r="B974" t="str">
            <v>ZMTD</v>
          </cell>
          <cell r="C974">
            <v>45475</v>
          </cell>
          <cell r="D974" t="str">
            <v>Not delivered</v>
          </cell>
          <cell r="E974">
            <v>507142439</v>
          </cell>
          <cell r="F974">
            <v>10</v>
          </cell>
          <cell r="G974">
            <v>1159364</v>
          </cell>
          <cell r="H974" t="str">
            <v>CP-071:PL8364 INSERT TNR 125-200ML REX</v>
          </cell>
          <cell r="I974">
            <v>111000</v>
          </cell>
          <cell r="J974" t="str">
            <v>UN</v>
          </cell>
          <cell r="K974">
            <v>45634</v>
          </cell>
        </row>
        <row r="975">
          <cell r="A975" t="str">
            <v>50714261620</v>
          </cell>
          <cell r="B975" t="str">
            <v>ZMTD</v>
          </cell>
          <cell r="C975">
            <v>45511</v>
          </cell>
          <cell r="D975" t="str">
            <v>Not delivered</v>
          </cell>
          <cell r="E975">
            <v>507142616</v>
          </cell>
          <cell r="F975">
            <v>20</v>
          </cell>
          <cell r="G975">
            <v>1229927</v>
          </cell>
          <cell r="H975" t="str">
            <v>CM-273:INJ WHT 1PHS PURP PRSNAL COLCTION</v>
          </cell>
          <cell r="I975">
            <v>50000</v>
          </cell>
          <cell r="J975" t="str">
            <v>UN</v>
          </cell>
          <cell r="K975">
            <v>45635</v>
          </cell>
        </row>
        <row r="976">
          <cell r="A976" t="str">
            <v>50800520350</v>
          </cell>
          <cell r="B976" t="str">
            <v>ZMFD</v>
          </cell>
          <cell r="C976">
            <v>45497</v>
          </cell>
          <cell r="D976" t="str">
            <v>Not delivered</v>
          </cell>
          <cell r="E976">
            <v>508005203</v>
          </cell>
          <cell r="F976">
            <v>50</v>
          </cell>
          <cell r="G976">
            <v>1405377</v>
          </cell>
          <cell r="H976" t="str">
            <v>LC-012:BTL VR11 P/GLASTNG PTI60B</v>
          </cell>
          <cell r="I976">
            <v>50000</v>
          </cell>
          <cell r="J976" t="str">
            <v>UN</v>
          </cell>
          <cell r="K976">
            <v>45635</v>
          </cell>
        </row>
        <row r="977">
          <cell r="A977" t="str">
            <v>50800520360</v>
          </cell>
          <cell r="B977" t="str">
            <v>ZMFD</v>
          </cell>
          <cell r="C977">
            <v>45497</v>
          </cell>
          <cell r="D977" t="str">
            <v>Not delivered</v>
          </cell>
          <cell r="E977">
            <v>508005203</v>
          </cell>
          <cell r="F977">
            <v>60</v>
          </cell>
          <cell r="G977">
            <v>1385814</v>
          </cell>
          <cell r="H977" t="str">
            <v>LC-012:CAP VM BRWN WIP GLASTING PTI 20F</v>
          </cell>
          <cell r="I977">
            <v>50000</v>
          </cell>
          <cell r="J977" t="str">
            <v>UN</v>
          </cell>
          <cell r="K977">
            <v>45635</v>
          </cell>
        </row>
        <row r="978">
          <cell r="A978" t="str">
            <v>50714247310</v>
          </cell>
          <cell r="B978" t="str">
            <v>ZMTD</v>
          </cell>
          <cell r="C978">
            <v>45482</v>
          </cell>
          <cell r="D978" t="str">
            <v>Not delivered</v>
          </cell>
          <cell r="E978">
            <v>507142473</v>
          </cell>
          <cell r="F978">
            <v>10</v>
          </cell>
          <cell r="G978">
            <v>1382946</v>
          </cell>
          <cell r="H978" t="str">
            <v>LC-012:BTL VR3 DAZLEMAP P/GLASTNG PTI60B</v>
          </cell>
          <cell r="I978">
            <v>50274</v>
          </cell>
          <cell r="J978" t="str">
            <v>UN</v>
          </cell>
          <cell r="K978">
            <v>45635</v>
          </cell>
        </row>
        <row r="979">
          <cell r="A979" t="str">
            <v>50714247320</v>
          </cell>
          <cell r="B979" t="str">
            <v>ZMTD</v>
          </cell>
          <cell r="C979">
            <v>45482</v>
          </cell>
          <cell r="D979" t="str">
            <v>Not delivered</v>
          </cell>
          <cell r="E979">
            <v>507142473</v>
          </cell>
          <cell r="F979">
            <v>20</v>
          </cell>
          <cell r="G979">
            <v>1385814</v>
          </cell>
          <cell r="H979" t="str">
            <v>LC-012:CAP VM BRWN WIP GLASTING PTI 20F</v>
          </cell>
          <cell r="I979">
            <v>50274</v>
          </cell>
          <cell r="J979" t="str">
            <v>UN</v>
          </cell>
          <cell r="K979">
            <v>45635</v>
          </cell>
        </row>
        <row r="980">
          <cell r="A980" t="str">
            <v>50714241310</v>
          </cell>
          <cell r="B980" t="str">
            <v>ZMTD</v>
          </cell>
          <cell r="C980">
            <v>45470</v>
          </cell>
          <cell r="D980" t="str">
            <v>Not delivered</v>
          </cell>
          <cell r="E980">
            <v>507142413</v>
          </cell>
          <cell r="F980">
            <v>10</v>
          </cell>
          <cell r="G980">
            <v>1382946</v>
          </cell>
          <cell r="H980" t="str">
            <v>LC-012:BTL VR3 DAZLEMAP P/GLASTNG PTI60B</v>
          </cell>
          <cell r="I980">
            <v>50274</v>
          </cell>
          <cell r="J980" t="str">
            <v>UN</v>
          </cell>
          <cell r="K980">
            <v>45635</v>
          </cell>
        </row>
        <row r="981">
          <cell r="A981" t="str">
            <v>50714241320</v>
          </cell>
          <cell r="B981" t="str">
            <v>ZMTD</v>
          </cell>
          <cell r="C981">
            <v>45470</v>
          </cell>
          <cell r="D981" t="str">
            <v>Not delivered</v>
          </cell>
          <cell r="E981">
            <v>507142413</v>
          </cell>
          <cell r="F981">
            <v>20</v>
          </cell>
          <cell r="G981">
            <v>1385814</v>
          </cell>
          <cell r="H981" t="str">
            <v>LC-012:CAP VM BRWN WIP GLASTING PTI 20F</v>
          </cell>
          <cell r="I981">
            <v>50274</v>
          </cell>
          <cell r="J981" t="str">
            <v>UN</v>
          </cell>
          <cell r="K981">
            <v>45635</v>
          </cell>
        </row>
        <row r="982">
          <cell r="A982" t="str">
            <v>50800528030</v>
          </cell>
          <cell r="B982" t="str">
            <v>ZMFD</v>
          </cell>
          <cell r="C982">
            <v>45553</v>
          </cell>
          <cell r="D982" t="str">
            <v>Not delivered</v>
          </cell>
          <cell r="E982">
            <v>508005280</v>
          </cell>
          <cell r="F982">
            <v>30</v>
          </cell>
          <cell r="G982">
            <v>1169286</v>
          </cell>
          <cell r="H982" t="str">
            <v>CM-294:RECTANGULAR WITH GODET PKTJ010032</v>
          </cell>
          <cell r="I982">
            <v>53920</v>
          </cell>
          <cell r="J982" t="str">
            <v>UN</v>
          </cell>
          <cell r="K982">
            <v>45636</v>
          </cell>
        </row>
        <row r="983">
          <cell r="A983" t="str">
            <v>50714276440</v>
          </cell>
          <cell r="B983" t="str">
            <v>ZMTD</v>
          </cell>
          <cell r="C983">
            <v>45552</v>
          </cell>
          <cell r="D983" t="str">
            <v>Not delivered</v>
          </cell>
          <cell r="E983">
            <v>507142764</v>
          </cell>
          <cell r="F983">
            <v>40</v>
          </cell>
          <cell r="G983">
            <v>1211756</v>
          </cell>
          <cell r="H983" t="str">
            <v>CM-246:COVER VM SHNY SLV ALMOST PWD</v>
          </cell>
          <cell r="I983">
            <v>120120</v>
          </cell>
          <cell r="J983" t="str">
            <v>UN</v>
          </cell>
          <cell r="K983">
            <v>45636</v>
          </cell>
        </row>
        <row r="984">
          <cell r="A984" t="str">
            <v>50800526220</v>
          </cell>
          <cell r="B984" t="str">
            <v>ZMFD</v>
          </cell>
          <cell r="C984">
            <v>45524</v>
          </cell>
          <cell r="D984" t="str">
            <v>Not delivered</v>
          </cell>
          <cell r="E984">
            <v>508005262</v>
          </cell>
          <cell r="F984">
            <v>20</v>
          </cell>
          <cell r="G984">
            <v>1163327</v>
          </cell>
          <cell r="H984" t="str">
            <v>CM-246:CVR S.SLV PAN WHITE 6MPY 01 0034</v>
          </cell>
          <cell r="I984">
            <v>25056</v>
          </cell>
          <cell r="J984" t="str">
            <v>UN</v>
          </cell>
          <cell r="K984">
            <v>45636</v>
          </cell>
        </row>
        <row r="985">
          <cell r="A985" t="str">
            <v>50800525720</v>
          </cell>
          <cell r="B985" t="str">
            <v>ZMFD</v>
          </cell>
          <cell r="C985">
            <v>45518</v>
          </cell>
          <cell r="D985" t="str">
            <v>Not delivered</v>
          </cell>
          <cell r="E985">
            <v>508005257</v>
          </cell>
          <cell r="F985">
            <v>20</v>
          </cell>
          <cell r="G985">
            <v>1409881</v>
          </cell>
          <cell r="H985" t="str">
            <v>CM-315:CVR/BS BLACK P/CVRLAST OMG RV160B</v>
          </cell>
          <cell r="I985">
            <v>150304</v>
          </cell>
          <cell r="J985" t="str">
            <v>UN</v>
          </cell>
          <cell r="K985">
            <v>45636</v>
          </cell>
        </row>
        <row r="986">
          <cell r="A986" t="str">
            <v>50800525270</v>
          </cell>
          <cell r="B986" t="str">
            <v>ZMFD</v>
          </cell>
          <cell r="C986">
            <v>45512</v>
          </cell>
          <cell r="D986" t="str">
            <v>Not delivered</v>
          </cell>
          <cell r="E986">
            <v>508005252</v>
          </cell>
          <cell r="F986">
            <v>70</v>
          </cell>
          <cell r="G986">
            <v>1382368</v>
          </cell>
          <cell r="H986" t="str">
            <v>CP-067R:FT CAP35 SNAP BLK MATTE  Ø5 LRL</v>
          </cell>
          <cell r="I986">
            <v>440000</v>
          </cell>
          <cell r="J986" t="str">
            <v>UN</v>
          </cell>
          <cell r="K986">
            <v>45636</v>
          </cell>
        </row>
        <row r="987">
          <cell r="A987" t="str">
            <v>50800519530</v>
          </cell>
          <cell r="B987" t="str">
            <v>ZMFD</v>
          </cell>
          <cell r="C987">
            <v>45497</v>
          </cell>
          <cell r="D987" t="str">
            <v>Not delivered</v>
          </cell>
          <cell r="E987">
            <v>508005195</v>
          </cell>
          <cell r="F987">
            <v>30</v>
          </cell>
          <cell r="G987">
            <v>1382893</v>
          </cell>
          <cell r="H987" t="str">
            <v>LC-012:BTL VR1 CRMLCOAT P/GLASTNG PTI60B</v>
          </cell>
          <cell r="I987">
            <v>75000</v>
          </cell>
          <cell r="J987" t="str">
            <v>UN</v>
          </cell>
          <cell r="K987">
            <v>45636</v>
          </cell>
        </row>
        <row r="988">
          <cell r="A988" t="str">
            <v>50800519540</v>
          </cell>
          <cell r="B988" t="str">
            <v>ZMFD</v>
          </cell>
          <cell r="C988">
            <v>45497</v>
          </cell>
          <cell r="D988" t="str">
            <v>Not delivered</v>
          </cell>
          <cell r="E988">
            <v>508005195</v>
          </cell>
          <cell r="F988">
            <v>40</v>
          </cell>
          <cell r="G988">
            <v>1385814</v>
          </cell>
          <cell r="H988" t="str">
            <v>LC-012:CAP VM BRWN WIP GLASTING PTI 20F</v>
          </cell>
          <cell r="I988">
            <v>75000</v>
          </cell>
          <cell r="J988" t="str">
            <v>UN</v>
          </cell>
          <cell r="K988">
            <v>45636</v>
          </cell>
        </row>
        <row r="989">
          <cell r="A989" t="str">
            <v>50800519770</v>
          </cell>
          <cell r="B989" t="str">
            <v>ZMFD</v>
          </cell>
          <cell r="C989">
            <v>45497</v>
          </cell>
          <cell r="D989" t="str">
            <v>Not delivered</v>
          </cell>
          <cell r="E989">
            <v>508005197</v>
          </cell>
          <cell r="F989">
            <v>70</v>
          </cell>
          <cell r="G989">
            <v>1385811</v>
          </cell>
          <cell r="H989" t="str">
            <v>LC-012:BTL VR4 ROSEWOOD P/GLASTNG PTI60B</v>
          </cell>
          <cell r="I989">
            <v>75000</v>
          </cell>
          <cell r="J989" t="str">
            <v>UN</v>
          </cell>
          <cell r="K989">
            <v>45636</v>
          </cell>
        </row>
        <row r="990">
          <cell r="A990" t="str">
            <v>50800519780</v>
          </cell>
          <cell r="B990" t="str">
            <v>ZMFD</v>
          </cell>
          <cell r="C990">
            <v>45497</v>
          </cell>
          <cell r="D990" t="str">
            <v>Not delivered</v>
          </cell>
          <cell r="E990">
            <v>508005197</v>
          </cell>
          <cell r="F990">
            <v>80</v>
          </cell>
          <cell r="G990">
            <v>1385814</v>
          </cell>
          <cell r="H990" t="str">
            <v>LC-012:CAP VM BRWN WIP GLASTING PTI 20F</v>
          </cell>
          <cell r="I990">
            <v>75000</v>
          </cell>
          <cell r="J990" t="str">
            <v>UN</v>
          </cell>
          <cell r="K990">
            <v>45636</v>
          </cell>
        </row>
        <row r="991">
          <cell r="A991" t="str">
            <v>50714251310</v>
          </cell>
          <cell r="B991" t="str">
            <v>ZMTD</v>
          </cell>
          <cell r="C991">
            <v>45488</v>
          </cell>
          <cell r="D991" t="str">
            <v>Not delivered</v>
          </cell>
          <cell r="E991">
            <v>507142513</v>
          </cell>
          <cell r="F991">
            <v>10</v>
          </cell>
          <cell r="G991">
            <v>1419488</v>
          </cell>
          <cell r="H991" t="str">
            <v>CP-063R:SPOUT CAP WHITE LOREAL 12A</v>
          </cell>
          <cell r="I991">
            <v>1890000</v>
          </cell>
          <cell r="J991" t="str">
            <v>UN</v>
          </cell>
          <cell r="K991">
            <v>45636</v>
          </cell>
        </row>
        <row r="992">
          <cell r="A992" t="str">
            <v>50800514910</v>
          </cell>
          <cell r="B992" t="str">
            <v>ZMFD</v>
          </cell>
          <cell r="C992">
            <v>45464</v>
          </cell>
          <cell r="D992" t="str">
            <v>Not delivered</v>
          </cell>
          <cell r="E992">
            <v>508005149</v>
          </cell>
          <cell r="F992">
            <v>10</v>
          </cell>
          <cell r="G992">
            <v>1378563</v>
          </cell>
          <cell r="H992" t="str">
            <v>CP-093:CAP D50 MT BLACK Ø.5 YASULOR 12A</v>
          </cell>
          <cell r="I992">
            <v>2513669</v>
          </cell>
          <cell r="J992" t="str">
            <v>UN</v>
          </cell>
          <cell r="K992">
            <v>45636</v>
          </cell>
        </row>
        <row r="993">
          <cell r="A993" t="str">
            <v>50800493070</v>
          </cell>
          <cell r="B993" t="str">
            <v>ZMFD</v>
          </cell>
          <cell r="C993">
            <v>45364</v>
          </cell>
          <cell r="D993" t="str">
            <v>Not delivered</v>
          </cell>
          <cell r="E993">
            <v>508004930</v>
          </cell>
          <cell r="F993">
            <v>70</v>
          </cell>
          <cell r="G993">
            <v>1159912</v>
          </cell>
          <cell r="H993" t="str">
            <v>CP-064:CAP 25 SCREW BLK MT L'OREAL</v>
          </cell>
          <cell r="I993">
            <v>252000</v>
          </cell>
          <cell r="J993" t="str">
            <v>UN</v>
          </cell>
          <cell r="K993">
            <v>45636</v>
          </cell>
        </row>
        <row r="994">
          <cell r="A994" t="str">
            <v>507142765120</v>
          </cell>
          <cell r="B994" t="str">
            <v>ZMTD</v>
          </cell>
          <cell r="C994">
            <v>45552</v>
          </cell>
          <cell r="D994" t="str">
            <v>Not delivered</v>
          </cell>
          <cell r="E994">
            <v>507142765</v>
          </cell>
          <cell r="F994">
            <v>120</v>
          </cell>
          <cell r="G994">
            <v>1398383</v>
          </cell>
          <cell r="H994" t="str">
            <v>CM-319:WHITE P/BLACK UV MATTE NARS</v>
          </cell>
          <cell r="I994">
            <v>40080</v>
          </cell>
          <cell r="J994" t="str">
            <v>UN</v>
          </cell>
          <cell r="K994">
            <v>45637</v>
          </cell>
        </row>
        <row r="995">
          <cell r="A995" t="str">
            <v>50800527130</v>
          </cell>
          <cell r="B995" t="str">
            <v>ZMFD</v>
          </cell>
          <cell r="C995">
            <v>45538</v>
          </cell>
          <cell r="D995" t="str">
            <v>Not delivered</v>
          </cell>
          <cell r="E995">
            <v>508005271</v>
          </cell>
          <cell r="F995">
            <v>30</v>
          </cell>
          <cell r="G995">
            <v>1411701</v>
          </cell>
          <cell r="H995" t="str">
            <v>PT-100:BS/INS BLUE P/WHT KAHF PTI 60B</v>
          </cell>
          <cell r="I995">
            <v>180000</v>
          </cell>
          <cell r="J995" t="str">
            <v>UN</v>
          </cell>
          <cell r="K995">
            <v>45637</v>
          </cell>
        </row>
        <row r="996">
          <cell r="A996" t="str">
            <v>50800527140</v>
          </cell>
          <cell r="B996" t="str">
            <v>ZMFD</v>
          </cell>
          <cell r="C996">
            <v>45538</v>
          </cell>
          <cell r="D996" t="str">
            <v>Not delivered</v>
          </cell>
          <cell r="E996">
            <v>508005271</v>
          </cell>
          <cell r="F996">
            <v>40</v>
          </cell>
          <cell r="G996">
            <v>1411700</v>
          </cell>
          <cell r="H996" t="str">
            <v>PT-100:CVR MT.BLUE EMBOS KAHF PTI 40D</v>
          </cell>
          <cell r="I996">
            <v>180000</v>
          </cell>
          <cell r="J996" t="str">
            <v>UN</v>
          </cell>
          <cell r="K996">
            <v>45637</v>
          </cell>
        </row>
        <row r="997">
          <cell r="A997" t="str">
            <v>50800525950</v>
          </cell>
          <cell r="B997" t="str">
            <v>ZMFD</v>
          </cell>
          <cell r="C997">
            <v>45523</v>
          </cell>
          <cell r="D997" t="str">
            <v>Not delivered</v>
          </cell>
          <cell r="E997">
            <v>508005259</v>
          </cell>
          <cell r="F997">
            <v>50</v>
          </cell>
          <cell r="G997">
            <v>1168132</v>
          </cell>
          <cell r="H997" t="str">
            <v>LS-285:BS WHT NO DC WARDAH</v>
          </cell>
          <cell r="I997">
            <v>25000</v>
          </cell>
          <cell r="J997" t="str">
            <v>UN</v>
          </cell>
          <cell r="K997">
            <v>45637</v>
          </cell>
        </row>
        <row r="998">
          <cell r="A998" t="str">
            <v>50800525960</v>
          </cell>
          <cell r="B998" t="str">
            <v>ZMFD</v>
          </cell>
          <cell r="C998">
            <v>45523</v>
          </cell>
          <cell r="D998" t="str">
            <v>Not delivered</v>
          </cell>
          <cell r="E998">
            <v>508005259</v>
          </cell>
          <cell r="F998">
            <v>60</v>
          </cell>
          <cell r="G998">
            <v>1421509</v>
          </cell>
          <cell r="H998" t="str">
            <v>LS-285:CV ORNG P/WHT UV ORGSQUEZE PTI30O</v>
          </cell>
          <cell r="I998">
            <v>25000</v>
          </cell>
          <cell r="J998" t="str">
            <v>UN</v>
          </cell>
          <cell r="K998">
            <v>45637</v>
          </cell>
        </row>
        <row r="999">
          <cell r="A999" t="str">
            <v>50800520030</v>
          </cell>
          <cell r="B999" t="str">
            <v>ZMFD</v>
          </cell>
          <cell r="C999">
            <v>45497</v>
          </cell>
          <cell r="D999" t="str">
            <v>Not delivered</v>
          </cell>
          <cell r="E999">
            <v>508005200</v>
          </cell>
          <cell r="F999">
            <v>30</v>
          </cell>
          <cell r="G999">
            <v>1405278</v>
          </cell>
          <cell r="H999" t="str">
            <v>LC-012:BTL VR07 P/GLASTNG PTI60B</v>
          </cell>
          <cell r="I999">
            <v>50000</v>
          </cell>
          <cell r="J999" t="str">
            <v>UN</v>
          </cell>
          <cell r="K999">
            <v>45637</v>
          </cell>
        </row>
        <row r="1000">
          <cell r="A1000" t="str">
            <v>50800520040</v>
          </cell>
          <cell r="B1000" t="str">
            <v>ZMFD</v>
          </cell>
          <cell r="C1000">
            <v>45497</v>
          </cell>
          <cell r="D1000" t="str">
            <v>Not delivered</v>
          </cell>
          <cell r="E1000">
            <v>508005200</v>
          </cell>
          <cell r="F1000">
            <v>40</v>
          </cell>
          <cell r="G1000">
            <v>1385814</v>
          </cell>
          <cell r="H1000" t="str">
            <v>LC-012:CAP VM BRWN WIP GLASTING PTI 20F</v>
          </cell>
          <cell r="I1000">
            <v>50000</v>
          </cell>
          <cell r="J1000" t="str">
            <v>UN</v>
          </cell>
          <cell r="K1000">
            <v>45637</v>
          </cell>
        </row>
        <row r="1001">
          <cell r="A1001" t="str">
            <v>50714279220</v>
          </cell>
          <cell r="B1001" t="str">
            <v>ZMTD</v>
          </cell>
          <cell r="C1001">
            <v>45555</v>
          </cell>
          <cell r="D1001" t="str">
            <v>Not delivered</v>
          </cell>
          <cell r="E1001">
            <v>507142792</v>
          </cell>
          <cell r="F1001">
            <v>20</v>
          </cell>
          <cell r="G1001">
            <v>1406600</v>
          </cell>
          <cell r="H1001" t="str">
            <v>CM-310:BLACK M086 CANNAGE S/SLV UV MT</v>
          </cell>
          <cell r="I1001">
            <v>39000</v>
          </cell>
          <cell r="J1001" t="str">
            <v>UN</v>
          </cell>
          <cell r="K1001">
            <v>45638</v>
          </cell>
        </row>
        <row r="1002">
          <cell r="A1002" t="str">
            <v>50714254840</v>
          </cell>
          <cell r="B1002" t="str">
            <v>ZMTD</v>
          </cell>
          <cell r="C1002">
            <v>45492</v>
          </cell>
          <cell r="D1002" t="str">
            <v>Not delivered</v>
          </cell>
          <cell r="E1002">
            <v>507142548</v>
          </cell>
          <cell r="F1002">
            <v>40</v>
          </cell>
          <cell r="G1002">
            <v>1182817</v>
          </cell>
          <cell r="H1002" t="str">
            <v>FP-014:JAR P/BLACK ALMAY</v>
          </cell>
          <cell r="I1002">
            <v>25056</v>
          </cell>
          <cell r="J1002" t="str">
            <v>UN</v>
          </cell>
          <cell r="K1002">
            <v>45638</v>
          </cell>
        </row>
        <row r="1003">
          <cell r="A1003" t="str">
            <v>50714254850</v>
          </cell>
          <cell r="B1003" t="str">
            <v>ZMTD</v>
          </cell>
          <cell r="C1003">
            <v>45492</v>
          </cell>
          <cell r="D1003" t="str">
            <v>Not delivered</v>
          </cell>
          <cell r="E1003">
            <v>507142548</v>
          </cell>
          <cell r="F1003">
            <v>50</v>
          </cell>
          <cell r="G1003">
            <v>1171483</v>
          </cell>
          <cell r="H1003" t="str">
            <v>FP-014:COVER GREY MATTE IN MOLD REVLON</v>
          </cell>
          <cell r="I1003">
            <v>34992</v>
          </cell>
          <cell r="J1003" t="str">
            <v>UN</v>
          </cell>
          <cell r="K1003">
            <v>45638</v>
          </cell>
        </row>
        <row r="1004">
          <cell r="A1004" t="str">
            <v>50800526810</v>
          </cell>
          <cell r="B1004" t="str">
            <v>ZMFD</v>
          </cell>
          <cell r="C1004">
            <v>45532</v>
          </cell>
          <cell r="D1004" t="str">
            <v>Not delivered</v>
          </cell>
          <cell r="E1004">
            <v>508005268</v>
          </cell>
          <cell r="F1004">
            <v>10</v>
          </cell>
          <cell r="G1004">
            <v>1284957</v>
          </cell>
          <cell r="H1004" t="str">
            <v>CM-244:WHITE U/CLR  S/SLVR ZGNC010031 EL</v>
          </cell>
          <cell r="I1004">
            <v>10080</v>
          </cell>
          <cell r="J1004" t="str">
            <v>UN</v>
          </cell>
          <cell r="K1004">
            <v>45639</v>
          </cell>
        </row>
        <row r="1005">
          <cell r="A1005" t="str">
            <v>50714252610</v>
          </cell>
          <cell r="B1005" t="str">
            <v>ZMTD</v>
          </cell>
          <cell r="C1005">
            <v>45488</v>
          </cell>
          <cell r="D1005" t="str">
            <v>Not delivered</v>
          </cell>
          <cell r="E1005">
            <v>507142526</v>
          </cell>
          <cell r="F1005">
            <v>10</v>
          </cell>
          <cell r="G1005">
            <v>1382946</v>
          </cell>
          <cell r="H1005" t="str">
            <v>LC-012:BTL VR3 DAZLEMAP P/GLASTNG PTI60B</v>
          </cell>
          <cell r="I1005">
            <v>50274</v>
          </cell>
          <cell r="J1005" t="str">
            <v>UN</v>
          </cell>
          <cell r="K1005">
            <v>45639</v>
          </cell>
        </row>
        <row r="1006">
          <cell r="A1006" t="str">
            <v>50714252620</v>
          </cell>
          <cell r="B1006" t="str">
            <v>ZMTD</v>
          </cell>
          <cell r="C1006">
            <v>45488</v>
          </cell>
          <cell r="D1006" t="str">
            <v>Not delivered</v>
          </cell>
          <cell r="E1006">
            <v>507142526</v>
          </cell>
          <cell r="F1006">
            <v>20</v>
          </cell>
          <cell r="G1006">
            <v>1385814</v>
          </cell>
          <cell r="H1006" t="str">
            <v>LC-012:CAP VM BRWN WIP GLASTING PTI 20F</v>
          </cell>
          <cell r="I1006">
            <v>50274</v>
          </cell>
          <cell r="J1006" t="str">
            <v>UN</v>
          </cell>
          <cell r="K1006">
            <v>45639</v>
          </cell>
        </row>
        <row r="1007">
          <cell r="A1007" t="str">
            <v>50800508210</v>
          </cell>
          <cell r="B1007" t="str">
            <v>ZMFD</v>
          </cell>
          <cell r="C1007">
            <v>45436</v>
          </cell>
          <cell r="D1007" t="str">
            <v>Not delivered</v>
          </cell>
          <cell r="E1007">
            <v>508005082</v>
          </cell>
          <cell r="F1007">
            <v>10</v>
          </cell>
          <cell r="G1007">
            <v>1331787</v>
          </cell>
          <cell r="H1007" t="str">
            <v>CM-216:TRUE MATCH BLUSH W/O BRUSH LOR US</v>
          </cell>
          <cell r="I1007">
            <v>174200</v>
          </cell>
          <cell r="J1007" t="str">
            <v>UN</v>
          </cell>
          <cell r="K1007">
            <v>45639</v>
          </cell>
        </row>
        <row r="1008">
          <cell r="A1008" t="str">
            <v>50714271710</v>
          </cell>
          <cell r="B1008" t="str">
            <v>ZMTD</v>
          </cell>
          <cell r="C1008">
            <v>45538</v>
          </cell>
          <cell r="D1008" t="str">
            <v>Not delivered</v>
          </cell>
          <cell r="E1008">
            <v>507142717</v>
          </cell>
          <cell r="F1008">
            <v>10</v>
          </cell>
          <cell r="G1008">
            <v>1435161</v>
          </cell>
          <cell r="H1008" t="str">
            <v>CP-095:BLACK U/CLEAR CHRISTMAS 25</v>
          </cell>
          <cell r="I1008">
            <v>29160</v>
          </cell>
          <cell r="J1008" t="str">
            <v>UN</v>
          </cell>
          <cell r="K1008">
            <v>45642</v>
          </cell>
        </row>
        <row r="1009">
          <cell r="A1009" t="str">
            <v>50800519810</v>
          </cell>
          <cell r="B1009" t="str">
            <v>ZMFD</v>
          </cell>
          <cell r="C1009">
            <v>45497</v>
          </cell>
          <cell r="D1009" t="str">
            <v>Not delivered</v>
          </cell>
          <cell r="E1009">
            <v>508005198</v>
          </cell>
          <cell r="F1009">
            <v>10</v>
          </cell>
          <cell r="G1009">
            <v>1390981</v>
          </cell>
          <cell r="H1009" t="str">
            <v>LC-012:BTL VR5 GLAZBERY P/GLASTNG PTI60B</v>
          </cell>
          <cell r="I1009">
            <v>80000</v>
          </cell>
          <cell r="J1009" t="str">
            <v>UN</v>
          </cell>
          <cell r="K1009">
            <v>45642</v>
          </cell>
        </row>
        <row r="1010">
          <cell r="A1010" t="str">
            <v>50800519820</v>
          </cell>
          <cell r="B1010" t="str">
            <v>ZMFD</v>
          </cell>
          <cell r="C1010">
            <v>45497</v>
          </cell>
          <cell r="D1010" t="str">
            <v>Not delivered</v>
          </cell>
          <cell r="E1010">
            <v>508005198</v>
          </cell>
          <cell r="F1010">
            <v>20</v>
          </cell>
          <cell r="G1010">
            <v>1385814</v>
          </cell>
          <cell r="H1010" t="str">
            <v>LC-012:CAP VM BRWN WIP GLASTING PTI 20F</v>
          </cell>
          <cell r="I1010">
            <v>80000</v>
          </cell>
          <cell r="J1010" t="str">
            <v>UN</v>
          </cell>
          <cell r="K1010">
            <v>45642</v>
          </cell>
        </row>
        <row r="1011">
          <cell r="A1011" t="str">
            <v>50800519930</v>
          </cell>
          <cell r="B1011" t="str">
            <v>ZMFD</v>
          </cell>
          <cell r="C1011">
            <v>45497</v>
          </cell>
          <cell r="D1011" t="str">
            <v>Not delivered</v>
          </cell>
          <cell r="E1011">
            <v>508005199</v>
          </cell>
          <cell r="F1011">
            <v>30</v>
          </cell>
          <cell r="G1011">
            <v>1390058</v>
          </cell>
          <cell r="H1011" t="str">
            <v>LC-012:BTL VR6 RUBYSPAR P/GLASTNG PTI60B</v>
          </cell>
          <cell r="I1011">
            <v>50000</v>
          </cell>
          <cell r="J1011" t="str">
            <v>UN</v>
          </cell>
          <cell r="K1011">
            <v>45642</v>
          </cell>
        </row>
        <row r="1012">
          <cell r="A1012" t="str">
            <v>50800519940</v>
          </cell>
          <cell r="B1012" t="str">
            <v>ZMFD</v>
          </cell>
          <cell r="C1012">
            <v>45497</v>
          </cell>
          <cell r="D1012" t="str">
            <v>Not delivered</v>
          </cell>
          <cell r="E1012">
            <v>508005199</v>
          </cell>
          <cell r="F1012">
            <v>40</v>
          </cell>
          <cell r="G1012">
            <v>1385814</v>
          </cell>
          <cell r="H1012" t="str">
            <v>LC-012:CAP VM BRWN WIP GLASTING PTI 20F</v>
          </cell>
          <cell r="I1012">
            <v>50000</v>
          </cell>
          <cell r="J1012" t="str">
            <v>UN</v>
          </cell>
          <cell r="K1012">
            <v>45642</v>
          </cell>
        </row>
        <row r="1013">
          <cell r="A1013" t="str">
            <v>50800520150</v>
          </cell>
          <cell r="B1013" t="str">
            <v>ZMFD</v>
          </cell>
          <cell r="C1013">
            <v>45497</v>
          </cell>
          <cell r="D1013" t="str">
            <v>Not delivered</v>
          </cell>
          <cell r="E1013">
            <v>508005201</v>
          </cell>
          <cell r="F1013">
            <v>50</v>
          </cell>
          <cell r="G1013">
            <v>1405658</v>
          </cell>
          <cell r="H1013" t="str">
            <v>LC-012:BTL VR08 P/GLASTNG PTI60B</v>
          </cell>
          <cell r="I1013">
            <v>25000</v>
          </cell>
          <cell r="J1013" t="str">
            <v>UN</v>
          </cell>
          <cell r="K1013">
            <v>45642</v>
          </cell>
        </row>
        <row r="1014">
          <cell r="A1014" t="str">
            <v>50800520160</v>
          </cell>
          <cell r="B1014" t="str">
            <v>ZMFD</v>
          </cell>
          <cell r="C1014">
            <v>45497</v>
          </cell>
          <cell r="D1014" t="str">
            <v>Not delivered</v>
          </cell>
          <cell r="E1014">
            <v>508005201</v>
          </cell>
          <cell r="F1014">
            <v>60</v>
          </cell>
          <cell r="G1014">
            <v>1385814</v>
          </cell>
          <cell r="H1014" t="str">
            <v>LC-012:CAP VM BRWN WIP GLASTING PTI 20F</v>
          </cell>
          <cell r="I1014">
            <v>25000</v>
          </cell>
          <cell r="J1014" t="str">
            <v>UN</v>
          </cell>
          <cell r="K1014">
            <v>45642</v>
          </cell>
        </row>
        <row r="1015">
          <cell r="A1015" t="str">
            <v>50800520270</v>
          </cell>
          <cell r="B1015" t="str">
            <v>ZMFD</v>
          </cell>
          <cell r="C1015">
            <v>45497</v>
          </cell>
          <cell r="D1015" t="str">
            <v>Not delivered</v>
          </cell>
          <cell r="E1015">
            <v>508005202</v>
          </cell>
          <cell r="F1015">
            <v>70</v>
          </cell>
          <cell r="G1015">
            <v>1405884</v>
          </cell>
          <cell r="H1015" t="str">
            <v>LC-012:BTL VR10 P/GLASTNG PTI60B</v>
          </cell>
          <cell r="I1015">
            <v>25000</v>
          </cell>
          <cell r="J1015" t="str">
            <v>UN</v>
          </cell>
          <cell r="K1015">
            <v>45642</v>
          </cell>
        </row>
        <row r="1016">
          <cell r="A1016" t="str">
            <v>50800520280</v>
          </cell>
          <cell r="B1016" t="str">
            <v>ZMFD</v>
          </cell>
          <cell r="C1016">
            <v>45497</v>
          </cell>
          <cell r="D1016" t="str">
            <v>Not delivered</v>
          </cell>
          <cell r="E1016">
            <v>508005202</v>
          </cell>
          <cell r="F1016">
            <v>80</v>
          </cell>
          <cell r="G1016">
            <v>1385814</v>
          </cell>
          <cell r="H1016" t="str">
            <v>LC-012:CAP VM BRWN WIP GLASTING PTI 20F</v>
          </cell>
          <cell r="I1016">
            <v>25000</v>
          </cell>
          <cell r="J1016" t="str">
            <v>UN</v>
          </cell>
          <cell r="K1016">
            <v>45642</v>
          </cell>
        </row>
        <row r="1017">
          <cell r="A1017" t="str">
            <v>50800520450</v>
          </cell>
          <cell r="B1017" t="str">
            <v>ZMFD</v>
          </cell>
          <cell r="C1017">
            <v>45497</v>
          </cell>
          <cell r="D1017" t="str">
            <v>Not delivered</v>
          </cell>
          <cell r="E1017">
            <v>508005204</v>
          </cell>
          <cell r="F1017">
            <v>50</v>
          </cell>
          <cell r="G1017">
            <v>1405883</v>
          </cell>
          <cell r="H1017" t="str">
            <v>LC-012:BTL VR13 P/GLASTNG PTI60B</v>
          </cell>
          <cell r="I1017">
            <v>25000</v>
          </cell>
          <cell r="J1017" t="str">
            <v>UN</v>
          </cell>
          <cell r="K1017">
            <v>45642</v>
          </cell>
        </row>
        <row r="1018">
          <cell r="A1018" t="str">
            <v>50800520460</v>
          </cell>
          <cell r="B1018" t="str">
            <v>ZMFD</v>
          </cell>
          <cell r="C1018">
            <v>45497</v>
          </cell>
          <cell r="D1018" t="str">
            <v>Not delivered</v>
          </cell>
          <cell r="E1018">
            <v>508005204</v>
          </cell>
          <cell r="F1018">
            <v>60</v>
          </cell>
          <cell r="G1018">
            <v>1385814</v>
          </cell>
          <cell r="H1018" t="str">
            <v>LC-012:CAP VM BRWN WIP GLASTING PTI 20F</v>
          </cell>
          <cell r="I1018">
            <v>25000</v>
          </cell>
          <cell r="J1018" t="str">
            <v>UN</v>
          </cell>
          <cell r="K1018">
            <v>45642</v>
          </cell>
        </row>
        <row r="1019">
          <cell r="A1019" t="str">
            <v>50714251510</v>
          </cell>
          <cell r="B1019" t="str">
            <v>ZMTD</v>
          </cell>
          <cell r="C1019">
            <v>45488</v>
          </cell>
          <cell r="D1019" t="str">
            <v>Not delivered</v>
          </cell>
          <cell r="E1019">
            <v>507142515</v>
          </cell>
          <cell r="F1019">
            <v>10</v>
          </cell>
          <cell r="G1019">
            <v>1419488</v>
          </cell>
          <cell r="H1019" t="str">
            <v>CP-063R:SPOUT CAP WHITE LOREAL 12A</v>
          </cell>
          <cell r="I1019">
            <v>1890000</v>
          </cell>
          <cell r="J1019" t="str">
            <v>UN</v>
          </cell>
          <cell r="K1019">
            <v>45642</v>
          </cell>
        </row>
        <row r="1020">
          <cell r="A1020" t="str">
            <v>50714131990</v>
          </cell>
          <cell r="B1020" t="str">
            <v>ZMTD</v>
          </cell>
          <cell r="C1020">
            <v>45247</v>
          </cell>
          <cell r="D1020" t="str">
            <v>Not delivered</v>
          </cell>
          <cell r="E1020">
            <v>507141319</v>
          </cell>
          <cell r="F1020">
            <v>90</v>
          </cell>
          <cell r="G1020">
            <v>1383698</v>
          </cell>
          <cell r="H1020" t="str">
            <v>PT-098:CVR WHT PLUG NAT NDC MENTARI 12A</v>
          </cell>
          <cell r="I1020">
            <v>1800</v>
          </cell>
          <cell r="J1020" t="str">
            <v>UN</v>
          </cell>
          <cell r="K1020">
            <v>45642</v>
          </cell>
        </row>
        <row r="1021">
          <cell r="A1021" t="str">
            <v>507141319100</v>
          </cell>
          <cell r="B1021" t="str">
            <v>ZMTD</v>
          </cell>
          <cell r="C1021">
            <v>45247</v>
          </cell>
          <cell r="D1021" t="str">
            <v>Not delivered</v>
          </cell>
          <cell r="E1021">
            <v>507141319</v>
          </cell>
          <cell r="F1021">
            <v>100</v>
          </cell>
          <cell r="G1021">
            <v>1383699</v>
          </cell>
          <cell r="H1021" t="str">
            <v>PT-098:BS CLR REFIL WHT 12.5G MENTARI12A</v>
          </cell>
          <cell r="I1021">
            <v>1800</v>
          </cell>
          <cell r="J1021" t="str">
            <v>UN</v>
          </cell>
          <cell r="K1021">
            <v>45642</v>
          </cell>
        </row>
        <row r="1022">
          <cell r="A1022" t="str">
            <v>50800528610</v>
          </cell>
          <cell r="B1022" t="str">
            <v>ZMFD</v>
          </cell>
          <cell r="C1022">
            <v>45558</v>
          </cell>
          <cell r="D1022" t="str">
            <v>Not delivered</v>
          </cell>
          <cell r="E1022">
            <v>508005286</v>
          </cell>
          <cell r="F1022">
            <v>10</v>
          </cell>
          <cell r="G1022">
            <v>1170578</v>
          </cell>
          <cell r="H1022" t="str">
            <v>FP-029:CAP VM GOLD S/MATTE REEY010073</v>
          </cell>
          <cell r="I1022">
            <v>25080</v>
          </cell>
          <cell r="J1022" t="str">
            <v>UN</v>
          </cell>
          <cell r="K1022">
            <v>45643</v>
          </cell>
        </row>
        <row r="1023">
          <cell r="A1023" t="str">
            <v>50714276330</v>
          </cell>
          <cell r="B1023" t="str">
            <v>ZMTD</v>
          </cell>
          <cell r="C1023">
            <v>45552</v>
          </cell>
          <cell r="D1023" t="str">
            <v>Not delivered</v>
          </cell>
          <cell r="E1023">
            <v>507142763</v>
          </cell>
          <cell r="F1023">
            <v>30</v>
          </cell>
          <cell r="G1023">
            <v>1182817</v>
          </cell>
          <cell r="H1023" t="str">
            <v>FP-014:JAR P/BLACK ALMAY</v>
          </cell>
          <cell r="I1023">
            <v>25056</v>
          </cell>
          <cell r="J1023" t="str">
            <v>UN</v>
          </cell>
          <cell r="K1023">
            <v>45644</v>
          </cell>
        </row>
        <row r="1024">
          <cell r="A1024" t="str">
            <v>50714276450</v>
          </cell>
          <cell r="B1024" t="str">
            <v>ZMTD</v>
          </cell>
          <cell r="C1024">
            <v>45552</v>
          </cell>
          <cell r="D1024" t="str">
            <v>Not delivered</v>
          </cell>
          <cell r="E1024">
            <v>507142764</v>
          </cell>
          <cell r="F1024">
            <v>50</v>
          </cell>
          <cell r="G1024">
            <v>1211756</v>
          </cell>
          <cell r="H1024" t="str">
            <v>CM-246:COVER VM SHNY SLV ALMOST PWD</v>
          </cell>
          <cell r="I1024">
            <v>120120</v>
          </cell>
          <cell r="J1024" t="str">
            <v>UN</v>
          </cell>
          <cell r="K1024">
            <v>45644</v>
          </cell>
        </row>
        <row r="1025">
          <cell r="A1025" t="str">
            <v>50714139120</v>
          </cell>
          <cell r="B1025" t="str">
            <v>ZMTD</v>
          </cell>
          <cell r="C1025">
            <v>45265</v>
          </cell>
          <cell r="D1025" t="str">
            <v>Not delivered</v>
          </cell>
          <cell r="E1025">
            <v>507141391</v>
          </cell>
          <cell r="F1025">
            <v>20</v>
          </cell>
          <cell r="G1025">
            <v>1259608</v>
          </cell>
          <cell r="H1025" t="str">
            <v>CM-302:MUFE MEDIUM FLEXI MAGNET SUPERMAT</v>
          </cell>
          <cell r="I1025">
            <v>51408</v>
          </cell>
          <cell r="J1025" t="str">
            <v>UN</v>
          </cell>
          <cell r="K1025">
            <v>45646</v>
          </cell>
        </row>
        <row r="1026">
          <cell r="A1026" t="str">
            <v>50714112220</v>
          </cell>
          <cell r="B1026" t="str">
            <v>ZMTD</v>
          </cell>
          <cell r="C1026">
            <v>45195</v>
          </cell>
          <cell r="D1026" t="str">
            <v>Not delivered</v>
          </cell>
          <cell r="E1026">
            <v>507141122</v>
          </cell>
          <cell r="F1026">
            <v>20</v>
          </cell>
          <cell r="G1026">
            <v>1273398</v>
          </cell>
          <cell r="H1026" t="str">
            <v>CM-309:FAC-098 BTIR MNO BRNZR INSRT ROND</v>
          </cell>
          <cell r="I1026">
            <v>50400</v>
          </cell>
          <cell r="J1026" t="str">
            <v>UN</v>
          </cell>
          <cell r="K1026">
            <v>45646</v>
          </cell>
        </row>
        <row r="1027">
          <cell r="A1027" t="str">
            <v>50714112230</v>
          </cell>
          <cell r="B1027" t="str">
            <v>ZMTD</v>
          </cell>
          <cell r="C1027">
            <v>45195</v>
          </cell>
          <cell r="D1027" t="str">
            <v>Not delivered</v>
          </cell>
          <cell r="E1027">
            <v>507141122</v>
          </cell>
          <cell r="F1027">
            <v>30</v>
          </cell>
          <cell r="G1027">
            <v>1273398</v>
          </cell>
          <cell r="H1027" t="str">
            <v>CM-309:FAC-098 BTIR MNO BRNZR INSRT ROND</v>
          </cell>
          <cell r="I1027">
            <v>50400</v>
          </cell>
          <cell r="J1027" t="str">
            <v>UN</v>
          </cell>
          <cell r="K1027">
            <v>45646</v>
          </cell>
        </row>
        <row r="1028">
          <cell r="A1028" t="str">
            <v>50714251710</v>
          </cell>
          <cell r="B1028" t="str">
            <v>ZMTD</v>
          </cell>
          <cell r="C1028">
            <v>45488</v>
          </cell>
          <cell r="D1028" t="str">
            <v>Not delivered</v>
          </cell>
          <cell r="E1028">
            <v>507142517</v>
          </cell>
          <cell r="F1028">
            <v>10</v>
          </cell>
          <cell r="G1028">
            <v>1419488</v>
          </cell>
          <cell r="H1028" t="str">
            <v>CP-063R:SPOUT CAP WHITE LOREAL 12A</v>
          </cell>
          <cell r="I1028">
            <v>1890000</v>
          </cell>
          <cell r="J1028" t="str">
            <v>UN</v>
          </cell>
          <cell r="K1028">
            <v>45647</v>
          </cell>
        </row>
        <row r="1029">
          <cell r="A1029" t="str">
            <v>50714251810</v>
          </cell>
          <cell r="B1029" t="str">
            <v>ZMTD</v>
          </cell>
          <cell r="C1029">
            <v>45488</v>
          </cell>
          <cell r="D1029" t="str">
            <v>Not delivered</v>
          </cell>
          <cell r="E1029">
            <v>507142518</v>
          </cell>
          <cell r="F1029">
            <v>10</v>
          </cell>
          <cell r="G1029">
            <v>1419488</v>
          </cell>
          <cell r="H1029" t="str">
            <v>CP-063R:SPOUT CAP WHITE LOREAL 12A</v>
          </cell>
          <cell r="I1029">
            <v>1890000</v>
          </cell>
          <cell r="J1029" t="str">
            <v>UN</v>
          </cell>
          <cell r="K1029">
            <v>45647</v>
          </cell>
        </row>
        <row r="1030">
          <cell r="A1030" t="str">
            <v>50714251910</v>
          </cell>
          <cell r="B1030" t="str">
            <v>ZMTD</v>
          </cell>
          <cell r="C1030">
            <v>45488</v>
          </cell>
          <cell r="D1030" t="str">
            <v>Not delivered</v>
          </cell>
          <cell r="E1030">
            <v>507142519</v>
          </cell>
          <cell r="F1030">
            <v>10</v>
          </cell>
          <cell r="G1030">
            <v>1419488</v>
          </cell>
          <cell r="H1030" t="str">
            <v>CP-063R:SPOUT CAP WHITE LOREAL 12A</v>
          </cell>
          <cell r="I1030">
            <v>1890000</v>
          </cell>
          <cell r="J1030" t="str">
            <v>UN</v>
          </cell>
          <cell r="K1030">
            <v>45647</v>
          </cell>
        </row>
        <row r="1031">
          <cell r="A1031" t="str">
            <v>50800528510</v>
          </cell>
          <cell r="B1031" t="str">
            <v>ZMFD</v>
          </cell>
          <cell r="C1031">
            <v>45558</v>
          </cell>
          <cell r="D1031" t="str">
            <v>Not delivered</v>
          </cell>
          <cell r="E1031">
            <v>508005285</v>
          </cell>
          <cell r="F1031">
            <v>10</v>
          </cell>
          <cell r="G1031">
            <v>1163327</v>
          </cell>
          <cell r="H1031" t="str">
            <v>CM-246:CVR S.SLV PAN WHITE 6MPY 01 0034</v>
          </cell>
          <cell r="I1031">
            <v>25056</v>
          </cell>
          <cell r="J1031" t="str">
            <v>UN</v>
          </cell>
          <cell r="K1031">
            <v>45650</v>
          </cell>
        </row>
        <row r="1032">
          <cell r="A1032" t="str">
            <v>50800528710</v>
          </cell>
          <cell r="B1032" t="str">
            <v>ZMFD</v>
          </cell>
          <cell r="C1032">
            <v>45558</v>
          </cell>
          <cell r="D1032" t="str">
            <v>Not delivered</v>
          </cell>
          <cell r="E1032">
            <v>508005287</v>
          </cell>
          <cell r="F1032">
            <v>10</v>
          </cell>
          <cell r="G1032">
            <v>1305089</v>
          </cell>
          <cell r="H1032" t="str">
            <v>CM-207:VM SHY SLV P/MATTE ZGH6010038 EL</v>
          </cell>
          <cell r="I1032">
            <v>25920</v>
          </cell>
          <cell r="J1032" t="str">
            <v>UN</v>
          </cell>
          <cell r="K1032">
            <v>45650</v>
          </cell>
        </row>
        <row r="1033">
          <cell r="A1033" t="str">
            <v>50714277770</v>
          </cell>
          <cell r="B1033" t="str">
            <v>ZMTD</v>
          </cell>
          <cell r="C1033">
            <v>45554</v>
          </cell>
          <cell r="D1033" t="str">
            <v>Not delivered</v>
          </cell>
          <cell r="E1033">
            <v>507142777</v>
          </cell>
          <cell r="F1033">
            <v>70</v>
          </cell>
          <cell r="G1033">
            <v>1435311</v>
          </cell>
          <cell r="H1033" t="str">
            <v>LC-002:BTL/COL MTGRAD SLV AZURA LION 40D</v>
          </cell>
          <cell r="I1033">
            <v>48510</v>
          </cell>
          <cell r="J1033" t="str">
            <v>UN</v>
          </cell>
          <cell r="K1033">
            <v>45650</v>
          </cell>
        </row>
        <row r="1034">
          <cell r="A1034" t="str">
            <v>50714277780</v>
          </cell>
          <cell r="B1034" t="str">
            <v>ZMTD</v>
          </cell>
          <cell r="C1034">
            <v>45554</v>
          </cell>
          <cell r="D1034" t="str">
            <v>Not delivered</v>
          </cell>
          <cell r="E1034">
            <v>507142777</v>
          </cell>
          <cell r="F1034">
            <v>80</v>
          </cell>
          <cell r="G1034">
            <v>1435313</v>
          </cell>
          <cell r="H1034" t="str">
            <v>LC-002:CAP MTSLV WIPNAT S/AZURA LION 40C</v>
          </cell>
          <cell r="I1034">
            <v>48510</v>
          </cell>
          <cell r="J1034" t="str">
            <v>UN</v>
          </cell>
          <cell r="K1034">
            <v>45650</v>
          </cell>
        </row>
        <row r="1035">
          <cell r="A1035" t="str">
            <v>50714150210</v>
          </cell>
          <cell r="B1035" t="str">
            <v>ZMTD</v>
          </cell>
          <cell r="C1035">
            <v>45282</v>
          </cell>
          <cell r="D1035" t="str">
            <v>Not delivered</v>
          </cell>
          <cell r="E1035">
            <v>507141502</v>
          </cell>
          <cell r="F1035">
            <v>10</v>
          </cell>
          <cell r="G1035">
            <v>1378529</v>
          </cell>
          <cell r="H1035" t="str">
            <v>CP-093:CAP D50 MT BLACK Ø.3 YASULOR 12A</v>
          </cell>
          <cell r="I1035">
            <v>50000</v>
          </cell>
          <cell r="J1035" t="str">
            <v>UN</v>
          </cell>
          <cell r="K1035">
            <v>45650</v>
          </cell>
        </row>
        <row r="1036">
          <cell r="A1036" t="str">
            <v>50714150830</v>
          </cell>
          <cell r="B1036" t="str">
            <v>ZMTD</v>
          </cell>
          <cell r="C1036">
            <v>45282</v>
          </cell>
          <cell r="D1036" t="str">
            <v>Not delivered</v>
          </cell>
          <cell r="E1036">
            <v>507141508</v>
          </cell>
          <cell r="F1036">
            <v>30</v>
          </cell>
          <cell r="G1036">
            <v>1171684</v>
          </cell>
          <cell r="H1036" t="str">
            <v>LS-091:CVR WHT HTF NATURAL ROHTO60C</v>
          </cell>
          <cell r="I1036">
            <v>38532</v>
          </cell>
          <cell r="J1036" t="str">
            <v>UN</v>
          </cell>
          <cell r="K1036">
            <v>45653</v>
          </cell>
        </row>
        <row r="1037">
          <cell r="A1037" t="str">
            <v>50714150860</v>
          </cell>
          <cell r="B1037" t="str">
            <v>ZMTD</v>
          </cell>
          <cell r="C1037">
            <v>45282</v>
          </cell>
          <cell r="D1037" t="str">
            <v>Not delivered</v>
          </cell>
          <cell r="E1037">
            <v>507141508</v>
          </cell>
          <cell r="F1037">
            <v>60</v>
          </cell>
          <cell r="G1037">
            <v>1243794</v>
          </cell>
          <cell r="H1037" t="str">
            <v>LS-091:BS PINK P/SHEER CLR NEW ROHTO 60B</v>
          </cell>
          <cell r="I1037">
            <v>38856</v>
          </cell>
          <cell r="J1037" t="str">
            <v>UN</v>
          </cell>
          <cell r="K1037">
            <v>45653</v>
          </cell>
        </row>
        <row r="1038">
          <cell r="A1038" t="str">
            <v>50714150950</v>
          </cell>
          <cell r="B1038" t="str">
            <v>ZMTD</v>
          </cell>
          <cell r="C1038">
            <v>45282</v>
          </cell>
          <cell r="D1038" t="str">
            <v>Not delivered</v>
          </cell>
          <cell r="E1038">
            <v>507141509</v>
          </cell>
          <cell r="F1038">
            <v>50</v>
          </cell>
          <cell r="G1038">
            <v>1194708</v>
          </cell>
          <cell r="H1038" t="str">
            <v>LS-091:CVR WHT HTF APPLE ROHTO 60C</v>
          </cell>
          <cell r="I1038">
            <v>9880</v>
          </cell>
          <cell r="J1038" t="str">
            <v>UN</v>
          </cell>
          <cell r="K1038">
            <v>45653</v>
          </cell>
        </row>
        <row r="1039">
          <cell r="A1039" t="str">
            <v>50714150960</v>
          </cell>
          <cell r="B1039" t="str">
            <v>ZMTD</v>
          </cell>
          <cell r="C1039">
            <v>45282</v>
          </cell>
          <cell r="D1039" t="str">
            <v>Not delivered</v>
          </cell>
          <cell r="E1039">
            <v>507141509</v>
          </cell>
          <cell r="F1039">
            <v>60</v>
          </cell>
          <cell r="G1039">
            <v>1243794</v>
          </cell>
          <cell r="H1039" t="str">
            <v>LS-091:BS PINK P/SHEER CLR NEW ROHTO 60B</v>
          </cell>
          <cell r="I1039">
            <v>9880</v>
          </cell>
          <cell r="J1039" t="str">
            <v>UN</v>
          </cell>
          <cell r="K1039">
            <v>45653</v>
          </cell>
        </row>
        <row r="1040">
          <cell r="A1040" t="str">
            <v>50714150970</v>
          </cell>
          <cell r="B1040" t="str">
            <v>ZMTD</v>
          </cell>
          <cell r="C1040">
            <v>45282</v>
          </cell>
          <cell r="D1040" t="str">
            <v>Not delivered</v>
          </cell>
          <cell r="E1040">
            <v>507141509</v>
          </cell>
          <cell r="F1040">
            <v>70</v>
          </cell>
          <cell r="G1040">
            <v>1173392</v>
          </cell>
          <cell r="H1040" t="str">
            <v>LS-091:CVR WHT HTF ORANGE ROHTO60C</v>
          </cell>
          <cell r="I1040">
            <v>9880</v>
          </cell>
          <cell r="J1040" t="str">
            <v>UN</v>
          </cell>
          <cell r="K1040">
            <v>45653</v>
          </cell>
        </row>
        <row r="1041">
          <cell r="A1041" t="str">
            <v>50714150980</v>
          </cell>
          <cell r="B1041" t="str">
            <v>ZMTD</v>
          </cell>
          <cell r="C1041">
            <v>45282</v>
          </cell>
          <cell r="D1041" t="str">
            <v>Not delivered</v>
          </cell>
          <cell r="E1041">
            <v>507141509</v>
          </cell>
          <cell r="F1041">
            <v>80</v>
          </cell>
          <cell r="G1041">
            <v>1243794</v>
          </cell>
          <cell r="H1041" t="str">
            <v>LS-091:BS PINK P/SHEER CLR NEW ROHTO 60B</v>
          </cell>
          <cell r="I1041">
            <v>9880</v>
          </cell>
          <cell r="J1041" t="str">
            <v>UN</v>
          </cell>
          <cell r="K1041">
            <v>45653</v>
          </cell>
        </row>
        <row r="1042">
          <cell r="A1042" t="str">
            <v>50714150990</v>
          </cell>
          <cell r="B1042" t="str">
            <v>ZMTD</v>
          </cell>
          <cell r="C1042">
            <v>45282</v>
          </cell>
          <cell r="D1042" t="str">
            <v>Not delivered</v>
          </cell>
          <cell r="E1042">
            <v>507141509</v>
          </cell>
          <cell r="F1042">
            <v>90</v>
          </cell>
          <cell r="G1042">
            <v>1170054</v>
          </cell>
          <cell r="H1042" t="str">
            <v>LS-091:CVR WHT HTF BUBLEGUM ROHTO 60C</v>
          </cell>
          <cell r="I1042">
            <v>9880</v>
          </cell>
          <cell r="J1042" t="str">
            <v>UN</v>
          </cell>
          <cell r="K1042">
            <v>45653</v>
          </cell>
        </row>
        <row r="1043">
          <cell r="A1043" t="str">
            <v>507141509100</v>
          </cell>
          <cell r="B1043" t="str">
            <v>ZMTD</v>
          </cell>
          <cell r="C1043">
            <v>45282</v>
          </cell>
          <cell r="D1043" t="str">
            <v>Not delivered</v>
          </cell>
          <cell r="E1043">
            <v>507141509</v>
          </cell>
          <cell r="F1043">
            <v>100</v>
          </cell>
          <cell r="G1043">
            <v>1243794</v>
          </cell>
          <cell r="H1043" t="str">
            <v>LS-091:BS PINK P/SHEER CLR NEW ROHTO 60B</v>
          </cell>
          <cell r="I1043">
            <v>9880</v>
          </cell>
          <cell r="J1043" t="str">
            <v>UN</v>
          </cell>
          <cell r="K1043">
            <v>45653</v>
          </cell>
        </row>
        <row r="1044">
          <cell r="A1044" t="str">
            <v>50714150050</v>
          </cell>
          <cell r="B1044" t="str">
            <v>ZMTD</v>
          </cell>
          <cell r="C1044">
            <v>45281</v>
          </cell>
          <cell r="D1044" t="str">
            <v>Not delivered</v>
          </cell>
          <cell r="E1044">
            <v>507141500</v>
          </cell>
          <cell r="F1044">
            <v>50</v>
          </cell>
          <cell r="G1044">
            <v>1173392</v>
          </cell>
          <cell r="H1044" t="str">
            <v>LS-091:CVR WHT HTF ORANGE ROHTO60C</v>
          </cell>
          <cell r="I1044">
            <v>15808</v>
          </cell>
          <cell r="J1044" t="str">
            <v>UN</v>
          </cell>
          <cell r="K1044">
            <v>45653</v>
          </cell>
        </row>
        <row r="1045">
          <cell r="A1045" t="str">
            <v>507141500130</v>
          </cell>
          <cell r="B1045" t="str">
            <v>ZMTD</v>
          </cell>
          <cell r="C1045">
            <v>45281</v>
          </cell>
          <cell r="D1045" t="str">
            <v>Not delivered</v>
          </cell>
          <cell r="E1045">
            <v>507141500</v>
          </cell>
          <cell r="F1045">
            <v>130</v>
          </cell>
          <cell r="G1045">
            <v>1194708</v>
          </cell>
          <cell r="H1045" t="str">
            <v>LS-091:CVR WHT HTF APPLE ROHTO 60C</v>
          </cell>
          <cell r="I1045">
            <v>7408</v>
          </cell>
          <cell r="J1045" t="str">
            <v>UN</v>
          </cell>
          <cell r="K1045">
            <v>45653</v>
          </cell>
        </row>
        <row r="1046">
          <cell r="A1046" t="str">
            <v>507141500140</v>
          </cell>
          <cell r="B1046" t="str">
            <v>ZMTD</v>
          </cell>
          <cell r="C1046">
            <v>45281</v>
          </cell>
          <cell r="D1046" t="str">
            <v>Not delivered</v>
          </cell>
          <cell r="E1046">
            <v>507141500</v>
          </cell>
          <cell r="F1046">
            <v>140</v>
          </cell>
          <cell r="G1046">
            <v>1170054</v>
          </cell>
          <cell r="H1046" t="str">
            <v>LS-091:CVR WHT HTF BUBLEGUM ROHTO 60C</v>
          </cell>
          <cell r="I1046">
            <v>3908</v>
          </cell>
          <cell r="J1046" t="str">
            <v>UN</v>
          </cell>
          <cell r="K1046">
            <v>45653</v>
          </cell>
        </row>
        <row r="1047">
          <cell r="A1047" t="str">
            <v>50800528720</v>
          </cell>
          <cell r="B1047" t="str">
            <v>ZMFD</v>
          </cell>
          <cell r="C1047">
            <v>45558</v>
          </cell>
          <cell r="D1047" t="str">
            <v>Not delivered</v>
          </cell>
          <cell r="E1047">
            <v>508005287</v>
          </cell>
          <cell r="F1047">
            <v>20</v>
          </cell>
          <cell r="G1047">
            <v>1305089</v>
          </cell>
          <cell r="H1047" t="str">
            <v>CM-207:VM SHY SLV P/MATTE ZGH6010038 EL</v>
          </cell>
          <cell r="I1047">
            <v>25920</v>
          </cell>
          <cell r="J1047" t="str">
            <v>UN</v>
          </cell>
          <cell r="K1047">
            <v>45659</v>
          </cell>
        </row>
        <row r="1048">
          <cell r="A1048" t="str">
            <v>50800528210</v>
          </cell>
          <cell r="B1048" t="str">
            <v>ZMFD</v>
          </cell>
          <cell r="C1048">
            <v>45554</v>
          </cell>
          <cell r="D1048" t="str">
            <v>Not delivered</v>
          </cell>
          <cell r="E1048">
            <v>508005282</v>
          </cell>
          <cell r="F1048">
            <v>10</v>
          </cell>
          <cell r="G1048">
            <v>1431860</v>
          </cell>
          <cell r="H1048" t="str">
            <v>PT6029R CAP GARNIER 18ML WHITE PLZ (553)</v>
          </cell>
          <cell r="I1048">
            <v>105840</v>
          </cell>
          <cell r="J1048" t="str">
            <v>UN</v>
          </cell>
          <cell r="K1048">
            <v>45659</v>
          </cell>
        </row>
        <row r="1049">
          <cell r="A1049" t="str">
            <v>50714227010</v>
          </cell>
          <cell r="B1049" t="str">
            <v>ZMTD</v>
          </cell>
          <cell r="C1049">
            <v>45443</v>
          </cell>
          <cell r="D1049" t="str">
            <v>Not delivered</v>
          </cell>
          <cell r="E1049">
            <v>507142270</v>
          </cell>
          <cell r="F1049">
            <v>10</v>
          </cell>
          <cell r="G1049">
            <v>1187758</v>
          </cell>
          <cell r="H1049" t="str">
            <v>CM-105:VM RAINBOW P/ULTIMA II RUDYS 40C</v>
          </cell>
          <cell r="I1049">
            <v>5000</v>
          </cell>
          <cell r="J1049" t="str">
            <v>UN</v>
          </cell>
          <cell r="K1049">
            <v>45659</v>
          </cell>
        </row>
        <row r="1050">
          <cell r="A1050" t="str">
            <v>50714227020</v>
          </cell>
          <cell r="B1050" t="str">
            <v>ZMTD</v>
          </cell>
          <cell r="C1050">
            <v>45443</v>
          </cell>
          <cell r="D1050" t="str">
            <v>Not delivered</v>
          </cell>
          <cell r="E1050">
            <v>507142270</v>
          </cell>
          <cell r="F1050">
            <v>20</v>
          </cell>
          <cell r="G1050">
            <v>1187758</v>
          </cell>
          <cell r="H1050" t="str">
            <v>CM-105:VM RAINBOW P/ULTIMA II RUDYS 40C</v>
          </cell>
          <cell r="I1050">
            <v>15000</v>
          </cell>
          <cell r="J1050" t="str">
            <v>UN</v>
          </cell>
          <cell r="K1050">
            <v>45659</v>
          </cell>
        </row>
        <row r="1051">
          <cell r="A1051" t="str">
            <v>50714276310</v>
          </cell>
          <cell r="B1051" t="str">
            <v>ZMTD</v>
          </cell>
          <cell r="C1051">
            <v>45552</v>
          </cell>
          <cell r="D1051" t="str">
            <v>Not delivered</v>
          </cell>
          <cell r="E1051">
            <v>507142763</v>
          </cell>
          <cell r="F1051">
            <v>10</v>
          </cell>
          <cell r="G1051">
            <v>1240862</v>
          </cell>
          <cell r="H1051" t="str">
            <v>FP-014 SIFTER NAT W/ORDERED LABEL REVLON</v>
          </cell>
          <cell r="I1051">
            <v>38750</v>
          </cell>
          <cell r="J1051" t="str">
            <v>UN</v>
          </cell>
          <cell r="K1051">
            <v>45660</v>
          </cell>
        </row>
        <row r="1052">
          <cell r="A1052" t="str">
            <v>50714276320</v>
          </cell>
          <cell r="B1052" t="str">
            <v>ZMTD</v>
          </cell>
          <cell r="C1052">
            <v>45552</v>
          </cell>
          <cell r="D1052" t="str">
            <v>Not delivered</v>
          </cell>
          <cell r="E1052">
            <v>507142763</v>
          </cell>
          <cell r="F1052">
            <v>20</v>
          </cell>
          <cell r="G1052">
            <v>1171483</v>
          </cell>
          <cell r="H1052" t="str">
            <v>FP-014:COVER GREY MATTE IN MOLD REVLON</v>
          </cell>
          <cell r="I1052">
            <v>34992</v>
          </cell>
          <cell r="J1052" t="str">
            <v>UN</v>
          </cell>
          <cell r="K1052">
            <v>45660</v>
          </cell>
        </row>
        <row r="1053">
          <cell r="A1053" t="str">
            <v>50714276460</v>
          </cell>
          <cell r="B1053" t="str">
            <v>ZMTD</v>
          </cell>
          <cell r="C1053">
            <v>45552</v>
          </cell>
          <cell r="D1053" t="str">
            <v>Not delivered</v>
          </cell>
          <cell r="E1053">
            <v>507142764</v>
          </cell>
          <cell r="F1053">
            <v>60</v>
          </cell>
          <cell r="G1053">
            <v>1211756</v>
          </cell>
          <cell r="H1053" t="str">
            <v>CM-246:COVER VM SHNY SLV ALMOST PWD</v>
          </cell>
          <cell r="I1053">
            <v>120120</v>
          </cell>
          <cell r="J1053" t="str">
            <v>UN</v>
          </cell>
          <cell r="K1053">
            <v>45660</v>
          </cell>
        </row>
        <row r="1054">
          <cell r="A1054" t="str">
            <v>50714275810</v>
          </cell>
          <cell r="B1054" t="str">
            <v>ZMTD</v>
          </cell>
          <cell r="C1054">
            <v>45548</v>
          </cell>
          <cell r="D1054" t="str">
            <v>Not delivered</v>
          </cell>
          <cell r="E1054">
            <v>507142758</v>
          </cell>
          <cell r="F1054">
            <v>10</v>
          </cell>
          <cell r="G1054">
            <v>1432080</v>
          </cell>
          <cell r="H1054" t="str">
            <v>CM-281:BS/CV TWC BLUE UV P/S/INEZ FTC30M</v>
          </cell>
          <cell r="I1054">
            <v>25000</v>
          </cell>
          <cell r="J1054" t="str">
            <v>UN</v>
          </cell>
          <cell r="K1054">
            <v>45660</v>
          </cell>
        </row>
        <row r="1055">
          <cell r="A1055" t="str">
            <v>50800528410</v>
          </cell>
          <cell r="B1055" t="str">
            <v>ZMFD</v>
          </cell>
          <cell r="C1055">
            <v>45554</v>
          </cell>
          <cell r="D1055" t="str">
            <v>Not delivered</v>
          </cell>
          <cell r="E1055">
            <v>508005284</v>
          </cell>
          <cell r="F1055">
            <v>10</v>
          </cell>
          <cell r="G1055">
            <v>1431861</v>
          </cell>
          <cell r="H1055" t="str">
            <v>PT6029R JAR GARNIER 18ML NIGHT CRM (659)</v>
          </cell>
          <cell r="I1055">
            <v>51856</v>
          </cell>
          <cell r="J1055" t="str">
            <v>UN</v>
          </cell>
          <cell r="K1055">
            <v>45666</v>
          </cell>
        </row>
        <row r="1056">
          <cell r="A1056" t="str">
            <v>50714260630</v>
          </cell>
          <cell r="B1056" t="str">
            <v>ZMTD</v>
          </cell>
          <cell r="C1056">
            <v>45509</v>
          </cell>
          <cell r="D1056" t="str">
            <v>Not delivered</v>
          </cell>
          <cell r="E1056">
            <v>507142606</v>
          </cell>
          <cell r="F1056">
            <v>30</v>
          </cell>
          <cell r="G1056">
            <v>1172020</v>
          </cell>
          <cell r="H1056" t="str">
            <v>FP-028:SLEEVE EYELASHES 01SLMAC EL</v>
          </cell>
          <cell r="I1056">
            <v>80256</v>
          </cell>
          <cell r="J1056" t="str">
            <v>UN</v>
          </cell>
          <cell r="K1056">
            <v>45666</v>
          </cell>
        </row>
        <row r="1057">
          <cell r="A1057" t="str">
            <v>50714260640</v>
          </cell>
          <cell r="B1057" t="str">
            <v>ZMTD</v>
          </cell>
          <cell r="C1057">
            <v>45509</v>
          </cell>
          <cell r="D1057" t="str">
            <v>Not delivered</v>
          </cell>
          <cell r="E1057">
            <v>507142606</v>
          </cell>
          <cell r="F1057">
            <v>40</v>
          </cell>
          <cell r="G1057">
            <v>1170605</v>
          </cell>
          <cell r="H1057" t="str">
            <v>FP-028:WHITE TR EYLSHS P/ 01PLMAC EL</v>
          </cell>
          <cell r="I1057">
            <v>80514</v>
          </cell>
          <cell r="J1057" t="str">
            <v>UN</v>
          </cell>
          <cell r="K1057">
            <v>45666</v>
          </cell>
        </row>
        <row r="1058">
          <cell r="A1058" t="str">
            <v>50800496460</v>
          </cell>
          <cell r="B1058" t="str">
            <v>ZMFD</v>
          </cell>
          <cell r="C1058">
            <v>45384</v>
          </cell>
          <cell r="D1058" t="str">
            <v>Not delivered</v>
          </cell>
          <cell r="E1058">
            <v>508004964</v>
          </cell>
          <cell r="F1058">
            <v>60</v>
          </cell>
          <cell r="G1058">
            <v>1406600</v>
          </cell>
          <cell r="H1058" t="str">
            <v>CM-310:BLACK M086 CANNAGE S/SLV UV MT</v>
          </cell>
          <cell r="I1058">
            <v>40000</v>
          </cell>
          <cell r="J1058" t="str">
            <v>UN</v>
          </cell>
          <cell r="K1058">
            <v>45666</v>
          </cell>
        </row>
        <row r="1059">
          <cell r="A1059" t="str">
            <v>50800528520</v>
          </cell>
          <cell r="B1059" t="str">
            <v>ZMFD</v>
          </cell>
          <cell r="C1059">
            <v>45558</v>
          </cell>
          <cell r="D1059" t="str">
            <v>Not delivered</v>
          </cell>
          <cell r="E1059">
            <v>508005285</v>
          </cell>
          <cell r="F1059">
            <v>20</v>
          </cell>
          <cell r="G1059">
            <v>1163327</v>
          </cell>
          <cell r="H1059" t="str">
            <v>CM-246:CVR S.SLV PAN WHITE 6MPY 01 0034</v>
          </cell>
          <cell r="I1059">
            <v>25056</v>
          </cell>
          <cell r="J1059" t="str">
            <v>UN</v>
          </cell>
          <cell r="K1059">
            <v>45667</v>
          </cell>
        </row>
        <row r="1060">
          <cell r="A1060" t="str">
            <v>50714276470</v>
          </cell>
          <cell r="B1060" t="str">
            <v>ZMTD</v>
          </cell>
          <cell r="C1060">
            <v>45552</v>
          </cell>
          <cell r="D1060" t="str">
            <v>Not delivered</v>
          </cell>
          <cell r="E1060">
            <v>507142764</v>
          </cell>
          <cell r="F1060">
            <v>70</v>
          </cell>
          <cell r="G1060">
            <v>1211756</v>
          </cell>
          <cell r="H1060" t="str">
            <v>CM-246:COVER VM SHNY SLV ALMOST PWD</v>
          </cell>
          <cell r="I1060">
            <v>120120</v>
          </cell>
          <cell r="J1060" t="str">
            <v>UN</v>
          </cell>
          <cell r="K1060">
            <v>45667</v>
          </cell>
        </row>
        <row r="1061">
          <cell r="A1061" t="str">
            <v>50800514920</v>
          </cell>
          <cell r="B1061" t="str">
            <v>ZMFD</v>
          </cell>
          <cell r="C1061">
            <v>45464</v>
          </cell>
          <cell r="D1061" t="str">
            <v>Not delivered</v>
          </cell>
          <cell r="E1061">
            <v>508005149</v>
          </cell>
          <cell r="F1061">
            <v>20</v>
          </cell>
          <cell r="G1061">
            <v>1378563</v>
          </cell>
          <cell r="H1061" t="str">
            <v>CP-093:CAP D50 MT BLACK Ø.5 YASULOR 12A</v>
          </cell>
          <cell r="I1061">
            <v>2267488</v>
          </cell>
          <cell r="J1061" t="str">
            <v>UN</v>
          </cell>
          <cell r="K1061">
            <v>45667</v>
          </cell>
        </row>
        <row r="1062">
          <cell r="A1062" t="str">
            <v>50800511230</v>
          </cell>
          <cell r="B1062" t="str">
            <v>ZMFD</v>
          </cell>
          <cell r="C1062">
            <v>45450</v>
          </cell>
          <cell r="D1062" t="str">
            <v>Not delivered</v>
          </cell>
          <cell r="E1062">
            <v>508005112</v>
          </cell>
          <cell r="F1062">
            <v>30</v>
          </cell>
          <cell r="G1062">
            <v>1169658</v>
          </cell>
          <cell r="H1062" t="str">
            <v>CM-156:NEW GREEN MRBL 6339010303 CLNQ EL</v>
          </cell>
          <cell r="I1062">
            <v>22680</v>
          </cell>
          <cell r="J1062" t="str">
            <v>UN</v>
          </cell>
          <cell r="K1062">
            <v>45667</v>
          </cell>
        </row>
        <row r="1063">
          <cell r="A1063" t="str">
            <v>50714276480</v>
          </cell>
          <cell r="B1063" t="str">
            <v>ZMTD</v>
          </cell>
          <cell r="C1063">
            <v>45552</v>
          </cell>
          <cell r="D1063" t="str">
            <v>Not delivered</v>
          </cell>
          <cell r="E1063">
            <v>507142764</v>
          </cell>
          <cell r="F1063">
            <v>80</v>
          </cell>
          <cell r="G1063">
            <v>1211756</v>
          </cell>
          <cell r="H1063" t="str">
            <v>CM-246:COVER VM SHNY SLV ALMOST PWD</v>
          </cell>
          <cell r="I1063">
            <v>71760</v>
          </cell>
          <cell r="J1063" t="str">
            <v>UN</v>
          </cell>
          <cell r="K1063">
            <v>45675</v>
          </cell>
        </row>
        <row r="1064">
          <cell r="A1064" t="str">
            <v>50800496470</v>
          </cell>
          <cell r="B1064" t="str">
            <v>ZMFD</v>
          </cell>
          <cell r="C1064">
            <v>45384</v>
          </cell>
          <cell r="D1064" t="str">
            <v>Not delivered</v>
          </cell>
          <cell r="E1064">
            <v>508004964</v>
          </cell>
          <cell r="F1064">
            <v>70</v>
          </cell>
          <cell r="G1064">
            <v>1406600</v>
          </cell>
          <cell r="H1064" t="str">
            <v>CM-310:BLACK M086 CANNAGE S/SLV UV MT</v>
          </cell>
          <cell r="I1064">
            <v>40000</v>
          </cell>
          <cell r="J1064" t="str">
            <v>UN</v>
          </cell>
          <cell r="K1064">
            <v>45677</v>
          </cell>
        </row>
        <row r="1065">
          <cell r="A1065" t="str">
            <v>50800526440</v>
          </cell>
          <cell r="B1065" t="str">
            <v>ZMFD</v>
          </cell>
          <cell r="C1065">
            <v>45525</v>
          </cell>
          <cell r="D1065" t="str">
            <v>Not delivered</v>
          </cell>
          <cell r="E1065">
            <v>508005264</v>
          </cell>
          <cell r="F1065">
            <v>40</v>
          </cell>
          <cell r="G1065">
            <v>1187758</v>
          </cell>
          <cell r="H1065" t="str">
            <v>CM-105:VM RAINBOW P/ULTIMA II RUDYS 40C</v>
          </cell>
          <cell r="I1065">
            <v>12500</v>
          </cell>
          <cell r="J1065" t="str">
            <v>UN</v>
          </cell>
          <cell r="K1065">
            <v>45679</v>
          </cell>
        </row>
        <row r="1066">
          <cell r="A1066" t="str">
            <v>50800526410</v>
          </cell>
          <cell r="B1066" t="str">
            <v>ZMFD</v>
          </cell>
          <cell r="C1066">
            <v>45525</v>
          </cell>
          <cell r="D1066" t="str">
            <v>Not delivered</v>
          </cell>
          <cell r="E1066">
            <v>508005264</v>
          </cell>
          <cell r="F1066">
            <v>10</v>
          </cell>
          <cell r="G1066">
            <v>1187960</v>
          </cell>
          <cell r="H1066" t="str">
            <v>FP-014:CVR VMRAINBOW P/ULTM II RUDYS 40C</v>
          </cell>
          <cell r="I1066">
            <v>15000</v>
          </cell>
          <cell r="J1066" t="str">
            <v>UN</v>
          </cell>
          <cell r="K1066">
            <v>45681</v>
          </cell>
        </row>
        <row r="1067">
          <cell r="A1067" t="str">
            <v>50800526420</v>
          </cell>
          <cell r="B1067" t="str">
            <v>ZMFD</v>
          </cell>
          <cell r="C1067">
            <v>45525</v>
          </cell>
          <cell r="D1067" t="str">
            <v>Not delivered</v>
          </cell>
          <cell r="E1067">
            <v>508005264</v>
          </cell>
          <cell r="F1067">
            <v>20</v>
          </cell>
          <cell r="G1067">
            <v>1172318</v>
          </cell>
          <cell r="H1067" t="str">
            <v>FP-014:BASE CLEAR NO DC ULTIMA II RUDY S</v>
          </cell>
          <cell r="I1067">
            <v>15000</v>
          </cell>
          <cell r="J1067" t="str">
            <v>UN</v>
          </cell>
          <cell r="K1067">
            <v>45681</v>
          </cell>
        </row>
        <row r="1068">
          <cell r="A1068" t="str">
            <v>50800526430</v>
          </cell>
          <cell r="B1068" t="str">
            <v>ZMFD</v>
          </cell>
          <cell r="C1068">
            <v>45525</v>
          </cell>
          <cell r="D1068" t="str">
            <v>Not delivered</v>
          </cell>
          <cell r="E1068">
            <v>508005264</v>
          </cell>
          <cell r="F1068">
            <v>30</v>
          </cell>
          <cell r="G1068">
            <v>1170826</v>
          </cell>
          <cell r="H1068" t="str">
            <v>FP-014:SIFTER NT W/LBL NO DECO ULTIMA II</v>
          </cell>
          <cell r="I1068">
            <v>15000</v>
          </cell>
          <cell r="J1068" t="str">
            <v>UN</v>
          </cell>
          <cell r="K1068">
            <v>45681</v>
          </cell>
        </row>
        <row r="1069">
          <cell r="A1069" t="str">
            <v>50714275910</v>
          </cell>
          <cell r="B1069" t="str">
            <v>ZMTD</v>
          </cell>
          <cell r="C1069">
            <v>45548</v>
          </cell>
          <cell r="D1069" t="str">
            <v>Not delivered</v>
          </cell>
          <cell r="E1069">
            <v>507142759</v>
          </cell>
          <cell r="F1069">
            <v>10</v>
          </cell>
          <cell r="G1069">
            <v>1432080</v>
          </cell>
          <cell r="H1069" t="str">
            <v>CM-281:BS/CV TWC BLUE UV P/S/INEZ FTC30M</v>
          </cell>
          <cell r="I1069">
            <v>25000</v>
          </cell>
          <cell r="J1069" t="str">
            <v>UN</v>
          </cell>
          <cell r="K1069">
            <v>45687</v>
          </cell>
        </row>
        <row r="1070">
          <cell r="A1070" t="str">
            <v>50800496480</v>
          </cell>
          <cell r="B1070" t="str">
            <v>ZMFD</v>
          </cell>
          <cell r="C1070">
            <v>45384</v>
          </cell>
          <cell r="D1070" t="str">
            <v>Not delivered</v>
          </cell>
          <cell r="E1070">
            <v>508004964</v>
          </cell>
          <cell r="F1070">
            <v>80</v>
          </cell>
          <cell r="G1070">
            <v>1406600</v>
          </cell>
          <cell r="H1070" t="str">
            <v>CM-310:BLACK M086 CANNAGE S/SLV UV MT</v>
          </cell>
          <cell r="I1070">
            <v>20000</v>
          </cell>
          <cell r="J1070" t="str">
            <v>UN</v>
          </cell>
          <cell r="K1070">
            <v>45687</v>
          </cell>
        </row>
        <row r="1071">
          <cell r="A1071" t="str">
            <v>50800528220</v>
          </cell>
          <cell r="B1071" t="str">
            <v>ZMFD</v>
          </cell>
          <cell r="C1071">
            <v>45554</v>
          </cell>
          <cell r="D1071" t="str">
            <v>Not delivered</v>
          </cell>
          <cell r="E1071">
            <v>508005282</v>
          </cell>
          <cell r="F1071">
            <v>20</v>
          </cell>
          <cell r="G1071">
            <v>1431860</v>
          </cell>
          <cell r="H1071" t="str">
            <v>PT6029R CAP GARNIER 18ML WHITE PLZ (553)</v>
          </cell>
          <cell r="I1071">
            <v>35280</v>
          </cell>
          <cell r="J1071" t="str">
            <v>UN</v>
          </cell>
          <cell r="K1071">
            <v>45688</v>
          </cell>
        </row>
        <row r="1072">
          <cell r="A1072" t="str">
            <v>50800514930</v>
          </cell>
          <cell r="B1072" t="str">
            <v>ZMFD</v>
          </cell>
          <cell r="C1072">
            <v>45464</v>
          </cell>
          <cell r="D1072" t="str">
            <v>Not delivered</v>
          </cell>
          <cell r="E1072">
            <v>508005149</v>
          </cell>
          <cell r="F1072">
            <v>30</v>
          </cell>
          <cell r="G1072">
            <v>1378563</v>
          </cell>
          <cell r="H1072" t="str">
            <v>CP-093:CAP D50 MT BLACK Ø.5 YASULOR 12A</v>
          </cell>
          <cell r="I1072">
            <v>1958535</v>
          </cell>
          <cell r="J1072" t="str">
            <v>UN</v>
          </cell>
          <cell r="K1072">
            <v>45700</v>
          </cell>
        </row>
        <row r="1073">
          <cell r="A1073" t="str">
            <v>50800528230</v>
          </cell>
          <cell r="B1073" t="str">
            <v>ZMFD</v>
          </cell>
          <cell r="C1073">
            <v>45554</v>
          </cell>
          <cell r="D1073" t="str">
            <v>Not delivered</v>
          </cell>
          <cell r="E1073">
            <v>508005282</v>
          </cell>
          <cell r="F1073">
            <v>30</v>
          </cell>
          <cell r="G1073">
            <v>1431860</v>
          </cell>
          <cell r="H1073" t="str">
            <v>PT6029R CAP GARNIER 18ML WHITE PLZ (553)</v>
          </cell>
          <cell r="I1073">
            <v>35280</v>
          </cell>
          <cell r="J1073" t="str">
            <v>UN</v>
          </cell>
          <cell r="K1073">
            <v>45719</v>
          </cell>
        </row>
        <row r="1074">
          <cell r="A1074" t="str">
            <v>50714260650</v>
          </cell>
          <cell r="B1074" t="str">
            <v>ZMTD</v>
          </cell>
          <cell r="C1074">
            <v>45509</v>
          </cell>
          <cell r="D1074" t="str">
            <v>Not delivered</v>
          </cell>
          <cell r="E1074">
            <v>507142606</v>
          </cell>
          <cell r="F1074">
            <v>50</v>
          </cell>
          <cell r="G1074">
            <v>1172020</v>
          </cell>
          <cell r="H1074" t="str">
            <v>FP-028:SLEEVE EYELASHES 01SLMAC EL</v>
          </cell>
          <cell r="I1074">
            <v>80256</v>
          </cell>
          <cell r="J1074" t="str">
            <v>UN</v>
          </cell>
          <cell r="K1074">
            <v>45722</v>
          </cell>
        </row>
        <row r="1075">
          <cell r="A1075" t="str">
            <v>50714260660</v>
          </cell>
          <cell r="B1075" t="str">
            <v>ZMTD</v>
          </cell>
          <cell r="C1075">
            <v>45509</v>
          </cell>
          <cell r="D1075" t="str">
            <v>Not delivered</v>
          </cell>
          <cell r="E1075">
            <v>507142606</v>
          </cell>
          <cell r="F1075">
            <v>60</v>
          </cell>
          <cell r="G1075">
            <v>1170605</v>
          </cell>
          <cell r="H1075" t="str">
            <v>FP-028:WHITE TR EYLSHS P/ 01PLMAC EL</v>
          </cell>
          <cell r="I1075">
            <v>80514</v>
          </cell>
          <cell r="J1075" t="str">
            <v>UN</v>
          </cell>
          <cell r="K1075">
            <v>45722</v>
          </cell>
        </row>
        <row r="1076">
          <cell r="A1076" t="str">
            <v>50800514940</v>
          </cell>
          <cell r="B1076" t="str">
            <v>ZMFD</v>
          </cell>
          <cell r="C1076">
            <v>45464</v>
          </cell>
          <cell r="D1076" t="str">
            <v>Not delivered</v>
          </cell>
          <cell r="E1076">
            <v>508005149</v>
          </cell>
          <cell r="F1076">
            <v>40</v>
          </cell>
          <cell r="G1076">
            <v>1378563</v>
          </cell>
          <cell r="H1076" t="str">
            <v>CP-093:CAP D50 MT BLACK Ø.5 YASULOR 12A</v>
          </cell>
          <cell r="I1076">
            <v>996940</v>
          </cell>
          <cell r="J1076" t="str">
            <v>UN</v>
          </cell>
          <cell r="K1076">
            <v>45723</v>
          </cell>
        </row>
        <row r="1077">
          <cell r="A1077" t="str">
            <v>50800528240</v>
          </cell>
          <cell r="B1077" t="str">
            <v>ZMFD</v>
          </cell>
          <cell r="C1077">
            <v>45554</v>
          </cell>
          <cell r="D1077" t="str">
            <v>Not delivered</v>
          </cell>
          <cell r="E1077">
            <v>508005282</v>
          </cell>
          <cell r="F1077">
            <v>40</v>
          </cell>
          <cell r="G1077">
            <v>1431860</v>
          </cell>
          <cell r="H1077" t="str">
            <v>PT6029R CAP GARNIER 18ML WHITE PLZ (553)</v>
          </cell>
          <cell r="I1077">
            <v>70560</v>
          </cell>
          <cell r="J1077" t="str">
            <v>UN</v>
          </cell>
          <cell r="K1077">
            <v>45782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PLPV"/>
      <sheetName val="Summary"/>
      <sheetName val="VA05"/>
      <sheetName val="OpenSOwDel"/>
      <sheetName val="MB52FG"/>
      <sheetName val="ZEPLSOALL"/>
      <sheetName val="Ref2"/>
      <sheetName val="REFERENCE"/>
      <sheetName val="Routing"/>
      <sheetName val="UAP"/>
      <sheetName val="LIST MN BM"/>
      <sheetName val="Plot"/>
      <sheetName val="Work Center"/>
    </sheetNames>
    <sheetDataSet>
      <sheetData sheetId="0"/>
      <sheetData sheetId="1"/>
      <sheetData sheetId="2">
        <row r="1">
          <cell r="A1" t="str">
            <v>SORef2</v>
          </cell>
          <cell r="B1" t="str">
            <v>SaTy</v>
          </cell>
          <cell r="C1" t="str">
            <v>Doc. Date</v>
          </cell>
          <cell r="D1" t="str">
            <v>Status</v>
          </cell>
          <cell r="E1" t="str">
            <v>Document</v>
          </cell>
          <cell r="F1" t="str">
            <v>Item</v>
          </cell>
          <cell r="G1" t="str">
            <v>Material</v>
          </cell>
          <cell r="H1" t="str">
            <v>Description</v>
          </cell>
          <cell r="I1" t="str">
            <v xml:space="preserve">     Order Qty</v>
          </cell>
          <cell r="J1" t="str">
            <v>BUn</v>
          </cell>
          <cell r="K1" t="str">
            <v>GI Date</v>
          </cell>
        </row>
        <row r="2">
          <cell r="A2" t="str">
            <v>50714131980</v>
          </cell>
          <cell r="B2" t="str">
            <v>ZMTD</v>
          </cell>
          <cell r="C2">
            <v>45247</v>
          </cell>
          <cell r="D2" t="str">
            <v>Not delivered</v>
          </cell>
          <cell r="E2">
            <v>507141319</v>
          </cell>
          <cell r="F2">
            <v>80</v>
          </cell>
          <cell r="G2">
            <v>1393667</v>
          </cell>
          <cell r="H2" t="str">
            <v>CM-105:BLACK NO DC GENERAL 10A</v>
          </cell>
          <cell r="I2">
            <v>960</v>
          </cell>
          <cell r="J2" t="str">
            <v>UN</v>
          </cell>
          <cell r="K2">
            <v>45294</v>
          </cell>
        </row>
        <row r="3">
          <cell r="A3" t="str">
            <v>507141319130</v>
          </cell>
          <cell r="B3" t="str">
            <v>ZMTD</v>
          </cell>
          <cell r="C3">
            <v>45247</v>
          </cell>
          <cell r="D3" t="str">
            <v>Not delivered</v>
          </cell>
          <cell r="E3">
            <v>507141319</v>
          </cell>
          <cell r="F3">
            <v>130</v>
          </cell>
          <cell r="G3">
            <v>1395395</v>
          </cell>
          <cell r="H3" t="str">
            <v>FP-014:BS CLEAR NO DC GENERAL 12A</v>
          </cell>
          <cell r="I3">
            <v>1530</v>
          </cell>
          <cell r="J3" t="str">
            <v>UN</v>
          </cell>
          <cell r="K3">
            <v>45301</v>
          </cell>
        </row>
        <row r="4">
          <cell r="A4" t="str">
            <v>507141319140</v>
          </cell>
          <cell r="B4" t="str">
            <v>ZMTD</v>
          </cell>
          <cell r="C4">
            <v>45247</v>
          </cell>
          <cell r="D4" t="str">
            <v>Not delivered</v>
          </cell>
          <cell r="E4">
            <v>507141319</v>
          </cell>
          <cell r="F4">
            <v>140</v>
          </cell>
          <cell r="G4">
            <v>1395396</v>
          </cell>
          <cell r="H4" t="str">
            <v>FP-014:CVR BLCK NO DC GENERAL 12A</v>
          </cell>
          <cell r="I4">
            <v>1530</v>
          </cell>
          <cell r="J4" t="str">
            <v>UN</v>
          </cell>
          <cell r="K4">
            <v>45301</v>
          </cell>
        </row>
        <row r="5">
          <cell r="A5" t="str">
            <v>507141319150</v>
          </cell>
          <cell r="B5" t="str">
            <v>ZMTD</v>
          </cell>
          <cell r="C5">
            <v>45247</v>
          </cell>
          <cell r="D5" t="str">
            <v>Not delivered</v>
          </cell>
          <cell r="E5">
            <v>507141319</v>
          </cell>
          <cell r="F5">
            <v>150</v>
          </cell>
          <cell r="G5">
            <v>1395397</v>
          </cell>
          <cell r="H5" t="str">
            <v>FP-014:SFTR NAT W/ LABEL NODC GENERAL12A</v>
          </cell>
          <cell r="I5">
            <v>1530</v>
          </cell>
          <cell r="J5" t="str">
            <v>UN</v>
          </cell>
          <cell r="K5">
            <v>45301</v>
          </cell>
        </row>
        <row r="6">
          <cell r="A6" t="str">
            <v>507141319240</v>
          </cell>
          <cell r="B6" t="str">
            <v>ZMTD</v>
          </cell>
          <cell r="C6">
            <v>45247</v>
          </cell>
          <cell r="D6" t="str">
            <v>Not delivered</v>
          </cell>
          <cell r="E6">
            <v>507141319</v>
          </cell>
          <cell r="F6">
            <v>240</v>
          </cell>
          <cell r="G6">
            <v>1394201</v>
          </cell>
          <cell r="H6" t="str">
            <v>PT-099:BS-CVR BEIGE INS WHT12.5G GNRL12A</v>
          </cell>
          <cell r="I6">
            <v>2400</v>
          </cell>
          <cell r="J6" t="str">
            <v>UN</v>
          </cell>
          <cell r="K6">
            <v>45318</v>
          </cell>
        </row>
        <row r="7">
          <cell r="A7" t="str">
            <v>507141319250</v>
          </cell>
          <cell r="B7" t="str">
            <v>ZMTD</v>
          </cell>
          <cell r="C7">
            <v>45247</v>
          </cell>
          <cell r="D7" t="str">
            <v>Not delivered</v>
          </cell>
          <cell r="E7">
            <v>507141319</v>
          </cell>
          <cell r="F7">
            <v>250</v>
          </cell>
          <cell r="G7">
            <v>1174578</v>
          </cell>
          <cell r="H7" t="str">
            <v>FP-008:CVR WHT S/SLV NO DC,BASE WHT IMM</v>
          </cell>
          <cell r="I7">
            <v>1600</v>
          </cell>
          <cell r="J7" t="str">
            <v>UN</v>
          </cell>
          <cell r="K7">
            <v>45320</v>
          </cell>
        </row>
        <row r="8">
          <cell r="A8" t="str">
            <v>507141319260</v>
          </cell>
          <cell r="B8" t="str">
            <v>ZMTD</v>
          </cell>
          <cell r="C8">
            <v>45247</v>
          </cell>
          <cell r="D8" t="str">
            <v>Not delivered</v>
          </cell>
          <cell r="E8">
            <v>507141319</v>
          </cell>
          <cell r="F8">
            <v>260</v>
          </cell>
          <cell r="G8">
            <v>1173473</v>
          </cell>
          <cell r="H8" t="str">
            <v>FP-008:SIFTER NAT LIVINGHINGE W/LBL IMM</v>
          </cell>
          <cell r="I8">
            <v>1600</v>
          </cell>
          <cell r="J8" t="str">
            <v>UN</v>
          </cell>
          <cell r="K8">
            <v>45320</v>
          </cell>
        </row>
        <row r="9">
          <cell r="A9" t="str">
            <v>50714085410</v>
          </cell>
          <cell r="B9" t="str">
            <v>ZMTD</v>
          </cell>
          <cell r="C9">
            <v>45120</v>
          </cell>
          <cell r="D9" t="str">
            <v>Not delivered</v>
          </cell>
          <cell r="E9">
            <v>507140854</v>
          </cell>
          <cell r="F9">
            <v>10</v>
          </cell>
          <cell r="G9">
            <v>1319568</v>
          </cell>
          <cell r="H9" t="str">
            <v>FP-041:CVR WHT BS CLR SFTR W/LBL NDC 12A</v>
          </cell>
          <cell r="I9">
            <v>1056</v>
          </cell>
          <cell r="J9" t="str">
            <v>UN</v>
          </cell>
          <cell r="K9">
            <v>45322</v>
          </cell>
        </row>
        <row r="10">
          <cell r="A10" t="str">
            <v>507141319270</v>
          </cell>
          <cell r="B10" t="str">
            <v>ZMTD</v>
          </cell>
          <cell r="C10">
            <v>45247</v>
          </cell>
          <cell r="D10" t="str">
            <v>Not delivered</v>
          </cell>
          <cell r="E10">
            <v>507141319</v>
          </cell>
          <cell r="F10">
            <v>270</v>
          </cell>
          <cell r="G10">
            <v>1395871</v>
          </cell>
          <cell r="H10" t="str">
            <v>CL-003:CAP BEIGE WIPNAT NODC GENERAL 12A</v>
          </cell>
          <cell r="I10">
            <v>2772</v>
          </cell>
          <cell r="J10" t="str">
            <v>UN</v>
          </cell>
          <cell r="K10">
            <v>45331</v>
          </cell>
        </row>
        <row r="11">
          <cell r="A11" t="str">
            <v>507141319280</v>
          </cell>
          <cell r="B11" t="str">
            <v>ZMTD</v>
          </cell>
          <cell r="C11">
            <v>45247</v>
          </cell>
          <cell r="D11" t="str">
            <v>Not delivered</v>
          </cell>
          <cell r="E11">
            <v>507141319</v>
          </cell>
          <cell r="F11">
            <v>280</v>
          </cell>
          <cell r="G11">
            <v>1395831</v>
          </cell>
          <cell r="H11" t="str">
            <v>CL-003:BTL CLR COL BEIGE NODC GENERAL12A</v>
          </cell>
          <cell r="I11">
            <v>2772</v>
          </cell>
          <cell r="J11" t="str">
            <v>UN</v>
          </cell>
          <cell r="K11">
            <v>45331</v>
          </cell>
        </row>
        <row r="12">
          <cell r="A12" t="str">
            <v>507141319290</v>
          </cell>
          <cell r="B12" t="str">
            <v>ZMTD</v>
          </cell>
          <cell r="C12">
            <v>45247</v>
          </cell>
          <cell r="D12" t="str">
            <v>Not delivered</v>
          </cell>
          <cell r="E12">
            <v>507141319</v>
          </cell>
          <cell r="F12">
            <v>290</v>
          </cell>
          <cell r="G12">
            <v>1394095</v>
          </cell>
          <cell r="H12" t="str">
            <v>CM-133:CVR/BS GREN NODC GENERAL 12A</v>
          </cell>
          <cell r="I12">
            <v>960</v>
          </cell>
          <cell r="J12" t="str">
            <v>UN</v>
          </cell>
          <cell r="K12">
            <v>45332</v>
          </cell>
        </row>
        <row r="13">
          <cell r="A13" t="str">
            <v>507141319300</v>
          </cell>
          <cell r="B13" t="str">
            <v>ZMTD</v>
          </cell>
          <cell r="C13">
            <v>45247</v>
          </cell>
          <cell r="D13" t="str">
            <v>Not delivered</v>
          </cell>
          <cell r="E13">
            <v>507141319</v>
          </cell>
          <cell r="F13">
            <v>300</v>
          </cell>
          <cell r="G13">
            <v>1394099</v>
          </cell>
          <cell r="H13" t="str">
            <v>CM-253:CV CLR BS PINK NODC GENERAL 12A</v>
          </cell>
          <cell r="I13">
            <v>1620</v>
          </cell>
          <cell r="J13" t="str">
            <v>UN</v>
          </cell>
          <cell r="K13">
            <v>45337</v>
          </cell>
        </row>
        <row r="14">
          <cell r="A14" t="str">
            <v>50714131910</v>
          </cell>
          <cell r="B14" t="str">
            <v>ZMTD</v>
          </cell>
          <cell r="C14">
            <v>45247</v>
          </cell>
          <cell r="D14" t="str">
            <v>Not delivered</v>
          </cell>
          <cell r="E14">
            <v>507141319</v>
          </cell>
          <cell r="F14">
            <v>10</v>
          </cell>
          <cell r="G14">
            <v>1393662</v>
          </cell>
          <cell r="H14" t="str">
            <v>CM-290:1PC CVR/BS BEIGE NODC GENERAL 12A</v>
          </cell>
          <cell r="I14">
            <v>840</v>
          </cell>
          <cell r="J14" t="str">
            <v>UN</v>
          </cell>
          <cell r="K14">
            <v>45387</v>
          </cell>
        </row>
        <row r="15">
          <cell r="A15" t="str">
            <v>50714131920</v>
          </cell>
          <cell r="B15" t="str">
            <v>ZMTD</v>
          </cell>
          <cell r="C15">
            <v>45247</v>
          </cell>
          <cell r="D15" t="str">
            <v>Not delivered</v>
          </cell>
          <cell r="E15">
            <v>507141319</v>
          </cell>
          <cell r="F15">
            <v>20</v>
          </cell>
          <cell r="G15">
            <v>1393665</v>
          </cell>
          <cell r="H15" t="str">
            <v>CM-290:ENGINE BEIGE GENERAL 12A</v>
          </cell>
          <cell r="I15">
            <v>840</v>
          </cell>
          <cell r="J15" t="str">
            <v>UN</v>
          </cell>
          <cell r="K15">
            <v>45387</v>
          </cell>
        </row>
        <row r="16">
          <cell r="A16" t="str">
            <v>50714131930</v>
          </cell>
          <cell r="B16" t="str">
            <v>ZMTD</v>
          </cell>
          <cell r="C16">
            <v>45247</v>
          </cell>
          <cell r="D16" t="str">
            <v>Not delivered</v>
          </cell>
          <cell r="E16">
            <v>507141319</v>
          </cell>
          <cell r="F16">
            <v>30</v>
          </cell>
          <cell r="G16">
            <v>1393666</v>
          </cell>
          <cell r="H16" t="str">
            <v>CM-290:RING BEIGE GENERAL 12A</v>
          </cell>
          <cell r="I16">
            <v>1080</v>
          </cell>
          <cell r="J16" t="str">
            <v>UN</v>
          </cell>
          <cell r="K16">
            <v>45387</v>
          </cell>
        </row>
        <row r="17">
          <cell r="A17" t="str">
            <v>50714131940</v>
          </cell>
          <cell r="B17" t="str">
            <v>ZMTD</v>
          </cell>
          <cell r="C17">
            <v>45247</v>
          </cell>
          <cell r="D17" t="str">
            <v>Not delivered</v>
          </cell>
          <cell r="E17">
            <v>507141319</v>
          </cell>
          <cell r="F17">
            <v>40</v>
          </cell>
          <cell r="G17">
            <v>1183641</v>
          </cell>
          <cell r="H17" t="str">
            <v>PT-073:CV BS GOLD PEARL S/LIST SLV JHONY</v>
          </cell>
          <cell r="I17">
            <v>1200</v>
          </cell>
          <cell r="J17" t="str">
            <v>UN</v>
          </cell>
          <cell r="K17">
            <v>45399</v>
          </cell>
        </row>
        <row r="18">
          <cell r="A18" t="str">
            <v>50714131950</v>
          </cell>
          <cell r="B18" t="str">
            <v>ZMTD</v>
          </cell>
          <cell r="C18">
            <v>45247</v>
          </cell>
          <cell r="D18" t="str">
            <v>Not delivered</v>
          </cell>
          <cell r="E18">
            <v>507141319</v>
          </cell>
          <cell r="F18">
            <v>50</v>
          </cell>
          <cell r="G18">
            <v>1307478</v>
          </cell>
          <cell r="H18" t="str">
            <v>LS-085:BS CVR WHT NODC CEC 12A</v>
          </cell>
          <cell r="I18">
            <v>1815</v>
          </cell>
          <cell r="J18" t="str">
            <v>UN</v>
          </cell>
          <cell r="K18">
            <v>45401</v>
          </cell>
        </row>
        <row r="19">
          <cell r="A19" t="str">
            <v>50714175210</v>
          </cell>
          <cell r="B19" t="str">
            <v>ZMTD</v>
          </cell>
          <cell r="C19">
            <v>45342</v>
          </cell>
          <cell r="D19" t="str">
            <v>Partially delivered</v>
          </cell>
          <cell r="E19">
            <v>507141752</v>
          </cell>
          <cell r="F19">
            <v>10</v>
          </cell>
          <cell r="G19">
            <v>1333155</v>
          </cell>
          <cell r="H19" t="str">
            <v>LC-003:CAP P7605C VMRSGLD ESNZA 20V</v>
          </cell>
          <cell r="I19">
            <v>51660</v>
          </cell>
          <cell r="J19" t="str">
            <v>UN</v>
          </cell>
          <cell r="K19">
            <v>45429</v>
          </cell>
        </row>
        <row r="20">
          <cell r="A20" t="str">
            <v>50714175220</v>
          </cell>
          <cell r="B20" t="str">
            <v>ZMTD</v>
          </cell>
          <cell r="C20">
            <v>45342</v>
          </cell>
          <cell r="D20" t="str">
            <v>Partially delivered</v>
          </cell>
          <cell r="E20">
            <v>507141752</v>
          </cell>
          <cell r="F20">
            <v>20</v>
          </cell>
          <cell r="G20">
            <v>1333156</v>
          </cell>
          <cell r="H20" t="str">
            <v>LC-003:BTL CLR COL VMRSGLD P/MAHATIC 20X</v>
          </cell>
          <cell r="I20">
            <v>51660</v>
          </cell>
          <cell r="J20" t="str">
            <v>UN</v>
          </cell>
          <cell r="K20">
            <v>45429</v>
          </cell>
        </row>
        <row r="21">
          <cell r="A21" t="str">
            <v>50714100170</v>
          </cell>
          <cell r="B21" t="str">
            <v>ZMTD</v>
          </cell>
          <cell r="C21">
            <v>45161</v>
          </cell>
          <cell r="D21" t="str">
            <v>Not delivered</v>
          </cell>
          <cell r="E21">
            <v>507141001</v>
          </cell>
          <cell r="F21">
            <v>70</v>
          </cell>
          <cell r="G21">
            <v>1179792</v>
          </cell>
          <cell r="H21" t="str">
            <v>LC-003:BTL CLR COL WHT NO DC GENERAL 12A</v>
          </cell>
          <cell r="I21">
            <v>3070</v>
          </cell>
          <cell r="J21" t="str">
            <v>UN</v>
          </cell>
          <cell r="K21">
            <v>45455</v>
          </cell>
        </row>
        <row r="22">
          <cell r="A22" t="str">
            <v>50714100180</v>
          </cell>
          <cell r="B22" t="str">
            <v>ZMTD</v>
          </cell>
          <cell r="C22">
            <v>45161</v>
          </cell>
          <cell r="D22" t="str">
            <v>Not delivered</v>
          </cell>
          <cell r="E22">
            <v>507141001</v>
          </cell>
          <cell r="F22">
            <v>80</v>
          </cell>
          <cell r="G22">
            <v>1179769</v>
          </cell>
          <cell r="H22" t="str">
            <v>LC-003:CVR WHT NO DC WIP NAT GENERAL 12A</v>
          </cell>
          <cell r="I22">
            <v>3070</v>
          </cell>
          <cell r="J22" t="str">
            <v>UN</v>
          </cell>
          <cell r="K22">
            <v>45455</v>
          </cell>
        </row>
        <row r="23">
          <cell r="A23" t="str">
            <v>50714211020</v>
          </cell>
          <cell r="B23" t="str">
            <v>ZMTD</v>
          </cell>
          <cell r="C23">
            <v>45422</v>
          </cell>
          <cell r="D23" t="str">
            <v>Not delivered</v>
          </cell>
          <cell r="E23">
            <v>507142110</v>
          </cell>
          <cell r="F23">
            <v>20</v>
          </cell>
          <cell r="G23">
            <v>1419205</v>
          </cell>
          <cell r="H23" t="str">
            <v>PT-099:CVR GREN BS PINK 12.5G CHARSM 12A</v>
          </cell>
          <cell r="I23">
            <v>30000</v>
          </cell>
          <cell r="J23" t="str">
            <v>UN</v>
          </cell>
          <cell r="K23">
            <v>45477</v>
          </cell>
        </row>
        <row r="24">
          <cell r="A24" t="str">
            <v>50714108010</v>
          </cell>
          <cell r="B24" t="str">
            <v>ZMTD</v>
          </cell>
          <cell r="C24">
            <v>45187</v>
          </cell>
          <cell r="D24" t="str">
            <v>Not delivered</v>
          </cell>
          <cell r="E24">
            <v>507141080</v>
          </cell>
          <cell r="F24">
            <v>10</v>
          </cell>
          <cell r="G24">
            <v>1194582</v>
          </cell>
          <cell r="H24" t="str">
            <v>LC-002:BTL CLR COL WHT NO DC GENERAL</v>
          </cell>
          <cell r="I24">
            <v>1404</v>
          </cell>
          <cell r="J24" t="str">
            <v>UN</v>
          </cell>
          <cell r="K24">
            <v>45498</v>
          </cell>
        </row>
        <row r="25">
          <cell r="A25" t="str">
            <v>50714108020</v>
          </cell>
          <cell r="B25" t="str">
            <v>ZMTD</v>
          </cell>
          <cell r="C25">
            <v>45187</v>
          </cell>
          <cell r="D25" t="str">
            <v>Not delivered</v>
          </cell>
          <cell r="E25">
            <v>507141080</v>
          </cell>
          <cell r="F25">
            <v>20</v>
          </cell>
          <cell r="G25">
            <v>1194581</v>
          </cell>
          <cell r="H25" t="str">
            <v>LC-002:CAP WHT NO DC WIPER NAT GENERAL</v>
          </cell>
          <cell r="I25">
            <v>1404</v>
          </cell>
          <cell r="J25" t="str">
            <v>UN</v>
          </cell>
          <cell r="K25">
            <v>45498</v>
          </cell>
        </row>
        <row r="26">
          <cell r="A26" t="str">
            <v>50714253910</v>
          </cell>
          <cell r="B26" t="str">
            <v>ZMTD</v>
          </cell>
          <cell r="C26">
            <v>45490</v>
          </cell>
          <cell r="D26" t="str">
            <v>Not delivered</v>
          </cell>
          <cell r="E26">
            <v>507142539</v>
          </cell>
          <cell r="F26">
            <v>10</v>
          </cell>
          <cell r="G26">
            <v>1169047</v>
          </cell>
          <cell r="H26" t="str">
            <v>LS-285:B V/SL P/1PS SLEV H/SL BLM PTI20R</v>
          </cell>
          <cell r="I26">
            <v>25536</v>
          </cell>
          <cell r="J26" t="str">
            <v>UN</v>
          </cell>
          <cell r="K26">
            <v>45510</v>
          </cell>
        </row>
        <row r="27">
          <cell r="A27" t="str">
            <v>50714253920</v>
          </cell>
          <cell r="B27" t="str">
            <v>ZMTD</v>
          </cell>
          <cell r="C27">
            <v>45490</v>
          </cell>
          <cell r="D27" t="str">
            <v>Not delivered</v>
          </cell>
          <cell r="E27">
            <v>507142539</v>
          </cell>
          <cell r="F27">
            <v>20</v>
          </cell>
          <cell r="G27">
            <v>1171873</v>
          </cell>
          <cell r="H27" t="str">
            <v>LS-285:CV TRANS MATE 6 P/1PS VAR5 PTI40H</v>
          </cell>
          <cell r="I27">
            <v>25536</v>
          </cell>
          <cell r="J27" t="str">
            <v>UN</v>
          </cell>
          <cell r="K27">
            <v>45510</v>
          </cell>
        </row>
        <row r="28">
          <cell r="A28" t="str">
            <v>50714259110</v>
          </cell>
          <cell r="B28" t="str">
            <v>ZMTD</v>
          </cell>
          <cell r="C28">
            <v>45504</v>
          </cell>
          <cell r="D28" t="str">
            <v>Not delivered</v>
          </cell>
          <cell r="E28">
            <v>507142591</v>
          </cell>
          <cell r="F28">
            <v>10</v>
          </cell>
          <cell r="G28">
            <v>1414554</v>
          </cell>
          <cell r="H28" t="str">
            <v>SPIRAL SPRING MO SS304,11G,54.5MM PTI(T)</v>
          </cell>
          <cell r="I28">
            <v>200000</v>
          </cell>
          <cell r="J28" t="str">
            <v>UN</v>
          </cell>
          <cell r="K28">
            <v>45523</v>
          </cell>
        </row>
        <row r="29">
          <cell r="A29" t="str">
            <v>50714108030</v>
          </cell>
          <cell r="B29" t="str">
            <v>ZMTD</v>
          </cell>
          <cell r="C29">
            <v>45187</v>
          </cell>
          <cell r="D29" t="str">
            <v>Not delivered</v>
          </cell>
          <cell r="E29">
            <v>507141080</v>
          </cell>
          <cell r="F29">
            <v>30</v>
          </cell>
          <cell r="G29">
            <v>1181519</v>
          </cell>
          <cell r="H29" t="str">
            <v>LC-002:BTL CLR COL BLK NO DC GENERAL</v>
          </cell>
          <cell r="I29">
            <v>17904</v>
          </cell>
          <cell r="J29" t="str">
            <v>UN</v>
          </cell>
          <cell r="K29">
            <v>45523</v>
          </cell>
        </row>
        <row r="30">
          <cell r="A30" t="str">
            <v>50714108040</v>
          </cell>
          <cell r="B30" t="str">
            <v>ZMTD</v>
          </cell>
          <cell r="C30">
            <v>45187</v>
          </cell>
          <cell r="D30" t="str">
            <v>Not delivered</v>
          </cell>
          <cell r="E30">
            <v>507141080</v>
          </cell>
          <cell r="F30">
            <v>40</v>
          </cell>
          <cell r="G30">
            <v>1194673</v>
          </cell>
          <cell r="H30" t="str">
            <v>LC-002:CAP BLK NO DC WIPER NAT GENERAL</v>
          </cell>
          <cell r="I30">
            <v>17904</v>
          </cell>
          <cell r="J30" t="str">
            <v>UN</v>
          </cell>
          <cell r="K30">
            <v>45523</v>
          </cell>
        </row>
        <row r="31">
          <cell r="A31" t="str">
            <v>50900099710</v>
          </cell>
          <cell r="B31" t="str">
            <v>ZMRX</v>
          </cell>
          <cell r="C31">
            <v>45525</v>
          </cell>
          <cell r="D31" t="str">
            <v>Not delivered</v>
          </cell>
          <cell r="E31">
            <v>509000997</v>
          </cell>
          <cell r="F31">
            <v>10</v>
          </cell>
          <cell r="G31">
            <v>1279676</v>
          </cell>
          <cell r="H31" t="str">
            <v>CM-290:CVR/BS YELOW P/EMINA DAILY PTI60B</v>
          </cell>
          <cell r="I31">
            <v>2248</v>
          </cell>
          <cell r="J31" t="str">
            <v>UN</v>
          </cell>
          <cell r="K31">
            <v>45526</v>
          </cell>
        </row>
        <row r="32">
          <cell r="A32" t="str">
            <v>50900099810</v>
          </cell>
          <cell r="B32" t="str">
            <v>ZMRX</v>
          </cell>
          <cell r="C32">
            <v>45525</v>
          </cell>
          <cell r="D32" t="str">
            <v>Not delivered</v>
          </cell>
          <cell r="E32">
            <v>509000998</v>
          </cell>
          <cell r="F32">
            <v>10</v>
          </cell>
          <cell r="G32">
            <v>1279676</v>
          </cell>
          <cell r="H32" t="str">
            <v>CM-290:CVR/BS YELOW P/EMINA DAILY PTI60B</v>
          </cell>
          <cell r="I32">
            <v>3295</v>
          </cell>
          <cell r="J32" t="str">
            <v>UN</v>
          </cell>
          <cell r="K32">
            <v>45526</v>
          </cell>
        </row>
        <row r="33">
          <cell r="A33" t="str">
            <v>50714259120</v>
          </cell>
          <cell r="B33" t="str">
            <v>ZMTD</v>
          </cell>
          <cell r="C33">
            <v>45504</v>
          </cell>
          <cell r="D33" t="str">
            <v>Not delivered</v>
          </cell>
          <cell r="E33">
            <v>507142591</v>
          </cell>
          <cell r="F33">
            <v>20</v>
          </cell>
          <cell r="G33">
            <v>1414554</v>
          </cell>
          <cell r="H33" t="str">
            <v>SPIRAL SPRING MO SS304,11G,54.5MM PTI(T)</v>
          </cell>
          <cell r="I33">
            <v>100000</v>
          </cell>
          <cell r="J33" t="str">
            <v>UN</v>
          </cell>
          <cell r="K33">
            <v>45530</v>
          </cell>
        </row>
        <row r="34">
          <cell r="A34" t="str">
            <v>50714253310</v>
          </cell>
          <cell r="B34" t="str">
            <v>ZMTD</v>
          </cell>
          <cell r="C34">
            <v>45488</v>
          </cell>
          <cell r="D34" t="str">
            <v>Not delivered</v>
          </cell>
          <cell r="E34">
            <v>507142533</v>
          </cell>
          <cell r="F34">
            <v>10</v>
          </cell>
          <cell r="G34">
            <v>1425323</v>
          </cell>
          <cell r="H34" t="str">
            <v>CM-290:ENGINE BLACK RIDHA 12A</v>
          </cell>
          <cell r="I34">
            <v>10000</v>
          </cell>
          <cell r="J34" t="str">
            <v>UN</v>
          </cell>
          <cell r="K34">
            <v>45530</v>
          </cell>
        </row>
        <row r="35">
          <cell r="A35" t="str">
            <v>50714253320</v>
          </cell>
          <cell r="B35" t="str">
            <v>ZMTD</v>
          </cell>
          <cell r="C35">
            <v>45488</v>
          </cell>
          <cell r="D35" t="str">
            <v>Not delivered</v>
          </cell>
          <cell r="E35">
            <v>507142533</v>
          </cell>
          <cell r="F35">
            <v>20</v>
          </cell>
          <cell r="G35">
            <v>1425324</v>
          </cell>
          <cell r="H35" t="str">
            <v>CM-290:RING BLACK RIDHA 12A</v>
          </cell>
          <cell r="I35">
            <v>10000</v>
          </cell>
          <cell r="J35" t="str">
            <v>UN</v>
          </cell>
          <cell r="K35">
            <v>45530</v>
          </cell>
        </row>
        <row r="36">
          <cell r="A36" t="str">
            <v>50714253330</v>
          </cell>
          <cell r="B36" t="str">
            <v>ZMTD</v>
          </cell>
          <cell r="C36">
            <v>45488</v>
          </cell>
          <cell r="D36" t="str">
            <v>Not delivered</v>
          </cell>
          <cell r="E36">
            <v>507142533</v>
          </cell>
          <cell r="F36">
            <v>30</v>
          </cell>
          <cell r="G36">
            <v>1425325</v>
          </cell>
          <cell r="H36" t="str">
            <v>CM-290:1PC CV/BS BLCK P/FLAWLES RIDHA60B</v>
          </cell>
          <cell r="I36">
            <v>10000</v>
          </cell>
          <cell r="J36" t="str">
            <v>UN</v>
          </cell>
          <cell r="K36">
            <v>45530</v>
          </cell>
        </row>
        <row r="37">
          <cell r="A37" t="str">
            <v>50714253340</v>
          </cell>
          <cell r="B37" t="str">
            <v>ZMTD</v>
          </cell>
          <cell r="C37">
            <v>45488</v>
          </cell>
          <cell r="D37" t="str">
            <v>Not delivered</v>
          </cell>
          <cell r="E37">
            <v>507142533</v>
          </cell>
          <cell r="F37">
            <v>40</v>
          </cell>
          <cell r="G37">
            <v>1424308</v>
          </cell>
          <cell r="H37" t="str">
            <v>RUBICELL PUFF W/RIBBON P/RIDHA 60B (T)</v>
          </cell>
          <cell r="I37">
            <v>10000</v>
          </cell>
          <cell r="J37" t="str">
            <v>UN</v>
          </cell>
          <cell r="K37">
            <v>45530</v>
          </cell>
        </row>
        <row r="38">
          <cell r="A38" t="str">
            <v>50714253350</v>
          </cell>
          <cell r="B38" t="str">
            <v>ZMTD</v>
          </cell>
          <cell r="C38">
            <v>45488</v>
          </cell>
          <cell r="D38" t="str">
            <v>Not delivered</v>
          </cell>
          <cell r="E38">
            <v>507142533</v>
          </cell>
          <cell r="F38">
            <v>50</v>
          </cell>
          <cell r="G38">
            <v>1188806</v>
          </cell>
          <cell r="H38" t="str">
            <v>FILLER SPONGE DIA 50X11.5MM GNRL</v>
          </cell>
          <cell r="I38">
            <v>10000</v>
          </cell>
          <cell r="J38" t="str">
            <v>UN</v>
          </cell>
          <cell r="K38">
            <v>45530</v>
          </cell>
        </row>
        <row r="39">
          <cell r="A39" t="str">
            <v>50714221010</v>
          </cell>
          <cell r="B39" t="str">
            <v>ZMTD</v>
          </cell>
          <cell r="C39">
            <v>45434</v>
          </cell>
          <cell r="D39" t="str">
            <v>Partially delivered</v>
          </cell>
          <cell r="E39">
            <v>507142210</v>
          </cell>
          <cell r="F39">
            <v>10</v>
          </cell>
          <cell r="G39">
            <v>1383924</v>
          </cell>
          <cell r="H39" t="str">
            <v>LS-087:BS MTPEACH P/BLP L.BULET CSMAX40H</v>
          </cell>
          <cell r="I39">
            <v>25750</v>
          </cell>
          <cell r="J39" t="str">
            <v>UN</v>
          </cell>
          <cell r="K39">
            <v>45533</v>
          </cell>
        </row>
        <row r="40">
          <cell r="A40" t="str">
            <v>50714253010</v>
          </cell>
          <cell r="B40" t="str">
            <v>ZMTD</v>
          </cell>
          <cell r="C40">
            <v>45488</v>
          </cell>
          <cell r="D40" t="str">
            <v>Partially delivered</v>
          </cell>
          <cell r="E40">
            <v>507142530</v>
          </cell>
          <cell r="F40">
            <v>10</v>
          </cell>
          <cell r="G40">
            <v>1388803</v>
          </cell>
          <cell r="H40" t="str">
            <v>RX-067:CM-289 CVR BEIGE SP MATTE RV1</v>
          </cell>
          <cell r="I40">
            <v>100000</v>
          </cell>
          <cell r="J40" t="str">
            <v>UN</v>
          </cell>
          <cell r="K40">
            <v>45537</v>
          </cell>
        </row>
        <row r="41">
          <cell r="A41" t="str">
            <v>50714255610</v>
          </cell>
          <cell r="B41" t="str">
            <v>ZMTD</v>
          </cell>
          <cell r="C41">
            <v>45495</v>
          </cell>
          <cell r="D41" t="str">
            <v>Not delivered</v>
          </cell>
          <cell r="E41">
            <v>507142556</v>
          </cell>
          <cell r="F41">
            <v>10</v>
          </cell>
          <cell r="G41">
            <v>1429645</v>
          </cell>
          <cell r="H41" t="str">
            <v>PT-055:BD CV D.BLUE P/100-1080 INVBIO60B</v>
          </cell>
          <cell r="I41">
            <v>5000</v>
          </cell>
          <cell r="J41" t="str">
            <v>UN</v>
          </cell>
          <cell r="K41">
            <v>45538</v>
          </cell>
        </row>
        <row r="42">
          <cell r="A42" t="str">
            <v>50714255620</v>
          </cell>
          <cell r="B42" t="str">
            <v>ZMTD</v>
          </cell>
          <cell r="C42">
            <v>45495</v>
          </cell>
          <cell r="D42" t="str">
            <v>Not delivered</v>
          </cell>
          <cell r="E42">
            <v>507142556</v>
          </cell>
          <cell r="F42">
            <v>20</v>
          </cell>
          <cell r="G42">
            <v>1282199</v>
          </cell>
          <cell r="H42" t="str">
            <v>PT-055:PLUG D.BLUE NO DC INVBIOCARE</v>
          </cell>
          <cell r="I42">
            <v>5000</v>
          </cell>
          <cell r="J42" t="str">
            <v>UN</v>
          </cell>
          <cell r="K42">
            <v>45538</v>
          </cell>
        </row>
        <row r="43">
          <cell r="A43" t="str">
            <v>50714226420</v>
          </cell>
          <cell r="B43" t="str">
            <v>ZMTD</v>
          </cell>
          <cell r="C43">
            <v>45442</v>
          </cell>
          <cell r="D43" t="str">
            <v>Partially delivered</v>
          </cell>
          <cell r="E43">
            <v>507142264</v>
          </cell>
          <cell r="F43">
            <v>20</v>
          </cell>
          <cell r="G43">
            <v>1172318</v>
          </cell>
          <cell r="H43" t="str">
            <v>FP-014:BASE CLEAR NO DC ULTIMA II RUDY S</v>
          </cell>
          <cell r="I43">
            <v>30000</v>
          </cell>
          <cell r="J43" t="str">
            <v>UN</v>
          </cell>
          <cell r="K43">
            <v>45538</v>
          </cell>
        </row>
        <row r="44">
          <cell r="A44" t="str">
            <v>50714226430</v>
          </cell>
          <cell r="B44" t="str">
            <v>ZMTD</v>
          </cell>
          <cell r="C44">
            <v>45442</v>
          </cell>
          <cell r="D44" t="str">
            <v>Partially delivered</v>
          </cell>
          <cell r="E44">
            <v>507142264</v>
          </cell>
          <cell r="F44">
            <v>30</v>
          </cell>
          <cell r="G44">
            <v>1170826</v>
          </cell>
          <cell r="H44" t="str">
            <v>FP-014:SIFTER NT W/LBL NO DECO ULTIMA II</v>
          </cell>
          <cell r="I44">
            <v>30000</v>
          </cell>
          <cell r="J44" t="str">
            <v>UN</v>
          </cell>
          <cell r="K44">
            <v>45538</v>
          </cell>
        </row>
        <row r="45">
          <cell r="A45" t="str">
            <v>50714259130</v>
          </cell>
          <cell r="B45" t="str">
            <v>ZMTD</v>
          </cell>
          <cell r="C45">
            <v>45504</v>
          </cell>
          <cell r="D45" t="str">
            <v>Not delivered</v>
          </cell>
          <cell r="E45">
            <v>507142591</v>
          </cell>
          <cell r="F45">
            <v>30</v>
          </cell>
          <cell r="G45">
            <v>1414554</v>
          </cell>
          <cell r="H45" t="str">
            <v>SPIRAL SPRING MO SS304,11G,54.5MM PTI(T)</v>
          </cell>
          <cell r="I45">
            <v>100000</v>
          </cell>
          <cell r="J45" t="str">
            <v>UN</v>
          </cell>
          <cell r="K45">
            <v>45539</v>
          </cell>
        </row>
        <row r="46">
          <cell r="A46" t="str">
            <v>50714270410</v>
          </cell>
          <cell r="B46" t="str">
            <v>ZMTD</v>
          </cell>
          <cell r="C46">
            <v>45534</v>
          </cell>
          <cell r="D46" t="str">
            <v>Not delivered</v>
          </cell>
          <cell r="E46">
            <v>507142704</v>
          </cell>
          <cell r="F46">
            <v>10</v>
          </cell>
          <cell r="G46">
            <v>1255664</v>
          </cell>
          <cell r="H46" t="str">
            <v>LC-002:BTL MT VAR14 P/WRDH B.MARK PTI40H</v>
          </cell>
          <cell r="I46">
            <v>25200</v>
          </cell>
          <cell r="J46" t="str">
            <v>UN</v>
          </cell>
          <cell r="K46">
            <v>45540</v>
          </cell>
        </row>
        <row r="47">
          <cell r="A47" t="str">
            <v>50714270420</v>
          </cell>
          <cell r="B47" t="str">
            <v>ZMTD</v>
          </cell>
          <cell r="C47">
            <v>45534</v>
          </cell>
          <cell r="D47" t="str">
            <v>Not delivered</v>
          </cell>
          <cell r="E47">
            <v>507142704</v>
          </cell>
          <cell r="F47">
            <v>20</v>
          </cell>
          <cell r="G47">
            <v>1264032</v>
          </cell>
          <cell r="H47" t="str">
            <v>LC-002:CP S/MT VAR14 STM-WHT WNAT PTI40D</v>
          </cell>
          <cell r="I47">
            <v>25200</v>
          </cell>
          <cell r="J47" t="str">
            <v>UN</v>
          </cell>
          <cell r="K47">
            <v>45540</v>
          </cell>
        </row>
        <row r="48">
          <cell r="A48" t="str">
            <v>50800526510</v>
          </cell>
          <cell r="B48" t="str">
            <v>ZMFD</v>
          </cell>
          <cell r="C48">
            <v>45530</v>
          </cell>
          <cell r="D48" t="str">
            <v>Not delivered</v>
          </cell>
          <cell r="E48">
            <v>508005265</v>
          </cell>
          <cell r="F48">
            <v>10</v>
          </cell>
          <cell r="G48">
            <v>1413967</v>
          </cell>
          <cell r="H48" t="str">
            <v>CM-323:VM SILVER DIOR JUMBO M080</v>
          </cell>
          <cell r="I48">
            <v>6000</v>
          </cell>
          <cell r="J48" t="str">
            <v>UN</v>
          </cell>
          <cell r="K48">
            <v>45540</v>
          </cell>
        </row>
        <row r="49">
          <cell r="A49" t="str">
            <v>50714250210</v>
          </cell>
          <cell r="B49" t="str">
            <v>ZMTD</v>
          </cell>
          <cell r="C49">
            <v>45485</v>
          </cell>
          <cell r="D49" t="str">
            <v>Partially delivered</v>
          </cell>
          <cell r="E49">
            <v>507142502</v>
          </cell>
          <cell r="F49">
            <v>10</v>
          </cell>
          <cell r="G49">
            <v>1209355</v>
          </cell>
          <cell r="H49" t="str">
            <v>CP-092:VM SLVR WRDH TREAT ESSENCE PTI20F</v>
          </cell>
          <cell r="I49">
            <v>25200</v>
          </cell>
          <cell r="J49" t="str">
            <v>UN</v>
          </cell>
          <cell r="K49">
            <v>45540</v>
          </cell>
        </row>
        <row r="50">
          <cell r="A50" t="str">
            <v>50714226910</v>
          </cell>
          <cell r="B50" t="str">
            <v>ZMTD</v>
          </cell>
          <cell r="C50">
            <v>45443</v>
          </cell>
          <cell r="D50" t="str">
            <v>Partially delivered</v>
          </cell>
          <cell r="E50">
            <v>507142269</v>
          </cell>
          <cell r="F50">
            <v>10</v>
          </cell>
          <cell r="G50">
            <v>1187758</v>
          </cell>
          <cell r="H50" t="str">
            <v>CM-105:VM RAINBOW P/ULTIMA II RUDYS 40C</v>
          </cell>
          <cell r="I50">
            <v>22000</v>
          </cell>
          <cell r="J50" t="str">
            <v>UN</v>
          </cell>
          <cell r="K50">
            <v>45540</v>
          </cell>
        </row>
        <row r="51">
          <cell r="A51" t="str">
            <v>50714226410</v>
          </cell>
          <cell r="B51" t="str">
            <v>ZMTD</v>
          </cell>
          <cell r="C51">
            <v>45442</v>
          </cell>
          <cell r="D51" t="str">
            <v>Partially delivered</v>
          </cell>
          <cell r="E51">
            <v>507142264</v>
          </cell>
          <cell r="F51">
            <v>10</v>
          </cell>
          <cell r="G51">
            <v>1187960</v>
          </cell>
          <cell r="H51" t="str">
            <v>FP-014:CVR VMRAINBOW P/ULTM II RUDYS 40C</v>
          </cell>
          <cell r="I51">
            <v>30000</v>
          </cell>
          <cell r="J51" t="str">
            <v>UN</v>
          </cell>
          <cell r="K51">
            <v>45540</v>
          </cell>
        </row>
        <row r="52">
          <cell r="A52" t="str">
            <v>50714263310</v>
          </cell>
          <cell r="B52" t="str">
            <v>ZMTD</v>
          </cell>
          <cell r="C52">
            <v>45517</v>
          </cell>
          <cell r="D52" t="str">
            <v>Not delivered</v>
          </cell>
          <cell r="E52">
            <v>507142633</v>
          </cell>
          <cell r="F52">
            <v>10</v>
          </cell>
          <cell r="G52">
            <v>1388803</v>
          </cell>
          <cell r="H52" t="str">
            <v>RX-067:CM-289 CVR BEIGE SP MATTE RV1</v>
          </cell>
          <cell r="I52">
            <v>90000</v>
          </cell>
          <cell r="J52" t="str">
            <v>UN</v>
          </cell>
          <cell r="K52">
            <v>45545</v>
          </cell>
        </row>
        <row r="53">
          <cell r="A53" t="str">
            <v>50714235110</v>
          </cell>
          <cell r="B53" t="str">
            <v>ZMTD</v>
          </cell>
          <cell r="C53">
            <v>45462</v>
          </cell>
          <cell r="D53" t="str">
            <v>Partially delivered</v>
          </cell>
          <cell r="E53">
            <v>507142351</v>
          </cell>
          <cell r="F53">
            <v>10</v>
          </cell>
          <cell r="G53">
            <v>1388326</v>
          </cell>
          <cell r="H53" t="str">
            <v>CM-253:CV BS MTPEACH P/C.BLSH RV1 PTI40H</v>
          </cell>
          <cell r="I53">
            <v>15120</v>
          </cell>
          <cell r="J53" t="str">
            <v>UN</v>
          </cell>
          <cell r="K53">
            <v>45545</v>
          </cell>
        </row>
        <row r="54">
          <cell r="A54" t="str">
            <v>50714159630</v>
          </cell>
          <cell r="B54" t="str">
            <v>ZMTD</v>
          </cell>
          <cell r="C54">
            <v>45308</v>
          </cell>
          <cell r="D54" t="str">
            <v>Not delivered</v>
          </cell>
          <cell r="E54">
            <v>507141596</v>
          </cell>
          <cell r="F54">
            <v>30</v>
          </cell>
          <cell r="G54">
            <v>1194713</v>
          </cell>
          <cell r="H54" t="str">
            <v>LC-003:BTL CLR COL BLK NO DC GENERAL 12A</v>
          </cell>
          <cell r="I54">
            <v>1180</v>
          </cell>
          <cell r="J54" t="str">
            <v>UN</v>
          </cell>
          <cell r="K54">
            <v>45546</v>
          </cell>
        </row>
        <row r="55">
          <cell r="A55" t="str">
            <v>50714159640</v>
          </cell>
          <cell r="B55" t="str">
            <v>ZMTD</v>
          </cell>
          <cell r="C55">
            <v>45308</v>
          </cell>
          <cell r="D55" t="str">
            <v>Not delivered</v>
          </cell>
          <cell r="E55">
            <v>507141596</v>
          </cell>
          <cell r="F55">
            <v>40</v>
          </cell>
          <cell r="G55">
            <v>1173440</v>
          </cell>
          <cell r="H55" t="str">
            <v>LC-003:CVR BLK NO DC WIP NAT GENERAL 12A</v>
          </cell>
          <cell r="I55">
            <v>1180</v>
          </cell>
          <cell r="J55" t="str">
            <v>UN</v>
          </cell>
          <cell r="K55">
            <v>45546</v>
          </cell>
        </row>
        <row r="56">
          <cell r="A56" t="str">
            <v>50714234410</v>
          </cell>
          <cell r="B56" t="str">
            <v>ZMTD</v>
          </cell>
          <cell r="C56">
            <v>45462</v>
          </cell>
          <cell r="D56" t="str">
            <v>Partially delivered</v>
          </cell>
          <cell r="E56">
            <v>507142344</v>
          </cell>
          <cell r="F56">
            <v>10</v>
          </cell>
          <cell r="G56">
            <v>1420605</v>
          </cell>
          <cell r="H56" t="str">
            <v>CM-253:CV BS MT BRICK 06 P/C.BLSH PTI40H</v>
          </cell>
          <cell r="I56">
            <v>50220</v>
          </cell>
          <cell r="J56" t="str">
            <v>UN</v>
          </cell>
          <cell r="K56">
            <v>45547</v>
          </cell>
        </row>
        <row r="57">
          <cell r="A57" t="str">
            <v>50714226620</v>
          </cell>
          <cell r="B57" t="str">
            <v>ZMTD</v>
          </cell>
          <cell r="C57">
            <v>45443</v>
          </cell>
          <cell r="D57" t="str">
            <v>Partially delivered</v>
          </cell>
          <cell r="E57">
            <v>507142266</v>
          </cell>
          <cell r="F57">
            <v>20</v>
          </cell>
          <cell r="G57">
            <v>1215637</v>
          </cell>
          <cell r="H57" t="str">
            <v>CM-105:UV DBRW P/P8022C WWGLAM RUDYS 40C</v>
          </cell>
          <cell r="I57">
            <v>10000</v>
          </cell>
          <cell r="J57" t="str">
            <v>UN</v>
          </cell>
          <cell r="K57">
            <v>45547</v>
          </cell>
        </row>
        <row r="58">
          <cell r="A58" t="str">
            <v>50714212010</v>
          </cell>
          <cell r="B58" t="str">
            <v>ZMTD</v>
          </cell>
          <cell r="C58">
            <v>45425</v>
          </cell>
          <cell r="D58" t="str">
            <v>Partially delivered</v>
          </cell>
          <cell r="E58">
            <v>507142120</v>
          </cell>
          <cell r="F58">
            <v>10</v>
          </cell>
          <cell r="G58">
            <v>1420101</v>
          </cell>
          <cell r="H58" t="str">
            <v>LS-091:BS RED P/RED FRTY CHERRY NEW 60B</v>
          </cell>
          <cell r="I58">
            <v>14820</v>
          </cell>
          <cell r="J58" t="str">
            <v>UN</v>
          </cell>
          <cell r="K58">
            <v>45548</v>
          </cell>
        </row>
        <row r="59">
          <cell r="A59" t="str">
            <v>50714180350</v>
          </cell>
          <cell r="B59" t="str">
            <v>ZMTD</v>
          </cell>
          <cell r="C59">
            <v>45349</v>
          </cell>
          <cell r="D59" t="str">
            <v>Not delivered</v>
          </cell>
          <cell r="E59">
            <v>507141803</v>
          </cell>
          <cell r="F59">
            <v>50</v>
          </cell>
          <cell r="G59">
            <v>1404888</v>
          </cell>
          <cell r="H59" t="str">
            <v>LS-091:BS MGNTA P/SHEER COLOR ROHTO 60B</v>
          </cell>
          <cell r="I59">
            <v>27664</v>
          </cell>
          <cell r="J59" t="str">
            <v>UN</v>
          </cell>
          <cell r="K59">
            <v>45548</v>
          </cell>
        </row>
        <row r="60">
          <cell r="A60" t="str">
            <v>50714180360</v>
          </cell>
          <cell r="B60" t="str">
            <v>ZMTD</v>
          </cell>
          <cell r="C60">
            <v>45349</v>
          </cell>
          <cell r="D60" t="str">
            <v>Not delivered</v>
          </cell>
          <cell r="E60">
            <v>507141803</v>
          </cell>
          <cell r="F60">
            <v>60</v>
          </cell>
          <cell r="G60">
            <v>1404885</v>
          </cell>
          <cell r="H60" t="str">
            <v>LS-091:CVR MGNTA GRAD UV P/NATURAL ROHTO</v>
          </cell>
          <cell r="I60">
            <v>27664</v>
          </cell>
          <cell r="J60" t="str">
            <v>UN</v>
          </cell>
          <cell r="K60">
            <v>45548</v>
          </cell>
        </row>
        <row r="61">
          <cell r="A61" t="str">
            <v>50714212020</v>
          </cell>
          <cell r="B61" t="str">
            <v>ZMTD</v>
          </cell>
          <cell r="C61">
            <v>45425</v>
          </cell>
          <cell r="D61" t="str">
            <v>Partially delivered</v>
          </cell>
          <cell r="E61">
            <v>507142120</v>
          </cell>
          <cell r="F61">
            <v>20</v>
          </cell>
          <cell r="G61">
            <v>1420102</v>
          </cell>
          <cell r="H61" t="str">
            <v>LS-091:CV WHT P/ICE FRUITY CHERRY 60B</v>
          </cell>
          <cell r="I61">
            <v>14820</v>
          </cell>
          <cell r="J61" t="str">
            <v>UN</v>
          </cell>
          <cell r="K61">
            <v>45551</v>
          </cell>
        </row>
        <row r="62">
          <cell r="A62" t="str">
            <v>50714271520</v>
          </cell>
          <cell r="B62" t="str">
            <v>ZMTD</v>
          </cell>
          <cell r="C62">
            <v>45538</v>
          </cell>
          <cell r="D62" t="str">
            <v>Not delivered</v>
          </cell>
          <cell r="E62">
            <v>507142715</v>
          </cell>
          <cell r="F62">
            <v>20</v>
          </cell>
          <cell r="G62">
            <v>1382368</v>
          </cell>
          <cell r="H62" t="str">
            <v>CP-067R:FT CAP35 SNAP BLK MATTE  Ø5 LRL</v>
          </cell>
          <cell r="I62">
            <v>300000</v>
          </cell>
          <cell r="J62" t="str">
            <v>UN</v>
          </cell>
          <cell r="K62">
            <v>45552</v>
          </cell>
        </row>
        <row r="63">
          <cell r="A63" t="str">
            <v>50714269610</v>
          </cell>
          <cell r="B63" t="str">
            <v>ZMTD</v>
          </cell>
          <cell r="C63">
            <v>45533</v>
          </cell>
          <cell r="D63" t="str">
            <v>Not delivered</v>
          </cell>
          <cell r="E63">
            <v>507142696</v>
          </cell>
          <cell r="F63">
            <v>10</v>
          </cell>
          <cell r="G63">
            <v>1340516</v>
          </cell>
          <cell r="H63" t="str">
            <v>CM-133:CVR BS MTLC GRN UV DP S/WARDH 30T</v>
          </cell>
          <cell r="I63">
            <v>10080</v>
          </cell>
          <cell r="J63" t="str">
            <v>UN</v>
          </cell>
          <cell r="K63">
            <v>45552</v>
          </cell>
        </row>
        <row r="64">
          <cell r="A64" t="str">
            <v>50714263750</v>
          </cell>
          <cell r="B64" t="str">
            <v>ZMTD</v>
          </cell>
          <cell r="C64">
            <v>45519</v>
          </cell>
          <cell r="D64" t="str">
            <v>Not delivered</v>
          </cell>
          <cell r="E64">
            <v>507142637</v>
          </cell>
          <cell r="F64">
            <v>50</v>
          </cell>
          <cell r="G64">
            <v>1408740</v>
          </cell>
          <cell r="H64" t="str">
            <v>PT-097B:BDSR.2 BLU HOUS WHT TRNS PTI12A</v>
          </cell>
          <cell r="I64">
            <v>109890</v>
          </cell>
          <cell r="J64" t="str">
            <v>UN</v>
          </cell>
          <cell r="K64">
            <v>45552</v>
          </cell>
        </row>
        <row r="65">
          <cell r="A65" t="str">
            <v>50714263410</v>
          </cell>
          <cell r="B65" t="str">
            <v>ZMTD</v>
          </cell>
          <cell r="C65">
            <v>45517</v>
          </cell>
          <cell r="D65" t="str">
            <v>Not delivered</v>
          </cell>
          <cell r="E65">
            <v>507142634</v>
          </cell>
          <cell r="F65">
            <v>10</v>
          </cell>
          <cell r="G65">
            <v>1388803</v>
          </cell>
          <cell r="H65" t="str">
            <v>RX-067:CM-289 CVR BEIGE SP MATTE RV1</v>
          </cell>
          <cell r="I65">
            <v>80000</v>
          </cell>
          <cell r="J65" t="str">
            <v>UN</v>
          </cell>
          <cell r="K65">
            <v>45552</v>
          </cell>
        </row>
        <row r="66">
          <cell r="A66" t="str">
            <v>50714260110</v>
          </cell>
          <cell r="B66" t="str">
            <v>ZMTD</v>
          </cell>
          <cell r="C66">
            <v>45509</v>
          </cell>
          <cell r="D66" t="str">
            <v>Not delivered</v>
          </cell>
          <cell r="E66">
            <v>507142601</v>
          </cell>
          <cell r="F66">
            <v>10</v>
          </cell>
          <cell r="G66">
            <v>1158837</v>
          </cell>
          <cell r="H66" t="str">
            <v>SD-007:SM16 WH SLDR D40 SCREW ORI7.5</v>
          </cell>
          <cell r="I66">
            <v>252000</v>
          </cell>
          <cell r="J66" t="str">
            <v>UN</v>
          </cell>
          <cell r="K66">
            <v>45552</v>
          </cell>
        </row>
        <row r="67">
          <cell r="A67" t="str">
            <v>50714259410</v>
          </cell>
          <cell r="B67" t="str">
            <v>ZMTD</v>
          </cell>
          <cell r="C67">
            <v>45505</v>
          </cell>
          <cell r="D67" t="str">
            <v>Not delivered</v>
          </cell>
          <cell r="E67">
            <v>507142594</v>
          </cell>
          <cell r="F67">
            <v>10</v>
          </cell>
          <cell r="G67">
            <v>1307478</v>
          </cell>
          <cell r="H67" t="str">
            <v>LS-085:BS CVR WHT NODC CEC 12A</v>
          </cell>
          <cell r="I67">
            <v>5000</v>
          </cell>
          <cell r="J67" t="str">
            <v>UN</v>
          </cell>
          <cell r="K67">
            <v>45552</v>
          </cell>
        </row>
        <row r="68">
          <cell r="A68" t="str">
            <v>50714259420</v>
          </cell>
          <cell r="B68" t="str">
            <v>ZMTD</v>
          </cell>
          <cell r="C68">
            <v>45505</v>
          </cell>
          <cell r="D68" t="str">
            <v>Not delivered</v>
          </cell>
          <cell r="E68">
            <v>507142594</v>
          </cell>
          <cell r="F68">
            <v>20</v>
          </cell>
          <cell r="G68">
            <v>1307478</v>
          </cell>
          <cell r="H68" t="str">
            <v>LS-085:BS CVR WHT NODC CEC 12A</v>
          </cell>
          <cell r="I68">
            <v>5000</v>
          </cell>
          <cell r="J68" t="str">
            <v>UN</v>
          </cell>
          <cell r="K68">
            <v>45552</v>
          </cell>
        </row>
        <row r="69">
          <cell r="A69" t="str">
            <v>50714272210</v>
          </cell>
          <cell r="B69" t="str">
            <v>ZMTD</v>
          </cell>
          <cell r="C69">
            <v>45541</v>
          </cell>
          <cell r="D69" t="str">
            <v>Not delivered</v>
          </cell>
          <cell r="E69">
            <v>507142722</v>
          </cell>
          <cell r="F69">
            <v>10</v>
          </cell>
          <cell r="G69">
            <v>1361869</v>
          </cell>
          <cell r="H69" t="str">
            <v>CP-091:NATURAL BETTS</v>
          </cell>
          <cell r="I69">
            <v>51300</v>
          </cell>
          <cell r="J69" t="str">
            <v>UN</v>
          </cell>
          <cell r="K69">
            <v>45553</v>
          </cell>
        </row>
        <row r="70">
          <cell r="A70" t="str">
            <v>50714269810</v>
          </cell>
          <cell r="B70" t="str">
            <v>ZMTD</v>
          </cell>
          <cell r="C70">
            <v>45533</v>
          </cell>
          <cell r="D70" t="str">
            <v>Not delivered</v>
          </cell>
          <cell r="E70">
            <v>507142698</v>
          </cell>
          <cell r="F70">
            <v>10</v>
          </cell>
          <cell r="G70">
            <v>1408740</v>
          </cell>
          <cell r="H70" t="str">
            <v>PT-097B:BDSR.2 BLU HOUS WHT TRNS PTI12A</v>
          </cell>
          <cell r="I70">
            <v>110160</v>
          </cell>
          <cell r="J70" t="str">
            <v>UN</v>
          </cell>
          <cell r="K70">
            <v>45553</v>
          </cell>
        </row>
        <row r="71">
          <cell r="A71" t="str">
            <v>50714269820</v>
          </cell>
          <cell r="B71" t="str">
            <v>ZMTD</v>
          </cell>
          <cell r="C71">
            <v>45533</v>
          </cell>
          <cell r="D71" t="str">
            <v>Not delivered</v>
          </cell>
          <cell r="E71">
            <v>507142698</v>
          </cell>
          <cell r="F71">
            <v>20</v>
          </cell>
          <cell r="G71">
            <v>1408739</v>
          </cell>
          <cell r="H71" t="str">
            <v>PT-097B:CAP SR.2 BLUE TRANS PTI 12A</v>
          </cell>
          <cell r="I71">
            <v>110160</v>
          </cell>
          <cell r="J71" t="str">
            <v>UN</v>
          </cell>
          <cell r="K71">
            <v>45553</v>
          </cell>
        </row>
        <row r="72">
          <cell r="A72" t="str">
            <v>50714263760</v>
          </cell>
          <cell r="B72" t="str">
            <v>ZMTD</v>
          </cell>
          <cell r="C72">
            <v>45519</v>
          </cell>
          <cell r="D72" t="str">
            <v>Not delivered</v>
          </cell>
          <cell r="E72">
            <v>507142637</v>
          </cell>
          <cell r="F72">
            <v>60</v>
          </cell>
          <cell r="G72">
            <v>1408739</v>
          </cell>
          <cell r="H72" t="str">
            <v>PT-097B:CAP SR.2 BLUE TRANS PTI 12A</v>
          </cell>
          <cell r="I72">
            <v>109890</v>
          </cell>
          <cell r="J72" t="str">
            <v>UN</v>
          </cell>
          <cell r="K72">
            <v>45553</v>
          </cell>
        </row>
        <row r="73">
          <cell r="A73" t="str">
            <v>50714260910</v>
          </cell>
          <cell r="B73" t="str">
            <v>ZMTD</v>
          </cell>
          <cell r="C73">
            <v>45509</v>
          </cell>
          <cell r="D73" t="str">
            <v>Partially delivered</v>
          </cell>
          <cell r="E73">
            <v>507142609</v>
          </cell>
          <cell r="F73">
            <v>10</v>
          </cell>
          <cell r="G73">
            <v>1432505</v>
          </cell>
          <cell r="H73" t="str">
            <v>CP-091:CAP D40 BLACK GLOSSY 12A</v>
          </cell>
          <cell r="I73">
            <v>59400</v>
          </cell>
          <cell r="J73" t="str">
            <v>UN</v>
          </cell>
          <cell r="K73">
            <v>45553</v>
          </cell>
        </row>
        <row r="74">
          <cell r="A74" t="str">
            <v>50714159610</v>
          </cell>
          <cell r="B74" t="str">
            <v>ZMTD</v>
          </cell>
          <cell r="C74">
            <v>45308</v>
          </cell>
          <cell r="D74" t="str">
            <v>Not delivered</v>
          </cell>
          <cell r="E74">
            <v>507141596</v>
          </cell>
          <cell r="F74">
            <v>10</v>
          </cell>
          <cell r="G74">
            <v>1187151</v>
          </cell>
          <cell r="H74" t="str">
            <v>LC-004:BTL CLR COL BLK NO DC GENERAL 12A</v>
          </cell>
          <cell r="I74">
            <v>8966</v>
          </cell>
          <cell r="J74" t="str">
            <v>UN</v>
          </cell>
          <cell r="K74">
            <v>45554</v>
          </cell>
        </row>
        <row r="75">
          <cell r="A75" t="str">
            <v>50714159620</v>
          </cell>
          <cell r="B75" t="str">
            <v>ZMTD</v>
          </cell>
          <cell r="C75">
            <v>45308</v>
          </cell>
          <cell r="D75" t="str">
            <v>Not delivered</v>
          </cell>
          <cell r="E75">
            <v>507141596</v>
          </cell>
          <cell r="F75">
            <v>20</v>
          </cell>
          <cell r="G75">
            <v>1187152</v>
          </cell>
          <cell r="H75" t="str">
            <v>LC-004:CVR BLK NO DC WIP NAT GENERAL 12A</v>
          </cell>
          <cell r="I75">
            <v>8966</v>
          </cell>
          <cell r="J75" t="str">
            <v>UN</v>
          </cell>
          <cell r="K75">
            <v>45554</v>
          </cell>
        </row>
        <row r="76">
          <cell r="A76" t="str">
            <v>50714159650</v>
          </cell>
          <cell r="B76" t="str">
            <v>ZMTD</v>
          </cell>
          <cell r="C76">
            <v>45308</v>
          </cell>
          <cell r="D76" t="str">
            <v>Not delivered</v>
          </cell>
          <cell r="E76">
            <v>507141596</v>
          </cell>
          <cell r="F76">
            <v>50</v>
          </cell>
          <cell r="G76">
            <v>1173704</v>
          </cell>
          <cell r="H76" t="str">
            <v>LC-004:BTL CLR COL WHT NO DC GENERAL 12A</v>
          </cell>
          <cell r="I76">
            <v>8912</v>
          </cell>
          <cell r="J76" t="str">
            <v>UN</v>
          </cell>
          <cell r="K76">
            <v>45554</v>
          </cell>
        </row>
        <row r="77">
          <cell r="A77" t="str">
            <v>50714159660</v>
          </cell>
          <cell r="B77" t="str">
            <v>ZMTD</v>
          </cell>
          <cell r="C77">
            <v>45308</v>
          </cell>
          <cell r="D77" t="str">
            <v>Not delivered</v>
          </cell>
          <cell r="E77">
            <v>507141596</v>
          </cell>
          <cell r="F77">
            <v>60</v>
          </cell>
          <cell r="G77">
            <v>1173705</v>
          </cell>
          <cell r="H77" t="str">
            <v>LC-004:CAP WHT NO DC WIP NAT GENERAL 12A</v>
          </cell>
          <cell r="I77">
            <v>8912</v>
          </cell>
          <cell r="J77" t="str">
            <v>UN</v>
          </cell>
          <cell r="K77">
            <v>45554</v>
          </cell>
        </row>
        <row r="78">
          <cell r="A78" t="str">
            <v>50714229430</v>
          </cell>
          <cell r="B78" t="str">
            <v>ZMTD</v>
          </cell>
          <cell r="C78">
            <v>45448</v>
          </cell>
          <cell r="D78" t="str">
            <v>Partially delivered</v>
          </cell>
          <cell r="E78">
            <v>507142294</v>
          </cell>
          <cell r="F78">
            <v>30</v>
          </cell>
          <cell r="G78">
            <v>1385814</v>
          </cell>
          <cell r="H78" t="str">
            <v>LC-012:CAP VM BRWN WIP GLASTING PTI 20F</v>
          </cell>
          <cell r="I78">
            <v>52920</v>
          </cell>
          <cell r="J78" t="str">
            <v>UN</v>
          </cell>
          <cell r="K78">
            <v>45555</v>
          </cell>
        </row>
        <row r="79">
          <cell r="A79" t="str">
            <v>50714229440</v>
          </cell>
          <cell r="B79" t="str">
            <v>ZMTD</v>
          </cell>
          <cell r="C79">
            <v>45448</v>
          </cell>
          <cell r="D79" t="str">
            <v>Partially delivered</v>
          </cell>
          <cell r="E79">
            <v>507142294</v>
          </cell>
          <cell r="F79">
            <v>40</v>
          </cell>
          <cell r="G79">
            <v>1390058</v>
          </cell>
          <cell r="H79" t="str">
            <v>LC-012:BTL VR6 RUBYSPAR P/GLASTNG PTI60B</v>
          </cell>
          <cell r="I79">
            <v>52920</v>
          </cell>
          <cell r="J79" t="str">
            <v>UN</v>
          </cell>
          <cell r="K79">
            <v>45555</v>
          </cell>
        </row>
        <row r="80">
          <cell r="A80" t="str">
            <v>50714241710</v>
          </cell>
          <cell r="B80" t="str">
            <v>ZMTD</v>
          </cell>
          <cell r="C80">
            <v>45474</v>
          </cell>
          <cell r="D80" t="str">
            <v>Not delivered</v>
          </cell>
          <cell r="E80">
            <v>507142417</v>
          </cell>
          <cell r="F80">
            <v>10</v>
          </cell>
          <cell r="G80">
            <v>1405657</v>
          </cell>
          <cell r="H80" t="str">
            <v>CM-273:CV UV BS BRONZE P/PIXYSLKY RV130L</v>
          </cell>
          <cell r="I80">
            <v>10000</v>
          </cell>
          <cell r="J80" t="str">
            <v>UN</v>
          </cell>
          <cell r="K80">
            <v>45556</v>
          </cell>
        </row>
        <row r="81">
          <cell r="A81" t="str">
            <v>50714259930</v>
          </cell>
          <cell r="B81" t="str">
            <v>ZMTD</v>
          </cell>
          <cell r="C81">
            <v>45509</v>
          </cell>
          <cell r="D81" t="str">
            <v>Not delivered</v>
          </cell>
          <cell r="E81">
            <v>507142599</v>
          </cell>
          <cell r="F81">
            <v>30</v>
          </cell>
          <cell r="G81">
            <v>1153884</v>
          </cell>
          <cell r="H81" t="str">
            <v>LC-003:BTL MT B MARON P/PX MOU CSMAX 40H</v>
          </cell>
          <cell r="I81">
            <v>14380</v>
          </cell>
          <cell r="J81" t="str">
            <v>UN</v>
          </cell>
          <cell r="K81">
            <v>45557</v>
          </cell>
        </row>
        <row r="82">
          <cell r="A82" t="str">
            <v>50714259940</v>
          </cell>
          <cell r="B82" t="str">
            <v>ZMTD</v>
          </cell>
          <cell r="C82">
            <v>45509</v>
          </cell>
          <cell r="D82" t="str">
            <v>Not delivered</v>
          </cell>
          <cell r="E82">
            <v>507142599</v>
          </cell>
          <cell r="F82">
            <v>40</v>
          </cell>
          <cell r="G82">
            <v>1153885</v>
          </cell>
          <cell r="H82" t="str">
            <v>LC-003:CAP MT B MARON M PX MOU CSMAX 40D</v>
          </cell>
          <cell r="I82">
            <v>14360</v>
          </cell>
          <cell r="J82" t="str">
            <v>UN</v>
          </cell>
          <cell r="K82">
            <v>45557</v>
          </cell>
        </row>
        <row r="83">
          <cell r="A83" t="str">
            <v>50714271530</v>
          </cell>
          <cell r="B83" t="str">
            <v>ZMTD</v>
          </cell>
          <cell r="C83">
            <v>45538</v>
          </cell>
          <cell r="D83" t="str">
            <v>Not delivered</v>
          </cell>
          <cell r="E83">
            <v>507142715</v>
          </cell>
          <cell r="F83">
            <v>30</v>
          </cell>
          <cell r="G83">
            <v>1382368</v>
          </cell>
          <cell r="H83" t="str">
            <v>CP-067R:FT CAP35 SNAP BLK MATTE  Ø5 LRL</v>
          </cell>
          <cell r="I83">
            <v>400000</v>
          </cell>
          <cell r="J83" t="str">
            <v>UN</v>
          </cell>
          <cell r="K83">
            <v>45558</v>
          </cell>
        </row>
        <row r="84">
          <cell r="A84" t="str">
            <v>50714268910</v>
          </cell>
          <cell r="B84" t="str">
            <v>ZMTD</v>
          </cell>
          <cell r="C84">
            <v>45532</v>
          </cell>
          <cell r="D84" t="str">
            <v>Not delivered</v>
          </cell>
          <cell r="E84">
            <v>507142689</v>
          </cell>
          <cell r="F84">
            <v>10</v>
          </cell>
          <cell r="G84">
            <v>1168132</v>
          </cell>
          <cell r="H84" t="str">
            <v>LS-285:BS WHT NO DC WARDAH</v>
          </cell>
          <cell r="I84">
            <v>75544</v>
          </cell>
          <cell r="J84" t="str">
            <v>UN</v>
          </cell>
          <cell r="K84">
            <v>45558</v>
          </cell>
        </row>
        <row r="85">
          <cell r="A85" t="str">
            <v>50714268920</v>
          </cell>
          <cell r="B85" t="str">
            <v>ZMTD</v>
          </cell>
          <cell r="C85">
            <v>45532</v>
          </cell>
          <cell r="D85" t="str">
            <v>Not delivered</v>
          </cell>
          <cell r="E85">
            <v>507142689</v>
          </cell>
          <cell r="F85">
            <v>20</v>
          </cell>
          <cell r="G85">
            <v>1421418</v>
          </cell>
          <cell r="H85" t="str">
            <v>LS-285:CV RED P/WHT UV STRAWBERY PTI 30O</v>
          </cell>
          <cell r="I85">
            <v>75544</v>
          </cell>
          <cell r="J85" t="str">
            <v>UN</v>
          </cell>
          <cell r="K85">
            <v>45558</v>
          </cell>
        </row>
        <row r="86">
          <cell r="A86" t="str">
            <v>50714259950</v>
          </cell>
          <cell r="B86" t="str">
            <v>ZMTD</v>
          </cell>
          <cell r="C86">
            <v>45509</v>
          </cell>
          <cell r="D86" t="str">
            <v>Not delivered</v>
          </cell>
          <cell r="E86">
            <v>507142599</v>
          </cell>
          <cell r="F86">
            <v>50</v>
          </cell>
          <cell r="G86">
            <v>1154145</v>
          </cell>
          <cell r="H86" t="str">
            <v>LC-003:BTL MT PFBROWN P/PX MOU CSMAX 40H</v>
          </cell>
          <cell r="I86">
            <v>15800</v>
          </cell>
          <cell r="J86" t="str">
            <v>UN</v>
          </cell>
          <cell r="K86">
            <v>45558</v>
          </cell>
        </row>
        <row r="87">
          <cell r="A87" t="str">
            <v>50714244410</v>
          </cell>
          <cell r="B87" t="str">
            <v>ZMTD</v>
          </cell>
          <cell r="C87">
            <v>45476</v>
          </cell>
          <cell r="D87" t="str">
            <v>Partially delivered</v>
          </cell>
          <cell r="E87">
            <v>507142444</v>
          </cell>
          <cell r="F87">
            <v>10</v>
          </cell>
          <cell r="G87">
            <v>1430485</v>
          </cell>
          <cell r="H87" t="str">
            <v>LS-091:CVR GREEN P/BUTTER MATCHA 60C</v>
          </cell>
          <cell r="I87">
            <v>15808</v>
          </cell>
          <cell r="J87" t="str">
            <v>UN</v>
          </cell>
          <cell r="K87">
            <v>45558</v>
          </cell>
        </row>
        <row r="88">
          <cell r="A88" t="str">
            <v>50714244420</v>
          </cell>
          <cell r="B88" t="str">
            <v>ZMTD</v>
          </cell>
          <cell r="C88">
            <v>45476</v>
          </cell>
          <cell r="D88" t="str">
            <v>Partially delivered</v>
          </cell>
          <cell r="E88">
            <v>507142444</v>
          </cell>
          <cell r="F88">
            <v>20</v>
          </cell>
          <cell r="G88">
            <v>1430486</v>
          </cell>
          <cell r="H88" t="str">
            <v>LS-091:BS GREEN P/WHITE MATCHA ROHTO 12A</v>
          </cell>
          <cell r="I88">
            <v>15808</v>
          </cell>
          <cell r="J88" t="str">
            <v>UN</v>
          </cell>
          <cell r="K88">
            <v>45558</v>
          </cell>
        </row>
        <row r="89">
          <cell r="A89" t="str">
            <v>50714240410</v>
          </cell>
          <cell r="B89" t="str">
            <v>ZMTD</v>
          </cell>
          <cell r="C89">
            <v>45470</v>
          </cell>
          <cell r="D89" t="str">
            <v>Partially delivered</v>
          </cell>
          <cell r="E89">
            <v>507142404</v>
          </cell>
          <cell r="F89">
            <v>10</v>
          </cell>
          <cell r="G89">
            <v>1425748</v>
          </cell>
          <cell r="H89" t="str">
            <v>FP-011:COVER DG/HTF ACNEACT RV2 ERHA 40L</v>
          </cell>
          <cell r="I89">
            <v>30000</v>
          </cell>
          <cell r="J89" t="str">
            <v>UN</v>
          </cell>
          <cell r="K89">
            <v>45558</v>
          </cell>
        </row>
        <row r="90">
          <cell r="A90" t="str">
            <v>50714240420</v>
          </cell>
          <cell r="B90" t="str">
            <v>ZMTD</v>
          </cell>
          <cell r="C90">
            <v>45470</v>
          </cell>
          <cell r="D90" t="str">
            <v>Partially delivered</v>
          </cell>
          <cell r="E90">
            <v>507142404</v>
          </cell>
          <cell r="F90">
            <v>20</v>
          </cell>
          <cell r="G90">
            <v>1187674</v>
          </cell>
          <cell r="H90" t="str">
            <v>FP-011:BASE WHITE NO DECO ERHA DERMATO</v>
          </cell>
          <cell r="I90">
            <v>30000</v>
          </cell>
          <cell r="J90" t="str">
            <v>UN</v>
          </cell>
          <cell r="K90">
            <v>45558</v>
          </cell>
        </row>
        <row r="91">
          <cell r="A91" t="str">
            <v>50714240430</v>
          </cell>
          <cell r="B91" t="str">
            <v>ZMTD</v>
          </cell>
          <cell r="C91">
            <v>45470</v>
          </cell>
          <cell r="D91" t="str">
            <v>Partially delivered</v>
          </cell>
          <cell r="E91">
            <v>507142404</v>
          </cell>
          <cell r="F91">
            <v>30</v>
          </cell>
          <cell r="G91">
            <v>1187675</v>
          </cell>
          <cell r="H91" t="str">
            <v>FP-011:SIFTER NAT W/LABEL NO DECO ERHA D</v>
          </cell>
          <cell r="I91">
            <v>30000</v>
          </cell>
          <cell r="J91" t="str">
            <v>UN</v>
          </cell>
          <cell r="K91">
            <v>45558</v>
          </cell>
        </row>
        <row r="92">
          <cell r="A92" t="str">
            <v>50714241210</v>
          </cell>
          <cell r="B92" t="str">
            <v>ZMTD</v>
          </cell>
          <cell r="C92">
            <v>45470</v>
          </cell>
          <cell r="D92" t="str">
            <v>Partially delivered</v>
          </cell>
          <cell r="E92">
            <v>507142412</v>
          </cell>
          <cell r="F92">
            <v>10</v>
          </cell>
          <cell r="G92">
            <v>1385814</v>
          </cell>
          <cell r="H92" t="str">
            <v>LC-012:CAP VM BRWN WIP GLASTING PTI 20F</v>
          </cell>
          <cell r="I92">
            <v>53298</v>
          </cell>
          <cell r="J92" t="str">
            <v>UN</v>
          </cell>
          <cell r="K92">
            <v>45558</v>
          </cell>
        </row>
        <row r="93">
          <cell r="A93" t="str">
            <v>50714241220</v>
          </cell>
          <cell r="B93" t="str">
            <v>ZMTD</v>
          </cell>
          <cell r="C93">
            <v>45470</v>
          </cell>
          <cell r="D93" t="str">
            <v>Partially delivered</v>
          </cell>
          <cell r="E93">
            <v>507142412</v>
          </cell>
          <cell r="F93">
            <v>20</v>
          </cell>
          <cell r="G93">
            <v>1405377</v>
          </cell>
          <cell r="H93" t="str">
            <v>LC-012:BTL VR11 P/GLASTNG PTI60B</v>
          </cell>
          <cell r="I93">
            <v>53298</v>
          </cell>
          <cell r="J93" t="str">
            <v>UN</v>
          </cell>
          <cell r="K93">
            <v>45558</v>
          </cell>
        </row>
        <row r="94">
          <cell r="A94" t="str">
            <v>50714265030</v>
          </cell>
          <cell r="B94" t="str">
            <v>ZMTD</v>
          </cell>
          <cell r="C94">
            <v>45523</v>
          </cell>
          <cell r="D94" t="str">
            <v>Partially delivered</v>
          </cell>
          <cell r="E94">
            <v>507142650</v>
          </cell>
          <cell r="F94">
            <v>30</v>
          </cell>
          <cell r="G94">
            <v>1430094</v>
          </cell>
          <cell r="H94" t="str">
            <v>LS-285:BS BLUE NO DC WARDAH PTI 12A</v>
          </cell>
          <cell r="I94">
            <v>93632</v>
          </cell>
          <cell r="J94" t="str">
            <v>UN</v>
          </cell>
          <cell r="K94">
            <v>45559</v>
          </cell>
        </row>
        <row r="95">
          <cell r="A95" t="str">
            <v>50714265040</v>
          </cell>
          <cell r="B95" t="str">
            <v>ZMTD</v>
          </cell>
          <cell r="C95">
            <v>45523</v>
          </cell>
          <cell r="D95" t="str">
            <v>Partially delivered</v>
          </cell>
          <cell r="E95">
            <v>507142650</v>
          </cell>
          <cell r="F95">
            <v>40</v>
          </cell>
          <cell r="G95">
            <v>1430093</v>
          </cell>
          <cell r="H95" t="str">
            <v>LS-285:CV MT.TR BLUE P/SHERCLEAR PTI 40H</v>
          </cell>
          <cell r="I95">
            <v>93632</v>
          </cell>
          <cell r="J95" t="str">
            <v>UN</v>
          </cell>
          <cell r="K95">
            <v>45559</v>
          </cell>
        </row>
        <row r="96">
          <cell r="A96" t="str">
            <v>50714270210</v>
          </cell>
          <cell r="B96" t="str">
            <v>ZMTD</v>
          </cell>
          <cell r="C96">
            <v>45534</v>
          </cell>
          <cell r="D96" t="str">
            <v>Not delivered</v>
          </cell>
          <cell r="E96">
            <v>507142702</v>
          </cell>
          <cell r="F96">
            <v>10</v>
          </cell>
          <cell r="G96">
            <v>1255656</v>
          </cell>
          <cell r="H96" t="str">
            <v>LC-002:BTL MT VAR6 P/WRDH B.MARK PTI40H</v>
          </cell>
          <cell r="I96">
            <v>25200</v>
          </cell>
          <cell r="J96" t="str">
            <v>UN</v>
          </cell>
          <cell r="K96">
            <v>45559</v>
          </cell>
        </row>
        <row r="97">
          <cell r="A97" t="str">
            <v>50714270220</v>
          </cell>
          <cell r="B97" t="str">
            <v>ZMTD</v>
          </cell>
          <cell r="C97">
            <v>45534</v>
          </cell>
          <cell r="D97" t="str">
            <v>Not delivered</v>
          </cell>
          <cell r="E97">
            <v>507142702</v>
          </cell>
          <cell r="F97">
            <v>20</v>
          </cell>
          <cell r="G97">
            <v>1264018</v>
          </cell>
          <cell r="H97" t="str">
            <v>LC-002:CAP S/MTVAR6 STM-WHT WPNAT PTI40D</v>
          </cell>
          <cell r="I97">
            <v>25200</v>
          </cell>
          <cell r="J97" t="str">
            <v>UN</v>
          </cell>
          <cell r="K97">
            <v>45559</v>
          </cell>
        </row>
        <row r="98">
          <cell r="A98" t="str">
            <v>50714259960</v>
          </cell>
          <cell r="B98" t="str">
            <v>ZMTD</v>
          </cell>
          <cell r="C98">
            <v>45509</v>
          </cell>
          <cell r="D98" t="str">
            <v>Not delivered</v>
          </cell>
          <cell r="E98">
            <v>507142599</v>
          </cell>
          <cell r="F98">
            <v>60</v>
          </cell>
          <cell r="G98">
            <v>1154146</v>
          </cell>
          <cell r="H98" t="str">
            <v>LC-003:CAP MT PF BROWN PX MOU CSMAX 40D</v>
          </cell>
          <cell r="I98">
            <v>15800</v>
          </cell>
          <cell r="J98" t="str">
            <v>UN</v>
          </cell>
          <cell r="K98">
            <v>45559</v>
          </cell>
        </row>
        <row r="99">
          <cell r="A99" t="str">
            <v>50714245810</v>
          </cell>
          <cell r="B99" t="str">
            <v>ZMTD</v>
          </cell>
          <cell r="C99">
            <v>45481</v>
          </cell>
          <cell r="D99" t="str">
            <v>Not delivered</v>
          </cell>
          <cell r="E99">
            <v>507142458</v>
          </cell>
          <cell r="F99">
            <v>10</v>
          </cell>
          <cell r="G99">
            <v>1385814</v>
          </cell>
          <cell r="H99" t="str">
            <v>LC-012:CAP VM BRWN WIP GLASTING PTI 20F</v>
          </cell>
          <cell r="I99">
            <v>25326</v>
          </cell>
          <cell r="J99" t="str">
            <v>UN</v>
          </cell>
          <cell r="K99">
            <v>45559</v>
          </cell>
        </row>
        <row r="100">
          <cell r="A100" t="str">
            <v>50714245820</v>
          </cell>
          <cell r="B100" t="str">
            <v>ZMTD</v>
          </cell>
          <cell r="C100">
            <v>45481</v>
          </cell>
          <cell r="D100" t="str">
            <v>Not delivered</v>
          </cell>
          <cell r="E100">
            <v>507142458</v>
          </cell>
          <cell r="F100">
            <v>20</v>
          </cell>
          <cell r="G100">
            <v>1405883</v>
          </cell>
          <cell r="H100" t="str">
            <v>LC-012:BTL VR13 P/GLASTNG PTI60B</v>
          </cell>
          <cell r="I100">
            <v>25326</v>
          </cell>
          <cell r="J100" t="str">
            <v>UN</v>
          </cell>
          <cell r="K100">
            <v>45559</v>
          </cell>
        </row>
        <row r="101">
          <cell r="A101" t="str">
            <v>50714241410</v>
          </cell>
          <cell r="B101" t="str">
            <v>ZMTD</v>
          </cell>
          <cell r="C101">
            <v>45471</v>
          </cell>
          <cell r="D101" t="str">
            <v>Not delivered</v>
          </cell>
          <cell r="E101">
            <v>507142414</v>
          </cell>
          <cell r="F101">
            <v>10</v>
          </cell>
          <cell r="G101">
            <v>1379003</v>
          </cell>
          <cell r="H101" t="str">
            <v>PT-096:CVR WHITE INEZ 12A</v>
          </cell>
          <cell r="I101">
            <v>25000</v>
          </cell>
          <cell r="J101" t="str">
            <v>UN</v>
          </cell>
          <cell r="K101">
            <v>45559</v>
          </cell>
        </row>
        <row r="102">
          <cell r="A102" t="str">
            <v>50714241420</v>
          </cell>
          <cell r="B102" t="str">
            <v>ZMTD</v>
          </cell>
          <cell r="C102">
            <v>45471</v>
          </cell>
          <cell r="D102" t="str">
            <v>Not delivered</v>
          </cell>
          <cell r="E102">
            <v>507142414</v>
          </cell>
          <cell r="F102">
            <v>20</v>
          </cell>
          <cell r="G102">
            <v>1379004</v>
          </cell>
          <cell r="H102" t="str">
            <v>PT-096:BS MT BLUETRANS P/WHT BEAUTY INEZ</v>
          </cell>
          <cell r="I102">
            <v>25000</v>
          </cell>
          <cell r="J102" t="str">
            <v>UN</v>
          </cell>
          <cell r="K102">
            <v>45559</v>
          </cell>
        </row>
        <row r="103">
          <cell r="A103" t="str">
            <v>50714234710</v>
          </cell>
          <cell r="B103" t="str">
            <v>ZMTD</v>
          </cell>
          <cell r="C103">
            <v>45462</v>
          </cell>
          <cell r="D103" t="str">
            <v>Not delivered</v>
          </cell>
          <cell r="E103">
            <v>507142347</v>
          </cell>
          <cell r="F103">
            <v>10</v>
          </cell>
          <cell r="G103">
            <v>1175305</v>
          </cell>
          <cell r="H103" t="str">
            <v>CM-088:BROWN PRL S/GLD REVLON NEW RUDY</v>
          </cell>
          <cell r="I103">
            <v>10000</v>
          </cell>
          <cell r="J103" t="str">
            <v>UN</v>
          </cell>
          <cell r="K103">
            <v>45559</v>
          </cell>
        </row>
        <row r="104">
          <cell r="A104" t="str">
            <v>50714226310</v>
          </cell>
          <cell r="B104" t="str">
            <v>ZMTD</v>
          </cell>
          <cell r="C104">
            <v>45441</v>
          </cell>
          <cell r="D104" t="str">
            <v>Not delivered</v>
          </cell>
          <cell r="E104">
            <v>507142263</v>
          </cell>
          <cell r="F104">
            <v>10</v>
          </cell>
          <cell r="G104">
            <v>1368757</v>
          </cell>
          <cell r="H104" t="str">
            <v>LS-092:BS WHT P/BLU NP BLUE CSMX R01 60B</v>
          </cell>
          <cell r="I104">
            <v>50400</v>
          </cell>
          <cell r="J104" t="str">
            <v>UN</v>
          </cell>
          <cell r="K104">
            <v>45559</v>
          </cell>
        </row>
        <row r="105">
          <cell r="A105" t="str">
            <v>50714226320</v>
          </cell>
          <cell r="B105" t="str">
            <v>ZMTD</v>
          </cell>
          <cell r="C105">
            <v>45441</v>
          </cell>
          <cell r="D105" t="str">
            <v>Not delivered</v>
          </cell>
          <cell r="E105">
            <v>507142263</v>
          </cell>
          <cell r="F105">
            <v>20</v>
          </cell>
          <cell r="G105">
            <v>1210981</v>
          </cell>
          <cell r="H105" t="str">
            <v>LS-092:COVER CLEAR P/WHT CSMAX 60B</v>
          </cell>
          <cell r="I105">
            <v>50400</v>
          </cell>
          <cell r="J105" t="str">
            <v>UN</v>
          </cell>
          <cell r="K105">
            <v>45559</v>
          </cell>
        </row>
        <row r="106">
          <cell r="A106" t="str">
            <v>50714222910</v>
          </cell>
          <cell r="B106" t="str">
            <v>ZMTD</v>
          </cell>
          <cell r="C106">
            <v>45436</v>
          </cell>
          <cell r="D106" t="str">
            <v>Partially delivered</v>
          </cell>
          <cell r="E106">
            <v>507142229</v>
          </cell>
          <cell r="F106">
            <v>10</v>
          </cell>
          <cell r="G106">
            <v>1331787</v>
          </cell>
          <cell r="H106" t="str">
            <v>CM-216:TRUE MATCH BLUSH W/O BRUSH LOR US</v>
          </cell>
          <cell r="I106">
            <v>159400</v>
          </cell>
          <cell r="J106" t="str">
            <v>UN</v>
          </cell>
          <cell r="K106">
            <v>45559</v>
          </cell>
        </row>
        <row r="107">
          <cell r="A107" t="str">
            <v>50714276510</v>
          </cell>
          <cell r="B107" t="str">
            <v>ZMTD</v>
          </cell>
          <cell r="C107">
            <v>45552</v>
          </cell>
          <cell r="D107" t="str">
            <v>Not delivered</v>
          </cell>
          <cell r="E107">
            <v>507142765</v>
          </cell>
          <cell r="F107">
            <v>10</v>
          </cell>
          <cell r="G107">
            <v>1398383</v>
          </cell>
          <cell r="H107" t="str">
            <v>CM-319:WHITE P/BLACK UV MATTE NARS</v>
          </cell>
          <cell r="I107">
            <v>10080</v>
          </cell>
          <cell r="J107" t="str">
            <v>UN</v>
          </cell>
          <cell r="K107">
            <v>45560</v>
          </cell>
        </row>
        <row r="108">
          <cell r="A108" t="str">
            <v>50714276610</v>
          </cell>
          <cell r="B108" t="str">
            <v>ZMTD</v>
          </cell>
          <cell r="C108">
            <v>45552</v>
          </cell>
          <cell r="D108" t="str">
            <v>Not delivered</v>
          </cell>
          <cell r="E108">
            <v>507142766</v>
          </cell>
          <cell r="F108">
            <v>10</v>
          </cell>
          <cell r="G108">
            <v>1398763</v>
          </cell>
          <cell r="H108" t="str">
            <v>CM-320:WHITE S/BLACK UV MATTE NARS</v>
          </cell>
          <cell r="I108">
            <v>10260</v>
          </cell>
          <cell r="J108" t="str">
            <v>UN</v>
          </cell>
          <cell r="K108">
            <v>45560</v>
          </cell>
        </row>
        <row r="109">
          <cell r="A109" t="str">
            <v>50714268510</v>
          </cell>
          <cell r="B109" t="str">
            <v>ZMTD</v>
          </cell>
          <cell r="C109">
            <v>45532</v>
          </cell>
          <cell r="D109" t="str">
            <v>Not delivered</v>
          </cell>
          <cell r="E109">
            <v>507142685</v>
          </cell>
          <cell r="F109">
            <v>10</v>
          </cell>
          <cell r="G109">
            <v>1167571</v>
          </cell>
          <cell r="H109" t="str">
            <v>FP-014:BS CLEAR NO DC PTI</v>
          </cell>
          <cell r="I109">
            <v>30240</v>
          </cell>
          <cell r="J109" t="str">
            <v>UN</v>
          </cell>
          <cell r="K109">
            <v>45560</v>
          </cell>
        </row>
        <row r="110">
          <cell r="A110" t="str">
            <v>50714268520</v>
          </cell>
          <cell r="B110" t="str">
            <v>ZMTD</v>
          </cell>
          <cell r="C110">
            <v>45532</v>
          </cell>
          <cell r="D110" t="str">
            <v>Not delivered</v>
          </cell>
          <cell r="E110">
            <v>507142685</v>
          </cell>
          <cell r="F110">
            <v>20</v>
          </cell>
          <cell r="G110">
            <v>1174020</v>
          </cell>
          <cell r="H110" t="str">
            <v>FP-014:CVR BLCK COAT P/DC MAKE OVER  PTI</v>
          </cell>
          <cell r="I110">
            <v>30240</v>
          </cell>
          <cell r="J110" t="str">
            <v>UN</v>
          </cell>
          <cell r="K110">
            <v>45560</v>
          </cell>
        </row>
        <row r="111">
          <cell r="A111" t="str">
            <v>50714268530</v>
          </cell>
          <cell r="B111" t="str">
            <v>ZMTD</v>
          </cell>
          <cell r="C111">
            <v>45532</v>
          </cell>
          <cell r="D111" t="str">
            <v>Not delivered</v>
          </cell>
          <cell r="E111">
            <v>507142685</v>
          </cell>
          <cell r="F111">
            <v>30</v>
          </cell>
          <cell r="G111">
            <v>1167434</v>
          </cell>
          <cell r="H111" t="str">
            <v>FP-014:SFTR NATURAL W/ LABEL POLOS PTI</v>
          </cell>
          <cell r="I111">
            <v>30240</v>
          </cell>
          <cell r="J111" t="str">
            <v>UN</v>
          </cell>
          <cell r="K111">
            <v>45560</v>
          </cell>
        </row>
        <row r="112">
          <cell r="A112" t="str">
            <v>50714263850</v>
          </cell>
          <cell r="B112" t="str">
            <v>ZMTD</v>
          </cell>
          <cell r="C112">
            <v>45519</v>
          </cell>
          <cell r="D112" t="str">
            <v>Partially delivered</v>
          </cell>
          <cell r="E112">
            <v>507142638</v>
          </cell>
          <cell r="F112">
            <v>50</v>
          </cell>
          <cell r="G112">
            <v>1361170</v>
          </cell>
          <cell r="H112" t="str">
            <v>PT-097:BODY BLACK HOUSE WHT TRANS PTI12A</v>
          </cell>
          <cell r="I112">
            <v>109890</v>
          </cell>
          <cell r="J112" t="str">
            <v>UN</v>
          </cell>
          <cell r="K112">
            <v>45560</v>
          </cell>
        </row>
        <row r="113">
          <cell r="A113" t="str">
            <v>50714263860</v>
          </cell>
          <cell r="B113" t="str">
            <v>ZMTD</v>
          </cell>
          <cell r="C113">
            <v>45519</v>
          </cell>
          <cell r="D113" t="str">
            <v>Partially delivered</v>
          </cell>
          <cell r="E113">
            <v>507142638</v>
          </cell>
          <cell r="F113">
            <v>60</v>
          </cell>
          <cell r="G113">
            <v>1361175</v>
          </cell>
          <cell r="H113" t="str">
            <v>PT-097:CAP BLACK TRANS PTI 12A</v>
          </cell>
          <cell r="I113">
            <v>109890</v>
          </cell>
          <cell r="J113" t="str">
            <v>UN</v>
          </cell>
          <cell r="K113">
            <v>45560</v>
          </cell>
        </row>
        <row r="114">
          <cell r="A114" t="str">
            <v>50714259810</v>
          </cell>
          <cell r="B114" t="str">
            <v>ZMTD</v>
          </cell>
          <cell r="C114">
            <v>45509</v>
          </cell>
          <cell r="D114" t="str">
            <v>Not delivered</v>
          </cell>
          <cell r="E114">
            <v>507142598</v>
          </cell>
          <cell r="F114">
            <v>10</v>
          </cell>
          <cell r="G114">
            <v>1233451</v>
          </cell>
          <cell r="H114" t="str">
            <v>CM-260:EYSHDW CVR BLKSPRY S/GLD VIVA 40C</v>
          </cell>
          <cell r="I114">
            <v>15120</v>
          </cell>
          <cell r="J114" t="str">
            <v>UN</v>
          </cell>
          <cell r="K114">
            <v>45560</v>
          </cell>
        </row>
        <row r="115">
          <cell r="A115" t="str">
            <v>50714259970</v>
          </cell>
          <cell r="B115" t="str">
            <v>ZMTD</v>
          </cell>
          <cell r="C115">
            <v>45509</v>
          </cell>
          <cell r="D115" t="str">
            <v>Not delivered</v>
          </cell>
          <cell r="E115">
            <v>507142599</v>
          </cell>
          <cell r="F115">
            <v>70</v>
          </cell>
          <cell r="G115">
            <v>1153730</v>
          </cell>
          <cell r="H115" t="str">
            <v>LC-003:BTL MT CRO RED P/PX MOU CSMAX 40H</v>
          </cell>
          <cell r="I115">
            <v>10000</v>
          </cell>
          <cell r="J115" t="str">
            <v>UN</v>
          </cell>
          <cell r="K115">
            <v>45560</v>
          </cell>
        </row>
        <row r="116">
          <cell r="A116" t="str">
            <v>50714259980</v>
          </cell>
          <cell r="B116" t="str">
            <v>ZMTD</v>
          </cell>
          <cell r="C116">
            <v>45509</v>
          </cell>
          <cell r="D116" t="str">
            <v>Not delivered</v>
          </cell>
          <cell r="E116">
            <v>507142599</v>
          </cell>
          <cell r="F116">
            <v>80</v>
          </cell>
          <cell r="G116">
            <v>1153731</v>
          </cell>
          <cell r="H116" t="str">
            <v>LC-003:CAP MT CROWD RED PX MOU CSMAX 40D</v>
          </cell>
          <cell r="I116">
            <v>10000</v>
          </cell>
          <cell r="J116" t="str">
            <v>UN</v>
          </cell>
          <cell r="K116">
            <v>45560</v>
          </cell>
        </row>
        <row r="117">
          <cell r="A117" t="str">
            <v>50714256810</v>
          </cell>
          <cell r="B117" t="str">
            <v>ZMTD</v>
          </cell>
          <cell r="C117">
            <v>45497</v>
          </cell>
          <cell r="D117" t="str">
            <v>Not delivered</v>
          </cell>
          <cell r="E117">
            <v>507142568</v>
          </cell>
          <cell r="F117">
            <v>10</v>
          </cell>
          <cell r="G117">
            <v>1172316</v>
          </cell>
          <cell r="H117" t="str">
            <v>CM-273:BS/CV WHITE NO DC W/LBL  MLT ELOK</v>
          </cell>
          <cell r="I117">
            <v>30000</v>
          </cell>
          <cell r="J117" t="str">
            <v>UN</v>
          </cell>
          <cell r="K117">
            <v>45560</v>
          </cell>
        </row>
        <row r="118">
          <cell r="A118" t="str">
            <v>50714250010</v>
          </cell>
          <cell r="B118" t="str">
            <v>ZMTD</v>
          </cell>
          <cell r="C118">
            <v>45485</v>
          </cell>
          <cell r="D118" t="str">
            <v>Not delivered</v>
          </cell>
          <cell r="E118">
            <v>507142500</v>
          </cell>
          <cell r="F118">
            <v>10</v>
          </cell>
          <cell r="G118">
            <v>1216572</v>
          </cell>
          <cell r="H118" t="str">
            <v>CM-216:TRUE MATCH CV PF S/SLV LOR (SEA)</v>
          </cell>
          <cell r="I118">
            <v>64800</v>
          </cell>
          <cell r="J118" t="str">
            <v>UN</v>
          </cell>
          <cell r="K118">
            <v>45560</v>
          </cell>
        </row>
        <row r="119">
          <cell r="A119" t="str">
            <v>50714241720</v>
          </cell>
          <cell r="B119" t="str">
            <v>ZMTD</v>
          </cell>
          <cell r="C119">
            <v>45474</v>
          </cell>
          <cell r="D119" t="str">
            <v>Not delivered</v>
          </cell>
          <cell r="E119">
            <v>507142417</v>
          </cell>
          <cell r="F119">
            <v>20</v>
          </cell>
          <cell r="G119">
            <v>1405657</v>
          </cell>
          <cell r="H119" t="str">
            <v>CM-273:CV UV BS BRONZE P/PIXYSLKY RV130L</v>
          </cell>
          <cell r="I119">
            <v>10000</v>
          </cell>
          <cell r="J119" t="str">
            <v>UN</v>
          </cell>
          <cell r="K119">
            <v>45560</v>
          </cell>
        </row>
        <row r="120">
          <cell r="A120" t="str">
            <v>50714192310</v>
          </cell>
          <cell r="B120" t="str">
            <v>ZMTD</v>
          </cell>
          <cell r="C120">
            <v>45372</v>
          </cell>
          <cell r="D120" t="str">
            <v>Partially delivered</v>
          </cell>
          <cell r="E120">
            <v>507141923</v>
          </cell>
          <cell r="F120">
            <v>10</v>
          </cell>
          <cell r="G120">
            <v>1366375</v>
          </cell>
          <cell r="H120" t="str">
            <v>CM-253:CVBS GRNP580U S/EIDYL UVMT ENI40C</v>
          </cell>
          <cell r="I120">
            <v>10000</v>
          </cell>
          <cell r="J120" t="str">
            <v>UN</v>
          </cell>
          <cell r="K120">
            <v>45560</v>
          </cell>
        </row>
        <row r="121">
          <cell r="A121" t="str">
            <v>50714270050</v>
          </cell>
          <cell r="B121" t="str">
            <v>ZMTD</v>
          </cell>
          <cell r="C121">
            <v>45533</v>
          </cell>
          <cell r="D121" t="str">
            <v>Not delivered</v>
          </cell>
          <cell r="E121">
            <v>507142700</v>
          </cell>
          <cell r="F121">
            <v>50</v>
          </cell>
          <cell r="G121">
            <v>1417990</v>
          </cell>
          <cell r="H121" t="str">
            <v>LC-009:BTL #2#3 INNER CLR P/OMG PTIPT60B</v>
          </cell>
          <cell r="I121">
            <v>400050</v>
          </cell>
          <cell r="J121" t="str">
            <v>UN</v>
          </cell>
          <cell r="K121">
            <v>45561</v>
          </cell>
        </row>
        <row r="122">
          <cell r="A122" t="str">
            <v>50714270060</v>
          </cell>
          <cell r="B122" t="str">
            <v>ZMTD</v>
          </cell>
          <cell r="C122">
            <v>45533</v>
          </cell>
          <cell r="D122" t="str">
            <v>Not delivered</v>
          </cell>
          <cell r="E122">
            <v>507142700</v>
          </cell>
          <cell r="F122">
            <v>60</v>
          </cell>
          <cell r="G122">
            <v>1417978</v>
          </cell>
          <cell r="H122" t="str">
            <v>LC-009:CAP #2#3 REDTR WIP S/OMG PTIPT60B</v>
          </cell>
          <cell r="I122">
            <v>400050</v>
          </cell>
          <cell r="J122" t="str">
            <v>UN</v>
          </cell>
          <cell r="K122">
            <v>45561</v>
          </cell>
        </row>
        <row r="123">
          <cell r="A123" t="str">
            <v>50714262520</v>
          </cell>
          <cell r="B123" t="str">
            <v>ZMTD</v>
          </cell>
          <cell r="C123">
            <v>45513</v>
          </cell>
          <cell r="D123" t="str">
            <v>Not delivered</v>
          </cell>
          <cell r="E123">
            <v>507142625</v>
          </cell>
          <cell r="F123">
            <v>20</v>
          </cell>
          <cell r="G123">
            <v>1305089</v>
          </cell>
          <cell r="H123" t="str">
            <v>CM-207:VM SHY SLV P/MATTE ZGH6010038 EL</v>
          </cell>
          <cell r="I123">
            <v>25920</v>
          </cell>
          <cell r="J123" t="str">
            <v>UN</v>
          </cell>
          <cell r="K123">
            <v>45561</v>
          </cell>
        </row>
        <row r="124">
          <cell r="A124" t="str">
            <v>50714256520</v>
          </cell>
          <cell r="B124" t="str">
            <v>ZMTD</v>
          </cell>
          <cell r="C124">
            <v>45497</v>
          </cell>
          <cell r="D124" t="str">
            <v>Not delivered</v>
          </cell>
          <cell r="E124">
            <v>507142565</v>
          </cell>
          <cell r="F124">
            <v>20</v>
          </cell>
          <cell r="G124">
            <v>1428516</v>
          </cell>
          <cell r="H124" t="str">
            <v>PT-055:BD BEIGE 94101-BS2 INTERPARFUM</v>
          </cell>
          <cell r="I124">
            <v>76545</v>
          </cell>
          <cell r="J124" t="str">
            <v>UN</v>
          </cell>
          <cell r="K124">
            <v>45561</v>
          </cell>
        </row>
        <row r="125">
          <cell r="A125" t="str">
            <v>50714256530</v>
          </cell>
          <cell r="B125" t="str">
            <v>ZMTD</v>
          </cell>
          <cell r="C125">
            <v>45497</v>
          </cell>
          <cell r="D125" t="str">
            <v>Not delivered</v>
          </cell>
          <cell r="E125">
            <v>507142565</v>
          </cell>
          <cell r="F125">
            <v>30</v>
          </cell>
          <cell r="G125">
            <v>1313073</v>
          </cell>
          <cell r="H125" t="str">
            <v>PT-055:PLUG BEIGE CASHMERE INTERPARFUM</v>
          </cell>
          <cell r="I125">
            <v>78570</v>
          </cell>
          <cell r="J125" t="str">
            <v>UN</v>
          </cell>
          <cell r="K125">
            <v>45561</v>
          </cell>
        </row>
        <row r="126">
          <cell r="A126" t="str">
            <v>50714256610</v>
          </cell>
          <cell r="B126" t="str">
            <v>ZMTD</v>
          </cell>
          <cell r="C126">
            <v>45497</v>
          </cell>
          <cell r="D126" t="str">
            <v>Not delivered</v>
          </cell>
          <cell r="E126">
            <v>507142566</v>
          </cell>
          <cell r="F126">
            <v>10</v>
          </cell>
          <cell r="G126">
            <v>1428697</v>
          </cell>
          <cell r="H126" t="str">
            <v>PT-055:BD DK ANTI-PERS 94025-BS3 INTPRF</v>
          </cell>
          <cell r="I126">
            <v>20385</v>
          </cell>
          <cell r="J126" t="str">
            <v>UN</v>
          </cell>
          <cell r="K126">
            <v>45561</v>
          </cell>
        </row>
        <row r="127">
          <cell r="A127" t="str">
            <v>50714256720</v>
          </cell>
          <cell r="B127" t="str">
            <v>ZMTD</v>
          </cell>
          <cell r="C127">
            <v>45497</v>
          </cell>
          <cell r="D127" t="str">
            <v>Not delivered</v>
          </cell>
          <cell r="E127">
            <v>507142567</v>
          </cell>
          <cell r="F127">
            <v>20</v>
          </cell>
          <cell r="G127">
            <v>1313073</v>
          </cell>
          <cell r="H127" t="str">
            <v>PT-055:PLUG BEIGE CASHMERE INTERPARFUM</v>
          </cell>
          <cell r="I127">
            <v>16200</v>
          </cell>
          <cell r="J127" t="str">
            <v>UN</v>
          </cell>
          <cell r="K127">
            <v>45561</v>
          </cell>
        </row>
        <row r="128">
          <cell r="A128" t="str">
            <v>50714256730</v>
          </cell>
          <cell r="B128" t="str">
            <v>ZMTD</v>
          </cell>
          <cell r="C128">
            <v>45497</v>
          </cell>
          <cell r="D128" t="str">
            <v>Not delivered</v>
          </cell>
          <cell r="E128">
            <v>507142567</v>
          </cell>
          <cell r="F128">
            <v>30</v>
          </cell>
          <cell r="G128">
            <v>1432260</v>
          </cell>
          <cell r="H128" t="str">
            <v>PT-055:BD BEIGE 94440-BS INTERPARFUM</v>
          </cell>
          <cell r="I128">
            <v>15390</v>
          </cell>
          <cell r="J128" t="str">
            <v>UN</v>
          </cell>
          <cell r="K128">
            <v>45561</v>
          </cell>
        </row>
        <row r="129">
          <cell r="A129" t="str">
            <v>50714248710</v>
          </cell>
          <cell r="B129" t="str">
            <v>ZMTD</v>
          </cell>
          <cell r="C129">
            <v>45484</v>
          </cell>
          <cell r="D129" t="str">
            <v>Not delivered</v>
          </cell>
          <cell r="E129">
            <v>507142487</v>
          </cell>
          <cell r="F129">
            <v>10</v>
          </cell>
          <cell r="G129">
            <v>1405377</v>
          </cell>
          <cell r="H129" t="str">
            <v>LC-012:BTL VR11 P/GLASTNG PTI60B</v>
          </cell>
          <cell r="I129">
            <v>53298</v>
          </cell>
          <cell r="J129" t="str">
            <v>UN</v>
          </cell>
          <cell r="K129">
            <v>45561</v>
          </cell>
        </row>
        <row r="130">
          <cell r="A130" t="str">
            <v>50714248720</v>
          </cell>
          <cell r="B130" t="str">
            <v>ZMTD</v>
          </cell>
          <cell r="C130">
            <v>45484</v>
          </cell>
          <cell r="D130" t="str">
            <v>Not delivered</v>
          </cell>
          <cell r="E130">
            <v>507142487</v>
          </cell>
          <cell r="F130">
            <v>20</v>
          </cell>
          <cell r="G130">
            <v>1385814</v>
          </cell>
          <cell r="H130" t="str">
            <v>LC-012:CAP VM BRWN WIP GLASTING PTI 20F</v>
          </cell>
          <cell r="I130">
            <v>53298</v>
          </cell>
          <cell r="J130" t="str">
            <v>UN</v>
          </cell>
          <cell r="K130">
            <v>45561</v>
          </cell>
        </row>
        <row r="131">
          <cell r="A131" t="str">
            <v>50714211010</v>
          </cell>
          <cell r="B131" t="str">
            <v>ZMTD</v>
          </cell>
          <cell r="C131">
            <v>45422</v>
          </cell>
          <cell r="D131" t="str">
            <v>Partially delivered</v>
          </cell>
          <cell r="E131">
            <v>507142110</v>
          </cell>
          <cell r="F131">
            <v>10</v>
          </cell>
          <cell r="G131">
            <v>1419205</v>
          </cell>
          <cell r="H131" t="str">
            <v>PT-099:CVR GREN BS PINK 12.5G CHARSM 12A</v>
          </cell>
          <cell r="I131">
            <v>50000</v>
          </cell>
          <cell r="J131" t="str">
            <v>UN</v>
          </cell>
          <cell r="K131">
            <v>45561</v>
          </cell>
        </row>
        <row r="132">
          <cell r="A132" t="str">
            <v>50714276620</v>
          </cell>
          <cell r="B132" t="str">
            <v>ZMTD</v>
          </cell>
          <cell r="C132">
            <v>45552</v>
          </cell>
          <cell r="D132" t="str">
            <v>Not delivered</v>
          </cell>
          <cell r="E132">
            <v>507142766</v>
          </cell>
          <cell r="F132">
            <v>20</v>
          </cell>
          <cell r="G132">
            <v>1398763</v>
          </cell>
          <cell r="H132" t="str">
            <v>CM-320:WHITE S/BLACK UV MATTE NARS</v>
          </cell>
          <cell r="I132">
            <v>20520</v>
          </cell>
          <cell r="J132" t="str">
            <v>UN</v>
          </cell>
          <cell r="K132">
            <v>45562</v>
          </cell>
        </row>
        <row r="133">
          <cell r="A133" t="str">
            <v>50714255810</v>
          </cell>
          <cell r="B133" t="str">
            <v>ZMTD</v>
          </cell>
          <cell r="C133">
            <v>45496</v>
          </cell>
          <cell r="D133" t="str">
            <v>Not delivered</v>
          </cell>
          <cell r="E133">
            <v>507142558</v>
          </cell>
          <cell r="F133">
            <v>10</v>
          </cell>
          <cell r="G133">
            <v>1209519</v>
          </cell>
          <cell r="H133" t="str">
            <v>LS-086:BS IVORY NO DC N.CUP MAYB BULK</v>
          </cell>
          <cell r="I133">
            <v>60000</v>
          </cell>
          <cell r="J133" t="str">
            <v>UN</v>
          </cell>
          <cell r="K133">
            <v>45562</v>
          </cell>
        </row>
        <row r="134">
          <cell r="A134" t="str">
            <v>50714255910</v>
          </cell>
          <cell r="B134" t="str">
            <v>ZMTD</v>
          </cell>
          <cell r="C134">
            <v>45496</v>
          </cell>
          <cell r="D134" t="str">
            <v>Not delivered</v>
          </cell>
          <cell r="E134">
            <v>507142559</v>
          </cell>
          <cell r="F134">
            <v>10</v>
          </cell>
          <cell r="G134">
            <v>1218709</v>
          </cell>
          <cell r="H134" t="str">
            <v>LS-086:CVR CLR CVRSTICK DC4 N.MOLD MAYB</v>
          </cell>
          <cell r="I134">
            <v>50400</v>
          </cell>
          <cell r="J134" t="str">
            <v>UN</v>
          </cell>
          <cell r="K134">
            <v>45562</v>
          </cell>
        </row>
        <row r="135">
          <cell r="A135" t="str">
            <v>50714249310</v>
          </cell>
          <cell r="B135" t="str">
            <v>ZMTD</v>
          </cell>
          <cell r="C135">
            <v>45485</v>
          </cell>
          <cell r="D135" t="str">
            <v>Not delivered</v>
          </cell>
          <cell r="E135">
            <v>507142493</v>
          </cell>
          <cell r="F135">
            <v>10</v>
          </cell>
          <cell r="G135">
            <v>1385814</v>
          </cell>
          <cell r="H135" t="str">
            <v>LC-012:CAP VM BRWN WIP GLASTING PTI 20F</v>
          </cell>
          <cell r="I135">
            <v>14364</v>
          </cell>
          <cell r="J135" t="str">
            <v>UN</v>
          </cell>
          <cell r="K135">
            <v>45562</v>
          </cell>
        </row>
        <row r="136">
          <cell r="A136" t="str">
            <v>50714249320</v>
          </cell>
          <cell r="B136" t="str">
            <v>ZMTD</v>
          </cell>
          <cell r="C136">
            <v>45485</v>
          </cell>
          <cell r="D136" t="str">
            <v>Not delivered</v>
          </cell>
          <cell r="E136">
            <v>507142493</v>
          </cell>
          <cell r="F136">
            <v>20</v>
          </cell>
          <cell r="G136">
            <v>1385811</v>
          </cell>
          <cell r="H136" t="str">
            <v>LC-012:BTL VR4 ROSEWOOD P/GLASTNG PTI60B</v>
          </cell>
          <cell r="I136">
            <v>14364</v>
          </cell>
          <cell r="J136" t="str">
            <v>UN</v>
          </cell>
          <cell r="K136">
            <v>45562</v>
          </cell>
        </row>
        <row r="137">
          <cell r="A137" t="str">
            <v>50714249330</v>
          </cell>
          <cell r="B137" t="str">
            <v>ZMTD</v>
          </cell>
          <cell r="C137">
            <v>45485</v>
          </cell>
          <cell r="D137" t="str">
            <v>Not delivered</v>
          </cell>
          <cell r="E137">
            <v>507142493</v>
          </cell>
          <cell r="F137">
            <v>30</v>
          </cell>
          <cell r="G137">
            <v>1385814</v>
          </cell>
          <cell r="H137" t="str">
            <v>LC-012:CAP VM BRWN WIP GLASTING PTI 20F</v>
          </cell>
          <cell r="I137">
            <v>38934</v>
          </cell>
          <cell r="J137" t="str">
            <v>UN</v>
          </cell>
          <cell r="K137">
            <v>45563</v>
          </cell>
        </row>
        <row r="138">
          <cell r="A138" t="str">
            <v>50714249340</v>
          </cell>
          <cell r="B138" t="str">
            <v>ZMTD</v>
          </cell>
          <cell r="C138">
            <v>45485</v>
          </cell>
          <cell r="D138" t="str">
            <v>Not delivered</v>
          </cell>
          <cell r="E138">
            <v>507142493</v>
          </cell>
          <cell r="F138">
            <v>40</v>
          </cell>
          <cell r="G138">
            <v>1385811</v>
          </cell>
          <cell r="H138" t="str">
            <v>LC-012:BTL VR4 ROSEWOOD P/GLASTNG PTI60B</v>
          </cell>
          <cell r="I138">
            <v>38934</v>
          </cell>
          <cell r="J138" t="str">
            <v>UN</v>
          </cell>
          <cell r="K138">
            <v>45563</v>
          </cell>
        </row>
        <row r="139">
          <cell r="A139" t="str">
            <v>50900099910</v>
          </cell>
          <cell r="B139" t="str">
            <v>ZMRX</v>
          </cell>
          <cell r="C139">
            <v>45560</v>
          </cell>
          <cell r="D139" t="str">
            <v>Not delivered</v>
          </cell>
          <cell r="E139">
            <v>509000999</v>
          </cell>
          <cell r="F139">
            <v>10</v>
          </cell>
          <cell r="G139">
            <v>1169047</v>
          </cell>
          <cell r="H139" t="str">
            <v>LS-285:B V/SL P/1PS SLEV H/SL BLM PTI20R</v>
          </cell>
          <cell r="I139">
            <v>11704</v>
          </cell>
          <cell r="J139" t="str">
            <v>UN</v>
          </cell>
          <cell r="K139">
            <v>45565</v>
          </cell>
        </row>
        <row r="140">
          <cell r="A140" t="str">
            <v>50900099920</v>
          </cell>
          <cell r="B140" t="str">
            <v>ZMRX</v>
          </cell>
          <cell r="C140">
            <v>45560</v>
          </cell>
          <cell r="D140" t="str">
            <v>Not delivered</v>
          </cell>
          <cell r="E140">
            <v>509000999</v>
          </cell>
          <cell r="F140">
            <v>20</v>
          </cell>
          <cell r="G140">
            <v>1171160</v>
          </cell>
          <cell r="H140" t="str">
            <v>LS-285:CV TRANS LONG 9 P/1PS VAR7 PTI40H</v>
          </cell>
          <cell r="I140">
            <v>11704</v>
          </cell>
          <cell r="J140" t="str">
            <v>UN</v>
          </cell>
          <cell r="K140">
            <v>45565</v>
          </cell>
        </row>
        <row r="141">
          <cell r="A141" t="str">
            <v>50900100010</v>
          </cell>
          <cell r="B141" t="str">
            <v>ZMRX</v>
          </cell>
          <cell r="C141">
            <v>45560</v>
          </cell>
          <cell r="D141" t="str">
            <v>Not delivered</v>
          </cell>
          <cell r="E141">
            <v>509001000</v>
          </cell>
          <cell r="F141">
            <v>10</v>
          </cell>
          <cell r="G141">
            <v>1375593</v>
          </cell>
          <cell r="H141" t="str">
            <v>LC-009:CAP REDTRANS WIP S/OMG PTIPT 60B</v>
          </cell>
          <cell r="I141">
            <v>630</v>
          </cell>
          <cell r="J141" t="str">
            <v>UN</v>
          </cell>
          <cell r="K141">
            <v>45565</v>
          </cell>
        </row>
        <row r="142">
          <cell r="A142" t="str">
            <v>50900100110</v>
          </cell>
          <cell r="B142" t="str">
            <v>ZMRX</v>
          </cell>
          <cell r="C142">
            <v>45560</v>
          </cell>
          <cell r="D142" t="str">
            <v>Not delivered</v>
          </cell>
          <cell r="E142">
            <v>509001001</v>
          </cell>
          <cell r="F142">
            <v>10</v>
          </cell>
          <cell r="G142">
            <v>1385814</v>
          </cell>
          <cell r="H142" t="str">
            <v>LC-012:CAP VM BRWN WIP GLASTING PTI 20F</v>
          </cell>
          <cell r="I142">
            <v>12096</v>
          </cell>
          <cell r="J142" t="str">
            <v>UN</v>
          </cell>
          <cell r="K142">
            <v>45565</v>
          </cell>
        </row>
        <row r="143">
          <cell r="A143" t="str">
            <v>50900100120</v>
          </cell>
          <cell r="B143" t="str">
            <v>ZMRX</v>
          </cell>
          <cell r="C143">
            <v>45560</v>
          </cell>
          <cell r="D143" t="str">
            <v>Not delivered</v>
          </cell>
          <cell r="E143">
            <v>509001001</v>
          </cell>
          <cell r="F143">
            <v>20</v>
          </cell>
          <cell r="G143">
            <v>1382935</v>
          </cell>
          <cell r="H143" t="str">
            <v>LC-012:BTL VR2 PEACHPLS P/GLASTNG PTI60B</v>
          </cell>
          <cell r="I143">
            <v>12096</v>
          </cell>
          <cell r="J143" t="str">
            <v>UN</v>
          </cell>
          <cell r="K143">
            <v>45565</v>
          </cell>
        </row>
        <row r="144">
          <cell r="A144" t="str">
            <v>50714264710</v>
          </cell>
          <cell r="B144" t="str">
            <v>ZMTD</v>
          </cell>
          <cell r="C144">
            <v>45523</v>
          </cell>
          <cell r="D144" t="str">
            <v>Partially delivered</v>
          </cell>
          <cell r="E144">
            <v>507142647</v>
          </cell>
          <cell r="F144">
            <v>10</v>
          </cell>
          <cell r="G144">
            <v>1168132</v>
          </cell>
          <cell r="H144" t="str">
            <v>LS-285:BS WHT NO DC WARDAH</v>
          </cell>
          <cell r="I144">
            <v>53200</v>
          </cell>
          <cell r="J144" t="str">
            <v>UN</v>
          </cell>
          <cell r="K144">
            <v>45565</v>
          </cell>
        </row>
        <row r="145">
          <cell r="A145" t="str">
            <v>50714264720</v>
          </cell>
          <cell r="B145" t="str">
            <v>ZMTD</v>
          </cell>
          <cell r="C145">
            <v>45523</v>
          </cell>
          <cell r="D145" t="str">
            <v>Partially delivered</v>
          </cell>
          <cell r="E145">
            <v>507142647</v>
          </cell>
          <cell r="F145">
            <v>20</v>
          </cell>
          <cell r="G145">
            <v>1421418</v>
          </cell>
          <cell r="H145" t="str">
            <v>LS-285:CV RED P/WHT UV STRAWBERY PTI 30O</v>
          </cell>
          <cell r="I145">
            <v>53200</v>
          </cell>
          <cell r="J145" t="str">
            <v>UN</v>
          </cell>
          <cell r="K145">
            <v>45565</v>
          </cell>
        </row>
        <row r="146">
          <cell r="A146" t="str">
            <v>50714279510</v>
          </cell>
          <cell r="B146" t="str">
            <v>ZMTD</v>
          </cell>
          <cell r="C146">
            <v>45558</v>
          </cell>
          <cell r="D146" t="str">
            <v>Not delivered</v>
          </cell>
          <cell r="E146">
            <v>507142795</v>
          </cell>
          <cell r="F146">
            <v>10</v>
          </cell>
          <cell r="G146">
            <v>1194582</v>
          </cell>
          <cell r="H146" t="str">
            <v>LC-002:BTL CLR COL WHT NO DC GENERAL</v>
          </cell>
          <cell r="I146">
            <v>10395</v>
          </cell>
          <cell r="J146" t="str">
            <v>UN</v>
          </cell>
          <cell r="K146">
            <v>45565</v>
          </cell>
        </row>
        <row r="147">
          <cell r="A147" t="str">
            <v>50714279520</v>
          </cell>
          <cell r="B147" t="str">
            <v>ZMTD</v>
          </cell>
          <cell r="C147">
            <v>45558</v>
          </cell>
          <cell r="D147" t="str">
            <v>Not delivered</v>
          </cell>
          <cell r="E147">
            <v>507142795</v>
          </cell>
          <cell r="F147">
            <v>20</v>
          </cell>
          <cell r="G147">
            <v>1194581</v>
          </cell>
          <cell r="H147" t="str">
            <v>LC-002:CAP WHT NO DC WIPER NAT GENERAL</v>
          </cell>
          <cell r="I147">
            <v>10395</v>
          </cell>
          <cell r="J147" t="str">
            <v>UN</v>
          </cell>
          <cell r="K147">
            <v>45565</v>
          </cell>
        </row>
        <row r="148">
          <cell r="A148" t="str">
            <v>50714271110</v>
          </cell>
          <cell r="B148" t="str">
            <v>ZMTD</v>
          </cell>
          <cell r="C148">
            <v>45534</v>
          </cell>
          <cell r="D148" t="str">
            <v>Not delivered</v>
          </cell>
          <cell r="E148">
            <v>507142711</v>
          </cell>
          <cell r="F148">
            <v>10</v>
          </cell>
          <cell r="G148">
            <v>1313402</v>
          </cell>
          <cell r="H148" t="str">
            <v>LC-004:BTL COL MTGRAD P/SWETBRWN MLA40H</v>
          </cell>
          <cell r="I148">
            <v>32700</v>
          </cell>
          <cell r="J148" t="str">
            <v>UN</v>
          </cell>
          <cell r="K148">
            <v>45565</v>
          </cell>
        </row>
        <row r="149">
          <cell r="A149" t="str">
            <v>50714271120</v>
          </cell>
          <cell r="B149" t="str">
            <v>ZMTD</v>
          </cell>
          <cell r="C149">
            <v>45534</v>
          </cell>
          <cell r="D149" t="str">
            <v>Not delivered</v>
          </cell>
          <cell r="E149">
            <v>507142711</v>
          </cell>
          <cell r="F149">
            <v>20</v>
          </cell>
          <cell r="G149">
            <v>1313403</v>
          </cell>
          <cell r="H149" t="str">
            <v>LC-004:CAP MTBRWN WIPNAT SWETBRWN MLA40D</v>
          </cell>
          <cell r="I149">
            <v>32700</v>
          </cell>
          <cell r="J149" t="str">
            <v>UN</v>
          </cell>
          <cell r="K149">
            <v>45565</v>
          </cell>
        </row>
        <row r="150">
          <cell r="A150" t="str">
            <v>50714269730</v>
          </cell>
          <cell r="B150" t="str">
            <v>ZMTD</v>
          </cell>
          <cell r="C150">
            <v>45533</v>
          </cell>
          <cell r="D150" t="str">
            <v>Not delivered</v>
          </cell>
          <cell r="E150">
            <v>507142697</v>
          </cell>
          <cell r="F150">
            <v>30</v>
          </cell>
          <cell r="G150">
            <v>1385814</v>
          </cell>
          <cell r="H150" t="str">
            <v>LC-012:CAP VM BRWN WIP GLASTING PTI 20F</v>
          </cell>
          <cell r="I150">
            <v>14742</v>
          </cell>
          <cell r="J150" t="str">
            <v>UN</v>
          </cell>
          <cell r="K150">
            <v>45565</v>
          </cell>
        </row>
        <row r="151">
          <cell r="A151" t="str">
            <v>50714269740</v>
          </cell>
          <cell r="B151" t="str">
            <v>ZMTD</v>
          </cell>
          <cell r="C151">
            <v>45533</v>
          </cell>
          <cell r="D151" t="str">
            <v>Not delivered</v>
          </cell>
          <cell r="E151">
            <v>507142697</v>
          </cell>
          <cell r="F151">
            <v>40</v>
          </cell>
          <cell r="G151">
            <v>1406580</v>
          </cell>
          <cell r="H151" t="str">
            <v>LC-012:BTL VR09 P/GLASTNG PTI60B</v>
          </cell>
          <cell r="I151">
            <v>14742</v>
          </cell>
          <cell r="J151" t="str">
            <v>UN</v>
          </cell>
          <cell r="K151">
            <v>45565</v>
          </cell>
        </row>
        <row r="152">
          <cell r="A152" t="str">
            <v>50714264210</v>
          </cell>
          <cell r="B152" t="str">
            <v>ZMTD</v>
          </cell>
          <cell r="C152">
            <v>45520</v>
          </cell>
          <cell r="D152" t="str">
            <v>Not delivered</v>
          </cell>
          <cell r="E152">
            <v>507142642</v>
          </cell>
          <cell r="F152">
            <v>10</v>
          </cell>
          <cell r="G152">
            <v>1434087</v>
          </cell>
          <cell r="H152" t="str">
            <v>LC-002:CAP MT PINK NODC NACIFIC CSMX 40D</v>
          </cell>
          <cell r="I152">
            <v>15246</v>
          </cell>
          <cell r="J152" t="str">
            <v>UN</v>
          </cell>
          <cell r="K152">
            <v>45565</v>
          </cell>
        </row>
        <row r="153">
          <cell r="A153" t="str">
            <v>50714264220</v>
          </cell>
          <cell r="B153" t="str">
            <v>ZMTD</v>
          </cell>
          <cell r="C153">
            <v>45520</v>
          </cell>
          <cell r="D153" t="str">
            <v>Not delivered</v>
          </cell>
          <cell r="E153">
            <v>507142642</v>
          </cell>
          <cell r="F153">
            <v>20</v>
          </cell>
          <cell r="G153">
            <v>1434088</v>
          </cell>
          <cell r="H153" t="str">
            <v>LC-002:BTL/COL MTPINK P/NACIFIC CSMX 40H</v>
          </cell>
          <cell r="I153">
            <v>15246</v>
          </cell>
          <cell r="J153" t="str">
            <v>UN</v>
          </cell>
          <cell r="K153">
            <v>45565</v>
          </cell>
        </row>
        <row r="154">
          <cell r="A154" t="str">
            <v>50714258410</v>
          </cell>
          <cell r="B154" t="str">
            <v>ZMTD</v>
          </cell>
          <cell r="C154">
            <v>45502</v>
          </cell>
          <cell r="D154" t="str">
            <v>Not delivered</v>
          </cell>
          <cell r="E154">
            <v>507142584</v>
          </cell>
          <cell r="F154">
            <v>10</v>
          </cell>
          <cell r="G154">
            <v>1388034</v>
          </cell>
          <cell r="H154" t="str">
            <v>CM-253:CV BS MTCORL P/C.BLSH RV1 PTI40H</v>
          </cell>
          <cell r="I154">
            <v>27000</v>
          </cell>
          <cell r="J154" t="str">
            <v>UN</v>
          </cell>
          <cell r="K154">
            <v>45565</v>
          </cell>
        </row>
        <row r="155">
          <cell r="A155" t="str">
            <v>50714256010</v>
          </cell>
          <cell r="B155" t="str">
            <v>ZMTD</v>
          </cell>
          <cell r="C155">
            <v>45496</v>
          </cell>
          <cell r="D155" t="str">
            <v>Partially delivered</v>
          </cell>
          <cell r="E155">
            <v>507142560</v>
          </cell>
          <cell r="F155">
            <v>10</v>
          </cell>
          <cell r="G155">
            <v>1430741</v>
          </cell>
          <cell r="H155" t="str">
            <v>LS-095:CVR/BS GREEN DP/DEBYURIN CEC 80A</v>
          </cell>
          <cell r="I155">
            <v>10000</v>
          </cell>
          <cell r="J155" t="str">
            <v>UN</v>
          </cell>
          <cell r="K155">
            <v>45565</v>
          </cell>
        </row>
        <row r="156">
          <cell r="A156" t="str">
            <v>50714252710</v>
          </cell>
          <cell r="B156" t="str">
            <v>ZMTD</v>
          </cell>
          <cell r="C156">
            <v>45488</v>
          </cell>
          <cell r="D156" t="str">
            <v>Not delivered</v>
          </cell>
          <cell r="E156">
            <v>507142527</v>
          </cell>
          <cell r="F156">
            <v>10</v>
          </cell>
          <cell r="G156">
            <v>1385814</v>
          </cell>
          <cell r="H156" t="str">
            <v>LC-012:CAP VM BRWN WIP GLASTING PTI 20F</v>
          </cell>
          <cell r="I156">
            <v>53298</v>
          </cell>
          <cell r="J156" t="str">
            <v>UN</v>
          </cell>
          <cell r="K156">
            <v>45565</v>
          </cell>
        </row>
        <row r="157">
          <cell r="A157" t="str">
            <v>50714252720</v>
          </cell>
          <cell r="B157" t="str">
            <v>ZMTD</v>
          </cell>
          <cell r="C157">
            <v>45488</v>
          </cell>
          <cell r="D157" t="str">
            <v>Not delivered</v>
          </cell>
          <cell r="E157">
            <v>507142527</v>
          </cell>
          <cell r="F157">
            <v>20</v>
          </cell>
          <cell r="G157">
            <v>1382935</v>
          </cell>
          <cell r="H157" t="str">
            <v>LC-012:BTL VR2 PEACHPLS P/GLASTNG PTI60B</v>
          </cell>
          <cell r="I157">
            <v>53298</v>
          </cell>
          <cell r="J157" t="str">
            <v>UN</v>
          </cell>
          <cell r="K157">
            <v>45565</v>
          </cell>
        </row>
        <row r="158">
          <cell r="A158" t="str">
            <v>50714241730</v>
          </cell>
          <cell r="B158" t="str">
            <v>ZMTD</v>
          </cell>
          <cell r="C158">
            <v>45474</v>
          </cell>
          <cell r="D158" t="str">
            <v>Not delivered</v>
          </cell>
          <cell r="E158">
            <v>507142417</v>
          </cell>
          <cell r="F158">
            <v>30</v>
          </cell>
          <cell r="G158">
            <v>1405657</v>
          </cell>
          <cell r="H158" t="str">
            <v>CM-273:CV UV BS BRONZE P/PIXYSLKY RV130L</v>
          </cell>
          <cell r="I158">
            <v>10000</v>
          </cell>
          <cell r="J158" t="str">
            <v>UN</v>
          </cell>
          <cell r="K158">
            <v>45565</v>
          </cell>
        </row>
        <row r="159">
          <cell r="A159" t="str">
            <v>50714241510</v>
          </cell>
          <cell r="B159" t="str">
            <v>ZMTD</v>
          </cell>
          <cell r="C159">
            <v>45471</v>
          </cell>
          <cell r="D159" t="str">
            <v>Partially delivered</v>
          </cell>
          <cell r="E159">
            <v>507142415</v>
          </cell>
          <cell r="F159">
            <v>10</v>
          </cell>
          <cell r="G159">
            <v>1333579</v>
          </cell>
          <cell r="H159" t="str">
            <v>CM-306:COTY BURBERRY COMPACT NEW VM GLD</v>
          </cell>
          <cell r="I159">
            <v>30096</v>
          </cell>
          <cell r="J159" t="str">
            <v>UN</v>
          </cell>
          <cell r="K159">
            <v>45565</v>
          </cell>
        </row>
        <row r="160">
          <cell r="A160" t="str">
            <v>50714227010</v>
          </cell>
          <cell r="B160" t="str">
            <v>ZMTD</v>
          </cell>
          <cell r="C160">
            <v>45443</v>
          </cell>
          <cell r="D160" t="str">
            <v>Not delivered</v>
          </cell>
          <cell r="E160">
            <v>507142270</v>
          </cell>
          <cell r="F160">
            <v>10</v>
          </cell>
          <cell r="G160">
            <v>1187758</v>
          </cell>
          <cell r="H160" t="str">
            <v>CM-105:VM RAINBOW P/ULTIMA II RUDYS 40C</v>
          </cell>
          <cell r="I160">
            <v>5000</v>
          </cell>
          <cell r="J160" t="str">
            <v>UN</v>
          </cell>
          <cell r="K160">
            <v>45565</v>
          </cell>
        </row>
        <row r="161">
          <cell r="A161" t="str">
            <v>50714227020</v>
          </cell>
          <cell r="B161" t="str">
            <v>ZMTD</v>
          </cell>
          <cell r="C161">
            <v>45443</v>
          </cell>
          <cell r="D161" t="str">
            <v>Not delivered</v>
          </cell>
          <cell r="E161">
            <v>507142270</v>
          </cell>
          <cell r="F161">
            <v>20</v>
          </cell>
          <cell r="G161">
            <v>1187758</v>
          </cell>
          <cell r="H161" t="str">
            <v>CM-105:VM RAINBOW P/ULTIMA II RUDYS 40C</v>
          </cell>
          <cell r="I161">
            <v>15000</v>
          </cell>
          <cell r="J161" t="str">
            <v>UN</v>
          </cell>
          <cell r="K161">
            <v>45565</v>
          </cell>
        </row>
        <row r="162">
          <cell r="A162" t="str">
            <v>50714275650</v>
          </cell>
          <cell r="B162" t="str">
            <v>ZMTD</v>
          </cell>
          <cell r="C162">
            <v>45547</v>
          </cell>
          <cell r="D162" t="str">
            <v>Not delivered</v>
          </cell>
          <cell r="E162">
            <v>507142756</v>
          </cell>
          <cell r="F162">
            <v>50</v>
          </cell>
          <cell r="G162">
            <v>1411899</v>
          </cell>
          <cell r="H162" t="str">
            <v>PT-100:BS/INS GREEN P/WHT KAHF PTI 60B</v>
          </cell>
          <cell r="I162">
            <v>20224</v>
          </cell>
          <cell r="J162" t="str">
            <v>UN</v>
          </cell>
          <cell r="K162">
            <v>45566</v>
          </cell>
        </row>
        <row r="163">
          <cell r="A163" t="str">
            <v>50714275660</v>
          </cell>
          <cell r="B163" t="str">
            <v>ZMTD</v>
          </cell>
          <cell r="C163">
            <v>45547</v>
          </cell>
          <cell r="D163" t="str">
            <v>Not delivered</v>
          </cell>
          <cell r="E163">
            <v>507142756</v>
          </cell>
          <cell r="F163">
            <v>60</v>
          </cell>
          <cell r="G163">
            <v>1411898</v>
          </cell>
          <cell r="H163" t="str">
            <v>PT-100:CVR MT.GREEN EMBOS KAHF PTI 40D</v>
          </cell>
          <cell r="I163">
            <v>20224</v>
          </cell>
          <cell r="J163" t="str">
            <v>UN</v>
          </cell>
          <cell r="K163">
            <v>45566</v>
          </cell>
        </row>
        <row r="164">
          <cell r="A164" t="str">
            <v>50714272180</v>
          </cell>
          <cell r="B164" t="str">
            <v>ZMTD</v>
          </cell>
          <cell r="C164">
            <v>45539</v>
          </cell>
          <cell r="D164" t="str">
            <v>Partially delivered</v>
          </cell>
          <cell r="E164">
            <v>507142721</v>
          </cell>
          <cell r="F164">
            <v>80</v>
          </cell>
          <cell r="G164">
            <v>1437140</v>
          </cell>
          <cell r="H164" t="str">
            <v>CM-290:ENGINE CV RED, BS BLK OMG PTI 12A</v>
          </cell>
          <cell r="I164">
            <v>21840</v>
          </cell>
          <cell r="J164" t="str">
            <v>UN</v>
          </cell>
          <cell r="K164">
            <v>45566</v>
          </cell>
        </row>
        <row r="165">
          <cell r="A165" t="str">
            <v>50714269620</v>
          </cell>
          <cell r="B165" t="str">
            <v>ZMTD</v>
          </cell>
          <cell r="C165">
            <v>45533</v>
          </cell>
          <cell r="D165" t="str">
            <v>Not delivered</v>
          </cell>
          <cell r="E165">
            <v>507142696</v>
          </cell>
          <cell r="F165">
            <v>20</v>
          </cell>
          <cell r="G165">
            <v>1340516</v>
          </cell>
          <cell r="H165" t="str">
            <v>CM-133:CVR BS MTLC GRN UV DP S/WARDH 30T</v>
          </cell>
          <cell r="I165">
            <v>10080</v>
          </cell>
          <cell r="J165" t="str">
            <v>UN</v>
          </cell>
          <cell r="K165">
            <v>45566</v>
          </cell>
        </row>
        <row r="166">
          <cell r="A166" t="str">
            <v>50714250810</v>
          </cell>
          <cell r="B166" t="str">
            <v>ZMTD</v>
          </cell>
          <cell r="C166">
            <v>45488</v>
          </cell>
          <cell r="D166" t="str">
            <v>Not delivered</v>
          </cell>
          <cell r="E166">
            <v>507142508</v>
          </cell>
          <cell r="F166">
            <v>10</v>
          </cell>
          <cell r="G166">
            <v>1255663</v>
          </cell>
          <cell r="H166" t="str">
            <v>LC-002:BTL MT VAR13 P/WRDH B.MARK PTI40H</v>
          </cell>
          <cell r="I166">
            <v>25200</v>
          </cell>
          <cell r="J166" t="str">
            <v>UN</v>
          </cell>
          <cell r="K166">
            <v>45566</v>
          </cell>
        </row>
        <row r="167">
          <cell r="A167" t="str">
            <v>50714250820</v>
          </cell>
          <cell r="B167" t="str">
            <v>ZMTD</v>
          </cell>
          <cell r="C167">
            <v>45488</v>
          </cell>
          <cell r="D167" t="str">
            <v>Not delivered</v>
          </cell>
          <cell r="E167">
            <v>507142508</v>
          </cell>
          <cell r="F167">
            <v>20</v>
          </cell>
          <cell r="G167">
            <v>1173170</v>
          </cell>
          <cell r="H167" t="str">
            <v>LC-002:CP S/MT VAR13 STM-WHT WNAT PTI40D</v>
          </cell>
          <cell r="I167">
            <v>25200</v>
          </cell>
          <cell r="J167" t="str">
            <v>UN</v>
          </cell>
          <cell r="K167">
            <v>45566</v>
          </cell>
        </row>
        <row r="168">
          <cell r="A168" t="str">
            <v>50714248610</v>
          </cell>
          <cell r="B168" t="str">
            <v>ZMTD</v>
          </cell>
          <cell r="C168">
            <v>45484</v>
          </cell>
          <cell r="D168" t="str">
            <v>Not delivered</v>
          </cell>
          <cell r="E168">
            <v>507142486</v>
          </cell>
          <cell r="F168">
            <v>10</v>
          </cell>
          <cell r="G168">
            <v>1225724</v>
          </cell>
          <cell r="H168" t="str">
            <v>CL-003:BTL CLR COL BEIGE P/EMINA PTI 60B</v>
          </cell>
          <cell r="I168">
            <v>25641</v>
          </cell>
          <cell r="J168" t="str">
            <v>UN</v>
          </cell>
          <cell r="K168">
            <v>45566</v>
          </cell>
        </row>
        <row r="169">
          <cell r="A169" t="str">
            <v>50714248620</v>
          </cell>
          <cell r="B169" t="str">
            <v>ZMTD</v>
          </cell>
          <cell r="C169">
            <v>45484</v>
          </cell>
          <cell r="D169" t="str">
            <v>Not delivered</v>
          </cell>
          <cell r="E169">
            <v>507142486</v>
          </cell>
          <cell r="F169">
            <v>20</v>
          </cell>
          <cell r="G169">
            <v>1225723</v>
          </cell>
          <cell r="H169" t="str">
            <v>CL-003:CAP BEIGE P/EMINA WIP NAT PTI 60B</v>
          </cell>
          <cell r="I169">
            <v>25641</v>
          </cell>
          <cell r="J169" t="str">
            <v>UN</v>
          </cell>
          <cell r="K169">
            <v>45566</v>
          </cell>
        </row>
        <row r="170">
          <cell r="A170" t="str">
            <v>50714247030</v>
          </cell>
          <cell r="B170" t="str">
            <v>ZMTD</v>
          </cell>
          <cell r="C170">
            <v>45482</v>
          </cell>
          <cell r="D170" t="str">
            <v>Not delivered</v>
          </cell>
          <cell r="E170">
            <v>507142470</v>
          </cell>
          <cell r="F170">
            <v>30</v>
          </cell>
          <cell r="G170">
            <v>1390981</v>
          </cell>
          <cell r="H170" t="str">
            <v>LC-012:BTL VR5 GLAZBERY P/GLASTNG PTI60B</v>
          </cell>
          <cell r="I170">
            <v>24948</v>
          </cell>
          <cell r="J170" t="str">
            <v>UN</v>
          </cell>
          <cell r="K170">
            <v>45566</v>
          </cell>
        </row>
        <row r="171">
          <cell r="A171" t="str">
            <v>50714247040</v>
          </cell>
          <cell r="B171" t="str">
            <v>ZMTD</v>
          </cell>
          <cell r="C171">
            <v>45482</v>
          </cell>
          <cell r="D171" t="str">
            <v>Not delivered</v>
          </cell>
          <cell r="E171">
            <v>507142470</v>
          </cell>
          <cell r="F171">
            <v>40</v>
          </cell>
          <cell r="G171">
            <v>1385814</v>
          </cell>
          <cell r="H171" t="str">
            <v>LC-012:CAP VM BRWN WIP GLASTING PTI 20F</v>
          </cell>
          <cell r="I171">
            <v>24948</v>
          </cell>
          <cell r="J171" t="str">
            <v>UN</v>
          </cell>
          <cell r="K171">
            <v>45566</v>
          </cell>
        </row>
        <row r="172">
          <cell r="A172" t="str">
            <v>50714234510</v>
          </cell>
          <cell r="B172" t="str">
            <v>ZMTD</v>
          </cell>
          <cell r="C172">
            <v>45462</v>
          </cell>
          <cell r="D172" t="str">
            <v>Not delivered</v>
          </cell>
          <cell r="E172">
            <v>507142345</v>
          </cell>
          <cell r="F172">
            <v>10</v>
          </cell>
          <cell r="G172">
            <v>1418416</v>
          </cell>
          <cell r="H172" t="str">
            <v>FP-010:WHITE BASE S/LIST SILVR NATASHA</v>
          </cell>
          <cell r="I172">
            <v>10000</v>
          </cell>
          <cell r="J172" t="str">
            <v>UN</v>
          </cell>
          <cell r="K172">
            <v>45566</v>
          </cell>
        </row>
        <row r="173">
          <cell r="A173" t="str">
            <v>50714180710</v>
          </cell>
          <cell r="B173" t="str">
            <v>ZMTD</v>
          </cell>
          <cell r="C173">
            <v>45350</v>
          </cell>
          <cell r="D173" t="str">
            <v>Not delivered</v>
          </cell>
          <cell r="E173">
            <v>507141807</v>
          </cell>
          <cell r="F173">
            <v>10</v>
          </cell>
          <cell r="G173">
            <v>1404888</v>
          </cell>
          <cell r="H173" t="str">
            <v>LS-091:BS MGNTA P/SHEER COLOR ROHTO 60B</v>
          </cell>
          <cell r="I173">
            <v>27664</v>
          </cell>
          <cell r="J173" t="str">
            <v>UN</v>
          </cell>
          <cell r="K173">
            <v>45566</v>
          </cell>
        </row>
        <row r="174">
          <cell r="A174" t="str">
            <v>50714180720</v>
          </cell>
          <cell r="B174" t="str">
            <v>ZMTD</v>
          </cell>
          <cell r="C174">
            <v>45350</v>
          </cell>
          <cell r="D174" t="str">
            <v>Not delivered</v>
          </cell>
          <cell r="E174">
            <v>507141807</v>
          </cell>
          <cell r="F174">
            <v>20</v>
          </cell>
          <cell r="G174">
            <v>1407563</v>
          </cell>
          <cell r="H174" t="str">
            <v>LS-091:CVR MGNTA GRAD UV P/STRWBRY ROHTO</v>
          </cell>
          <cell r="I174">
            <v>27664</v>
          </cell>
          <cell r="J174" t="str">
            <v>UN</v>
          </cell>
          <cell r="K174">
            <v>45566</v>
          </cell>
        </row>
        <row r="175">
          <cell r="A175" t="str">
            <v>50800529010</v>
          </cell>
          <cell r="B175" t="str">
            <v>ZMFD</v>
          </cell>
          <cell r="C175">
            <v>45559</v>
          </cell>
          <cell r="D175" t="str">
            <v>Not delivered</v>
          </cell>
          <cell r="E175">
            <v>508005290</v>
          </cell>
          <cell r="F175">
            <v>10</v>
          </cell>
          <cell r="G175">
            <v>1392670</v>
          </cell>
          <cell r="H175" t="str">
            <v>LC-011:CAP BLK NO DC WIPNAT NATURA 12A</v>
          </cell>
          <cell r="I175">
            <v>372</v>
          </cell>
          <cell r="J175" t="str">
            <v>UN</v>
          </cell>
          <cell r="K175">
            <v>45566</v>
          </cell>
        </row>
        <row r="176">
          <cell r="A176" t="str">
            <v>50800529020</v>
          </cell>
          <cell r="B176" t="str">
            <v>ZMFD</v>
          </cell>
          <cell r="C176">
            <v>45559</v>
          </cell>
          <cell r="D176" t="str">
            <v>Not delivered</v>
          </cell>
          <cell r="E176">
            <v>508005290</v>
          </cell>
          <cell r="F176">
            <v>20</v>
          </cell>
          <cell r="G176">
            <v>1392671</v>
          </cell>
          <cell r="H176" t="str">
            <v>LC-011:BTL CLR COL BLK S/SLV NATURA 50C</v>
          </cell>
          <cell r="I176">
            <v>372</v>
          </cell>
          <cell r="J176" t="str">
            <v>UN</v>
          </cell>
          <cell r="K176">
            <v>45566</v>
          </cell>
        </row>
        <row r="177">
          <cell r="A177" t="str">
            <v>50714275630</v>
          </cell>
          <cell r="B177" t="str">
            <v>ZMTD</v>
          </cell>
          <cell r="C177">
            <v>45547</v>
          </cell>
          <cell r="D177" t="str">
            <v>Partially delivered</v>
          </cell>
          <cell r="E177">
            <v>507142756</v>
          </cell>
          <cell r="F177">
            <v>30</v>
          </cell>
          <cell r="G177">
            <v>1411899</v>
          </cell>
          <cell r="H177" t="str">
            <v>PT-100:BS/INS GREEN P/WHT KAHF PTI 60B</v>
          </cell>
          <cell r="I177">
            <v>60160</v>
          </cell>
          <cell r="J177" t="str">
            <v>UN</v>
          </cell>
          <cell r="K177">
            <v>45566</v>
          </cell>
        </row>
        <row r="178">
          <cell r="A178" t="str">
            <v>50714275640</v>
          </cell>
          <cell r="B178" t="str">
            <v>ZMTD</v>
          </cell>
          <cell r="C178">
            <v>45547</v>
          </cell>
          <cell r="D178" t="str">
            <v>Partially delivered</v>
          </cell>
          <cell r="E178">
            <v>507142756</v>
          </cell>
          <cell r="F178">
            <v>40</v>
          </cell>
          <cell r="G178">
            <v>1411898</v>
          </cell>
          <cell r="H178" t="str">
            <v>PT-100:CVR MT.GREEN EMBOS KAHF PTI 40D</v>
          </cell>
          <cell r="I178">
            <v>60160</v>
          </cell>
          <cell r="J178" t="str">
            <v>UN</v>
          </cell>
          <cell r="K178">
            <v>45566</v>
          </cell>
        </row>
        <row r="179">
          <cell r="A179" t="str">
            <v>50714269120</v>
          </cell>
          <cell r="B179" t="str">
            <v>ZMTD</v>
          </cell>
          <cell r="C179">
            <v>45532</v>
          </cell>
          <cell r="D179" t="str">
            <v>Partially delivered</v>
          </cell>
          <cell r="E179">
            <v>507142691</v>
          </cell>
          <cell r="F179">
            <v>20</v>
          </cell>
          <cell r="G179">
            <v>1421510</v>
          </cell>
          <cell r="H179" t="str">
            <v>LS-285:CV PINK P/WHT UV P.BLOSOM PTI 30O</v>
          </cell>
          <cell r="I179">
            <v>50008</v>
          </cell>
          <cell r="J179" t="str">
            <v>UN</v>
          </cell>
          <cell r="K179">
            <v>45566</v>
          </cell>
        </row>
        <row r="180">
          <cell r="A180" t="str">
            <v>50714269210</v>
          </cell>
          <cell r="B180" t="str">
            <v>ZMTD</v>
          </cell>
          <cell r="C180">
            <v>45532</v>
          </cell>
          <cell r="D180" t="str">
            <v>Partially delivered</v>
          </cell>
          <cell r="E180">
            <v>507142692</v>
          </cell>
          <cell r="F180">
            <v>10</v>
          </cell>
          <cell r="G180">
            <v>1367372</v>
          </cell>
          <cell r="H180" t="str">
            <v>PT-097:BODY GREN HOUSE WHT TRANS PTI 12A</v>
          </cell>
          <cell r="I180">
            <v>110160</v>
          </cell>
          <cell r="J180" t="str">
            <v>UN</v>
          </cell>
          <cell r="K180">
            <v>45566</v>
          </cell>
        </row>
        <row r="181">
          <cell r="A181" t="str">
            <v>50714268010</v>
          </cell>
          <cell r="B181" t="str">
            <v>ZMTD</v>
          </cell>
          <cell r="C181">
            <v>45530</v>
          </cell>
          <cell r="D181" t="str">
            <v>Partially delivered</v>
          </cell>
          <cell r="E181">
            <v>507142680</v>
          </cell>
          <cell r="F181">
            <v>10</v>
          </cell>
          <cell r="G181">
            <v>1209411</v>
          </cell>
          <cell r="H181" t="str">
            <v>FP-014:CV BLK SLV/QUEEN BS M.CLR VTPR</v>
          </cell>
          <cell r="I181">
            <v>25056</v>
          </cell>
          <cell r="J181" t="str">
            <v>UN</v>
          </cell>
          <cell r="K181">
            <v>45566</v>
          </cell>
        </row>
        <row r="182">
          <cell r="A182" t="str">
            <v>50714268020</v>
          </cell>
          <cell r="B182" t="str">
            <v>ZMTD</v>
          </cell>
          <cell r="C182">
            <v>45530</v>
          </cell>
          <cell r="D182" t="str">
            <v>Partially delivered</v>
          </cell>
          <cell r="E182">
            <v>507142680</v>
          </cell>
          <cell r="F182">
            <v>20</v>
          </cell>
          <cell r="G182">
            <v>1209412</v>
          </cell>
          <cell r="H182" t="str">
            <v>FP-014:SFTR W/ WHITE LABEL VTPHARM</v>
          </cell>
          <cell r="I182">
            <v>25056</v>
          </cell>
          <cell r="J182" t="str">
            <v>UN</v>
          </cell>
          <cell r="K182">
            <v>45566</v>
          </cell>
        </row>
        <row r="183">
          <cell r="A183" t="str">
            <v>50714263730</v>
          </cell>
          <cell r="B183" t="str">
            <v>ZMTD</v>
          </cell>
          <cell r="C183">
            <v>45519</v>
          </cell>
          <cell r="D183" t="str">
            <v>Partially delivered</v>
          </cell>
          <cell r="E183">
            <v>507142637</v>
          </cell>
          <cell r="F183">
            <v>30</v>
          </cell>
          <cell r="G183">
            <v>1408740</v>
          </cell>
          <cell r="H183" t="str">
            <v>PT-097B:BDSR.2 BLU HOUS WHT TRNS PTI12A</v>
          </cell>
          <cell r="I183">
            <v>110160</v>
          </cell>
          <cell r="J183" t="str">
            <v>UN</v>
          </cell>
          <cell r="K183">
            <v>45566</v>
          </cell>
        </row>
        <row r="184">
          <cell r="A184" t="str">
            <v>50714263610</v>
          </cell>
          <cell r="B184" t="str">
            <v>ZMTD</v>
          </cell>
          <cell r="C184">
            <v>45518</v>
          </cell>
          <cell r="D184" t="str">
            <v>Partially delivered</v>
          </cell>
          <cell r="E184">
            <v>507142636</v>
          </cell>
          <cell r="F184">
            <v>10</v>
          </cell>
          <cell r="G184">
            <v>1437046</v>
          </cell>
          <cell r="H184" t="str">
            <v>PT-085:BS MTGRN CV BRWNPLZ P/HNI HRBA40H</v>
          </cell>
          <cell r="I184">
            <v>50000</v>
          </cell>
          <cell r="J184" t="str">
            <v>UN</v>
          </cell>
          <cell r="K184">
            <v>45566</v>
          </cell>
        </row>
        <row r="185">
          <cell r="A185" t="str">
            <v>50714259350</v>
          </cell>
          <cell r="B185" t="str">
            <v>ZMTD</v>
          </cell>
          <cell r="C185">
            <v>45505</v>
          </cell>
          <cell r="D185" t="str">
            <v>Partially delivered</v>
          </cell>
          <cell r="E185">
            <v>507142593</v>
          </cell>
          <cell r="F185">
            <v>50</v>
          </cell>
          <cell r="G185">
            <v>1392670</v>
          </cell>
          <cell r="H185" t="str">
            <v>LC-011:CAP BLK NO DC WIPNAT NATURA 12A</v>
          </cell>
          <cell r="I185">
            <v>119820</v>
          </cell>
          <cell r="J185" t="str">
            <v>UN</v>
          </cell>
          <cell r="K185">
            <v>45566</v>
          </cell>
        </row>
        <row r="186">
          <cell r="A186" t="str">
            <v>50714259360</v>
          </cell>
          <cell r="B186" t="str">
            <v>ZMTD</v>
          </cell>
          <cell r="C186">
            <v>45505</v>
          </cell>
          <cell r="D186" t="str">
            <v>Partially delivered</v>
          </cell>
          <cell r="E186">
            <v>507142593</v>
          </cell>
          <cell r="F186">
            <v>60</v>
          </cell>
          <cell r="G186">
            <v>1392671</v>
          </cell>
          <cell r="H186" t="str">
            <v>LC-011:BTL CLR COL BLK S/SLV NATURA 50C</v>
          </cell>
          <cell r="I186">
            <v>119820</v>
          </cell>
          <cell r="J186" t="str">
            <v>UN</v>
          </cell>
          <cell r="K186">
            <v>45566</v>
          </cell>
        </row>
        <row r="187">
          <cell r="A187" t="str">
            <v>50714251220</v>
          </cell>
          <cell r="B187" t="str">
            <v>ZMTD</v>
          </cell>
          <cell r="C187">
            <v>45488</v>
          </cell>
          <cell r="D187" t="str">
            <v>Partially delivered</v>
          </cell>
          <cell r="E187">
            <v>507142512</v>
          </cell>
          <cell r="F187">
            <v>20</v>
          </cell>
          <cell r="G187">
            <v>1340516</v>
          </cell>
          <cell r="H187" t="str">
            <v>CM-133:CVR BS MTLC GRN UV DP S/WARDH 30T</v>
          </cell>
          <cell r="I187">
            <v>10080</v>
          </cell>
          <cell r="J187" t="str">
            <v>UN</v>
          </cell>
          <cell r="K187">
            <v>45566</v>
          </cell>
        </row>
        <row r="188">
          <cell r="A188" t="str">
            <v>50714250390</v>
          </cell>
          <cell r="B188" t="str">
            <v>ZMTD</v>
          </cell>
          <cell r="C188">
            <v>45485</v>
          </cell>
          <cell r="D188" t="str">
            <v>Partially delivered</v>
          </cell>
          <cell r="E188">
            <v>507142503</v>
          </cell>
          <cell r="F188">
            <v>90</v>
          </cell>
          <cell r="G188">
            <v>1425335</v>
          </cell>
          <cell r="H188" t="str">
            <v>LC-003:BTL MT ROSINLOVE P/PXMOU CSMAX40H</v>
          </cell>
          <cell r="I188">
            <v>24670</v>
          </cell>
          <cell r="J188" t="str">
            <v>UN</v>
          </cell>
          <cell r="K188">
            <v>45566</v>
          </cell>
        </row>
        <row r="189">
          <cell r="A189" t="str">
            <v>507142503100</v>
          </cell>
          <cell r="B189" t="str">
            <v>ZMTD</v>
          </cell>
          <cell r="C189">
            <v>45485</v>
          </cell>
          <cell r="D189" t="str">
            <v>Partially delivered</v>
          </cell>
          <cell r="E189">
            <v>507142503</v>
          </cell>
          <cell r="F189">
            <v>100</v>
          </cell>
          <cell r="G189">
            <v>1425336</v>
          </cell>
          <cell r="H189" t="str">
            <v>LC-003:CAP MT ROSINLOVE PX MOU CSMAX 40D</v>
          </cell>
          <cell r="I189">
            <v>24859</v>
          </cell>
          <cell r="J189" t="str">
            <v>UN</v>
          </cell>
          <cell r="K189">
            <v>45566</v>
          </cell>
        </row>
        <row r="190">
          <cell r="A190" t="str">
            <v>507142503110</v>
          </cell>
          <cell r="B190" t="str">
            <v>ZMTD</v>
          </cell>
          <cell r="C190">
            <v>45485</v>
          </cell>
          <cell r="D190" t="str">
            <v>Partially delivered</v>
          </cell>
          <cell r="E190">
            <v>507142503</v>
          </cell>
          <cell r="F190">
            <v>110</v>
          </cell>
          <cell r="G190">
            <v>1425082</v>
          </cell>
          <cell r="H190" t="str">
            <v>LC-003:BTL MTCHILINTRCTA P/PXMOU CSMX40H</v>
          </cell>
          <cell r="I190">
            <v>24670</v>
          </cell>
          <cell r="J190" t="str">
            <v>UN</v>
          </cell>
          <cell r="K190">
            <v>45566</v>
          </cell>
        </row>
        <row r="191">
          <cell r="A191" t="str">
            <v>507142503120</v>
          </cell>
          <cell r="B191" t="str">
            <v>ZMTD</v>
          </cell>
          <cell r="C191">
            <v>45485</v>
          </cell>
          <cell r="D191" t="str">
            <v>Partially delivered</v>
          </cell>
          <cell r="E191">
            <v>507142503</v>
          </cell>
          <cell r="F191">
            <v>120</v>
          </cell>
          <cell r="G191">
            <v>1425083</v>
          </cell>
          <cell r="H191" t="str">
            <v>LC-003:CAP MT CHILINTRCTA PXMOU CSMX 40D</v>
          </cell>
          <cell r="I191">
            <v>24859</v>
          </cell>
          <cell r="J191" t="str">
            <v>UN</v>
          </cell>
          <cell r="K191">
            <v>45566</v>
          </cell>
        </row>
        <row r="192">
          <cell r="A192" t="str">
            <v>50714232810</v>
          </cell>
          <cell r="B192" t="str">
            <v>ZMTD</v>
          </cell>
          <cell r="C192">
            <v>45457</v>
          </cell>
          <cell r="D192" t="str">
            <v>Partially delivered</v>
          </cell>
          <cell r="E192">
            <v>507142328</v>
          </cell>
          <cell r="F192">
            <v>10</v>
          </cell>
          <cell r="G192">
            <v>1212608</v>
          </cell>
          <cell r="H192" t="str">
            <v>FP-014:CVR BLUE S/LOGO INEZ GOLD KSI 50C</v>
          </cell>
          <cell r="I192">
            <v>25000</v>
          </cell>
          <cell r="J192" t="str">
            <v>UN</v>
          </cell>
          <cell r="K192">
            <v>45566</v>
          </cell>
        </row>
        <row r="193">
          <cell r="A193" t="str">
            <v>50714232820</v>
          </cell>
          <cell r="B193" t="str">
            <v>ZMTD</v>
          </cell>
          <cell r="C193">
            <v>45457</v>
          </cell>
          <cell r="D193" t="str">
            <v>Partially delivered</v>
          </cell>
          <cell r="E193">
            <v>507142328</v>
          </cell>
          <cell r="F193">
            <v>20</v>
          </cell>
          <cell r="G193">
            <v>1212609</v>
          </cell>
          <cell r="H193" t="str">
            <v>FP-014:SFTR NAT STICKER TRANS KSI 12A</v>
          </cell>
          <cell r="I193">
            <v>25000</v>
          </cell>
          <cell r="J193" t="str">
            <v>UN</v>
          </cell>
          <cell r="K193">
            <v>45566</v>
          </cell>
        </row>
        <row r="194">
          <cell r="A194" t="str">
            <v>50714232830</v>
          </cell>
          <cell r="B194" t="str">
            <v>ZMTD</v>
          </cell>
          <cell r="C194">
            <v>45457</v>
          </cell>
          <cell r="D194" t="str">
            <v>Partially delivered</v>
          </cell>
          <cell r="E194">
            <v>507142328</v>
          </cell>
          <cell r="F194">
            <v>30</v>
          </cell>
          <cell r="G194">
            <v>1212640</v>
          </cell>
          <cell r="H194" t="str">
            <v>FP-014:BS CLR SPRYGRDS S/INEZ GLD 40C</v>
          </cell>
          <cell r="I194">
            <v>25000</v>
          </cell>
          <cell r="J194" t="str">
            <v>UN</v>
          </cell>
          <cell r="K194">
            <v>45566</v>
          </cell>
        </row>
        <row r="195">
          <cell r="A195" t="str">
            <v>50714226710</v>
          </cell>
          <cell r="B195" t="str">
            <v>ZMTD</v>
          </cell>
          <cell r="C195">
            <v>45443</v>
          </cell>
          <cell r="D195" t="str">
            <v>Partially delivered</v>
          </cell>
          <cell r="E195">
            <v>507142267</v>
          </cell>
          <cell r="F195">
            <v>10</v>
          </cell>
          <cell r="G195">
            <v>1187961</v>
          </cell>
          <cell r="H195" t="str">
            <v>FP-029:CVR VMRAINBOW P/ULTM II RUDYS 40C</v>
          </cell>
          <cell r="I195">
            <v>25000</v>
          </cell>
          <cell r="J195" t="str">
            <v>UN</v>
          </cell>
          <cell r="K195">
            <v>45566</v>
          </cell>
        </row>
        <row r="196">
          <cell r="A196" t="str">
            <v>50714226720</v>
          </cell>
          <cell r="B196" t="str">
            <v>ZMTD</v>
          </cell>
          <cell r="C196">
            <v>45443</v>
          </cell>
          <cell r="D196" t="str">
            <v>Partially delivered</v>
          </cell>
          <cell r="E196">
            <v>507142267</v>
          </cell>
          <cell r="F196">
            <v>20</v>
          </cell>
          <cell r="G196">
            <v>1176240</v>
          </cell>
          <cell r="H196" t="str">
            <v>FP-029:BASE CLEAR NO DC ULTIMA II RUDY S</v>
          </cell>
          <cell r="I196">
            <v>25000</v>
          </cell>
          <cell r="J196" t="str">
            <v>UN</v>
          </cell>
          <cell r="K196">
            <v>45566</v>
          </cell>
        </row>
        <row r="197">
          <cell r="A197" t="str">
            <v>50714226730</v>
          </cell>
          <cell r="B197" t="str">
            <v>ZMTD</v>
          </cell>
          <cell r="C197">
            <v>45443</v>
          </cell>
          <cell r="D197" t="str">
            <v>Partially delivered</v>
          </cell>
          <cell r="E197">
            <v>507142267</v>
          </cell>
          <cell r="F197">
            <v>30</v>
          </cell>
          <cell r="G197">
            <v>1173507</v>
          </cell>
          <cell r="H197" t="str">
            <v>FP-029:SIFTER NT W/LBL NO DECO ULTIMA II</v>
          </cell>
          <cell r="I197">
            <v>25000</v>
          </cell>
          <cell r="J197" t="str">
            <v>UN</v>
          </cell>
          <cell r="K197">
            <v>45566</v>
          </cell>
        </row>
        <row r="198">
          <cell r="A198" t="str">
            <v>50714275710</v>
          </cell>
          <cell r="B198" t="str">
            <v>ZMTD</v>
          </cell>
          <cell r="C198">
            <v>45547</v>
          </cell>
          <cell r="D198" t="str">
            <v>Not delivered</v>
          </cell>
          <cell r="E198">
            <v>507142757</v>
          </cell>
          <cell r="F198">
            <v>10</v>
          </cell>
          <cell r="G198">
            <v>1411701</v>
          </cell>
          <cell r="H198" t="str">
            <v>PT-100:BS/INS BLUE P/WHT KAHF PTI 60B</v>
          </cell>
          <cell r="I198">
            <v>70144</v>
          </cell>
          <cell r="J198" t="str">
            <v>UN</v>
          </cell>
          <cell r="K198">
            <v>45567</v>
          </cell>
        </row>
        <row r="199">
          <cell r="A199" t="str">
            <v>50714275720</v>
          </cell>
          <cell r="B199" t="str">
            <v>ZMTD</v>
          </cell>
          <cell r="C199">
            <v>45547</v>
          </cell>
          <cell r="D199" t="str">
            <v>Not delivered</v>
          </cell>
          <cell r="E199">
            <v>507142757</v>
          </cell>
          <cell r="F199">
            <v>20</v>
          </cell>
          <cell r="G199">
            <v>1411700</v>
          </cell>
          <cell r="H199" t="str">
            <v>PT-100:CVR MT.BLUE EMBOS KAHF PTI 40D</v>
          </cell>
          <cell r="I199">
            <v>70144</v>
          </cell>
          <cell r="J199" t="str">
            <v>UN</v>
          </cell>
          <cell r="K199">
            <v>45567</v>
          </cell>
        </row>
        <row r="200">
          <cell r="A200" t="str">
            <v>50714273710</v>
          </cell>
          <cell r="B200" t="str">
            <v>ZMTD</v>
          </cell>
          <cell r="C200">
            <v>45544</v>
          </cell>
          <cell r="D200" t="str">
            <v>Not delivered</v>
          </cell>
          <cell r="E200">
            <v>507142737</v>
          </cell>
          <cell r="F200">
            <v>10</v>
          </cell>
          <cell r="G200">
            <v>1264031</v>
          </cell>
          <cell r="H200" t="str">
            <v>LC-002:CP S/MT VAR9 STM-WHT WNAT PTI40D</v>
          </cell>
          <cell r="I200">
            <v>25200</v>
          </cell>
          <cell r="J200" t="str">
            <v>UN</v>
          </cell>
          <cell r="K200">
            <v>45567</v>
          </cell>
        </row>
        <row r="201">
          <cell r="A201" t="str">
            <v>50714273720</v>
          </cell>
          <cell r="B201" t="str">
            <v>ZMTD</v>
          </cell>
          <cell r="C201">
            <v>45544</v>
          </cell>
          <cell r="D201" t="str">
            <v>Not delivered</v>
          </cell>
          <cell r="E201">
            <v>507142737</v>
          </cell>
          <cell r="F201">
            <v>20</v>
          </cell>
          <cell r="G201">
            <v>1255659</v>
          </cell>
          <cell r="H201" t="str">
            <v>LC-002:BTL MT VAR9 P/WRDH B.MARK PTI40H</v>
          </cell>
          <cell r="I201">
            <v>25200</v>
          </cell>
          <cell r="J201" t="str">
            <v>UN</v>
          </cell>
          <cell r="K201">
            <v>45567</v>
          </cell>
        </row>
        <row r="202">
          <cell r="A202" t="str">
            <v>50714273810</v>
          </cell>
          <cell r="B202" t="str">
            <v>ZMTD</v>
          </cell>
          <cell r="C202">
            <v>45544</v>
          </cell>
          <cell r="D202" t="str">
            <v>Not delivered</v>
          </cell>
          <cell r="E202">
            <v>507142738</v>
          </cell>
          <cell r="F202">
            <v>10</v>
          </cell>
          <cell r="G202">
            <v>1361170</v>
          </cell>
          <cell r="H202" t="str">
            <v>PT-097:BODY BLACK HOUSE WHT TRANS PTI12A</v>
          </cell>
          <cell r="I202">
            <v>110160</v>
          </cell>
          <cell r="J202" t="str">
            <v>UN</v>
          </cell>
          <cell r="K202">
            <v>45567</v>
          </cell>
        </row>
        <row r="203">
          <cell r="A203" t="str">
            <v>50714273820</v>
          </cell>
          <cell r="B203" t="str">
            <v>ZMTD</v>
          </cell>
          <cell r="C203">
            <v>45544</v>
          </cell>
          <cell r="D203" t="str">
            <v>Not delivered</v>
          </cell>
          <cell r="E203">
            <v>507142738</v>
          </cell>
          <cell r="F203">
            <v>20</v>
          </cell>
          <cell r="G203">
            <v>1361175</v>
          </cell>
          <cell r="H203" t="str">
            <v>PT-097:CAP BLACK TRANS PTI 12A</v>
          </cell>
          <cell r="I203">
            <v>110160</v>
          </cell>
          <cell r="J203" t="str">
            <v>UN</v>
          </cell>
          <cell r="K203">
            <v>45567</v>
          </cell>
        </row>
        <row r="204">
          <cell r="A204" t="str">
            <v>50714272610</v>
          </cell>
          <cell r="B204" t="str">
            <v>ZMTD</v>
          </cell>
          <cell r="C204">
            <v>45541</v>
          </cell>
          <cell r="D204" t="str">
            <v>Not delivered</v>
          </cell>
          <cell r="E204">
            <v>507142726</v>
          </cell>
          <cell r="F204">
            <v>10</v>
          </cell>
          <cell r="G204">
            <v>1412602</v>
          </cell>
          <cell r="H204" t="str">
            <v>CM-105:CVR/BS MTBLK S/PWRSTAY RV1 PTI30C</v>
          </cell>
          <cell r="I204">
            <v>10080</v>
          </cell>
          <cell r="J204" t="str">
            <v>UN</v>
          </cell>
          <cell r="K204">
            <v>45567</v>
          </cell>
        </row>
        <row r="205">
          <cell r="A205" t="str">
            <v>50714270610</v>
          </cell>
          <cell r="B205" t="str">
            <v>ZMTD</v>
          </cell>
          <cell r="C205">
            <v>45534</v>
          </cell>
          <cell r="D205" t="str">
            <v>Not delivered</v>
          </cell>
          <cell r="E205">
            <v>507142706</v>
          </cell>
          <cell r="F205">
            <v>10</v>
          </cell>
          <cell r="G205">
            <v>1207621</v>
          </cell>
          <cell r="H205" t="str">
            <v>CP-090:CAP DELCATE MTPINK NOEMBOS PTI40D</v>
          </cell>
          <cell r="I205">
            <v>10044</v>
          </cell>
          <cell r="J205" t="str">
            <v>UN</v>
          </cell>
          <cell r="K205">
            <v>45567</v>
          </cell>
        </row>
        <row r="206">
          <cell r="A206" t="str">
            <v>50714269830</v>
          </cell>
          <cell r="B206" t="str">
            <v>ZMTD</v>
          </cell>
          <cell r="C206">
            <v>45533</v>
          </cell>
          <cell r="D206" t="str">
            <v>Not delivered</v>
          </cell>
          <cell r="E206">
            <v>507142698</v>
          </cell>
          <cell r="F206">
            <v>30</v>
          </cell>
          <cell r="G206">
            <v>1408740</v>
          </cell>
          <cell r="H206" t="str">
            <v>PT-097B:BDSR.2 BLU HOUS WHT TRNS PTI12A</v>
          </cell>
          <cell r="I206">
            <v>109890</v>
          </cell>
          <cell r="J206" t="str">
            <v>UN</v>
          </cell>
          <cell r="K206">
            <v>45567</v>
          </cell>
        </row>
        <row r="207">
          <cell r="A207" t="str">
            <v>50714269840</v>
          </cell>
          <cell r="B207" t="str">
            <v>ZMTD</v>
          </cell>
          <cell r="C207">
            <v>45533</v>
          </cell>
          <cell r="D207" t="str">
            <v>Not delivered</v>
          </cell>
          <cell r="E207">
            <v>507142698</v>
          </cell>
          <cell r="F207">
            <v>40</v>
          </cell>
          <cell r="G207">
            <v>1408739</v>
          </cell>
          <cell r="H207" t="str">
            <v>PT-097B:CAP SR.2 BLUE TRANS PTI 12A</v>
          </cell>
          <cell r="I207">
            <v>109890</v>
          </cell>
          <cell r="J207" t="str">
            <v>UN</v>
          </cell>
          <cell r="K207">
            <v>45567</v>
          </cell>
        </row>
        <row r="208">
          <cell r="A208" t="str">
            <v>50714268720</v>
          </cell>
          <cell r="B208" t="str">
            <v>ZMTD</v>
          </cell>
          <cell r="C208">
            <v>45532</v>
          </cell>
          <cell r="D208" t="str">
            <v>Partially delivered</v>
          </cell>
          <cell r="E208">
            <v>507142687</v>
          </cell>
          <cell r="F208">
            <v>20</v>
          </cell>
          <cell r="G208">
            <v>1411213</v>
          </cell>
          <cell r="H208" t="str">
            <v>CM-105:BLCK COAT P/MAKE OVER PTI RV1 40H</v>
          </cell>
          <cell r="I208">
            <v>20160</v>
          </cell>
          <cell r="J208" t="str">
            <v>UN</v>
          </cell>
          <cell r="K208">
            <v>45567</v>
          </cell>
        </row>
        <row r="209">
          <cell r="A209" t="str">
            <v>50714268810</v>
          </cell>
          <cell r="B209" t="str">
            <v>ZMTD</v>
          </cell>
          <cell r="C209">
            <v>45532</v>
          </cell>
          <cell r="D209" t="str">
            <v>Not delivered</v>
          </cell>
          <cell r="E209">
            <v>507142688</v>
          </cell>
          <cell r="F209">
            <v>10</v>
          </cell>
          <cell r="G209">
            <v>1430094</v>
          </cell>
          <cell r="H209" t="str">
            <v>LS-285:BS BLUE NO DC WARDAH PTI 12A</v>
          </cell>
          <cell r="I209">
            <v>120232</v>
          </cell>
          <cell r="J209" t="str">
            <v>UN</v>
          </cell>
          <cell r="K209">
            <v>45567</v>
          </cell>
        </row>
        <row r="210">
          <cell r="A210" t="str">
            <v>50714268820</v>
          </cell>
          <cell r="B210" t="str">
            <v>ZMTD</v>
          </cell>
          <cell r="C210">
            <v>45532</v>
          </cell>
          <cell r="D210" t="str">
            <v>Not delivered</v>
          </cell>
          <cell r="E210">
            <v>507142688</v>
          </cell>
          <cell r="F210">
            <v>20</v>
          </cell>
          <cell r="G210">
            <v>1430093</v>
          </cell>
          <cell r="H210" t="str">
            <v>LS-285:CV MT.TR BLUE P/SHERCLEAR PTI 40H</v>
          </cell>
          <cell r="I210">
            <v>120232</v>
          </cell>
          <cell r="J210" t="str">
            <v>UN</v>
          </cell>
          <cell r="K210">
            <v>45567</v>
          </cell>
        </row>
        <row r="211">
          <cell r="A211" t="str">
            <v>50714269230</v>
          </cell>
          <cell r="B211" t="str">
            <v>ZMTD</v>
          </cell>
          <cell r="C211">
            <v>45532</v>
          </cell>
          <cell r="D211" t="str">
            <v>Not delivered</v>
          </cell>
          <cell r="E211">
            <v>507142692</v>
          </cell>
          <cell r="F211">
            <v>30</v>
          </cell>
          <cell r="G211">
            <v>1367372</v>
          </cell>
          <cell r="H211" t="str">
            <v>PT-097:BODY GREN HOUSE WHT TRANS PTI 12A</v>
          </cell>
          <cell r="I211">
            <v>99900</v>
          </cell>
          <cell r="J211" t="str">
            <v>UN</v>
          </cell>
          <cell r="K211">
            <v>45567</v>
          </cell>
        </row>
        <row r="212">
          <cell r="A212" t="str">
            <v>50714269240</v>
          </cell>
          <cell r="B212" t="str">
            <v>ZMTD</v>
          </cell>
          <cell r="C212">
            <v>45532</v>
          </cell>
          <cell r="D212" t="str">
            <v>Not delivered</v>
          </cell>
          <cell r="E212">
            <v>507142692</v>
          </cell>
          <cell r="F212">
            <v>40</v>
          </cell>
          <cell r="G212">
            <v>1367370</v>
          </cell>
          <cell r="H212" t="str">
            <v>PT-097:CAP GREN TRANS PTI 12A</v>
          </cell>
          <cell r="I212">
            <v>99900</v>
          </cell>
          <cell r="J212" t="str">
            <v>UN</v>
          </cell>
          <cell r="K212">
            <v>45567</v>
          </cell>
        </row>
        <row r="213">
          <cell r="A213" t="str">
            <v>50714269330</v>
          </cell>
          <cell r="B213" t="str">
            <v>ZMTD</v>
          </cell>
          <cell r="C213">
            <v>45532</v>
          </cell>
          <cell r="D213" t="str">
            <v>Not delivered</v>
          </cell>
          <cell r="E213">
            <v>507142693</v>
          </cell>
          <cell r="F213">
            <v>30</v>
          </cell>
          <cell r="G213">
            <v>1375595</v>
          </cell>
          <cell r="H213" t="str">
            <v>LC-009:BTL/INNER CLEAR P/OMG PTIPT 60B</v>
          </cell>
          <cell r="I213">
            <v>150570</v>
          </cell>
          <cell r="J213" t="str">
            <v>UN</v>
          </cell>
          <cell r="K213">
            <v>45567</v>
          </cell>
        </row>
        <row r="214">
          <cell r="A214" t="str">
            <v>50714269340</v>
          </cell>
          <cell r="B214" t="str">
            <v>ZMTD</v>
          </cell>
          <cell r="C214">
            <v>45532</v>
          </cell>
          <cell r="D214" t="str">
            <v>Not delivered</v>
          </cell>
          <cell r="E214">
            <v>507142693</v>
          </cell>
          <cell r="F214">
            <v>40</v>
          </cell>
          <cell r="G214">
            <v>1375593</v>
          </cell>
          <cell r="H214" t="str">
            <v>LC-009:CAP REDTRANS WIP S/OMG PTIPT 60B</v>
          </cell>
          <cell r="I214">
            <v>150570</v>
          </cell>
          <cell r="J214" t="str">
            <v>UN</v>
          </cell>
          <cell r="K214">
            <v>45567</v>
          </cell>
        </row>
        <row r="215">
          <cell r="A215" t="str">
            <v>50714265120</v>
          </cell>
          <cell r="B215" t="str">
            <v>ZMTD</v>
          </cell>
          <cell r="C215">
            <v>45523</v>
          </cell>
          <cell r="D215" t="str">
            <v>Partially delivered</v>
          </cell>
          <cell r="E215">
            <v>507142651</v>
          </cell>
          <cell r="F215">
            <v>20</v>
          </cell>
          <cell r="G215">
            <v>1304094</v>
          </cell>
          <cell r="H215" t="str">
            <v>CM-253:CV CLR BS M.PINK P/EMINA C.LIT40H</v>
          </cell>
          <cell r="I215">
            <v>27000</v>
          </cell>
          <cell r="J215" t="str">
            <v>UN</v>
          </cell>
          <cell r="K215">
            <v>45567</v>
          </cell>
        </row>
        <row r="216">
          <cell r="A216" t="str">
            <v>50714261910</v>
          </cell>
          <cell r="B216" t="str">
            <v>ZMTD</v>
          </cell>
          <cell r="C216">
            <v>45512</v>
          </cell>
          <cell r="D216" t="str">
            <v>Partially delivered</v>
          </cell>
          <cell r="E216">
            <v>507142619</v>
          </cell>
          <cell r="F216">
            <v>10</v>
          </cell>
          <cell r="G216">
            <v>1393997</v>
          </cell>
          <cell r="H216" t="str">
            <v>LC-003:BTL CLR CL BLUE P/DEWIT CSMAR 60B</v>
          </cell>
          <cell r="I216">
            <v>10020</v>
          </cell>
          <cell r="J216" t="str">
            <v>UN</v>
          </cell>
          <cell r="K216">
            <v>45567</v>
          </cell>
        </row>
        <row r="217">
          <cell r="A217" t="str">
            <v>50714261920</v>
          </cell>
          <cell r="B217" t="str">
            <v>ZMTD</v>
          </cell>
          <cell r="C217">
            <v>45512</v>
          </cell>
          <cell r="D217" t="str">
            <v>Partially delivered</v>
          </cell>
          <cell r="E217">
            <v>507142619</v>
          </cell>
          <cell r="F217">
            <v>20</v>
          </cell>
          <cell r="G217">
            <v>1393998</v>
          </cell>
          <cell r="H217" t="str">
            <v>LC-003:CAP BLUE P290C P/DEW IT CSMAR 60B</v>
          </cell>
          <cell r="I217">
            <v>10020</v>
          </cell>
          <cell r="J217" t="str">
            <v>UN</v>
          </cell>
          <cell r="K217">
            <v>45567</v>
          </cell>
        </row>
        <row r="218">
          <cell r="A218" t="str">
            <v>50800525220</v>
          </cell>
          <cell r="B218" t="str">
            <v>ZMFD</v>
          </cell>
          <cell r="C218">
            <v>45512</v>
          </cell>
          <cell r="D218" t="str">
            <v>Not delivered</v>
          </cell>
          <cell r="E218">
            <v>508005252</v>
          </cell>
          <cell r="F218">
            <v>20</v>
          </cell>
          <cell r="G218">
            <v>1382368</v>
          </cell>
          <cell r="H218" t="str">
            <v>CP-067R:FT CAP35 SNAP BLK MATTE  Ø5 LRL</v>
          </cell>
          <cell r="I218">
            <v>300000</v>
          </cell>
          <cell r="J218" t="str">
            <v>UN</v>
          </cell>
          <cell r="K218">
            <v>45567</v>
          </cell>
        </row>
        <row r="219">
          <cell r="A219" t="str">
            <v>50800519430</v>
          </cell>
          <cell r="B219" t="str">
            <v>ZMFD</v>
          </cell>
          <cell r="C219">
            <v>45497</v>
          </cell>
          <cell r="D219" t="str">
            <v>Not delivered</v>
          </cell>
          <cell r="E219">
            <v>508005194</v>
          </cell>
          <cell r="F219">
            <v>30</v>
          </cell>
          <cell r="G219">
            <v>1385814</v>
          </cell>
          <cell r="H219" t="str">
            <v>LC-012:CAP VM BRWN WIP GLASTING PTI 20F</v>
          </cell>
          <cell r="I219">
            <v>10000</v>
          </cell>
          <cell r="J219" t="str">
            <v>UN</v>
          </cell>
          <cell r="K219">
            <v>45567</v>
          </cell>
        </row>
        <row r="220">
          <cell r="A220" t="str">
            <v>50800519440</v>
          </cell>
          <cell r="B220" t="str">
            <v>ZMFD</v>
          </cell>
          <cell r="C220">
            <v>45497</v>
          </cell>
          <cell r="D220" t="str">
            <v>Not delivered</v>
          </cell>
          <cell r="E220">
            <v>508005194</v>
          </cell>
          <cell r="F220">
            <v>40</v>
          </cell>
          <cell r="G220">
            <v>1406580</v>
          </cell>
          <cell r="H220" t="str">
            <v>LC-012:BTL VR09 P/GLASTNG PTI60B</v>
          </cell>
          <cell r="I220">
            <v>10000</v>
          </cell>
          <cell r="J220" t="str">
            <v>UN</v>
          </cell>
          <cell r="K220">
            <v>45567</v>
          </cell>
        </row>
        <row r="221">
          <cell r="A221" t="str">
            <v>50714254640</v>
          </cell>
          <cell r="B221" t="str">
            <v>ZMTD</v>
          </cell>
          <cell r="C221">
            <v>45492</v>
          </cell>
          <cell r="D221" t="str">
            <v>Not delivered</v>
          </cell>
          <cell r="E221">
            <v>507142546</v>
          </cell>
          <cell r="F221">
            <v>40</v>
          </cell>
          <cell r="G221">
            <v>1169703</v>
          </cell>
          <cell r="H221" t="str">
            <v>CP-064:CAP 25 SCREW WHITE MT TR L'OREAL</v>
          </cell>
          <cell r="I221">
            <v>204000</v>
          </cell>
          <cell r="J221" t="str">
            <v>UN</v>
          </cell>
          <cell r="K221">
            <v>45567</v>
          </cell>
        </row>
        <row r="222">
          <cell r="A222" t="str">
            <v>50714254140</v>
          </cell>
          <cell r="B222" t="str">
            <v>ZMTD</v>
          </cell>
          <cell r="C222">
            <v>45490</v>
          </cell>
          <cell r="D222" t="str">
            <v>Partially delivered</v>
          </cell>
          <cell r="E222">
            <v>507142541</v>
          </cell>
          <cell r="F222">
            <v>40</v>
          </cell>
          <cell r="G222">
            <v>1409881</v>
          </cell>
          <cell r="H222" t="str">
            <v>CM-315:CVR/BS BLACK P/CVRLAST OMG RV160B</v>
          </cell>
          <cell r="I222">
            <v>28336</v>
          </cell>
          <cell r="J222" t="str">
            <v>UN</v>
          </cell>
          <cell r="K222">
            <v>45567</v>
          </cell>
        </row>
        <row r="223">
          <cell r="A223" t="str">
            <v>50714271510</v>
          </cell>
          <cell r="B223" t="str">
            <v>ZMTD</v>
          </cell>
          <cell r="C223">
            <v>45538</v>
          </cell>
          <cell r="D223" t="str">
            <v>Partially delivered</v>
          </cell>
          <cell r="E223">
            <v>507142715</v>
          </cell>
          <cell r="F223">
            <v>10</v>
          </cell>
          <cell r="G223">
            <v>1382368</v>
          </cell>
          <cell r="H223" t="str">
            <v>CP-067R:FT CAP35 SNAP BLK MATTE  Ø5 LRL</v>
          </cell>
          <cell r="I223">
            <v>300000</v>
          </cell>
          <cell r="J223" t="str">
            <v>UN</v>
          </cell>
          <cell r="K223">
            <v>45567</v>
          </cell>
        </row>
        <row r="224">
          <cell r="A224" t="str">
            <v>50714269510</v>
          </cell>
          <cell r="B224" t="str">
            <v>ZMTD</v>
          </cell>
          <cell r="C224">
            <v>45533</v>
          </cell>
          <cell r="D224" t="str">
            <v>Partially delivered</v>
          </cell>
          <cell r="E224">
            <v>507142695</v>
          </cell>
          <cell r="F224">
            <v>10</v>
          </cell>
          <cell r="G224">
            <v>1420925</v>
          </cell>
          <cell r="H224" t="str">
            <v>CM-253:CV BS MT ROSE 04 P/C.BLSH PTI40H</v>
          </cell>
          <cell r="I224">
            <v>15120</v>
          </cell>
          <cell r="J224" t="str">
            <v>UN</v>
          </cell>
          <cell r="K224">
            <v>45567</v>
          </cell>
        </row>
        <row r="225">
          <cell r="A225" t="str">
            <v>50714270030</v>
          </cell>
          <cell r="B225" t="str">
            <v>ZMTD</v>
          </cell>
          <cell r="C225">
            <v>45533</v>
          </cell>
          <cell r="D225" t="str">
            <v>Partially delivered</v>
          </cell>
          <cell r="E225">
            <v>507142700</v>
          </cell>
          <cell r="F225">
            <v>30</v>
          </cell>
          <cell r="G225">
            <v>1417990</v>
          </cell>
          <cell r="H225" t="str">
            <v>LC-009:BTL #2#3 INNER CLR P/OMG PTIPT60B</v>
          </cell>
          <cell r="I225">
            <v>400050</v>
          </cell>
          <cell r="J225" t="str">
            <v>UN</v>
          </cell>
          <cell r="K225">
            <v>45567</v>
          </cell>
        </row>
        <row r="226">
          <cell r="A226" t="str">
            <v>50714270040</v>
          </cell>
          <cell r="B226" t="str">
            <v>ZMTD</v>
          </cell>
          <cell r="C226">
            <v>45533</v>
          </cell>
          <cell r="D226" t="str">
            <v>Partially delivered</v>
          </cell>
          <cell r="E226">
            <v>507142700</v>
          </cell>
          <cell r="F226">
            <v>40</v>
          </cell>
          <cell r="G226">
            <v>1417978</v>
          </cell>
          <cell r="H226" t="str">
            <v>LC-009:CAP #2#3 REDTR WIP S/OMG PTIPT60B</v>
          </cell>
          <cell r="I226">
            <v>400050</v>
          </cell>
          <cell r="J226" t="str">
            <v>UN</v>
          </cell>
          <cell r="K226">
            <v>45567</v>
          </cell>
        </row>
        <row r="227">
          <cell r="A227" t="str">
            <v>50714269010</v>
          </cell>
          <cell r="B227" t="str">
            <v>ZMTD</v>
          </cell>
          <cell r="C227">
            <v>45532</v>
          </cell>
          <cell r="D227" t="str">
            <v>Partially delivered</v>
          </cell>
          <cell r="E227">
            <v>507142690</v>
          </cell>
          <cell r="F227">
            <v>10</v>
          </cell>
          <cell r="G227">
            <v>1285116</v>
          </cell>
          <cell r="H227" t="str">
            <v>CM-292:CV/BS MTBLK LENS S/SLV MO PTI 40C</v>
          </cell>
          <cell r="I227">
            <v>49968</v>
          </cell>
          <cell r="J227" t="str">
            <v>UN</v>
          </cell>
          <cell r="K227">
            <v>45567</v>
          </cell>
        </row>
        <row r="228">
          <cell r="A228" t="str">
            <v>50714269110</v>
          </cell>
          <cell r="B228" t="str">
            <v>ZMTD</v>
          </cell>
          <cell r="C228">
            <v>45532</v>
          </cell>
          <cell r="D228" t="str">
            <v>Partially delivered</v>
          </cell>
          <cell r="E228">
            <v>507142691</v>
          </cell>
          <cell r="F228">
            <v>10</v>
          </cell>
          <cell r="G228">
            <v>1168132</v>
          </cell>
          <cell r="H228" t="str">
            <v>LS-285:BS WHT NO DC WARDAH</v>
          </cell>
          <cell r="I228">
            <v>50008</v>
          </cell>
          <cell r="J228" t="str">
            <v>UN</v>
          </cell>
          <cell r="K228">
            <v>45567</v>
          </cell>
        </row>
        <row r="229">
          <cell r="A229" t="str">
            <v>50714269220</v>
          </cell>
          <cell r="B229" t="str">
            <v>ZMTD</v>
          </cell>
          <cell r="C229">
            <v>45532</v>
          </cell>
          <cell r="D229" t="str">
            <v>Partially delivered</v>
          </cell>
          <cell r="E229">
            <v>507142692</v>
          </cell>
          <cell r="F229">
            <v>20</v>
          </cell>
          <cell r="G229">
            <v>1367370</v>
          </cell>
          <cell r="H229" t="str">
            <v>PT-097:CAP GREN TRANS PTI 12A</v>
          </cell>
          <cell r="I229">
            <v>110160</v>
          </cell>
          <cell r="J229" t="str">
            <v>UN</v>
          </cell>
          <cell r="K229">
            <v>45567</v>
          </cell>
        </row>
        <row r="230">
          <cell r="A230" t="str">
            <v>50714269310</v>
          </cell>
          <cell r="B230" t="str">
            <v>ZMTD</v>
          </cell>
          <cell r="C230">
            <v>45532</v>
          </cell>
          <cell r="D230" t="str">
            <v>Partially delivered</v>
          </cell>
          <cell r="E230">
            <v>507142693</v>
          </cell>
          <cell r="F230">
            <v>10</v>
          </cell>
          <cell r="G230">
            <v>1375595</v>
          </cell>
          <cell r="H230" t="str">
            <v>LC-009:BTL/INNER CLEAR P/OMG PTIPT 60B</v>
          </cell>
          <cell r="I230">
            <v>150570</v>
          </cell>
          <cell r="J230" t="str">
            <v>UN</v>
          </cell>
          <cell r="K230">
            <v>45567</v>
          </cell>
        </row>
        <row r="231">
          <cell r="A231" t="str">
            <v>50714269320</v>
          </cell>
          <cell r="B231" t="str">
            <v>ZMTD</v>
          </cell>
          <cell r="C231">
            <v>45532</v>
          </cell>
          <cell r="D231" t="str">
            <v>Partially delivered</v>
          </cell>
          <cell r="E231">
            <v>507142693</v>
          </cell>
          <cell r="F231">
            <v>20</v>
          </cell>
          <cell r="G231">
            <v>1375593</v>
          </cell>
          <cell r="H231" t="str">
            <v>LC-009:CAP REDTRANS WIP S/OMG PTIPT 60B</v>
          </cell>
          <cell r="I231">
            <v>150570</v>
          </cell>
          <cell r="J231" t="str">
            <v>UN</v>
          </cell>
          <cell r="K231">
            <v>45567</v>
          </cell>
        </row>
        <row r="232">
          <cell r="A232" t="str">
            <v>50714263740</v>
          </cell>
          <cell r="B232" t="str">
            <v>ZMTD</v>
          </cell>
          <cell r="C232">
            <v>45519</v>
          </cell>
          <cell r="D232" t="str">
            <v>Partially delivered</v>
          </cell>
          <cell r="E232">
            <v>507142637</v>
          </cell>
          <cell r="F232">
            <v>40</v>
          </cell>
          <cell r="G232">
            <v>1408739</v>
          </cell>
          <cell r="H232" t="str">
            <v>PT-097B:CAP SR.2 BLUE TRANS PTI 12A</v>
          </cell>
          <cell r="I232">
            <v>110160</v>
          </cell>
          <cell r="J232" t="str">
            <v>UN</v>
          </cell>
          <cell r="K232">
            <v>45567</v>
          </cell>
        </row>
        <row r="233">
          <cell r="A233" t="str">
            <v>50714263210</v>
          </cell>
          <cell r="B233" t="str">
            <v>ZMTD</v>
          </cell>
          <cell r="C233">
            <v>45517</v>
          </cell>
          <cell r="D233" t="str">
            <v>Partially delivered</v>
          </cell>
          <cell r="E233">
            <v>507142632</v>
          </cell>
          <cell r="F233">
            <v>10</v>
          </cell>
          <cell r="G233">
            <v>1371896</v>
          </cell>
          <cell r="H233" t="str">
            <v>RX-056:CM-316 CVR BLUE P/WHT SP/MTCLR</v>
          </cell>
          <cell r="I233">
            <v>110016</v>
          </cell>
          <cell r="J233" t="str">
            <v>UN</v>
          </cell>
          <cell r="K233">
            <v>45567</v>
          </cell>
        </row>
        <row r="234">
          <cell r="A234" t="str">
            <v>50714262510</v>
          </cell>
          <cell r="B234" t="str">
            <v>ZMTD</v>
          </cell>
          <cell r="C234">
            <v>45513</v>
          </cell>
          <cell r="D234" t="str">
            <v>Not delivered</v>
          </cell>
          <cell r="E234">
            <v>507142625</v>
          </cell>
          <cell r="F234">
            <v>10</v>
          </cell>
          <cell r="G234">
            <v>1305089</v>
          </cell>
          <cell r="H234" t="str">
            <v>CM-207:VM SHY SLV P/MATTE ZGH6010038 EL</v>
          </cell>
          <cell r="I234">
            <v>25920</v>
          </cell>
          <cell r="J234" t="str">
            <v>UN</v>
          </cell>
          <cell r="K234">
            <v>45567</v>
          </cell>
        </row>
        <row r="235">
          <cell r="A235" t="str">
            <v>50714260510</v>
          </cell>
          <cell r="B235" t="str">
            <v>ZMTD</v>
          </cell>
          <cell r="C235">
            <v>45509</v>
          </cell>
          <cell r="D235" t="str">
            <v>Not delivered</v>
          </cell>
          <cell r="E235">
            <v>507142605</v>
          </cell>
          <cell r="F235">
            <v>10</v>
          </cell>
          <cell r="G235">
            <v>1163327</v>
          </cell>
          <cell r="H235" t="str">
            <v>CM-246:CVR S.SLV PAN WHITE 6MPY 01 0034</v>
          </cell>
          <cell r="I235">
            <v>25056</v>
          </cell>
          <cell r="J235" t="str">
            <v>UN</v>
          </cell>
          <cell r="K235">
            <v>45567</v>
          </cell>
        </row>
        <row r="236">
          <cell r="A236" t="str">
            <v>50714254630</v>
          </cell>
          <cell r="B236" t="str">
            <v>ZMTD</v>
          </cell>
          <cell r="C236">
            <v>45492</v>
          </cell>
          <cell r="D236" t="str">
            <v>Partially delivered</v>
          </cell>
          <cell r="E236">
            <v>507142546</v>
          </cell>
          <cell r="F236">
            <v>30</v>
          </cell>
          <cell r="G236">
            <v>1169703</v>
          </cell>
          <cell r="H236" t="str">
            <v>CP-064:CAP 25 SCREW WHITE MT TR L'OREAL</v>
          </cell>
          <cell r="I236">
            <v>324000</v>
          </cell>
          <cell r="J236" t="str">
            <v>UN</v>
          </cell>
          <cell r="K236">
            <v>45567</v>
          </cell>
        </row>
        <row r="237">
          <cell r="A237" t="str">
            <v>50714253610</v>
          </cell>
          <cell r="B237" t="str">
            <v>ZMTD</v>
          </cell>
          <cell r="C237">
            <v>45489</v>
          </cell>
          <cell r="D237" t="str">
            <v>Partially delivered</v>
          </cell>
          <cell r="E237">
            <v>507142536</v>
          </cell>
          <cell r="F237">
            <v>10</v>
          </cell>
          <cell r="G237">
            <v>1158837</v>
          </cell>
          <cell r="H237" t="str">
            <v>SD-007:SM16 WH SLDR D40 SCREW ORI7.5</v>
          </cell>
          <cell r="I237">
            <v>252000</v>
          </cell>
          <cell r="J237" t="str">
            <v>UN</v>
          </cell>
          <cell r="K237">
            <v>45567</v>
          </cell>
        </row>
        <row r="238">
          <cell r="A238" t="str">
            <v>50714250110</v>
          </cell>
          <cell r="B238" t="str">
            <v>ZMTD</v>
          </cell>
          <cell r="C238">
            <v>45485</v>
          </cell>
          <cell r="D238" t="str">
            <v>Not delivered</v>
          </cell>
          <cell r="E238">
            <v>507142501</v>
          </cell>
          <cell r="F238">
            <v>10</v>
          </cell>
          <cell r="G238">
            <v>1216572</v>
          </cell>
          <cell r="H238" t="str">
            <v>CM-216:TRUE MATCH CV PF S/SLV LOR (SEA)</v>
          </cell>
          <cell r="I238">
            <v>198400</v>
          </cell>
          <cell r="J238" t="str">
            <v>UN</v>
          </cell>
          <cell r="K238">
            <v>45567</v>
          </cell>
        </row>
        <row r="239">
          <cell r="A239" t="str">
            <v>50714246110</v>
          </cell>
          <cell r="B239" t="str">
            <v>ZMTD</v>
          </cell>
          <cell r="C239">
            <v>45481</v>
          </cell>
          <cell r="D239" t="str">
            <v>Partially delivered</v>
          </cell>
          <cell r="E239">
            <v>507142461</v>
          </cell>
          <cell r="F239">
            <v>10</v>
          </cell>
          <cell r="G239">
            <v>1169047</v>
          </cell>
          <cell r="H239" t="str">
            <v>LS-285:B V/SL P/1PS SLEV H/SL BLM PTI20R</v>
          </cell>
          <cell r="I239">
            <v>25536</v>
          </cell>
          <cell r="J239" t="str">
            <v>UN</v>
          </cell>
          <cell r="K239">
            <v>45567</v>
          </cell>
        </row>
        <row r="240">
          <cell r="A240" t="str">
            <v>50714246120</v>
          </cell>
          <cell r="B240" t="str">
            <v>ZMTD</v>
          </cell>
          <cell r="C240">
            <v>45481</v>
          </cell>
          <cell r="D240" t="str">
            <v>Partially delivered</v>
          </cell>
          <cell r="E240">
            <v>507142461</v>
          </cell>
          <cell r="F240">
            <v>20</v>
          </cell>
          <cell r="G240">
            <v>1171165</v>
          </cell>
          <cell r="H240" t="str">
            <v>LS-285:CV TRANS MATE 3 P/1PS VAR3 PTI40H</v>
          </cell>
          <cell r="I240">
            <v>25536</v>
          </cell>
          <cell r="J240" t="str">
            <v>UN</v>
          </cell>
          <cell r="K240">
            <v>45567</v>
          </cell>
        </row>
        <row r="241">
          <cell r="A241" t="str">
            <v>50714234820</v>
          </cell>
          <cell r="B241" t="str">
            <v>ZMTD</v>
          </cell>
          <cell r="C241">
            <v>45462</v>
          </cell>
          <cell r="D241" t="str">
            <v>Partially delivered</v>
          </cell>
          <cell r="E241">
            <v>507142348</v>
          </cell>
          <cell r="F241">
            <v>20</v>
          </cell>
          <cell r="G241">
            <v>1388034</v>
          </cell>
          <cell r="H241" t="str">
            <v>CM-253:CV BS MTCORL P/C.BLSH RV1 PTI40H</v>
          </cell>
          <cell r="I241">
            <v>32940</v>
          </cell>
          <cell r="J241" t="str">
            <v>UN</v>
          </cell>
          <cell r="K241">
            <v>45567</v>
          </cell>
        </row>
        <row r="242">
          <cell r="A242" t="str">
            <v>50714180630</v>
          </cell>
          <cell r="B242" t="str">
            <v>ZMTD</v>
          </cell>
          <cell r="C242">
            <v>45350</v>
          </cell>
          <cell r="D242" t="str">
            <v>Partially delivered</v>
          </cell>
          <cell r="E242">
            <v>507141806</v>
          </cell>
          <cell r="F242">
            <v>30</v>
          </cell>
          <cell r="G242">
            <v>1404888</v>
          </cell>
          <cell r="H242" t="str">
            <v>LS-091:BS MGNTA P/SHEER COLOR ROHTO 60B</v>
          </cell>
          <cell r="I242">
            <v>14820</v>
          </cell>
          <cell r="J242" t="str">
            <v>UN</v>
          </cell>
          <cell r="K242">
            <v>45567</v>
          </cell>
        </row>
        <row r="243">
          <cell r="A243" t="str">
            <v>50714180640</v>
          </cell>
          <cell r="B243" t="str">
            <v>ZMTD</v>
          </cell>
          <cell r="C243">
            <v>45350</v>
          </cell>
          <cell r="D243" t="str">
            <v>Partially delivered</v>
          </cell>
          <cell r="E243">
            <v>507141806</v>
          </cell>
          <cell r="F243">
            <v>40</v>
          </cell>
          <cell r="G243">
            <v>1407562</v>
          </cell>
          <cell r="H243" t="str">
            <v>LS-091:CVR MGNTA GRAD UV P/MIXBRIE ROHTO</v>
          </cell>
          <cell r="I243">
            <v>14820</v>
          </cell>
          <cell r="J243" t="str">
            <v>UN</v>
          </cell>
          <cell r="K243">
            <v>45567</v>
          </cell>
        </row>
        <row r="244">
          <cell r="A244" t="str">
            <v>50714180330</v>
          </cell>
          <cell r="B244" t="str">
            <v>ZMTD</v>
          </cell>
          <cell r="C244">
            <v>45349</v>
          </cell>
          <cell r="D244" t="str">
            <v>Partially delivered</v>
          </cell>
          <cell r="E244">
            <v>507141803</v>
          </cell>
          <cell r="F244">
            <v>30</v>
          </cell>
          <cell r="G244">
            <v>1404888</v>
          </cell>
          <cell r="H244" t="str">
            <v>LS-091:BS MGNTA P/SHEER COLOR ROHTO 60B</v>
          </cell>
          <cell r="I244">
            <v>27664</v>
          </cell>
          <cell r="J244" t="str">
            <v>UN</v>
          </cell>
          <cell r="K244">
            <v>45567</v>
          </cell>
        </row>
        <row r="245">
          <cell r="A245" t="str">
            <v>50714180340</v>
          </cell>
          <cell r="B245" t="str">
            <v>ZMTD</v>
          </cell>
          <cell r="C245">
            <v>45349</v>
          </cell>
          <cell r="D245" t="str">
            <v>Partially delivered</v>
          </cell>
          <cell r="E245">
            <v>507141803</v>
          </cell>
          <cell r="F245">
            <v>40</v>
          </cell>
          <cell r="G245">
            <v>1407563</v>
          </cell>
          <cell r="H245" t="str">
            <v>LS-091:CVR MGNTA GRAD UV P/STRWBRY ROHTO</v>
          </cell>
          <cell r="I245">
            <v>27664</v>
          </cell>
          <cell r="J245" t="str">
            <v>UN</v>
          </cell>
          <cell r="K245">
            <v>45567</v>
          </cell>
        </row>
        <row r="246">
          <cell r="A246" t="str">
            <v>50714273910</v>
          </cell>
          <cell r="B246" t="str">
            <v>ZMTD</v>
          </cell>
          <cell r="C246">
            <v>45544</v>
          </cell>
          <cell r="D246" t="str">
            <v>Not delivered</v>
          </cell>
          <cell r="E246">
            <v>507142739</v>
          </cell>
          <cell r="F246">
            <v>10</v>
          </cell>
          <cell r="G246">
            <v>1409881</v>
          </cell>
          <cell r="H246" t="str">
            <v>CM-315:CVR/BS BLACK P/CVRLAST OMG RV160B</v>
          </cell>
          <cell r="I246">
            <v>21868</v>
          </cell>
          <cell r="J246" t="str">
            <v>UN</v>
          </cell>
          <cell r="K246">
            <v>45568</v>
          </cell>
        </row>
        <row r="247">
          <cell r="A247" t="str">
            <v>50714262530</v>
          </cell>
          <cell r="B247" t="str">
            <v>ZMTD</v>
          </cell>
          <cell r="C247">
            <v>45513</v>
          </cell>
          <cell r="D247" t="str">
            <v>Not delivered</v>
          </cell>
          <cell r="E247">
            <v>507142625</v>
          </cell>
          <cell r="F247">
            <v>30</v>
          </cell>
          <cell r="G247">
            <v>1305089</v>
          </cell>
          <cell r="H247" t="str">
            <v>CM-207:VM SHY SLV P/MATTE ZGH6010038 EL</v>
          </cell>
          <cell r="I247">
            <v>25920</v>
          </cell>
          <cell r="J247" t="str">
            <v>UN</v>
          </cell>
          <cell r="K247">
            <v>45568</v>
          </cell>
        </row>
        <row r="248">
          <cell r="A248" t="str">
            <v>50714180730</v>
          </cell>
          <cell r="B248" t="str">
            <v>ZMTD</v>
          </cell>
          <cell r="C248">
            <v>45350</v>
          </cell>
          <cell r="D248" t="str">
            <v>Not delivered</v>
          </cell>
          <cell r="E248">
            <v>507141807</v>
          </cell>
          <cell r="F248">
            <v>30</v>
          </cell>
          <cell r="G248">
            <v>1404888</v>
          </cell>
          <cell r="H248" t="str">
            <v>LS-091:BS MGNTA P/SHEER COLOR ROHTO 60B</v>
          </cell>
          <cell r="I248">
            <v>14820</v>
          </cell>
          <cell r="J248" t="str">
            <v>UN</v>
          </cell>
          <cell r="K248">
            <v>45568</v>
          </cell>
        </row>
        <row r="249">
          <cell r="A249" t="str">
            <v>50714180740</v>
          </cell>
          <cell r="B249" t="str">
            <v>ZMTD</v>
          </cell>
          <cell r="C249">
            <v>45350</v>
          </cell>
          <cell r="D249" t="str">
            <v>Not delivered</v>
          </cell>
          <cell r="E249">
            <v>507141807</v>
          </cell>
          <cell r="F249">
            <v>40</v>
          </cell>
          <cell r="G249">
            <v>1404887</v>
          </cell>
          <cell r="H249" t="str">
            <v>LS-091:CVR MGNTA GRAD UV P/APPLE ROHTO</v>
          </cell>
          <cell r="I249">
            <v>14820</v>
          </cell>
          <cell r="J249" t="str">
            <v>UN</v>
          </cell>
          <cell r="K249">
            <v>45568</v>
          </cell>
        </row>
        <row r="250">
          <cell r="A250" t="str">
            <v>50714266310</v>
          </cell>
          <cell r="B250" t="str">
            <v>ZMTD</v>
          </cell>
          <cell r="C250">
            <v>45525</v>
          </cell>
          <cell r="D250" t="str">
            <v>Not delivered</v>
          </cell>
          <cell r="E250">
            <v>507142663</v>
          </cell>
          <cell r="F250">
            <v>10</v>
          </cell>
          <cell r="G250">
            <v>1216572</v>
          </cell>
          <cell r="H250" t="str">
            <v>CM-216:TRUE MATCH CV PF S/SLV LOR (SEA)</v>
          </cell>
          <cell r="I250">
            <v>57600</v>
          </cell>
          <cell r="J250" t="str">
            <v>UN</v>
          </cell>
          <cell r="K250">
            <v>45568</v>
          </cell>
        </row>
        <row r="251">
          <cell r="A251" t="str">
            <v>50714279530</v>
          </cell>
          <cell r="B251" t="str">
            <v>ZMTD</v>
          </cell>
          <cell r="C251">
            <v>45558</v>
          </cell>
          <cell r="D251" t="str">
            <v>Not delivered</v>
          </cell>
          <cell r="E251">
            <v>507142795</v>
          </cell>
          <cell r="F251">
            <v>30</v>
          </cell>
          <cell r="G251">
            <v>1194582</v>
          </cell>
          <cell r="H251" t="str">
            <v>LC-002:BTL CLR COL WHT NO DC GENERAL</v>
          </cell>
          <cell r="I251">
            <v>4605</v>
          </cell>
          <cell r="J251" t="str">
            <v>UN</v>
          </cell>
          <cell r="K251">
            <v>45569</v>
          </cell>
        </row>
        <row r="252">
          <cell r="A252" t="str">
            <v>50714279540</v>
          </cell>
          <cell r="B252" t="str">
            <v>ZMTD</v>
          </cell>
          <cell r="C252">
            <v>45558</v>
          </cell>
          <cell r="D252" t="str">
            <v>Not delivered</v>
          </cell>
          <cell r="E252">
            <v>507142795</v>
          </cell>
          <cell r="F252">
            <v>40</v>
          </cell>
          <cell r="G252">
            <v>1194581</v>
          </cell>
          <cell r="H252" t="str">
            <v>LC-002:CAP WHT NO DC WIPER NAT GENERAL</v>
          </cell>
          <cell r="I252">
            <v>4605</v>
          </cell>
          <cell r="J252" t="str">
            <v>UN</v>
          </cell>
          <cell r="K252">
            <v>45569</v>
          </cell>
        </row>
        <row r="253">
          <cell r="A253" t="str">
            <v>50714276530</v>
          </cell>
          <cell r="B253" t="str">
            <v>ZMTD</v>
          </cell>
          <cell r="C253">
            <v>45552</v>
          </cell>
          <cell r="D253" t="str">
            <v>Not delivered</v>
          </cell>
          <cell r="E253">
            <v>507142765</v>
          </cell>
          <cell r="F253">
            <v>30</v>
          </cell>
          <cell r="G253">
            <v>1398383</v>
          </cell>
          <cell r="H253" t="str">
            <v>CM-319:WHITE P/BLACK UV MATTE NARS</v>
          </cell>
          <cell r="I253">
            <v>30720</v>
          </cell>
          <cell r="J253" t="str">
            <v>UN</v>
          </cell>
          <cell r="K253">
            <v>45569</v>
          </cell>
        </row>
        <row r="254">
          <cell r="A254" t="str">
            <v>50714273510</v>
          </cell>
          <cell r="B254" t="str">
            <v>ZMTD</v>
          </cell>
          <cell r="C254">
            <v>45544</v>
          </cell>
          <cell r="D254" t="str">
            <v>Not delivered</v>
          </cell>
          <cell r="E254">
            <v>507142735</v>
          </cell>
          <cell r="F254">
            <v>10</v>
          </cell>
          <cell r="G254">
            <v>1417990</v>
          </cell>
          <cell r="H254" t="str">
            <v>LC-009:BTL #2#3 INNER CLR P/OMG PTIPT60B</v>
          </cell>
          <cell r="I254">
            <v>400050</v>
          </cell>
          <cell r="J254" t="str">
            <v>UN</v>
          </cell>
          <cell r="K254">
            <v>45569</v>
          </cell>
        </row>
        <row r="255">
          <cell r="A255" t="str">
            <v>50714273520</v>
          </cell>
          <cell r="B255" t="str">
            <v>ZMTD</v>
          </cell>
          <cell r="C255">
            <v>45544</v>
          </cell>
          <cell r="D255" t="str">
            <v>Not delivered</v>
          </cell>
          <cell r="E255">
            <v>507142735</v>
          </cell>
          <cell r="F255">
            <v>20</v>
          </cell>
          <cell r="G255">
            <v>1417978</v>
          </cell>
          <cell r="H255" t="str">
            <v>LC-009:CAP #2#3 REDTR WIP S/OMG PTIPT60B</v>
          </cell>
          <cell r="I255">
            <v>400050</v>
          </cell>
          <cell r="J255" t="str">
            <v>UN</v>
          </cell>
          <cell r="K255">
            <v>45569</v>
          </cell>
        </row>
        <row r="256">
          <cell r="A256" t="str">
            <v>507142721100</v>
          </cell>
          <cell r="B256" t="str">
            <v>ZMTD</v>
          </cell>
          <cell r="C256">
            <v>45539</v>
          </cell>
          <cell r="D256" t="str">
            <v>Partially delivered</v>
          </cell>
          <cell r="E256">
            <v>507142721</v>
          </cell>
          <cell r="F256">
            <v>100</v>
          </cell>
          <cell r="G256">
            <v>1437039</v>
          </cell>
          <cell r="H256" t="str">
            <v>CM-290:1PC BS CV MT.BLK S/ EMBOS OMG 40C</v>
          </cell>
          <cell r="I256">
            <v>35112</v>
          </cell>
          <cell r="J256" t="str">
            <v>UN</v>
          </cell>
          <cell r="K256">
            <v>45569</v>
          </cell>
        </row>
        <row r="257">
          <cell r="A257" t="str">
            <v>50714271610</v>
          </cell>
          <cell r="B257" t="str">
            <v>ZMTD</v>
          </cell>
          <cell r="C257">
            <v>45538</v>
          </cell>
          <cell r="D257" t="str">
            <v>Not delivered</v>
          </cell>
          <cell r="E257">
            <v>507142716</v>
          </cell>
          <cell r="F257">
            <v>10</v>
          </cell>
          <cell r="G257">
            <v>1232979</v>
          </cell>
          <cell r="H257" t="str">
            <v>LC-004:CAP BLK WIP NAT NODC MLA 12A</v>
          </cell>
          <cell r="I257">
            <v>18000</v>
          </cell>
          <cell r="J257" t="str">
            <v>UN</v>
          </cell>
          <cell r="K257">
            <v>45569</v>
          </cell>
        </row>
        <row r="258">
          <cell r="A258" t="str">
            <v>50714271620</v>
          </cell>
          <cell r="B258" t="str">
            <v>ZMTD</v>
          </cell>
          <cell r="C258">
            <v>45538</v>
          </cell>
          <cell r="D258" t="str">
            <v>Not delivered</v>
          </cell>
          <cell r="E258">
            <v>507142716</v>
          </cell>
          <cell r="F258">
            <v>20</v>
          </cell>
          <cell r="G258">
            <v>1233020</v>
          </cell>
          <cell r="H258" t="str">
            <v>LC-004:BTL CLR CL BLK P/SR12MATTE MLA60B</v>
          </cell>
          <cell r="I258">
            <v>18000</v>
          </cell>
          <cell r="J258" t="str">
            <v>UN</v>
          </cell>
          <cell r="K258">
            <v>45569</v>
          </cell>
        </row>
        <row r="259">
          <cell r="A259" t="str">
            <v>50714270070</v>
          </cell>
          <cell r="B259" t="str">
            <v>ZMTD</v>
          </cell>
          <cell r="C259">
            <v>45533</v>
          </cell>
          <cell r="D259" t="str">
            <v>Not delivered</v>
          </cell>
          <cell r="E259">
            <v>507142700</v>
          </cell>
          <cell r="F259">
            <v>70</v>
          </cell>
          <cell r="G259">
            <v>1417990</v>
          </cell>
          <cell r="H259" t="str">
            <v>LC-009:BTL #2#3 INNER CLR P/OMG PTIPT60B</v>
          </cell>
          <cell r="I259">
            <v>200970</v>
          </cell>
          <cell r="J259" t="str">
            <v>UN</v>
          </cell>
          <cell r="K259">
            <v>45569</v>
          </cell>
        </row>
        <row r="260">
          <cell r="A260" t="str">
            <v>50714270080</v>
          </cell>
          <cell r="B260" t="str">
            <v>ZMTD</v>
          </cell>
          <cell r="C260">
            <v>45533</v>
          </cell>
          <cell r="D260" t="str">
            <v>Not delivered</v>
          </cell>
          <cell r="E260">
            <v>507142700</v>
          </cell>
          <cell r="F260">
            <v>80</v>
          </cell>
          <cell r="G260">
            <v>1417978</v>
          </cell>
          <cell r="H260" t="str">
            <v>LC-009:CAP #2#3 REDTR WIP S/OMG PTIPT60B</v>
          </cell>
          <cell r="I260">
            <v>200970</v>
          </cell>
          <cell r="J260" t="str">
            <v>UN</v>
          </cell>
          <cell r="K260">
            <v>45569</v>
          </cell>
        </row>
        <row r="261">
          <cell r="A261" t="str">
            <v>50714268030</v>
          </cell>
          <cell r="B261" t="str">
            <v>ZMTD</v>
          </cell>
          <cell r="C261">
            <v>45530</v>
          </cell>
          <cell r="D261" t="str">
            <v>Not delivered</v>
          </cell>
          <cell r="E261">
            <v>507142680</v>
          </cell>
          <cell r="F261">
            <v>30</v>
          </cell>
          <cell r="G261">
            <v>1209411</v>
          </cell>
          <cell r="H261" t="str">
            <v>FP-014:CV BLK SLV/QUEEN BS M.CLR VTPR</v>
          </cell>
          <cell r="I261">
            <v>24960</v>
          </cell>
          <cell r="J261" t="str">
            <v>UN</v>
          </cell>
          <cell r="K261">
            <v>45569</v>
          </cell>
        </row>
        <row r="262">
          <cell r="A262" t="str">
            <v>50714268040</v>
          </cell>
          <cell r="B262" t="str">
            <v>ZMTD</v>
          </cell>
          <cell r="C262">
            <v>45530</v>
          </cell>
          <cell r="D262" t="str">
            <v>Not delivered</v>
          </cell>
          <cell r="E262">
            <v>507142680</v>
          </cell>
          <cell r="F262">
            <v>40</v>
          </cell>
          <cell r="G262">
            <v>1209412</v>
          </cell>
          <cell r="H262" t="str">
            <v>FP-014:SFTR W/ WHITE LABEL VTPHARM</v>
          </cell>
          <cell r="I262">
            <v>24960</v>
          </cell>
          <cell r="J262" t="str">
            <v>UN</v>
          </cell>
          <cell r="K262">
            <v>45569</v>
          </cell>
        </row>
        <row r="263">
          <cell r="A263" t="str">
            <v>50714267710</v>
          </cell>
          <cell r="B263" t="str">
            <v>ZMTD</v>
          </cell>
          <cell r="C263">
            <v>45527</v>
          </cell>
          <cell r="D263" t="str">
            <v>Partially delivered</v>
          </cell>
          <cell r="E263">
            <v>507142677</v>
          </cell>
          <cell r="F263">
            <v>10</v>
          </cell>
          <cell r="G263">
            <v>1378563</v>
          </cell>
          <cell r="H263" t="str">
            <v>CP-093:CAP D50 MT BLACK Ø.5 YASULOR 12A</v>
          </cell>
          <cell r="I263">
            <v>800000</v>
          </cell>
          <cell r="J263" t="str">
            <v>UN</v>
          </cell>
          <cell r="K263">
            <v>45569</v>
          </cell>
        </row>
        <row r="264">
          <cell r="A264" t="str">
            <v>50800525810</v>
          </cell>
          <cell r="B264" t="str">
            <v>ZMFD</v>
          </cell>
          <cell r="C264">
            <v>45523</v>
          </cell>
          <cell r="D264" t="str">
            <v>Not delivered</v>
          </cell>
          <cell r="E264">
            <v>508005258</v>
          </cell>
          <cell r="F264">
            <v>10</v>
          </cell>
          <cell r="G264">
            <v>1168132</v>
          </cell>
          <cell r="H264" t="str">
            <v>LS-285:BS WHT NO DC WARDAH</v>
          </cell>
          <cell r="I264">
            <v>115000</v>
          </cell>
          <cell r="J264" t="str">
            <v>UN</v>
          </cell>
          <cell r="K264">
            <v>45569</v>
          </cell>
        </row>
        <row r="265">
          <cell r="A265" t="str">
            <v>50800525820</v>
          </cell>
          <cell r="B265" t="str">
            <v>ZMFD</v>
          </cell>
          <cell r="C265">
            <v>45523</v>
          </cell>
          <cell r="D265" t="str">
            <v>Not delivered</v>
          </cell>
          <cell r="E265">
            <v>508005258</v>
          </cell>
          <cell r="F265">
            <v>20</v>
          </cell>
          <cell r="G265">
            <v>1421418</v>
          </cell>
          <cell r="H265" t="str">
            <v>LS-285:CV RED P/WHT UV STRAWBERY PTI 30O</v>
          </cell>
          <cell r="I265">
            <v>115000</v>
          </cell>
          <cell r="J265" t="str">
            <v>UN</v>
          </cell>
          <cell r="K265">
            <v>45569</v>
          </cell>
        </row>
        <row r="266">
          <cell r="A266" t="str">
            <v>50714227610</v>
          </cell>
          <cell r="B266" t="str">
            <v>ZMTD</v>
          </cell>
          <cell r="C266">
            <v>45447</v>
          </cell>
          <cell r="D266" t="str">
            <v>Not delivered</v>
          </cell>
          <cell r="E266">
            <v>507142276</v>
          </cell>
          <cell r="F266">
            <v>10</v>
          </cell>
          <cell r="G266">
            <v>1419488</v>
          </cell>
          <cell r="H266" t="str">
            <v>CP-063R:SPOUT CAP WHITE LOREAL 12A</v>
          </cell>
          <cell r="I266">
            <v>1890000</v>
          </cell>
          <cell r="J266" t="str">
            <v>UN</v>
          </cell>
          <cell r="K266">
            <v>45569</v>
          </cell>
        </row>
        <row r="267">
          <cell r="A267" t="str">
            <v>50800507110</v>
          </cell>
          <cell r="B267" t="str">
            <v>ZMFD</v>
          </cell>
          <cell r="C267">
            <v>45433</v>
          </cell>
          <cell r="D267" t="str">
            <v>Not delivered</v>
          </cell>
          <cell r="E267">
            <v>508005071</v>
          </cell>
          <cell r="F267">
            <v>10</v>
          </cell>
          <cell r="G267">
            <v>1171525</v>
          </cell>
          <cell r="H267" t="str">
            <v>CM-172:CVR MTLCGREN UV BS CLR P/WRDAH30C</v>
          </cell>
          <cell r="I267">
            <v>30000</v>
          </cell>
          <cell r="J267" t="str">
            <v>UN</v>
          </cell>
          <cell r="K267">
            <v>45569</v>
          </cell>
        </row>
        <row r="268">
          <cell r="A268" t="str">
            <v>50714276210</v>
          </cell>
          <cell r="B268" t="str">
            <v>ZMTD</v>
          </cell>
          <cell r="C268">
            <v>45552</v>
          </cell>
          <cell r="D268" t="str">
            <v>Not delivered</v>
          </cell>
          <cell r="E268">
            <v>507142762</v>
          </cell>
          <cell r="F268">
            <v>10</v>
          </cell>
          <cell r="G268">
            <v>1191832</v>
          </cell>
          <cell r="H268" t="str">
            <v>PT-085:BS CP INS 15GR WHITE ND 12A</v>
          </cell>
          <cell r="I268">
            <v>40000</v>
          </cell>
          <cell r="J268" t="str">
            <v>UN</v>
          </cell>
          <cell r="K268">
            <v>45570</v>
          </cell>
        </row>
        <row r="269">
          <cell r="A269" t="str">
            <v>50714267810</v>
          </cell>
          <cell r="B269" t="str">
            <v>ZMTD</v>
          </cell>
          <cell r="C269">
            <v>45527</v>
          </cell>
          <cell r="D269" t="str">
            <v>Not delivered</v>
          </cell>
          <cell r="E269">
            <v>507142678</v>
          </cell>
          <cell r="F269">
            <v>10</v>
          </cell>
          <cell r="G269">
            <v>1378563</v>
          </cell>
          <cell r="H269" t="str">
            <v>CP-093:CAP D50 MT BLACK Ø.5 YASULOR 12A</v>
          </cell>
          <cell r="I269">
            <v>450000</v>
          </cell>
          <cell r="J269" t="str">
            <v>UN</v>
          </cell>
          <cell r="K269">
            <v>45570</v>
          </cell>
        </row>
        <row r="270">
          <cell r="A270" t="str">
            <v>50714263220</v>
          </cell>
          <cell r="B270" t="str">
            <v>ZMTD</v>
          </cell>
          <cell r="C270">
            <v>45517</v>
          </cell>
          <cell r="D270" t="str">
            <v>Not delivered</v>
          </cell>
          <cell r="E270">
            <v>507142632</v>
          </cell>
          <cell r="F270">
            <v>20</v>
          </cell>
          <cell r="G270">
            <v>1371896</v>
          </cell>
          <cell r="H270" t="str">
            <v>RX-056:CM-316 CVR BLUE P/WHT SP/MTCLR</v>
          </cell>
          <cell r="I270">
            <v>110016</v>
          </cell>
          <cell r="J270" t="str">
            <v>UN</v>
          </cell>
          <cell r="K270">
            <v>45570</v>
          </cell>
        </row>
        <row r="271">
          <cell r="A271" t="str">
            <v>50714280110</v>
          </cell>
          <cell r="B271" t="str">
            <v>ZMTD</v>
          </cell>
          <cell r="C271">
            <v>45559</v>
          </cell>
          <cell r="D271" t="str">
            <v>Not delivered</v>
          </cell>
          <cell r="E271">
            <v>507142801</v>
          </cell>
          <cell r="F271">
            <v>10</v>
          </cell>
          <cell r="G271">
            <v>1141323</v>
          </cell>
          <cell r="H271" t="str">
            <v>CP-063:SPOUT CAP LOREAL</v>
          </cell>
          <cell r="I271">
            <v>17500</v>
          </cell>
          <cell r="J271" t="str">
            <v>UN</v>
          </cell>
          <cell r="K271">
            <v>45572</v>
          </cell>
        </row>
        <row r="272">
          <cell r="A272" t="str">
            <v>50714274710</v>
          </cell>
          <cell r="B272" t="str">
            <v>ZMTD</v>
          </cell>
          <cell r="C272">
            <v>45545</v>
          </cell>
          <cell r="D272" t="str">
            <v>Not delivered</v>
          </cell>
          <cell r="E272">
            <v>507142747</v>
          </cell>
          <cell r="F272">
            <v>10</v>
          </cell>
          <cell r="G272">
            <v>1141323</v>
          </cell>
          <cell r="H272" t="str">
            <v>CP-063:SPOUT CAP LOREAL</v>
          </cell>
          <cell r="I272">
            <v>1890000</v>
          </cell>
          <cell r="J272" t="str">
            <v>UN</v>
          </cell>
          <cell r="K272">
            <v>45572</v>
          </cell>
        </row>
        <row r="273">
          <cell r="A273" t="str">
            <v>50714274810</v>
          </cell>
          <cell r="B273" t="str">
            <v>ZMTD</v>
          </cell>
          <cell r="C273">
            <v>45545</v>
          </cell>
          <cell r="D273" t="str">
            <v>Not delivered</v>
          </cell>
          <cell r="E273">
            <v>507142748</v>
          </cell>
          <cell r="F273">
            <v>10</v>
          </cell>
          <cell r="G273">
            <v>1141323</v>
          </cell>
          <cell r="H273" t="str">
            <v>CP-063:SPOUT CAP LOREAL</v>
          </cell>
          <cell r="I273">
            <v>1890000</v>
          </cell>
          <cell r="J273" t="str">
            <v>UN</v>
          </cell>
          <cell r="K273">
            <v>45572</v>
          </cell>
        </row>
        <row r="274">
          <cell r="A274" t="str">
            <v>50714274910</v>
          </cell>
          <cell r="B274" t="str">
            <v>ZMTD</v>
          </cell>
          <cell r="C274">
            <v>45545</v>
          </cell>
          <cell r="D274" t="str">
            <v>Not delivered</v>
          </cell>
          <cell r="E274">
            <v>507142749</v>
          </cell>
          <cell r="F274">
            <v>10</v>
          </cell>
          <cell r="G274">
            <v>1141323</v>
          </cell>
          <cell r="H274" t="str">
            <v>CP-063:SPOUT CAP LOREAL</v>
          </cell>
          <cell r="I274">
            <v>1890000</v>
          </cell>
          <cell r="J274" t="str">
            <v>UN</v>
          </cell>
          <cell r="K274">
            <v>45572</v>
          </cell>
        </row>
        <row r="275">
          <cell r="A275" t="str">
            <v>50714275010</v>
          </cell>
          <cell r="B275" t="str">
            <v>ZMTD</v>
          </cell>
          <cell r="C275">
            <v>45545</v>
          </cell>
          <cell r="D275" t="str">
            <v>Not delivered</v>
          </cell>
          <cell r="E275">
            <v>507142750</v>
          </cell>
          <cell r="F275">
            <v>10</v>
          </cell>
          <cell r="G275">
            <v>1141323</v>
          </cell>
          <cell r="H275" t="str">
            <v>CP-063:SPOUT CAP LOREAL</v>
          </cell>
          <cell r="I275">
            <v>1890000</v>
          </cell>
          <cell r="J275" t="str">
            <v>UN</v>
          </cell>
          <cell r="K275">
            <v>45572</v>
          </cell>
        </row>
        <row r="276">
          <cell r="A276" t="str">
            <v>50714275110</v>
          </cell>
          <cell r="B276" t="str">
            <v>ZMTD</v>
          </cell>
          <cell r="C276">
            <v>45545</v>
          </cell>
          <cell r="D276" t="str">
            <v>Not delivered</v>
          </cell>
          <cell r="E276">
            <v>507142751</v>
          </cell>
          <cell r="F276">
            <v>10</v>
          </cell>
          <cell r="G276">
            <v>1141323</v>
          </cell>
          <cell r="H276" t="str">
            <v>CP-063:SPOUT CAP LOREAL</v>
          </cell>
          <cell r="I276">
            <v>840000</v>
          </cell>
          <cell r="J276" t="str">
            <v>UN</v>
          </cell>
          <cell r="K276">
            <v>45572</v>
          </cell>
        </row>
        <row r="277">
          <cell r="A277" t="str">
            <v>50714273210</v>
          </cell>
          <cell r="B277" t="str">
            <v>ZMTD</v>
          </cell>
          <cell r="C277">
            <v>45544</v>
          </cell>
          <cell r="D277" t="str">
            <v>Not delivered</v>
          </cell>
          <cell r="E277">
            <v>507142732</v>
          </cell>
          <cell r="F277">
            <v>10</v>
          </cell>
          <cell r="G277">
            <v>1411213</v>
          </cell>
          <cell r="H277" t="str">
            <v>CM-105:BLCK COAT P/MAKE OVER PTI RV1 40H</v>
          </cell>
          <cell r="I277">
            <v>20160</v>
          </cell>
          <cell r="J277" t="str">
            <v>UN</v>
          </cell>
          <cell r="K277">
            <v>45572</v>
          </cell>
        </row>
        <row r="278">
          <cell r="A278" t="str">
            <v>50714273410</v>
          </cell>
          <cell r="B278" t="str">
            <v>ZMTD</v>
          </cell>
          <cell r="C278">
            <v>45544</v>
          </cell>
          <cell r="D278" t="str">
            <v>Not delivered</v>
          </cell>
          <cell r="E278">
            <v>507142734</v>
          </cell>
          <cell r="F278">
            <v>10</v>
          </cell>
          <cell r="G278">
            <v>1388036</v>
          </cell>
          <cell r="H278" t="str">
            <v>CM-253:CV BS MTMAUVE P/C.BLSH RV1 PTI40H</v>
          </cell>
          <cell r="I278">
            <v>15120</v>
          </cell>
          <cell r="J278" t="str">
            <v>UN</v>
          </cell>
          <cell r="K278">
            <v>45572</v>
          </cell>
        </row>
        <row r="279">
          <cell r="A279" t="str">
            <v>50714268110</v>
          </cell>
          <cell r="B279" t="str">
            <v>ZMTD</v>
          </cell>
          <cell r="C279">
            <v>45532</v>
          </cell>
          <cell r="D279" t="str">
            <v>Not delivered</v>
          </cell>
          <cell r="E279">
            <v>507142681</v>
          </cell>
          <cell r="F279">
            <v>10</v>
          </cell>
          <cell r="G279">
            <v>1141323</v>
          </cell>
          <cell r="H279" t="str">
            <v>CP-063:SPOUT CAP LOREAL</v>
          </cell>
          <cell r="I279">
            <v>1890000</v>
          </cell>
          <cell r="J279" t="str">
            <v>UN</v>
          </cell>
          <cell r="K279">
            <v>45572</v>
          </cell>
        </row>
        <row r="280">
          <cell r="A280" t="str">
            <v>50714267410</v>
          </cell>
          <cell r="B280" t="str">
            <v>ZMTD</v>
          </cell>
          <cell r="C280">
            <v>45526</v>
          </cell>
          <cell r="D280" t="str">
            <v>Not delivered</v>
          </cell>
          <cell r="E280">
            <v>507142674</v>
          </cell>
          <cell r="F280">
            <v>10</v>
          </cell>
          <cell r="G280">
            <v>1141323</v>
          </cell>
          <cell r="H280" t="str">
            <v>CP-063:SPOUT CAP LOREAL</v>
          </cell>
          <cell r="I280">
            <v>1260000</v>
          </cell>
          <cell r="J280" t="str">
            <v>UN</v>
          </cell>
          <cell r="K280">
            <v>45572</v>
          </cell>
        </row>
        <row r="281">
          <cell r="A281" t="str">
            <v>50714266710</v>
          </cell>
          <cell r="B281" t="str">
            <v>ZMTD</v>
          </cell>
          <cell r="C281">
            <v>45525</v>
          </cell>
          <cell r="D281" t="str">
            <v>Not delivered</v>
          </cell>
          <cell r="E281">
            <v>507142667</v>
          </cell>
          <cell r="F281">
            <v>10</v>
          </cell>
          <cell r="G281">
            <v>1141323</v>
          </cell>
          <cell r="H281" t="str">
            <v>CP-063:SPOUT CAP LOREAL</v>
          </cell>
          <cell r="I281">
            <v>210000</v>
          </cell>
          <cell r="J281" t="str">
            <v>UN</v>
          </cell>
          <cell r="K281">
            <v>45572</v>
          </cell>
        </row>
        <row r="282">
          <cell r="A282" t="str">
            <v>50714265710</v>
          </cell>
          <cell r="B282" t="str">
            <v>ZMTD</v>
          </cell>
          <cell r="C282">
            <v>45524</v>
          </cell>
          <cell r="D282" t="str">
            <v>Not delivered</v>
          </cell>
          <cell r="E282">
            <v>507142657</v>
          </cell>
          <cell r="F282">
            <v>10</v>
          </cell>
          <cell r="G282">
            <v>1163327</v>
          </cell>
          <cell r="H282" t="str">
            <v>CM-246:CVR S.SLV PAN WHITE 6MPY 01 0034</v>
          </cell>
          <cell r="I282">
            <v>25056</v>
          </cell>
          <cell r="J282" t="str">
            <v>UN</v>
          </cell>
          <cell r="K282">
            <v>45572</v>
          </cell>
        </row>
        <row r="283">
          <cell r="A283" t="str">
            <v>50714265910</v>
          </cell>
          <cell r="B283" t="str">
            <v>ZMTD</v>
          </cell>
          <cell r="C283">
            <v>45524</v>
          </cell>
          <cell r="D283" t="str">
            <v>Not delivered</v>
          </cell>
          <cell r="E283">
            <v>507142659</v>
          </cell>
          <cell r="F283">
            <v>10</v>
          </cell>
          <cell r="G283">
            <v>1141323</v>
          </cell>
          <cell r="H283" t="str">
            <v>CP-063:SPOUT CAP LOREAL</v>
          </cell>
          <cell r="I283">
            <v>1890000</v>
          </cell>
          <cell r="J283" t="str">
            <v>UN</v>
          </cell>
          <cell r="K283">
            <v>45572</v>
          </cell>
        </row>
        <row r="284">
          <cell r="A284" t="str">
            <v>50714266010</v>
          </cell>
          <cell r="B284" t="str">
            <v>ZMTD</v>
          </cell>
          <cell r="C284">
            <v>45524</v>
          </cell>
          <cell r="D284" t="str">
            <v>Not delivered</v>
          </cell>
          <cell r="E284">
            <v>507142660</v>
          </cell>
          <cell r="F284">
            <v>10</v>
          </cell>
          <cell r="G284">
            <v>1141323</v>
          </cell>
          <cell r="H284" t="str">
            <v>CP-063:SPOUT CAP LOREAL</v>
          </cell>
          <cell r="I284">
            <v>1890000</v>
          </cell>
          <cell r="J284" t="str">
            <v>UN</v>
          </cell>
          <cell r="K284">
            <v>45572</v>
          </cell>
        </row>
        <row r="285">
          <cell r="A285" t="str">
            <v>50714261610</v>
          </cell>
          <cell r="B285" t="str">
            <v>ZMTD</v>
          </cell>
          <cell r="C285">
            <v>45511</v>
          </cell>
          <cell r="D285" t="str">
            <v>Not delivered</v>
          </cell>
          <cell r="E285">
            <v>507142616</v>
          </cell>
          <cell r="F285">
            <v>10</v>
          </cell>
          <cell r="G285">
            <v>1229927</v>
          </cell>
          <cell r="H285" t="str">
            <v>CM-273:INJ WHT 1PHS PURP PRSNAL COLCTION</v>
          </cell>
          <cell r="I285">
            <v>50000</v>
          </cell>
          <cell r="J285" t="str">
            <v>UN</v>
          </cell>
          <cell r="K285">
            <v>45572</v>
          </cell>
        </row>
        <row r="286">
          <cell r="A286" t="str">
            <v>50714257910</v>
          </cell>
          <cell r="B286" t="str">
            <v>ZMTD</v>
          </cell>
          <cell r="C286">
            <v>45502</v>
          </cell>
          <cell r="D286" t="str">
            <v>Not delivered</v>
          </cell>
          <cell r="E286">
            <v>507142579</v>
          </cell>
          <cell r="F286">
            <v>10</v>
          </cell>
          <cell r="G286">
            <v>1159912</v>
          </cell>
          <cell r="H286" t="str">
            <v>CP-064:CAP 25 SCREW BLK MT L'OREAL</v>
          </cell>
          <cell r="I286">
            <v>48000</v>
          </cell>
          <cell r="J286" t="str">
            <v>UN</v>
          </cell>
          <cell r="K286">
            <v>45572</v>
          </cell>
        </row>
        <row r="287">
          <cell r="A287" t="str">
            <v>50714254710</v>
          </cell>
          <cell r="B287" t="str">
            <v>ZMTD</v>
          </cell>
          <cell r="C287">
            <v>45492</v>
          </cell>
          <cell r="D287" t="str">
            <v>Not delivered</v>
          </cell>
          <cell r="E287">
            <v>507142547</v>
          </cell>
          <cell r="F287">
            <v>10</v>
          </cell>
          <cell r="G287">
            <v>1159912</v>
          </cell>
          <cell r="H287" t="str">
            <v>CP-064:CAP 25 SCREW BLK MT L'OREAL</v>
          </cell>
          <cell r="I287">
            <v>102000</v>
          </cell>
          <cell r="J287" t="str">
            <v>UN</v>
          </cell>
          <cell r="K287">
            <v>45572</v>
          </cell>
        </row>
        <row r="288">
          <cell r="A288" t="str">
            <v>50714180810</v>
          </cell>
          <cell r="B288" t="str">
            <v>ZMTD</v>
          </cell>
          <cell r="C288">
            <v>45350</v>
          </cell>
          <cell r="D288" t="str">
            <v>Not delivered</v>
          </cell>
          <cell r="E288">
            <v>507141808</v>
          </cell>
          <cell r="F288">
            <v>10</v>
          </cell>
          <cell r="G288">
            <v>1404888</v>
          </cell>
          <cell r="H288" t="str">
            <v>LS-091:BS MGNTA P/SHEER COLOR ROHTO 60B</v>
          </cell>
          <cell r="I288">
            <v>14820</v>
          </cell>
          <cell r="J288" t="str">
            <v>UN</v>
          </cell>
          <cell r="K288">
            <v>45572</v>
          </cell>
        </row>
        <row r="289">
          <cell r="A289" t="str">
            <v>50714180820</v>
          </cell>
          <cell r="B289" t="str">
            <v>ZMTD</v>
          </cell>
          <cell r="C289">
            <v>45350</v>
          </cell>
          <cell r="D289" t="str">
            <v>Not delivered</v>
          </cell>
          <cell r="E289">
            <v>507141808</v>
          </cell>
          <cell r="F289">
            <v>20</v>
          </cell>
          <cell r="G289">
            <v>1404886</v>
          </cell>
          <cell r="H289" t="str">
            <v>LS-091:CVR MGNTA GRAD UV P/CHERRY ROHTO</v>
          </cell>
          <cell r="I289">
            <v>14820</v>
          </cell>
          <cell r="J289" t="str">
            <v>UN</v>
          </cell>
          <cell r="K289">
            <v>45572</v>
          </cell>
        </row>
        <row r="290">
          <cell r="A290" t="str">
            <v>50714273610</v>
          </cell>
          <cell r="B290" t="str">
            <v>ZMTD</v>
          </cell>
          <cell r="C290">
            <v>45544</v>
          </cell>
          <cell r="D290" t="str">
            <v>Not delivered</v>
          </cell>
          <cell r="E290">
            <v>507142736</v>
          </cell>
          <cell r="F290">
            <v>10</v>
          </cell>
          <cell r="G290">
            <v>1408740</v>
          </cell>
          <cell r="H290" t="str">
            <v>PT-097B:BDSR.2 BLU HOUS WHT TRNS PTI12A</v>
          </cell>
          <cell r="I290">
            <v>110160</v>
          </cell>
          <cell r="J290" t="str">
            <v>UN</v>
          </cell>
          <cell r="K290">
            <v>45573</v>
          </cell>
        </row>
        <row r="291">
          <cell r="A291" t="str">
            <v>50714273620</v>
          </cell>
          <cell r="B291" t="str">
            <v>ZMTD</v>
          </cell>
          <cell r="C291">
            <v>45544</v>
          </cell>
          <cell r="D291" t="str">
            <v>Not delivered</v>
          </cell>
          <cell r="E291">
            <v>507142736</v>
          </cell>
          <cell r="F291">
            <v>20</v>
          </cell>
          <cell r="G291">
            <v>1408739</v>
          </cell>
          <cell r="H291" t="str">
            <v>PT-097B:CAP SR.2 BLUE TRANS PTI 12A</v>
          </cell>
          <cell r="I291">
            <v>110160</v>
          </cell>
          <cell r="J291" t="str">
            <v>UN</v>
          </cell>
          <cell r="K291">
            <v>45573</v>
          </cell>
        </row>
        <row r="292">
          <cell r="A292" t="str">
            <v>50714273920</v>
          </cell>
          <cell r="B292" t="str">
            <v>ZMTD</v>
          </cell>
          <cell r="C292">
            <v>45544</v>
          </cell>
          <cell r="D292" t="str">
            <v>Not delivered</v>
          </cell>
          <cell r="E292">
            <v>507142739</v>
          </cell>
          <cell r="F292">
            <v>20</v>
          </cell>
          <cell r="G292">
            <v>1409881</v>
          </cell>
          <cell r="H292" t="str">
            <v>CM-315:CVR/BS BLACK P/CVRLAST OMG RV160B</v>
          </cell>
          <cell r="I292">
            <v>50204</v>
          </cell>
          <cell r="J292" t="str">
            <v>UN</v>
          </cell>
          <cell r="K292">
            <v>45573</v>
          </cell>
        </row>
        <row r="293">
          <cell r="A293" t="str">
            <v>50714274010</v>
          </cell>
          <cell r="B293" t="str">
            <v>ZMTD</v>
          </cell>
          <cell r="C293">
            <v>45544</v>
          </cell>
          <cell r="D293" t="str">
            <v>Not delivered</v>
          </cell>
          <cell r="E293">
            <v>507142740</v>
          </cell>
          <cell r="F293">
            <v>10</v>
          </cell>
          <cell r="G293">
            <v>1340516</v>
          </cell>
          <cell r="H293" t="str">
            <v>CM-133:CVR BS MTLC GRN UV DP S/WARDH 30T</v>
          </cell>
          <cell r="I293">
            <v>10080</v>
          </cell>
          <cell r="J293" t="str">
            <v>UN</v>
          </cell>
          <cell r="K293">
            <v>45573</v>
          </cell>
        </row>
        <row r="294">
          <cell r="A294" t="str">
            <v>50714272310</v>
          </cell>
          <cell r="B294" t="str">
            <v>ZMTD</v>
          </cell>
          <cell r="C294">
            <v>45541</v>
          </cell>
          <cell r="D294" t="str">
            <v>Not delivered</v>
          </cell>
          <cell r="E294">
            <v>507142723</v>
          </cell>
          <cell r="F294">
            <v>10</v>
          </cell>
          <cell r="G294">
            <v>1409850</v>
          </cell>
          <cell r="H294" t="str">
            <v>RX-068:BT8445 VENUS 60ML MATCLR 40D</v>
          </cell>
          <cell r="I294">
            <v>33000</v>
          </cell>
          <cell r="J294" t="str">
            <v>UN</v>
          </cell>
          <cell r="K294">
            <v>45573</v>
          </cell>
        </row>
        <row r="295">
          <cell r="A295" t="str">
            <v>50714272510</v>
          </cell>
          <cell r="B295" t="str">
            <v>ZMTD</v>
          </cell>
          <cell r="C295">
            <v>45541</v>
          </cell>
          <cell r="D295" t="str">
            <v>Not delivered</v>
          </cell>
          <cell r="E295">
            <v>507142725</v>
          </cell>
          <cell r="F295">
            <v>10</v>
          </cell>
          <cell r="G295">
            <v>1420605</v>
          </cell>
          <cell r="H295" t="str">
            <v>CM-253:CV BS MT BRICK 06 P/C.BLSH PTI40H</v>
          </cell>
          <cell r="I295">
            <v>15120</v>
          </cell>
          <cell r="J295" t="str">
            <v>UN</v>
          </cell>
          <cell r="K295">
            <v>45573</v>
          </cell>
        </row>
        <row r="296">
          <cell r="A296" t="str">
            <v>50714268610</v>
          </cell>
          <cell r="B296" t="str">
            <v>ZMTD</v>
          </cell>
          <cell r="C296">
            <v>45532</v>
          </cell>
          <cell r="D296" t="str">
            <v>Partially delivered</v>
          </cell>
          <cell r="E296">
            <v>507142686</v>
          </cell>
          <cell r="F296">
            <v>10</v>
          </cell>
          <cell r="G296">
            <v>1420861</v>
          </cell>
          <cell r="H296" t="str">
            <v>CM-253:CV BS MT PLUM 05  P/C.BLSH PTI40H</v>
          </cell>
          <cell r="I296">
            <v>15120</v>
          </cell>
          <cell r="J296" t="str">
            <v>UN</v>
          </cell>
          <cell r="K296">
            <v>45573</v>
          </cell>
        </row>
        <row r="297">
          <cell r="A297" t="str">
            <v>50714265410</v>
          </cell>
          <cell r="B297" t="str">
            <v>ZMTD</v>
          </cell>
          <cell r="C297">
            <v>45523</v>
          </cell>
          <cell r="D297" t="str">
            <v>Not delivered</v>
          </cell>
          <cell r="E297">
            <v>507142654</v>
          </cell>
          <cell r="F297">
            <v>10</v>
          </cell>
          <cell r="G297">
            <v>1420605</v>
          </cell>
          <cell r="H297" t="str">
            <v>CM-253:CV BS MT BRICK 06 P/C.BLSH PTI40H</v>
          </cell>
          <cell r="I297">
            <v>15120</v>
          </cell>
          <cell r="J297" t="str">
            <v>UN</v>
          </cell>
          <cell r="K297">
            <v>45573</v>
          </cell>
        </row>
        <row r="298">
          <cell r="A298" t="str">
            <v>50800525230</v>
          </cell>
          <cell r="B298" t="str">
            <v>ZMFD</v>
          </cell>
          <cell r="C298">
            <v>45512</v>
          </cell>
          <cell r="D298" t="str">
            <v>Not delivered</v>
          </cell>
          <cell r="E298">
            <v>508005252</v>
          </cell>
          <cell r="F298">
            <v>30</v>
          </cell>
          <cell r="G298">
            <v>1382368</v>
          </cell>
          <cell r="H298" t="str">
            <v>CP-067R:FT CAP35 SNAP BLK MATTE  Ø5 LRL</v>
          </cell>
          <cell r="I298">
            <v>400000</v>
          </cell>
          <cell r="J298" t="str">
            <v>UN</v>
          </cell>
          <cell r="K298">
            <v>45573</v>
          </cell>
        </row>
        <row r="299">
          <cell r="A299" t="str">
            <v>50714257810</v>
          </cell>
          <cell r="B299" t="str">
            <v>ZMTD</v>
          </cell>
          <cell r="C299">
            <v>45502</v>
          </cell>
          <cell r="D299" t="str">
            <v>Partially delivered</v>
          </cell>
          <cell r="E299">
            <v>507142578</v>
          </cell>
          <cell r="F299">
            <v>10</v>
          </cell>
          <cell r="G299">
            <v>1432954</v>
          </cell>
          <cell r="H299" t="str">
            <v>LC-002:CAP RED P/SPICYCHARM RAMA 60B</v>
          </cell>
          <cell r="I299">
            <v>31000</v>
          </cell>
          <cell r="J299" t="str">
            <v>UN</v>
          </cell>
          <cell r="K299">
            <v>45573</v>
          </cell>
        </row>
        <row r="300">
          <cell r="A300" t="str">
            <v>50714257820</v>
          </cell>
          <cell r="B300" t="str">
            <v>ZMTD</v>
          </cell>
          <cell r="C300">
            <v>45502</v>
          </cell>
          <cell r="D300" t="str">
            <v>Partially delivered</v>
          </cell>
          <cell r="E300">
            <v>507142578</v>
          </cell>
          <cell r="F300">
            <v>20</v>
          </cell>
          <cell r="G300">
            <v>1433095</v>
          </cell>
          <cell r="H300" t="str">
            <v>LC-002:BTL CLR HTF/SPICY CHRM CHILI RAMA</v>
          </cell>
          <cell r="I300">
            <v>31000</v>
          </cell>
          <cell r="J300" t="str">
            <v>UN</v>
          </cell>
          <cell r="K300">
            <v>45573</v>
          </cell>
        </row>
        <row r="301">
          <cell r="A301" t="str">
            <v>50714257830</v>
          </cell>
          <cell r="B301" t="str">
            <v>ZMTD</v>
          </cell>
          <cell r="C301">
            <v>45502</v>
          </cell>
          <cell r="D301" t="str">
            <v>Partially delivered</v>
          </cell>
          <cell r="E301">
            <v>507142578</v>
          </cell>
          <cell r="F301">
            <v>30</v>
          </cell>
          <cell r="G301">
            <v>1433092</v>
          </cell>
          <cell r="H301" t="str">
            <v>LC-002:CAP PINK P/BLUSH BLSOM RAMA 60B</v>
          </cell>
          <cell r="I301">
            <v>31000</v>
          </cell>
          <cell r="J301" t="str">
            <v>UN</v>
          </cell>
          <cell r="K301">
            <v>45573</v>
          </cell>
        </row>
        <row r="302">
          <cell r="A302" t="str">
            <v>50714257840</v>
          </cell>
          <cell r="B302" t="str">
            <v>ZMTD</v>
          </cell>
          <cell r="C302">
            <v>45502</v>
          </cell>
          <cell r="D302" t="str">
            <v>Partially delivered</v>
          </cell>
          <cell r="E302">
            <v>507142578</v>
          </cell>
          <cell r="F302">
            <v>40</v>
          </cell>
          <cell r="G302">
            <v>1432953</v>
          </cell>
          <cell r="H302" t="str">
            <v>LC-002:BTL CLR HTF/BLUSH BLSOMCHILI RAMA</v>
          </cell>
          <cell r="I302">
            <v>31000</v>
          </cell>
          <cell r="J302" t="str">
            <v>UN</v>
          </cell>
          <cell r="K302">
            <v>45573</v>
          </cell>
        </row>
        <row r="303">
          <cell r="A303" t="str">
            <v>50714257850</v>
          </cell>
          <cell r="B303" t="str">
            <v>ZMTD</v>
          </cell>
          <cell r="C303">
            <v>45502</v>
          </cell>
          <cell r="D303" t="str">
            <v>Partially delivered</v>
          </cell>
          <cell r="E303">
            <v>507142578</v>
          </cell>
          <cell r="F303">
            <v>50</v>
          </cell>
          <cell r="G303">
            <v>1433012</v>
          </cell>
          <cell r="H303" t="str">
            <v>LC-002:CAP ORANGE P/SUNKISTOMATO RAMA60B</v>
          </cell>
          <cell r="I303">
            <v>31000</v>
          </cell>
          <cell r="J303" t="str">
            <v>UN</v>
          </cell>
          <cell r="K303">
            <v>45573</v>
          </cell>
        </row>
        <row r="304">
          <cell r="A304" t="str">
            <v>50714257860</v>
          </cell>
          <cell r="B304" t="str">
            <v>ZMTD</v>
          </cell>
          <cell r="C304">
            <v>45502</v>
          </cell>
          <cell r="D304" t="str">
            <v>Partially delivered</v>
          </cell>
          <cell r="E304">
            <v>507142578</v>
          </cell>
          <cell r="F304">
            <v>60</v>
          </cell>
          <cell r="G304">
            <v>1433011</v>
          </cell>
          <cell r="H304" t="str">
            <v>LC-002:BTL CLR HTF/SUNKISSEDTOMATO RAMA</v>
          </cell>
          <cell r="I304">
            <v>31000</v>
          </cell>
          <cell r="J304" t="str">
            <v>UN</v>
          </cell>
          <cell r="K304">
            <v>45573</v>
          </cell>
        </row>
        <row r="305">
          <cell r="A305" t="str">
            <v>50714241630</v>
          </cell>
          <cell r="B305" t="str">
            <v>ZMTD</v>
          </cell>
          <cell r="C305">
            <v>45474</v>
          </cell>
          <cell r="D305" t="str">
            <v>Not delivered</v>
          </cell>
          <cell r="E305">
            <v>507142416</v>
          </cell>
          <cell r="F305">
            <v>30</v>
          </cell>
          <cell r="G305">
            <v>1376248</v>
          </cell>
          <cell r="H305" t="str">
            <v>FP-008:CVR L.PINK P/BLK MANDOM RV1 12A</v>
          </cell>
          <cell r="I305">
            <v>10000</v>
          </cell>
          <cell r="J305" t="str">
            <v>UN</v>
          </cell>
          <cell r="K305">
            <v>45573</v>
          </cell>
        </row>
        <row r="306">
          <cell r="A306" t="str">
            <v>50714241640</v>
          </cell>
          <cell r="B306" t="str">
            <v>ZMTD</v>
          </cell>
          <cell r="C306">
            <v>45474</v>
          </cell>
          <cell r="D306" t="str">
            <v>Not delivered</v>
          </cell>
          <cell r="E306">
            <v>507142416</v>
          </cell>
          <cell r="F306">
            <v>40</v>
          </cell>
          <cell r="G306">
            <v>1171179</v>
          </cell>
          <cell r="H306" t="str">
            <v>FP-008:BS INJ BLK NO DC MANDOM</v>
          </cell>
          <cell r="I306">
            <v>10000</v>
          </cell>
          <cell r="J306" t="str">
            <v>UN</v>
          </cell>
          <cell r="K306">
            <v>45573</v>
          </cell>
        </row>
        <row r="307">
          <cell r="A307" t="str">
            <v>50714241650</v>
          </cell>
          <cell r="B307" t="str">
            <v>ZMTD</v>
          </cell>
          <cell r="C307">
            <v>45474</v>
          </cell>
          <cell r="D307" t="str">
            <v>Not delivered</v>
          </cell>
          <cell r="E307">
            <v>507142416</v>
          </cell>
          <cell r="F307">
            <v>50</v>
          </cell>
          <cell r="G307">
            <v>1172027</v>
          </cell>
          <cell r="H307" t="str">
            <v>FP-008:SFT NAT L.HINGE W/LBL NO DC MDM</v>
          </cell>
          <cell r="I307">
            <v>10000</v>
          </cell>
          <cell r="J307" t="str">
            <v>UN</v>
          </cell>
          <cell r="K307">
            <v>45573</v>
          </cell>
        </row>
        <row r="308">
          <cell r="A308" t="str">
            <v>507142416120</v>
          </cell>
          <cell r="B308" t="str">
            <v>ZMTD</v>
          </cell>
          <cell r="C308">
            <v>45474</v>
          </cell>
          <cell r="D308" t="str">
            <v>Not delivered</v>
          </cell>
          <cell r="E308">
            <v>507142416</v>
          </cell>
          <cell r="F308">
            <v>120</v>
          </cell>
          <cell r="G308">
            <v>1255971</v>
          </cell>
          <cell r="H308" t="str">
            <v>LS-285:COVER PINK PX LCC NO DC MNDOM 12A</v>
          </cell>
          <cell r="I308">
            <v>10000</v>
          </cell>
          <cell r="J308" t="str">
            <v>UN</v>
          </cell>
          <cell r="K308">
            <v>45573</v>
          </cell>
        </row>
        <row r="309">
          <cell r="A309" t="str">
            <v>507142416130</v>
          </cell>
          <cell r="B309" t="str">
            <v>ZMTD</v>
          </cell>
          <cell r="C309">
            <v>45474</v>
          </cell>
          <cell r="D309" t="str">
            <v>Not delivered</v>
          </cell>
          <cell r="E309">
            <v>507142416</v>
          </cell>
          <cell r="F309">
            <v>130</v>
          </cell>
          <cell r="G309">
            <v>1393255</v>
          </cell>
          <cell r="H309" t="str">
            <v>LS-285:BS PINK PX LCC P/BLK MNDOM RV160B</v>
          </cell>
          <cell r="I309">
            <v>10000</v>
          </cell>
          <cell r="J309" t="str">
            <v>UN</v>
          </cell>
          <cell r="K309">
            <v>45573</v>
          </cell>
        </row>
        <row r="310">
          <cell r="A310" t="str">
            <v>50714227710</v>
          </cell>
          <cell r="B310" t="str">
            <v>ZMTD</v>
          </cell>
          <cell r="C310">
            <v>45447</v>
          </cell>
          <cell r="D310" t="str">
            <v>Not delivered</v>
          </cell>
          <cell r="E310">
            <v>507142277</v>
          </cell>
          <cell r="F310">
            <v>10</v>
          </cell>
          <cell r="G310">
            <v>1419488</v>
          </cell>
          <cell r="H310" t="str">
            <v>CP-063R:SPOUT CAP WHITE LOREAL 12A</v>
          </cell>
          <cell r="I310">
            <v>1890000</v>
          </cell>
          <cell r="J310" t="str">
            <v>UN</v>
          </cell>
          <cell r="K310">
            <v>45573</v>
          </cell>
        </row>
        <row r="311">
          <cell r="A311" t="str">
            <v>50714256230</v>
          </cell>
          <cell r="B311" t="str">
            <v>ZMTD</v>
          </cell>
          <cell r="C311">
            <v>45496</v>
          </cell>
          <cell r="D311" t="str">
            <v>Not delivered</v>
          </cell>
          <cell r="E311">
            <v>507142562</v>
          </cell>
          <cell r="F311">
            <v>30</v>
          </cell>
          <cell r="G311">
            <v>1428696</v>
          </cell>
          <cell r="H311" t="str">
            <v>PT-055:BD ANTI-PERS 94006-BS2 INERPARFUM</v>
          </cell>
          <cell r="I311">
            <v>81675</v>
          </cell>
          <cell r="J311" t="str">
            <v>UN</v>
          </cell>
          <cell r="K311">
            <v>45573</v>
          </cell>
        </row>
        <row r="312">
          <cell r="A312" t="str">
            <v>50714256240</v>
          </cell>
          <cell r="B312" t="str">
            <v>ZMTD</v>
          </cell>
          <cell r="C312">
            <v>45496</v>
          </cell>
          <cell r="D312" t="str">
            <v>Not delivered</v>
          </cell>
          <cell r="E312">
            <v>507142562</v>
          </cell>
          <cell r="F312">
            <v>40</v>
          </cell>
          <cell r="G312">
            <v>1313073</v>
          </cell>
          <cell r="H312" t="str">
            <v>PT-055:PLUG BEIGE CASHMERE INTERPARFUM</v>
          </cell>
          <cell r="I312">
            <v>83430</v>
          </cell>
          <cell r="J312" t="str">
            <v>UN</v>
          </cell>
          <cell r="K312">
            <v>45573</v>
          </cell>
        </row>
        <row r="313">
          <cell r="A313" t="str">
            <v>50714275730</v>
          </cell>
          <cell r="B313" t="str">
            <v>ZMTD</v>
          </cell>
          <cell r="C313">
            <v>45547</v>
          </cell>
          <cell r="D313" t="str">
            <v>Not delivered</v>
          </cell>
          <cell r="E313">
            <v>507142757</v>
          </cell>
          <cell r="F313">
            <v>30</v>
          </cell>
          <cell r="G313">
            <v>1411701</v>
          </cell>
          <cell r="H313" t="str">
            <v>PT-100:BS/INS BLUE P/WHT KAHF PTI 60B</v>
          </cell>
          <cell r="I313">
            <v>120064</v>
          </cell>
          <cell r="J313" t="str">
            <v>UN</v>
          </cell>
          <cell r="K313">
            <v>45574</v>
          </cell>
        </row>
        <row r="314">
          <cell r="A314" t="str">
            <v>50714275740</v>
          </cell>
          <cell r="B314" t="str">
            <v>ZMTD</v>
          </cell>
          <cell r="C314">
            <v>45547</v>
          </cell>
          <cell r="D314" t="str">
            <v>Not delivered</v>
          </cell>
          <cell r="E314">
            <v>507142757</v>
          </cell>
          <cell r="F314">
            <v>40</v>
          </cell>
          <cell r="G314">
            <v>1411700</v>
          </cell>
          <cell r="H314" t="str">
            <v>PT-100:CVR MT.BLUE EMBOS KAHF PTI 40D</v>
          </cell>
          <cell r="I314">
            <v>120064</v>
          </cell>
          <cell r="J314" t="str">
            <v>UN</v>
          </cell>
          <cell r="K314">
            <v>45574</v>
          </cell>
        </row>
        <row r="315">
          <cell r="A315" t="str">
            <v>50714269350</v>
          </cell>
          <cell r="B315" t="str">
            <v>ZMTD</v>
          </cell>
          <cell r="C315">
            <v>45532</v>
          </cell>
          <cell r="D315" t="str">
            <v>Not delivered</v>
          </cell>
          <cell r="E315">
            <v>507142693</v>
          </cell>
          <cell r="F315">
            <v>50</v>
          </cell>
          <cell r="G315">
            <v>1375595</v>
          </cell>
          <cell r="H315" t="str">
            <v>LC-009:BTL/INNER CLEAR P/OMG PTIPT 60B</v>
          </cell>
          <cell r="I315">
            <v>149310</v>
          </cell>
          <cell r="J315" t="str">
            <v>UN</v>
          </cell>
          <cell r="K315">
            <v>45574</v>
          </cell>
        </row>
        <row r="316">
          <cell r="A316" t="str">
            <v>50714269360</v>
          </cell>
          <cell r="B316" t="str">
            <v>ZMTD</v>
          </cell>
          <cell r="C316">
            <v>45532</v>
          </cell>
          <cell r="D316" t="str">
            <v>Not delivered</v>
          </cell>
          <cell r="E316">
            <v>507142693</v>
          </cell>
          <cell r="F316">
            <v>60</v>
          </cell>
          <cell r="G316">
            <v>1375593</v>
          </cell>
          <cell r="H316" t="str">
            <v>LC-009:CAP REDTRANS WIP S/OMG PTIPT 60B</v>
          </cell>
          <cell r="I316">
            <v>149310</v>
          </cell>
          <cell r="J316" t="str">
            <v>UN</v>
          </cell>
          <cell r="K316">
            <v>45574</v>
          </cell>
        </row>
        <row r="317">
          <cell r="A317" t="str">
            <v>50714260310</v>
          </cell>
          <cell r="B317" t="str">
            <v>ZMTD</v>
          </cell>
          <cell r="C317">
            <v>45509</v>
          </cell>
          <cell r="D317" t="str">
            <v>Not delivered</v>
          </cell>
          <cell r="E317">
            <v>507142603</v>
          </cell>
          <cell r="F317">
            <v>10</v>
          </cell>
          <cell r="G317">
            <v>1217479</v>
          </cell>
          <cell r="H317" t="str">
            <v>CM-172:8W UV SLV P/ S.CLNQ 6P40010031 EL</v>
          </cell>
          <cell r="I317">
            <v>25080</v>
          </cell>
          <cell r="J317" t="str">
            <v>UN</v>
          </cell>
          <cell r="K317">
            <v>45574</v>
          </cell>
        </row>
        <row r="318">
          <cell r="A318" t="str">
            <v>50714250620</v>
          </cell>
          <cell r="B318" t="str">
            <v>ZMTD</v>
          </cell>
          <cell r="C318">
            <v>45488</v>
          </cell>
          <cell r="D318" t="str">
            <v>Partially delivered</v>
          </cell>
          <cell r="E318">
            <v>507142506</v>
          </cell>
          <cell r="F318">
            <v>20</v>
          </cell>
          <cell r="G318">
            <v>1276491</v>
          </cell>
          <cell r="H318" t="str">
            <v>CM-105:CV VM RSGLD BS MT P/INSTA PTI 20X</v>
          </cell>
          <cell r="I318">
            <v>24960</v>
          </cell>
          <cell r="J318" t="str">
            <v>UN</v>
          </cell>
          <cell r="K318">
            <v>45574</v>
          </cell>
        </row>
        <row r="319">
          <cell r="A319" t="str">
            <v>50714277010</v>
          </cell>
          <cell r="B319" t="str">
            <v>ZMTD</v>
          </cell>
          <cell r="C319">
            <v>45554</v>
          </cell>
          <cell r="D319" t="str">
            <v>Not delivered</v>
          </cell>
          <cell r="E319">
            <v>507142770</v>
          </cell>
          <cell r="F319">
            <v>10</v>
          </cell>
          <cell r="G319">
            <v>1378563</v>
          </cell>
          <cell r="H319" t="str">
            <v>CP-093:CAP D50 MT BLACK Ø.5 YASULOR 12A</v>
          </cell>
          <cell r="I319">
            <v>600000</v>
          </cell>
          <cell r="J319" t="str">
            <v>UN</v>
          </cell>
          <cell r="K319">
            <v>45575</v>
          </cell>
        </row>
        <row r="320">
          <cell r="A320" t="str">
            <v>50714276910</v>
          </cell>
          <cell r="B320" t="str">
            <v>ZMTD</v>
          </cell>
          <cell r="C320">
            <v>45553</v>
          </cell>
          <cell r="D320" t="str">
            <v>Not delivered</v>
          </cell>
          <cell r="E320">
            <v>507142769</v>
          </cell>
          <cell r="F320">
            <v>10</v>
          </cell>
          <cell r="G320">
            <v>1167571</v>
          </cell>
          <cell r="H320" t="str">
            <v>FP-014:BS CLEAR NO DC PTI</v>
          </cell>
          <cell r="I320">
            <v>30096</v>
          </cell>
          <cell r="J320" t="str">
            <v>UN</v>
          </cell>
          <cell r="K320">
            <v>45575</v>
          </cell>
        </row>
        <row r="321">
          <cell r="A321" t="str">
            <v>50714276920</v>
          </cell>
          <cell r="B321" t="str">
            <v>ZMTD</v>
          </cell>
          <cell r="C321">
            <v>45553</v>
          </cell>
          <cell r="D321" t="str">
            <v>Not delivered</v>
          </cell>
          <cell r="E321">
            <v>507142769</v>
          </cell>
          <cell r="F321">
            <v>20</v>
          </cell>
          <cell r="G321">
            <v>1174020</v>
          </cell>
          <cell r="H321" t="str">
            <v>FP-014:CVR BLCK COAT P/DC MAKE OVER  PTI</v>
          </cell>
          <cell r="I321">
            <v>30096</v>
          </cell>
          <cell r="J321" t="str">
            <v>UN</v>
          </cell>
          <cell r="K321">
            <v>45575</v>
          </cell>
        </row>
        <row r="322">
          <cell r="A322" t="str">
            <v>50714276930</v>
          </cell>
          <cell r="B322" t="str">
            <v>ZMTD</v>
          </cell>
          <cell r="C322">
            <v>45553</v>
          </cell>
          <cell r="D322" t="str">
            <v>Not delivered</v>
          </cell>
          <cell r="E322">
            <v>507142769</v>
          </cell>
          <cell r="F322">
            <v>30</v>
          </cell>
          <cell r="G322">
            <v>1167434</v>
          </cell>
          <cell r="H322" t="str">
            <v>FP-014:SFTR NATURAL W/ LABEL POLOS PTI</v>
          </cell>
          <cell r="I322">
            <v>30096</v>
          </cell>
          <cell r="J322" t="str">
            <v>UN</v>
          </cell>
          <cell r="K322">
            <v>45575</v>
          </cell>
        </row>
        <row r="323">
          <cell r="A323" t="str">
            <v>50714274310</v>
          </cell>
          <cell r="B323" t="str">
            <v>ZMTD</v>
          </cell>
          <cell r="C323">
            <v>45544</v>
          </cell>
          <cell r="D323" t="str">
            <v>Not delivered</v>
          </cell>
          <cell r="E323">
            <v>507142743</v>
          </cell>
          <cell r="F323">
            <v>10</v>
          </cell>
          <cell r="G323">
            <v>1388036</v>
          </cell>
          <cell r="H323" t="str">
            <v>CM-253:CV BS MTMAUVE P/C.BLSH RV1 PTI40H</v>
          </cell>
          <cell r="I323">
            <v>15120</v>
          </cell>
          <cell r="J323" t="str">
            <v>UN</v>
          </cell>
          <cell r="K323">
            <v>45575</v>
          </cell>
        </row>
        <row r="324">
          <cell r="A324" t="str">
            <v>50714272710</v>
          </cell>
          <cell r="B324" t="str">
            <v>ZMTD</v>
          </cell>
          <cell r="C324">
            <v>45541</v>
          </cell>
          <cell r="D324" t="str">
            <v>Not delivered</v>
          </cell>
          <cell r="E324">
            <v>507142727</v>
          </cell>
          <cell r="F324">
            <v>10</v>
          </cell>
          <cell r="G324">
            <v>1285453</v>
          </cell>
          <cell r="H324" t="str">
            <v>CM-216:TRUE MATCH PP CV PF S/SLV LOR US</v>
          </cell>
          <cell r="I324">
            <v>125400</v>
          </cell>
          <cell r="J324" t="str">
            <v>UN</v>
          </cell>
          <cell r="K324">
            <v>45575</v>
          </cell>
        </row>
        <row r="325">
          <cell r="A325" t="str">
            <v>50714257410</v>
          </cell>
          <cell r="B325" t="str">
            <v>ZMTD</v>
          </cell>
          <cell r="C325">
            <v>45499</v>
          </cell>
          <cell r="D325" t="str">
            <v>Not delivered</v>
          </cell>
          <cell r="E325">
            <v>507142574</v>
          </cell>
          <cell r="F325">
            <v>10</v>
          </cell>
          <cell r="G325">
            <v>1431860</v>
          </cell>
          <cell r="H325" t="str">
            <v>PT6029R CAP GARNIER 18ML WHITE PLZ (553)</v>
          </cell>
          <cell r="I325">
            <v>52080</v>
          </cell>
          <cell r="J325" t="str">
            <v>UN</v>
          </cell>
          <cell r="K325">
            <v>45575</v>
          </cell>
        </row>
        <row r="326">
          <cell r="A326" t="str">
            <v>50714256110</v>
          </cell>
          <cell r="B326" t="str">
            <v>ZMTD</v>
          </cell>
          <cell r="C326">
            <v>45496</v>
          </cell>
          <cell r="D326" t="str">
            <v>Not delivered</v>
          </cell>
          <cell r="E326">
            <v>507142561</v>
          </cell>
          <cell r="F326">
            <v>10</v>
          </cell>
          <cell r="G326">
            <v>1279282</v>
          </cell>
          <cell r="H326" t="str">
            <v>VT:TG-001 IXPE 560X357X2 MM US</v>
          </cell>
          <cell r="I326">
            <v>22260</v>
          </cell>
          <cell r="J326" t="str">
            <v>UN</v>
          </cell>
          <cell r="K326">
            <v>45575</v>
          </cell>
        </row>
        <row r="327">
          <cell r="A327" t="str">
            <v>50800516730</v>
          </cell>
          <cell r="B327" t="str">
            <v>ZMFD</v>
          </cell>
          <cell r="C327">
            <v>45476</v>
          </cell>
          <cell r="D327" t="str">
            <v>Not delivered</v>
          </cell>
          <cell r="E327">
            <v>508005167</v>
          </cell>
          <cell r="F327">
            <v>30</v>
          </cell>
          <cell r="G327">
            <v>1361170</v>
          </cell>
          <cell r="H327" t="str">
            <v>PT-097:BODY BLACK HOUSE WHT TRANS PTI12A</v>
          </cell>
          <cell r="I327">
            <v>220000</v>
          </cell>
          <cell r="J327" t="str">
            <v>UN</v>
          </cell>
          <cell r="K327">
            <v>45575</v>
          </cell>
        </row>
        <row r="328">
          <cell r="A328" t="str">
            <v>50800516740</v>
          </cell>
          <cell r="B328" t="str">
            <v>ZMFD</v>
          </cell>
          <cell r="C328">
            <v>45476</v>
          </cell>
          <cell r="D328" t="str">
            <v>Not delivered</v>
          </cell>
          <cell r="E328">
            <v>508005167</v>
          </cell>
          <cell r="F328">
            <v>40</v>
          </cell>
          <cell r="G328">
            <v>1361175</v>
          </cell>
          <cell r="H328" t="str">
            <v>PT-097:CAP BLACK TRANS PTI 12A</v>
          </cell>
          <cell r="I328">
            <v>220000</v>
          </cell>
          <cell r="J328" t="str">
            <v>UN</v>
          </cell>
          <cell r="K328">
            <v>45575</v>
          </cell>
        </row>
        <row r="329">
          <cell r="A329" t="str">
            <v>50714276540</v>
          </cell>
          <cell r="B329" t="str">
            <v>ZMTD</v>
          </cell>
          <cell r="C329">
            <v>45552</v>
          </cell>
          <cell r="D329" t="str">
            <v>Not delivered</v>
          </cell>
          <cell r="E329">
            <v>507142765</v>
          </cell>
          <cell r="F329">
            <v>40</v>
          </cell>
          <cell r="G329">
            <v>1398383</v>
          </cell>
          <cell r="H329" t="str">
            <v>CM-319:WHITE P/BLACK UV MATTE NARS</v>
          </cell>
          <cell r="I329">
            <v>30960</v>
          </cell>
          <cell r="J329" t="str">
            <v>UN</v>
          </cell>
          <cell r="K329">
            <v>45576</v>
          </cell>
        </row>
        <row r="330">
          <cell r="A330" t="str">
            <v>507142721110</v>
          </cell>
          <cell r="B330" t="str">
            <v>ZMTD</v>
          </cell>
          <cell r="C330">
            <v>45539</v>
          </cell>
          <cell r="D330" t="str">
            <v>Not delivered</v>
          </cell>
          <cell r="E330">
            <v>507142721</v>
          </cell>
          <cell r="F330">
            <v>110</v>
          </cell>
          <cell r="G330">
            <v>1437039</v>
          </cell>
          <cell r="H330" t="str">
            <v>CM-290:1PC BS CV MT.BLK S/ EMBOS OMG 40C</v>
          </cell>
          <cell r="I330">
            <v>6552</v>
          </cell>
          <cell r="J330" t="str">
            <v>UN</v>
          </cell>
          <cell r="K330">
            <v>45576</v>
          </cell>
        </row>
        <row r="331">
          <cell r="A331" t="str">
            <v>50714255410</v>
          </cell>
          <cell r="B331" t="str">
            <v>ZMTD</v>
          </cell>
          <cell r="C331">
            <v>45495</v>
          </cell>
          <cell r="D331" t="str">
            <v>Not delivered</v>
          </cell>
          <cell r="E331">
            <v>507142554</v>
          </cell>
          <cell r="F331">
            <v>10</v>
          </cell>
          <cell r="G331">
            <v>1432356</v>
          </cell>
          <cell r="H331" t="str">
            <v>CM-280:BS/CV BO BLUE UV P/S/INEZ FTC 30M</v>
          </cell>
          <cell r="I331">
            <v>30000</v>
          </cell>
          <cell r="J331" t="str">
            <v>UN</v>
          </cell>
          <cell r="K331">
            <v>45576</v>
          </cell>
        </row>
        <row r="332">
          <cell r="A332" t="str">
            <v>50714254310</v>
          </cell>
          <cell r="B332" t="str">
            <v>ZMTD</v>
          </cell>
          <cell r="C332">
            <v>45491</v>
          </cell>
          <cell r="D332" t="str">
            <v>Not delivered</v>
          </cell>
          <cell r="E332">
            <v>507142543</v>
          </cell>
          <cell r="F332">
            <v>10</v>
          </cell>
          <cell r="G332">
            <v>1278860</v>
          </cell>
          <cell r="H332" t="str">
            <v>CM-296:WHT P/L.AGELES W/O HOLE COTY TAOR</v>
          </cell>
          <cell r="I332">
            <v>72000</v>
          </cell>
          <cell r="J332" t="str">
            <v>UN</v>
          </cell>
          <cell r="K332">
            <v>45576</v>
          </cell>
        </row>
        <row r="333">
          <cell r="A333" t="str">
            <v>50714241660</v>
          </cell>
          <cell r="B333" t="str">
            <v>ZMTD</v>
          </cell>
          <cell r="C333">
            <v>45474</v>
          </cell>
          <cell r="D333" t="str">
            <v>Not delivered</v>
          </cell>
          <cell r="E333">
            <v>507142416</v>
          </cell>
          <cell r="F333">
            <v>60</v>
          </cell>
          <cell r="G333">
            <v>1376248</v>
          </cell>
          <cell r="H333" t="str">
            <v>FP-008:CVR L.PINK P/BLK MANDOM RV1 12A</v>
          </cell>
          <cell r="I333">
            <v>10000</v>
          </cell>
          <cell r="J333" t="str">
            <v>UN</v>
          </cell>
          <cell r="K333">
            <v>45576</v>
          </cell>
        </row>
        <row r="334">
          <cell r="A334" t="str">
            <v>50714241670</v>
          </cell>
          <cell r="B334" t="str">
            <v>ZMTD</v>
          </cell>
          <cell r="C334">
            <v>45474</v>
          </cell>
          <cell r="D334" t="str">
            <v>Not delivered</v>
          </cell>
          <cell r="E334">
            <v>507142416</v>
          </cell>
          <cell r="F334">
            <v>70</v>
          </cell>
          <cell r="G334">
            <v>1171179</v>
          </cell>
          <cell r="H334" t="str">
            <v>FP-008:BS INJ BLK NO DC MANDOM</v>
          </cell>
          <cell r="I334">
            <v>10000</v>
          </cell>
          <cell r="J334" t="str">
            <v>UN</v>
          </cell>
          <cell r="K334">
            <v>45576</v>
          </cell>
        </row>
        <row r="335">
          <cell r="A335" t="str">
            <v>50714241680</v>
          </cell>
          <cell r="B335" t="str">
            <v>ZMTD</v>
          </cell>
          <cell r="C335">
            <v>45474</v>
          </cell>
          <cell r="D335" t="str">
            <v>Not delivered</v>
          </cell>
          <cell r="E335">
            <v>507142416</v>
          </cell>
          <cell r="F335">
            <v>80</v>
          </cell>
          <cell r="G335">
            <v>1172027</v>
          </cell>
          <cell r="H335" t="str">
            <v>FP-008:SFT NAT L.HINGE W/LBL NO DC MDM</v>
          </cell>
          <cell r="I335">
            <v>10000</v>
          </cell>
          <cell r="J335" t="str">
            <v>UN</v>
          </cell>
          <cell r="K335">
            <v>45576</v>
          </cell>
        </row>
        <row r="336">
          <cell r="A336" t="str">
            <v>507142416140</v>
          </cell>
          <cell r="B336" t="str">
            <v>ZMTD</v>
          </cell>
          <cell r="C336">
            <v>45474</v>
          </cell>
          <cell r="D336" t="str">
            <v>Not delivered</v>
          </cell>
          <cell r="E336">
            <v>507142416</v>
          </cell>
          <cell r="F336">
            <v>140</v>
          </cell>
          <cell r="G336">
            <v>1269316</v>
          </cell>
          <cell r="H336" t="str">
            <v>LS-285:COVER PX LIP COND NO DC MNDOM 12A</v>
          </cell>
          <cell r="I336">
            <v>10000</v>
          </cell>
          <cell r="J336" t="str">
            <v>UN</v>
          </cell>
          <cell r="K336">
            <v>45576</v>
          </cell>
        </row>
        <row r="337">
          <cell r="A337" t="str">
            <v>507142416150</v>
          </cell>
          <cell r="B337" t="str">
            <v>ZMTD</v>
          </cell>
          <cell r="C337">
            <v>45474</v>
          </cell>
          <cell r="D337" t="str">
            <v>Not delivered</v>
          </cell>
          <cell r="E337">
            <v>507142416</v>
          </cell>
          <cell r="F337">
            <v>150</v>
          </cell>
          <cell r="G337">
            <v>1393258</v>
          </cell>
          <cell r="H337" t="str">
            <v>LS-285:BS PX LIP COND P/BLK MNDOM RV160B</v>
          </cell>
          <cell r="I337">
            <v>10000</v>
          </cell>
          <cell r="J337" t="str">
            <v>UN</v>
          </cell>
          <cell r="K337">
            <v>45576</v>
          </cell>
        </row>
        <row r="338">
          <cell r="A338" t="str">
            <v>50714226510</v>
          </cell>
          <cell r="B338" t="str">
            <v>ZMTD</v>
          </cell>
          <cell r="C338">
            <v>45442</v>
          </cell>
          <cell r="D338" t="str">
            <v>Not delivered</v>
          </cell>
          <cell r="E338">
            <v>507142265</v>
          </cell>
          <cell r="F338">
            <v>10</v>
          </cell>
          <cell r="G338">
            <v>1187960</v>
          </cell>
          <cell r="H338" t="str">
            <v>FP-014:CVR VMRAINBOW P/ULTM II RUDYS 40C</v>
          </cell>
          <cell r="I338">
            <v>40000</v>
          </cell>
          <cell r="J338" t="str">
            <v>UN</v>
          </cell>
          <cell r="K338">
            <v>45576</v>
          </cell>
        </row>
        <row r="339">
          <cell r="A339" t="str">
            <v>50714226520</v>
          </cell>
          <cell r="B339" t="str">
            <v>ZMTD</v>
          </cell>
          <cell r="C339">
            <v>45442</v>
          </cell>
          <cell r="D339" t="str">
            <v>Not delivered</v>
          </cell>
          <cell r="E339">
            <v>507142265</v>
          </cell>
          <cell r="F339">
            <v>20</v>
          </cell>
          <cell r="G339">
            <v>1172318</v>
          </cell>
          <cell r="H339" t="str">
            <v>FP-014:BASE CLEAR NO DC ULTIMA II RUDY S</v>
          </cell>
          <cell r="I339">
            <v>40000</v>
          </cell>
          <cell r="J339" t="str">
            <v>UN</v>
          </cell>
          <cell r="K339">
            <v>45576</v>
          </cell>
        </row>
        <row r="340">
          <cell r="A340" t="str">
            <v>50714226530</v>
          </cell>
          <cell r="B340" t="str">
            <v>ZMTD</v>
          </cell>
          <cell r="C340">
            <v>45442</v>
          </cell>
          <cell r="D340" t="str">
            <v>Not delivered</v>
          </cell>
          <cell r="E340">
            <v>507142265</v>
          </cell>
          <cell r="F340">
            <v>30</v>
          </cell>
          <cell r="G340">
            <v>1170826</v>
          </cell>
          <cell r="H340" t="str">
            <v>FP-014:SIFTER NT W/LBL NO DECO ULTIMA II</v>
          </cell>
          <cell r="I340">
            <v>40000</v>
          </cell>
          <cell r="J340" t="str">
            <v>UN</v>
          </cell>
          <cell r="K340">
            <v>45576</v>
          </cell>
        </row>
        <row r="341">
          <cell r="A341" t="str">
            <v>50714277710</v>
          </cell>
          <cell r="B341" t="str">
            <v>ZMTD</v>
          </cell>
          <cell r="C341">
            <v>45554</v>
          </cell>
          <cell r="D341" t="str">
            <v>Not delivered</v>
          </cell>
          <cell r="E341">
            <v>507142777</v>
          </cell>
          <cell r="F341">
            <v>10</v>
          </cell>
          <cell r="G341">
            <v>1435311</v>
          </cell>
          <cell r="H341" t="str">
            <v>LC-002:BTL/COL MTGRAD SLV AZURA LION 40D</v>
          </cell>
          <cell r="I341">
            <v>50589</v>
          </cell>
          <cell r="J341" t="str">
            <v>UN</v>
          </cell>
          <cell r="K341">
            <v>45577</v>
          </cell>
        </row>
        <row r="342">
          <cell r="A342" t="str">
            <v>50714277720</v>
          </cell>
          <cell r="B342" t="str">
            <v>ZMTD</v>
          </cell>
          <cell r="C342">
            <v>45554</v>
          </cell>
          <cell r="D342" t="str">
            <v>Not delivered</v>
          </cell>
          <cell r="E342">
            <v>507142777</v>
          </cell>
          <cell r="F342">
            <v>20</v>
          </cell>
          <cell r="G342">
            <v>1435313</v>
          </cell>
          <cell r="H342" t="str">
            <v>LC-002:CAP MTSLV WIPNAT S/AZURA LION 40C</v>
          </cell>
          <cell r="I342">
            <v>50589</v>
          </cell>
          <cell r="J342" t="str">
            <v>UN</v>
          </cell>
          <cell r="K342">
            <v>45577</v>
          </cell>
        </row>
        <row r="343">
          <cell r="A343" t="str">
            <v>50714274510</v>
          </cell>
          <cell r="B343" t="str">
            <v>ZMTD</v>
          </cell>
          <cell r="C343">
            <v>45545</v>
          </cell>
          <cell r="D343" t="str">
            <v>Not delivered</v>
          </cell>
          <cell r="E343">
            <v>507142745</v>
          </cell>
          <cell r="F343">
            <v>10</v>
          </cell>
          <cell r="G343">
            <v>1141319</v>
          </cell>
          <cell r="H343" t="str">
            <v>CP-089:FTCAP D40 OVAL PONDS FC WH UNIL</v>
          </cell>
          <cell r="I343">
            <v>801000</v>
          </cell>
          <cell r="J343" t="str">
            <v>UN</v>
          </cell>
          <cell r="K343">
            <v>45577</v>
          </cell>
        </row>
        <row r="344">
          <cell r="A344" t="str">
            <v>50714263230</v>
          </cell>
          <cell r="B344" t="str">
            <v>ZMTD</v>
          </cell>
          <cell r="C344">
            <v>45517</v>
          </cell>
          <cell r="D344" t="str">
            <v>Not delivered</v>
          </cell>
          <cell r="E344">
            <v>507142632</v>
          </cell>
          <cell r="F344">
            <v>30</v>
          </cell>
          <cell r="G344">
            <v>1371896</v>
          </cell>
          <cell r="H344" t="str">
            <v>RX-056:CM-316 CVR BLUE P/WHT SP/MTCLR</v>
          </cell>
          <cell r="I344">
            <v>109968</v>
          </cell>
          <cell r="J344" t="str">
            <v>UN</v>
          </cell>
          <cell r="K344">
            <v>45577</v>
          </cell>
        </row>
        <row r="345">
          <cell r="A345" t="str">
            <v>50714242510</v>
          </cell>
          <cell r="B345" t="str">
            <v>ZMTD</v>
          </cell>
          <cell r="C345">
            <v>45475</v>
          </cell>
          <cell r="D345" t="str">
            <v>Not delivered</v>
          </cell>
          <cell r="E345">
            <v>507142425</v>
          </cell>
          <cell r="F345">
            <v>10</v>
          </cell>
          <cell r="G345">
            <v>1160336</v>
          </cell>
          <cell r="H345" t="str">
            <v>CP-071:CP8364 TNR WPRL 200 REX IS 763</v>
          </cell>
          <cell r="I345">
            <v>65250</v>
          </cell>
          <cell r="J345" t="str">
            <v>UN</v>
          </cell>
          <cell r="K345">
            <v>45577</v>
          </cell>
        </row>
        <row r="346">
          <cell r="A346" t="str">
            <v>50714283910</v>
          </cell>
          <cell r="B346" t="str">
            <v>ZMTD</v>
          </cell>
          <cell r="C346">
            <v>45562</v>
          </cell>
          <cell r="D346" t="str">
            <v>Not delivered</v>
          </cell>
          <cell r="E346">
            <v>507142839</v>
          </cell>
          <cell r="F346">
            <v>10</v>
          </cell>
          <cell r="G346">
            <v>1424980</v>
          </cell>
          <cell r="H346" t="str">
            <v>CP-093R:CAP D50 MT.YELOW Ø.5 YASULOR 12A</v>
          </cell>
          <cell r="I346">
            <v>110000</v>
          </cell>
          <cell r="J346" t="str">
            <v>UN</v>
          </cell>
          <cell r="K346">
            <v>45579</v>
          </cell>
        </row>
        <row r="347">
          <cell r="A347" t="str">
            <v>50714280810</v>
          </cell>
          <cell r="B347" t="str">
            <v>ZMTD</v>
          </cell>
          <cell r="C347">
            <v>45559</v>
          </cell>
          <cell r="D347" t="str">
            <v>Not delivered</v>
          </cell>
          <cell r="E347">
            <v>507142808</v>
          </cell>
          <cell r="F347">
            <v>10</v>
          </cell>
          <cell r="G347">
            <v>1169703</v>
          </cell>
          <cell r="H347" t="str">
            <v>CP-064:CAP 25 SCREW WHITE MT TR L'OREAL</v>
          </cell>
          <cell r="I347">
            <v>204000</v>
          </cell>
          <cell r="J347" t="str">
            <v>UN</v>
          </cell>
          <cell r="K347">
            <v>45579</v>
          </cell>
        </row>
        <row r="348">
          <cell r="A348" t="str">
            <v>50714280910</v>
          </cell>
          <cell r="B348" t="str">
            <v>ZMTD</v>
          </cell>
          <cell r="C348">
            <v>45559</v>
          </cell>
          <cell r="D348" t="str">
            <v>Not delivered</v>
          </cell>
          <cell r="E348">
            <v>507142809</v>
          </cell>
          <cell r="F348">
            <v>10</v>
          </cell>
          <cell r="G348">
            <v>1159912</v>
          </cell>
          <cell r="H348" t="str">
            <v>CP-064:CAP 25 SCREW BLK MT L'OREAL</v>
          </cell>
          <cell r="I348">
            <v>150000</v>
          </cell>
          <cell r="J348" t="str">
            <v>UN</v>
          </cell>
          <cell r="K348">
            <v>45579</v>
          </cell>
        </row>
        <row r="349">
          <cell r="A349" t="str">
            <v>50714279610</v>
          </cell>
          <cell r="B349" t="str">
            <v>ZMTD</v>
          </cell>
          <cell r="C349">
            <v>45558</v>
          </cell>
          <cell r="D349" t="str">
            <v>Not delivered</v>
          </cell>
          <cell r="E349">
            <v>507142796</v>
          </cell>
          <cell r="F349">
            <v>10</v>
          </cell>
          <cell r="G349">
            <v>1170578</v>
          </cell>
          <cell r="H349" t="str">
            <v>FP-029:CAP VM GOLD S/MATTE REEY010073</v>
          </cell>
          <cell r="I349">
            <v>25080</v>
          </cell>
          <cell r="J349" t="str">
            <v>UN</v>
          </cell>
          <cell r="K349">
            <v>45579</v>
          </cell>
        </row>
        <row r="350">
          <cell r="A350" t="str">
            <v>50714261810</v>
          </cell>
          <cell r="B350" t="str">
            <v>ZMTD</v>
          </cell>
          <cell r="C350">
            <v>45512</v>
          </cell>
          <cell r="D350" t="str">
            <v>Not delivered</v>
          </cell>
          <cell r="E350">
            <v>507142618</v>
          </cell>
          <cell r="F350">
            <v>10</v>
          </cell>
          <cell r="G350">
            <v>1409850</v>
          </cell>
          <cell r="H350" t="str">
            <v>RX-068:BT8445 VENUS 60ML MATCLR 40D</v>
          </cell>
          <cell r="I350">
            <v>11500</v>
          </cell>
          <cell r="J350" t="str">
            <v>UN</v>
          </cell>
          <cell r="K350">
            <v>45579</v>
          </cell>
        </row>
        <row r="351">
          <cell r="A351" t="str">
            <v>50714254510</v>
          </cell>
          <cell r="B351" t="str">
            <v>ZMTD</v>
          </cell>
          <cell r="C351">
            <v>45491</v>
          </cell>
          <cell r="D351" t="str">
            <v>Not delivered</v>
          </cell>
          <cell r="E351">
            <v>507142545</v>
          </cell>
          <cell r="F351">
            <v>10</v>
          </cell>
          <cell r="G351">
            <v>1338042</v>
          </cell>
          <cell r="H351" t="str">
            <v>CM-301:COTY LANCASTER BROWN SP PRL UV</v>
          </cell>
          <cell r="I351">
            <v>51840</v>
          </cell>
          <cell r="J351" t="str">
            <v>UN</v>
          </cell>
          <cell r="K351">
            <v>45579</v>
          </cell>
        </row>
        <row r="352">
          <cell r="A352" t="str">
            <v>50714246810</v>
          </cell>
          <cell r="B352" t="str">
            <v>ZMTD</v>
          </cell>
          <cell r="C352">
            <v>45482</v>
          </cell>
          <cell r="D352" t="str">
            <v>Not delivered</v>
          </cell>
          <cell r="E352">
            <v>507142468</v>
          </cell>
          <cell r="F352">
            <v>10</v>
          </cell>
          <cell r="G352">
            <v>1388326</v>
          </cell>
          <cell r="H352" t="str">
            <v>CM-253:CV BS MTPEACH P/C.BLSH RV1 PTI40H</v>
          </cell>
          <cell r="I352">
            <v>15120</v>
          </cell>
          <cell r="J352" t="str">
            <v>UN</v>
          </cell>
          <cell r="K352">
            <v>45579</v>
          </cell>
        </row>
        <row r="353">
          <cell r="A353" t="str">
            <v>50714242310</v>
          </cell>
          <cell r="B353" t="str">
            <v>ZMTD</v>
          </cell>
          <cell r="C353">
            <v>45475</v>
          </cell>
          <cell r="D353" t="str">
            <v>Partially delivered</v>
          </cell>
          <cell r="E353">
            <v>507142423</v>
          </cell>
          <cell r="F353">
            <v>10</v>
          </cell>
          <cell r="G353">
            <v>1160336</v>
          </cell>
          <cell r="H353" t="str">
            <v>CP-071:CP8364 TNR WPRL 200 REX IS 763</v>
          </cell>
          <cell r="I353">
            <v>87000</v>
          </cell>
          <cell r="J353" t="str">
            <v>UN</v>
          </cell>
          <cell r="K353">
            <v>45579</v>
          </cell>
        </row>
        <row r="354">
          <cell r="A354" t="str">
            <v>50714239710</v>
          </cell>
          <cell r="B354" t="str">
            <v>ZMTD</v>
          </cell>
          <cell r="C354">
            <v>45468</v>
          </cell>
          <cell r="D354" t="str">
            <v>Not delivered</v>
          </cell>
          <cell r="E354">
            <v>507142397</v>
          </cell>
          <cell r="F354">
            <v>10</v>
          </cell>
          <cell r="G354">
            <v>1195535</v>
          </cell>
          <cell r="H354" t="str">
            <v>FP-039:BASE SAN CLEAR HS KIKO PREMIER</v>
          </cell>
          <cell r="I354">
            <v>60480</v>
          </cell>
          <cell r="J354" t="str">
            <v>UN</v>
          </cell>
          <cell r="K354">
            <v>45579</v>
          </cell>
        </row>
        <row r="355">
          <cell r="A355" t="str">
            <v>50714239810</v>
          </cell>
          <cell r="B355" t="str">
            <v>ZMTD</v>
          </cell>
          <cell r="C355">
            <v>45468</v>
          </cell>
          <cell r="D355" t="str">
            <v>Not delivered</v>
          </cell>
          <cell r="E355">
            <v>507142398</v>
          </cell>
          <cell r="F355">
            <v>10</v>
          </cell>
          <cell r="G355">
            <v>1191869</v>
          </cell>
          <cell r="H355" t="str">
            <v>FP-039:CVR WHITE VM DARK SILVER  KIKO</v>
          </cell>
          <cell r="I355">
            <v>61440</v>
          </cell>
          <cell r="J355" t="str">
            <v>UN</v>
          </cell>
          <cell r="K355">
            <v>45579</v>
          </cell>
        </row>
        <row r="356">
          <cell r="A356" t="str">
            <v>50714227810</v>
          </cell>
          <cell r="B356" t="str">
            <v>ZMTD</v>
          </cell>
          <cell r="C356">
            <v>45447</v>
          </cell>
          <cell r="D356" t="str">
            <v>Not delivered</v>
          </cell>
          <cell r="E356">
            <v>507142278</v>
          </cell>
          <cell r="F356">
            <v>10</v>
          </cell>
          <cell r="G356">
            <v>1419488</v>
          </cell>
          <cell r="H356" t="str">
            <v>CP-063R:SPOUT CAP WHITE LOREAL 12A</v>
          </cell>
          <cell r="I356">
            <v>1890000</v>
          </cell>
          <cell r="J356" t="str">
            <v>UN</v>
          </cell>
          <cell r="K356">
            <v>45579</v>
          </cell>
        </row>
        <row r="357">
          <cell r="A357" t="str">
            <v>50714265810</v>
          </cell>
          <cell r="B357" t="str">
            <v>ZMTD</v>
          </cell>
          <cell r="C357">
            <v>45524</v>
          </cell>
          <cell r="D357" t="str">
            <v>Not delivered</v>
          </cell>
          <cell r="E357">
            <v>507142658</v>
          </cell>
          <cell r="F357">
            <v>10</v>
          </cell>
          <cell r="G357">
            <v>1331630</v>
          </cell>
          <cell r="H357" t="str">
            <v>CM-216:INFAILLIBLE HIGHLIGHTER L'OREAL</v>
          </cell>
          <cell r="I357">
            <v>100000</v>
          </cell>
          <cell r="J357" t="str">
            <v>UN</v>
          </cell>
          <cell r="K357">
            <v>45579</v>
          </cell>
        </row>
        <row r="358">
          <cell r="A358" t="str">
            <v>50714261710</v>
          </cell>
          <cell r="B358" t="str">
            <v>ZMTD</v>
          </cell>
          <cell r="C358">
            <v>45511</v>
          </cell>
          <cell r="D358" t="str">
            <v>Not delivered</v>
          </cell>
          <cell r="E358">
            <v>507142617</v>
          </cell>
          <cell r="F358">
            <v>10</v>
          </cell>
          <cell r="G358">
            <v>1181524</v>
          </cell>
          <cell r="H358" t="str">
            <v>CM-297:WHITE PERFECT LIGHT PP BOOTS</v>
          </cell>
          <cell r="I358">
            <v>25032</v>
          </cell>
          <cell r="J358" t="str">
            <v>UN</v>
          </cell>
          <cell r="K358">
            <v>45579</v>
          </cell>
        </row>
        <row r="359">
          <cell r="A359" t="str">
            <v>50714282610</v>
          </cell>
          <cell r="B359" t="str">
            <v>ZMTD</v>
          </cell>
          <cell r="C359">
            <v>45560</v>
          </cell>
          <cell r="D359" t="str">
            <v>Not delivered</v>
          </cell>
          <cell r="E359">
            <v>507142826</v>
          </cell>
          <cell r="F359">
            <v>10</v>
          </cell>
          <cell r="G359">
            <v>1442332</v>
          </cell>
          <cell r="H359" t="str">
            <v>CM-256:BS CV PF TRNS BRWN MTCLR P/KUSUMA</v>
          </cell>
          <cell r="I359">
            <v>10000</v>
          </cell>
          <cell r="J359" t="str">
            <v>UN</v>
          </cell>
          <cell r="K359">
            <v>45580</v>
          </cell>
        </row>
        <row r="360">
          <cell r="A360" t="str">
            <v>50714277610</v>
          </cell>
          <cell r="B360" t="str">
            <v>ZMTD</v>
          </cell>
          <cell r="C360">
            <v>45554</v>
          </cell>
          <cell r="D360" t="str">
            <v>Not delivered</v>
          </cell>
          <cell r="E360">
            <v>507142776</v>
          </cell>
          <cell r="F360">
            <v>10</v>
          </cell>
          <cell r="G360">
            <v>1331787</v>
          </cell>
          <cell r="H360" t="str">
            <v>CM-216:TRUE MATCH BLUSH W/O BRUSH LOR US</v>
          </cell>
          <cell r="I360">
            <v>75800</v>
          </cell>
          <cell r="J360" t="str">
            <v>UN</v>
          </cell>
          <cell r="K360">
            <v>45580</v>
          </cell>
        </row>
        <row r="361">
          <cell r="A361" t="str">
            <v>50714277910</v>
          </cell>
          <cell r="B361" t="str">
            <v>ZMTD</v>
          </cell>
          <cell r="C361">
            <v>45554</v>
          </cell>
          <cell r="D361" t="str">
            <v>Not delivered</v>
          </cell>
          <cell r="E361">
            <v>507142779</v>
          </cell>
          <cell r="F361">
            <v>10</v>
          </cell>
          <cell r="G361">
            <v>1174001</v>
          </cell>
          <cell r="H361" t="str">
            <v>CM-133:CVR/BS MTLC GREN UV S/SLV WRDH30C</v>
          </cell>
          <cell r="I361">
            <v>10080</v>
          </cell>
          <cell r="J361" t="str">
            <v>UN</v>
          </cell>
          <cell r="K361">
            <v>45580</v>
          </cell>
        </row>
        <row r="362">
          <cell r="A362" t="str">
            <v>50714278010</v>
          </cell>
          <cell r="B362" t="str">
            <v>ZMTD</v>
          </cell>
          <cell r="C362">
            <v>45554</v>
          </cell>
          <cell r="D362" t="str">
            <v>Not delivered</v>
          </cell>
          <cell r="E362">
            <v>507142780</v>
          </cell>
          <cell r="F362">
            <v>10</v>
          </cell>
          <cell r="G362">
            <v>1409881</v>
          </cell>
          <cell r="H362" t="str">
            <v>CM-315:CVR/BS BLACK P/CVRLAST OMG RV160B</v>
          </cell>
          <cell r="I362">
            <v>31724</v>
          </cell>
          <cell r="J362" t="str">
            <v>UN</v>
          </cell>
          <cell r="K362">
            <v>45580</v>
          </cell>
        </row>
        <row r="363">
          <cell r="A363" t="str">
            <v>50714278410</v>
          </cell>
          <cell r="B363" t="str">
            <v>ZMTD</v>
          </cell>
          <cell r="C363">
            <v>45554</v>
          </cell>
          <cell r="D363" t="str">
            <v>Not delivered</v>
          </cell>
          <cell r="E363">
            <v>507142784</v>
          </cell>
          <cell r="F363">
            <v>10</v>
          </cell>
          <cell r="G363">
            <v>1340516</v>
          </cell>
          <cell r="H363" t="str">
            <v>CM-133:CVR BS MTLC GRN UV DP S/WARDH 30T</v>
          </cell>
          <cell r="I363">
            <v>10080</v>
          </cell>
          <cell r="J363" t="str">
            <v>UN</v>
          </cell>
          <cell r="K363">
            <v>45580</v>
          </cell>
        </row>
        <row r="364">
          <cell r="A364" t="str">
            <v>50714273930</v>
          </cell>
          <cell r="B364" t="str">
            <v>ZMTD</v>
          </cell>
          <cell r="C364">
            <v>45544</v>
          </cell>
          <cell r="D364" t="str">
            <v>Not delivered</v>
          </cell>
          <cell r="E364">
            <v>507142739</v>
          </cell>
          <cell r="F364">
            <v>30</v>
          </cell>
          <cell r="G364">
            <v>1409881</v>
          </cell>
          <cell r="H364" t="str">
            <v>CM-315:CVR/BS BLACK P/CVRLAST OMG RV160B</v>
          </cell>
          <cell r="I364">
            <v>28028</v>
          </cell>
          <cell r="J364" t="str">
            <v>UN</v>
          </cell>
          <cell r="K364">
            <v>45580</v>
          </cell>
        </row>
        <row r="365">
          <cell r="A365" t="str">
            <v>50714274210</v>
          </cell>
          <cell r="B365" t="str">
            <v>ZMTD</v>
          </cell>
          <cell r="C365">
            <v>45544</v>
          </cell>
          <cell r="D365" t="str">
            <v>Not delivered</v>
          </cell>
          <cell r="E365">
            <v>507142742</v>
          </cell>
          <cell r="F365">
            <v>10</v>
          </cell>
          <cell r="G365">
            <v>1437039</v>
          </cell>
          <cell r="H365" t="str">
            <v>CM-290:1PC BS CV MT.BLK S/ EMBOS OMG 40C</v>
          </cell>
          <cell r="I365">
            <v>25032</v>
          </cell>
          <cell r="J365" t="str">
            <v>UN</v>
          </cell>
          <cell r="K365">
            <v>45580</v>
          </cell>
        </row>
        <row r="366">
          <cell r="A366" t="str">
            <v>50714274220</v>
          </cell>
          <cell r="B366" t="str">
            <v>ZMTD</v>
          </cell>
          <cell r="C366">
            <v>45544</v>
          </cell>
          <cell r="D366" t="str">
            <v>Not delivered</v>
          </cell>
          <cell r="E366">
            <v>507142742</v>
          </cell>
          <cell r="F366">
            <v>20</v>
          </cell>
          <cell r="G366">
            <v>1437140</v>
          </cell>
          <cell r="H366" t="str">
            <v>CM-290:ENGINE CV RED, BS BLK OMG PTI 12A</v>
          </cell>
          <cell r="I366">
            <v>25032</v>
          </cell>
          <cell r="J366" t="str">
            <v>UN</v>
          </cell>
          <cell r="K366">
            <v>45580</v>
          </cell>
        </row>
        <row r="367">
          <cell r="A367" t="str">
            <v>50714274230</v>
          </cell>
          <cell r="B367" t="str">
            <v>ZMTD</v>
          </cell>
          <cell r="C367">
            <v>45544</v>
          </cell>
          <cell r="D367" t="str">
            <v>Not delivered</v>
          </cell>
          <cell r="E367">
            <v>507142742</v>
          </cell>
          <cell r="F367">
            <v>30</v>
          </cell>
          <cell r="G367">
            <v>1437141</v>
          </cell>
          <cell r="H367" t="str">
            <v>CM-290:RING BLACK OMG PTI 12A</v>
          </cell>
          <cell r="I367">
            <v>25032</v>
          </cell>
          <cell r="J367" t="str">
            <v>UN</v>
          </cell>
          <cell r="K367">
            <v>45580</v>
          </cell>
        </row>
        <row r="368">
          <cell r="A368" t="str">
            <v>50714273010</v>
          </cell>
          <cell r="B368" t="str">
            <v>ZMTD</v>
          </cell>
          <cell r="C368">
            <v>45541</v>
          </cell>
          <cell r="D368" t="str">
            <v>Not delivered</v>
          </cell>
          <cell r="E368">
            <v>507142730</v>
          </cell>
          <cell r="F368">
            <v>10</v>
          </cell>
          <cell r="G368">
            <v>1371896</v>
          </cell>
          <cell r="H368" t="str">
            <v>RX-056:CM-316 CVR BLUE P/WHT SP/MTCLR</v>
          </cell>
          <cell r="I368">
            <v>110016</v>
          </cell>
          <cell r="J368" t="str">
            <v>UN</v>
          </cell>
          <cell r="K368">
            <v>45580</v>
          </cell>
        </row>
        <row r="369">
          <cell r="A369" t="str">
            <v>50714255420</v>
          </cell>
          <cell r="B369" t="str">
            <v>ZMTD</v>
          </cell>
          <cell r="C369">
            <v>45495</v>
          </cell>
          <cell r="D369" t="str">
            <v>Not delivered</v>
          </cell>
          <cell r="E369">
            <v>507142554</v>
          </cell>
          <cell r="F369">
            <v>20</v>
          </cell>
          <cell r="G369">
            <v>1432080</v>
          </cell>
          <cell r="H369" t="str">
            <v>CM-281:BS/CV TWC BLUE UV P/S/INEZ FTC30M</v>
          </cell>
          <cell r="I369">
            <v>25000</v>
          </cell>
          <cell r="J369" t="str">
            <v>UN</v>
          </cell>
          <cell r="K369">
            <v>45580</v>
          </cell>
        </row>
        <row r="370">
          <cell r="A370" t="str">
            <v>50714241690</v>
          </cell>
          <cell r="B370" t="str">
            <v>ZMTD</v>
          </cell>
          <cell r="C370">
            <v>45474</v>
          </cell>
          <cell r="D370" t="str">
            <v>Not delivered</v>
          </cell>
          <cell r="E370">
            <v>507142416</v>
          </cell>
          <cell r="F370">
            <v>90</v>
          </cell>
          <cell r="G370">
            <v>1376248</v>
          </cell>
          <cell r="H370" t="str">
            <v>FP-008:CVR L.PINK P/BLK MANDOM RV1 12A</v>
          </cell>
          <cell r="I370">
            <v>10000</v>
          </cell>
          <cell r="J370" t="str">
            <v>UN</v>
          </cell>
          <cell r="K370">
            <v>45580</v>
          </cell>
        </row>
        <row r="371">
          <cell r="A371" t="str">
            <v>507142416100</v>
          </cell>
          <cell r="B371" t="str">
            <v>ZMTD</v>
          </cell>
          <cell r="C371">
            <v>45474</v>
          </cell>
          <cell r="D371" t="str">
            <v>Not delivered</v>
          </cell>
          <cell r="E371">
            <v>507142416</v>
          </cell>
          <cell r="F371">
            <v>100</v>
          </cell>
          <cell r="G371">
            <v>1171179</v>
          </cell>
          <cell r="H371" t="str">
            <v>FP-008:BS INJ BLK NO DC MANDOM</v>
          </cell>
          <cell r="I371">
            <v>10000</v>
          </cell>
          <cell r="J371" t="str">
            <v>UN</v>
          </cell>
          <cell r="K371">
            <v>45580</v>
          </cell>
        </row>
        <row r="372">
          <cell r="A372" t="str">
            <v>507142416110</v>
          </cell>
          <cell r="B372" t="str">
            <v>ZMTD</v>
          </cell>
          <cell r="C372">
            <v>45474</v>
          </cell>
          <cell r="D372" t="str">
            <v>Not delivered</v>
          </cell>
          <cell r="E372">
            <v>507142416</v>
          </cell>
          <cell r="F372">
            <v>110</v>
          </cell>
          <cell r="G372">
            <v>1172027</v>
          </cell>
          <cell r="H372" t="str">
            <v>FP-008:SFT NAT L.HINGE W/LBL NO DC MDM</v>
          </cell>
          <cell r="I372">
            <v>10000</v>
          </cell>
          <cell r="J372" t="str">
            <v>UN</v>
          </cell>
          <cell r="K372">
            <v>45580</v>
          </cell>
        </row>
        <row r="373">
          <cell r="A373" t="str">
            <v>507142416160</v>
          </cell>
          <cell r="B373" t="str">
            <v>ZMTD</v>
          </cell>
          <cell r="C373">
            <v>45474</v>
          </cell>
          <cell r="D373" t="str">
            <v>Not delivered</v>
          </cell>
          <cell r="E373">
            <v>507142416</v>
          </cell>
          <cell r="F373">
            <v>160</v>
          </cell>
          <cell r="G373">
            <v>1267279</v>
          </cell>
          <cell r="H373" t="str">
            <v>LS-285:CVR ORANGE PX LCC NO DC MNDOM 12A</v>
          </cell>
          <cell r="I373">
            <v>10000</v>
          </cell>
          <cell r="J373" t="str">
            <v>UN</v>
          </cell>
          <cell r="K373">
            <v>45580</v>
          </cell>
        </row>
        <row r="374">
          <cell r="A374" t="str">
            <v>507142416170</v>
          </cell>
          <cell r="B374" t="str">
            <v>ZMTD</v>
          </cell>
          <cell r="C374">
            <v>45474</v>
          </cell>
          <cell r="D374" t="str">
            <v>Not delivered</v>
          </cell>
          <cell r="E374">
            <v>507142416</v>
          </cell>
          <cell r="F374">
            <v>170</v>
          </cell>
          <cell r="G374">
            <v>1393254</v>
          </cell>
          <cell r="H374" t="str">
            <v>LS-285:BS ORNG PX LCC P/BLK MNDOM RV160B</v>
          </cell>
          <cell r="I374">
            <v>10000</v>
          </cell>
          <cell r="J374" t="str">
            <v>UN</v>
          </cell>
          <cell r="K374">
            <v>45580</v>
          </cell>
        </row>
        <row r="375">
          <cell r="A375" t="str">
            <v>50800515530</v>
          </cell>
          <cell r="B375" t="str">
            <v>ZMFD</v>
          </cell>
          <cell r="C375">
            <v>45470</v>
          </cell>
          <cell r="D375" t="str">
            <v>Not delivered</v>
          </cell>
          <cell r="E375">
            <v>508005155</v>
          </cell>
          <cell r="F375">
            <v>30</v>
          </cell>
          <cell r="G375">
            <v>1420925</v>
          </cell>
          <cell r="H375" t="str">
            <v>CM-253:CV BS MT ROSE 04 P/C.BLSH PTI40H</v>
          </cell>
          <cell r="I375">
            <v>15000</v>
          </cell>
          <cell r="J375" t="str">
            <v>UN</v>
          </cell>
          <cell r="K375">
            <v>45580</v>
          </cell>
        </row>
        <row r="376">
          <cell r="A376" t="str">
            <v>50714281910</v>
          </cell>
          <cell r="B376" t="str">
            <v>ZMTD</v>
          </cell>
          <cell r="C376">
            <v>45560</v>
          </cell>
          <cell r="D376" t="str">
            <v>Not delivered</v>
          </cell>
          <cell r="E376">
            <v>507142819</v>
          </cell>
          <cell r="F376">
            <v>10</v>
          </cell>
          <cell r="G376">
            <v>1402678</v>
          </cell>
          <cell r="H376" t="str">
            <v>LS-285:BS GREEN NO DC WARDAH 12A</v>
          </cell>
          <cell r="I376">
            <v>10640</v>
          </cell>
          <cell r="J376" t="str">
            <v>UN</v>
          </cell>
          <cell r="K376">
            <v>45581</v>
          </cell>
        </row>
        <row r="377">
          <cell r="A377" t="str">
            <v>50714281920</v>
          </cell>
          <cell r="B377" t="str">
            <v>ZMTD</v>
          </cell>
          <cell r="C377">
            <v>45560</v>
          </cell>
          <cell r="D377" t="str">
            <v>Not delivered</v>
          </cell>
          <cell r="E377">
            <v>507142819</v>
          </cell>
          <cell r="F377">
            <v>20</v>
          </cell>
          <cell r="G377">
            <v>1402740</v>
          </cell>
          <cell r="H377" t="str">
            <v>LS-285:CV MTWHT P/WRDH LIPBLMHAJJ PTI40H</v>
          </cell>
          <cell r="I377">
            <v>10640</v>
          </cell>
          <cell r="J377" t="str">
            <v>UN</v>
          </cell>
          <cell r="K377">
            <v>45581</v>
          </cell>
        </row>
        <row r="378">
          <cell r="A378" t="str">
            <v>50714277810</v>
          </cell>
          <cell r="B378" t="str">
            <v>ZMTD</v>
          </cell>
          <cell r="C378">
            <v>45554</v>
          </cell>
          <cell r="D378" t="str">
            <v>Not delivered</v>
          </cell>
          <cell r="E378">
            <v>507142778</v>
          </cell>
          <cell r="F378">
            <v>10</v>
          </cell>
          <cell r="G378">
            <v>1417990</v>
          </cell>
          <cell r="H378" t="str">
            <v>LC-009:BTL #2#3 INNER CLR P/OMG PTIPT60B</v>
          </cell>
          <cell r="I378">
            <v>400050</v>
          </cell>
          <cell r="J378" t="str">
            <v>UN</v>
          </cell>
          <cell r="K378">
            <v>45581</v>
          </cell>
        </row>
        <row r="379">
          <cell r="A379" t="str">
            <v>50714277820</v>
          </cell>
          <cell r="B379" t="str">
            <v>ZMTD</v>
          </cell>
          <cell r="C379">
            <v>45554</v>
          </cell>
          <cell r="D379" t="str">
            <v>Not delivered</v>
          </cell>
          <cell r="E379">
            <v>507142778</v>
          </cell>
          <cell r="F379">
            <v>20</v>
          </cell>
          <cell r="G379">
            <v>1417978</v>
          </cell>
          <cell r="H379" t="str">
            <v>LC-009:CAP #2#3 REDTR WIP S/OMG PTIPT60B</v>
          </cell>
          <cell r="I379">
            <v>400050</v>
          </cell>
          <cell r="J379" t="str">
            <v>UN</v>
          </cell>
          <cell r="K379">
            <v>45581</v>
          </cell>
        </row>
        <row r="380">
          <cell r="A380" t="str">
            <v>50714278610</v>
          </cell>
          <cell r="B380" t="str">
            <v>ZMTD</v>
          </cell>
          <cell r="C380">
            <v>45554</v>
          </cell>
          <cell r="D380" t="str">
            <v>Not delivered</v>
          </cell>
          <cell r="E380">
            <v>507142786</v>
          </cell>
          <cell r="F380">
            <v>10</v>
          </cell>
          <cell r="G380">
            <v>1304094</v>
          </cell>
          <cell r="H380" t="str">
            <v>CM-253:CV CLR BS M.PINK P/EMINA C.LIT40H</v>
          </cell>
          <cell r="I380">
            <v>25380</v>
          </cell>
          <cell r="J380" t="str">
            <v>UN</v>
          </cell>
          <cell r="K380">
            <v>45581</v>
          </cell>
        </row>
        <row r="381">
          <cell r="A381" t="str">
            <v>50714273310</v>
          </cell>
          <cell r="B381" t="str">
            <v>ZMTD</v>
          </cell>
          <cell r="C381">
            <v>45544</v>
          </cell>
          <cell r="D381" t="str">
            <v>Not delivered</v>
          </cell>
          <cell r="E381">
            <v>507142733</v>
          </cell>
          <cell r="F381">
            <v>10</v>
          </cell>
          <cell r="G381">
            <v>1375595</v>
          </cell>
          <cell r="H381" t="str">
            <v>LC-009:BTL/INNER CLEAR P/OMG PTIPT 60B</v>
          </cell>
          <cell r="I381">
            <v>150570</v>
          </cell>
          <cell r="J381" t="str">
            <v>UN</v>
          </cell>
          <cell r="K381">
            <v>45581</v>
          </cell>
        </row>
        <row r="382">
          <cell r="A382" t="str">
            <v>50714273320</v>
          </cell>
          <cell r="B382" t="str">
            <v>ZMTD</v>
          </cell>
          <cell r="C382">
            <v>45544</v>
          </cell>
          <cell r="D382" t="str">
            <v>Not delivered</v>
          </cell>
          <cell r="E382">
            <v>507142733</v>
          </cell>
          <cell r="F382">
            <v>20</v>
          </cell>
          <cell r="G382">
            <v>1375593</v>
          </cell>
          <cell r="H382" t="str">
            <v>LC-009:CAP REDTRANS WIP S/OMG PTIPT 60B</v>
          </cell>
          <cell r="I382">
            <v>150570</v>
          </cell>
          <cell r="J382" t="str">
            <v>UN</v>
          </cell>
          <cell r="K382">
            <v>45581</v>
          </cell>
        </row>
        <row r="383">
          <cell r="A383" t="str">
            <v>50714264830</v>
          </cell>
          <cell r="B383" t="str">
            <v>ZMTD</v>
          </cell>
          <cell r="C383">
            <v>45523</v>
          </cell>
          <cell r="D383" t="str">
            <v>Partially delivered</v>
          </cell>
          <cell r="E383">
            <v>507142648</v>
          </cell>
          <cell r="F383">
            <v>30</v>
          </cell>
          <cell r="G383">
            <v>1168132</v>
          </cell>
          <cell r="H383" t="str">
            <v>LS-285:BS WHT NO DC WARDAH</v>
          </cell>
          <cell r="I383">
            <v>70224</v>
          </cell>
          <cell r="J383" t="str">
            <v>UN</v>
          </cell>
          <cell r="K383">
            <v>45581</v>
          </cell>
        </row>
        <row r="384">
          <cell r="A384" t="str">
            <v>50714264840</v>
          </cell>
          <cell r="B384" t="str">
            <v>ZMTD</v>
          </cell>
          <cell r="C384">
            <v>45523</v>
          </cell>
          <cell r="D384" t="str">
            <v>Partially delivered</v>
          </cell>
          <cell r="E384">
            <v>507142648</v>
          </cell>
          <cell r="F384">
            <v>40</v>
          </cell>
          <cell r="G384">
            <v>1421509</v>
          </cell>
          <cell r="H384" t="str">
            <v>LS-285:CV ORNG P/WHT UV ORGSQUEZE PTI30O</v>
          </cell>
          <cell r="I384">
            <v>70224</v>
          </cell>
          <cell r="J384" t="str">
            <v>UN</v>
          </cell>
          <cell r="K384">
            <v>45581</v>
          </cell>
        </row>
        <row r="385">
          <cell r="A385" t="str">
            <v>50714260410</v>
          </cell>
          <cell r="B385" t="str">
            <v>ZMTD</v>
          </cell>
          <cell r="C385">
            <v>45509</v>
          </cell>
          <cell r="D385" t="str">
            <v>Not delivered</v>
          </cell>
          <cell r="E385">
            <v>507142604</v>
          </cell>
          <cell r="F385">
            <v>10</v>
          </cell>
          <cell r="G385">
            <v>1171241</v>
          </cell>
          <cell r="H385" t="str">
            <v>CP-059:60ML UV GOLD WHT LN 7712010071 EL</v>
          </cell>
          <cell r="I385">
            <v>25080</v>
          </cell>
          <cell r="J385" t="str">
            <v>UN</v>
          </cell>
          <cell r="K385">
            <v>45581</v>
          </cell>
        </row>
        <row r="386">
          <cell r="A386" t="str">
            <v>50800517110</v>
          </cell>
          <cell r="B386" t="str">
            <v>ZMFD</v>
          </cell>
          <cell r="C386">
            <v>45481</v>
          </cell>
          <cell r="D386" t="str">
            <v>Not delivered</v>
          </cell>
          <cell r="E386">
            <v>508005171</v>
          </cell>
          <cell r="F386">
            <v>10</v>
          </cell>
          <cell r="G386">
            <v>1375595</v>
          </cell>
          <cell r="H386" t="str">
            <v>LC-009:BTL/INNER CLEAR P/OMG PTIPT 60B</v>
          </cell>
          <cell r="I386">
            <v>100170</v>
          </cell>
          <cell r="J386" t="str">
            <v>UN</v>
          </cell>
          <cell r="K386">
            <v>45581</v>
          </cell>
        </row>
        <row r="387">
          <cell r="A387" t="str">
            <v>50800517120</v>
          </cell>
          <cell r="B387" t="str">
            <v>ZMFD</v>
          </cell>
          <cell r="C387">
            <v>45481</v>
          </cell>
          <cell r="D387" t="str">
            <v>Not delivered</v>
          </cell>
          <cell r="E387">
            <v>508005171</v>
          </cell>
          <cell r="F387">
            <v>20</v>
          </cell>
          <cell r="G387">
            <v>1375593</v>
          </cell>
          <cell r="H387" t="str">
            <v>LC-009:CAP REDTRANS WIP S/OMG PTIPT 60B</v>
          </cell>
          <cell r="I387">
            <v>100170</v>
          </cell>
          <cell r="J387" t="str">
            <v>UN</v>
          </cell>
          <cell r="K387">
            <v>45581</v>
          </cell>
        </row>
        <row r="388">
          <cell r="A388" t="str">
            <v>50714227910</v>
          </cell>
          <cell r="B388" t="str">
            <v>ZMTD</v>
          </cell>
          <cell r="C388">
            <v>45447</v>
          </cell>
          <cell r="D388" t="str">
            <v>Not delivered</v>
          </cell>
          <cell r="E388">
            <v>507142279</v>
          </cell>
          <cell r="F388">
            <v>10</v>
          </cell>
          <cell r="G388">
            <v>1419488</v>
          </cell>
          <cell r="H388" t="str">
            <v>CP-063R:SPOUT CAP WHITE LOREAL 12A</v>
          </cell>
          <cell r="I388">
            <v>1890000</v>
          </cell>
          <cell r="J388" t="str">
            <v>UN</v>
          </cell>
          <cell r="K388">
            <v>45581</v>
          </cell>
        </row>
        <row r="389">
          <cell r="A389" t="str">
            <v>50714282910</v>
          </cell>
          <cell r="B389" t="str">
            <v>ZMTD</v>
          </cell>
          <cell r="C389">
            <v>45560</v>
          </cell>
          <cell r="D389" t="str">
            <v>Not delivered</v>
          </cell>
          <cell r="E389">
            <v>507142829</v>
          </cell>
          <cell r="F389">
            <v>10</v>
          </cell>
          <cell r="G389">
            <v>1340516</v>
          </cell>
          <cell r="H389" t="str">
            <v>CM-133:CVR BS MTLC GRN UV DP S/WARDH 30T</v>
          </cell>
          <cell r="I389">
            <v>10080</v>
          </cell>
          <cell r="J389" t="str">
            <v>UN</v>
          </cell>
          <cell r="K389">
            <v>45582</v>
          </cell>
        </row>
        <row r="390">
          <cell r="A390" t="str">
            <v>50714278310</v>
          </cell>
          <cell r="B390" t="str">
            <v>ZMTD</v>
          </cell>
          <cell r="C390">
            <v>45554</v>
          </cell>
          <cell r="D390" t="str">
            <v>Not delivered</v>
          </cell>
          <cell r="E390">
            <v>507142783</v>
          </cell>
          <cell r="F390">
            <v>10</v>
          </cell>
          <cell r="G390">
            <v>1255658</v>
          </cell>
          <cell r="H390" t="str">
            <v>LC-002:BTL MT VAR8 P/WRDH B.MARK PTI40H</v>
          </cell>
          <cell r="I390">
            <v>25200</v>
          </cell>
          <cell r="J390" t="str">
            <v>UN</v>
          </cell>
          <cell r="K390">
            <v>45582</v>
          </cell>
        </row>
        <row r="391">
          <cell r="A391" t="str">
            <v>50714278320</v>
          </cell>
          <cell r="B391" t="str">
            <v>ZMTD</v>
          </cell>
          <cell r="C391">
            <v>45554</v>
          </cell>
          <cell r="D391" t="str">
            <v>Not delivered</v>
          </cell>
          <cell r="E391">
            <v>507142783</v>
          </cell>
          <cell r="F391">
            <v>20</v>
          </cell>
          <cell r="G391">
            <v>1264030</v>
          </cell>
          <cell r="H391" t="str">
            <v>LC-002:CAP S/MTVAR8 STM-WHT WPNAT PTI40D</v>
          </cell>
          <cell r="I391">
            <v>25200</v>
          </cell>
          <cell r="J391" t="str">
            <v>UN</v>
          </cell>
          <cell r="K391">
            <v>45582</v>
          </cell>
        </row>
        <row r="392">
          <cell r="A392" t="str">
            <v>50714278510</v>
          </cell>
          <cell r="B392" t="str">
            <v>ZMTD</v>
          </cell>
          <cell r="C392">
            <v>45554</v>
          </cell>
          <cell r="D392" t="str">
            <v>Not delivered</v>
          </cell>
          <cell r="E392">
            <v>507142785</v>
          </cell>
          <cell r="F392">
            <v>10</v>
          </cell>
          <cell r="G392">
            <v>1405659</v>
          </cell>
          <cell r="H392" t="str">
            <v>LC-012:BTL VR12 P/GLASTNG PTI60B</v>
          </cell>
          <cell r="I392">
            <v>25326</v>
          </cell>
          <cell r="J392" t="str">
            <v>UN</v>
          </cell>
          <cell r="K392">
            <v>45582</v>
          </cell>
        </row>
        <row r="393">
          <cell r="A393" t="str">
            <v>50714278520</v>
          </cell>
          <cell r="B393" t="str">
            <v>ZMTD</v>
          </cell>
          <cell r="C393">
            <v>45554</v>
          </cell>
          <cell r="D393" t="str">
            <v>Not delivered</v>
          </cell>
          <cell r="E393">
            <v>507142785</v>
          </cell>
          <cell r="F393">
            <v>20</v>
          </cell>
          <cell r="G393">
            <v>1385814</v>
          </cell>
          <cell r="H393" t="str">
            <v>LC-012:CAP VM BRWN WIP GLASTING PTI 20F</v>
          </cell>
          <cell r="I393">
            <v>25326</v>
          </cell>
          <cell r="J393" t="str">
            <v>UN</v>
          </cell>
          <cell r="K393">
            <v>45582</v>
          </cell>
        </row>
        <row r="394">
          <cell r="A394" t="str">
            <v>50714278710</v>
          </cell>
          <cell r="B394" t="str">
            <v>ZMTD</v>
          </cell>
          <cell r="C394">
            <v>45554</v>
          </cell>
          <cell r="D394" t="str">
            <v>Not delivered</v>
          </cell>
          <cell r="E394">
            <v>507142787</v>
          </cell>
          <cell r="F394">
            <v>10</v>
          </cell>
          <cell r="G394">
            <v>1336783</v>
          </cell>
          <cell r="H394" t="str">
            <v>LC-003:BTL CLR CLVM P/S/INSTSUEDE PTI20Y</v>
          </cell>
          <cell r="I394">
            <v>25200</v>
          </cell>
          <cell r="J394" t="str">
            <v>UN</v>
          </cell>
          <cell r="K394">
            <v>45582</v>
          </cell>
        </row>
        <row r="395">
          <cell r="A395" t="str">
            <v>50714278720</v>
          </cell>
          <cell r="B395" t="str">
            <v>ZMTD</v>
          </cell>
          <cell r="C395">
            <v>45554</v>
          </cell>
          <cell r="D395" t="str">
            <v>Not delivered</v>
          </cell>
          <cell r="E395">
            <v>507142787</v>
          </cell>
          <cell r="F395">
            <v>20</v>
          </cell>
          <cell r="G395">
            <v>1378266</v>
          </cell>
          <cell r="H395" t="str">
            <v>LC-003:CAP VM RS PINK INSTASUEDE PTI 20F</v>
          </cell>
          <cell r="I395">
            <v>25200</v>
          </cell>
          <cell r="J395" t="str">
            <v>UN</v>
          </cell>
          <cell r="K395">
            <v>45582</v>
          </cell>
        </row>
        <row r="396">
          <cell r="A396" t="str">
            <v>50714278810</v>
          </cell>
          <cell r="B396" t="str">
            <v>ZMTD</v>
          </cell>
          <cell r="C396">
            <v>45554</v>
          </cell>
          <cell r="D396" t="str">
            <v>Not delivered</v>
          </cell>
          <cell r="E396">
            <v>507142788</v>
          </cell>
          <cell r="F396">
            <v>10</v>
          </cell>
          <cell r="G396">
            <v>1168132</v>
          </cell>
          <cell r="H396" t="str">
            <v>LS-285:BS WHT NO DC WARDAH</v>
          </cell>
          <cell r="I396">
            <v>55328</v>
          </cell>
          <cell r="J396" t="str">
            <v>UN</v>
          </cell>
          <cell r="K396">
            <v>45582</v>
          </cell>
        </row>
        <row r="397">
          <cell r="A397" t="str">
            <v>50714278820</v>
          </cell>
          <cell r="B397" t="str">
            <v>ZMTD</v>
          </cell>
          <cell r="C397">
            <v>45554</v>
          </cell>
          <cell r="D397" t="str">
            <v>Not delivered</v>
          </cell>
          <cell r="E397">
            <v>507142788</v>
          </cell>
          <cell r="F397">
            <v>20</v>
          </cell>
          <cell r="G397">
            <v>1421418</v>
          </cell>
          <cell r="H397" t="str">
            <v>LS-285:CV RED P/WHT UV STRAWBERY PTI 30O</v>
          </cell>
          <cell r="I397">
            <v>55328</v>
          </cell>
          <cell r="J397" t="str">
            <v>UN</v>
          </cell>
          <cell r="K397">
            <v>45582</v>
          </cell>
        </row>
        <row r="398">
          <cell r="A398" t="str">
            <v>50714279110</v>
          </cell>
          <cell r="B398" t="str">
            <v>ZMTD</v>
          </cell>
          <cell r="C398">
            <v>45554</v>
          </cell>
          <cell r="D398" t="str">
            <v>Not delivered</v>
          </cell>
          <cell r="E398">
            <v>507142791</v>
          </cell>
          <cell r="F398">
            <v>10</v>
          </cell>
          <cell r="G398">
            <v>1390981</v>
          </cell>
          <cell r="H398" t="str">
            <v>LC-012:BTL VR5 GLAZBERY P/GLASTNG PTI60B</v>
          </cell>
          <cell r="I398">
            <v>25326</v>
          </cell>
          <cell r="J398" t="str">
            <v>UN</v>
          </cell>
          <cell r="K398">
            <v>45582</v>
          </cell>
        </row>
        <row r="399">
          <cell r="A399" t="str">
            <v>50714279120</v>
          </cell>
          <cell r="B399" t="str">
            <v>ZMTD</v>
          </cell>
          <cell r="C399">
            <v>45554</v>
          </cell>
          <cell r="D399" t="str">
            <v>Not delivered</v>
          </cell>
          <cell r="E399">
            <v>507142791</v>
          </cell>
          <cell r="F399">
            <v>20</v>
          </cell>
          <cell r="G399">
            <v>1385814</v>
          </cell>
          <cell r="H399" t="str">
            <v>LC-012:CAP VM BRWN WIP GLASTING PTI 20F</v>
          </cell>
          <cell r="I399">
            <v>25326</v>
          </cell>
          <cell r="J399" t="str">
            <v>UN</v>
          </cell>
          <cell r="K399">
            <v>45582</v>
          </cell>
        </row>
        <row r="400">
          <cell r="A400" t="str">
            <v>50714275670</v>
          </cell>
          <cell r="B400" t="str">
            <v>ZMTD</v>
          </cell>
          <cell r="C400">
            <v>45547</v>
          </cell>
          <cell r="D400" t="str">
            <v>Not delivered</v>
          </cell>
          <cell r="E400">
            <v>507142756</v>
          </cell>
          <cell r="F400">
            <v>70</v>
          </cell>
          <cell r="G400">
            <v>1411899</v>
          </cell>
          <cell r="H400" t="str">
            <v>PT-100:BS/INS GREEN P/WHT KAHF PTI 60B</v>
          </cell>
          <cell r="I400">
            <v>120064</v>
          </cell>
          <cell r="J400" t="str">
            <v>UN</v>
          </cell>
          <cell r="K400">
            <v>45582</v>
          </cell>
        </row>
        <row r="401">
          <cell r="A401" t="str">
            <v>50714275680</v>
          </cell>
          <cell r="B401" t="str">
            <v>ZMTD</v>
          </cell>
          <cell r="C401">
            <v>45547</v>
          </cell>
          <cell r="D401" t="str">
            <v>Not delivered</v>
          </cell>
          <cell r="E401">
            <v>507142756</v>
          </cell>
          <cell r="F401">
            <v>80</v>
          </cell>
          <cell r="G401">
            <v>1411898</v>
          </cell>
          <cell r="H401" t="str">
            <v>PT-100:CVR MT.GREEN EMBOS KAHF PTI 40D</v>
          </cell>
          <cell r="I401">
            <v>120064</v>
          </cell>
          <cell r="J401" t="str">
            <v>UN</v>
          </cell>
          <cell r="K401">
            <v>45582</v>
          </cell>
        </row>
        <row r="402">
          <cell r="A402" t="str">
            <v>50714266410</v>
          </cell>
          <cell r="B402" t="str">
            <v>ZMTD</v>
          </cell>
          <cell r="C402">
            <v>45525</v>
          </cell>
          <cell r="D402" t="str">
            <v>Not delivered</v>
          </cell>
          <cell r="E402">
            <v>507142664</v>
          </cell>
          <cell r="F402">
            <v>10</v>
          </cell>
          <cell r="G402">
            <v>1216572</v>
          </cell>
          <cell r="H402" t="str">
            <v>CM-216:TRUE MATCH CV PF S/SLV LOR (SEA)</v>
          </cell>
          <cell r="I402">
            <v>230400</v>
          </cell>
          <cell r="J402" t="str">
            <v>UN</v>
          </cell>
          <cell r="K402">
            <v>45582</v>
          </cell>
        </row>
        <row r="403">
          <cell r="A403" t="str">
            <v>507142416200</v>
          </cell>
          <cell r="B403" t="str">
            <v>ZMTD</v>
          </cell>
          <cell r="C403">
            <v>45474</v>
          </cell>
          <cell r="D403" t="str">
            <v>Not delivered</v>
          </cell>
          <cell r="E403">
            <v>507142416</v>
          </cell>
          <cell r="F403">
            <v>200</v>
          </cell>
          <cell r="G403">
            <v>1172027</v>
          </cell>
          <cell r="H403" t="str">
            <v>FP-008:SFT NAT L.HINGE W/LBL NO DC MDM</v>
          </cell>
          <cell r="I403">
            <v>10000</v>
          </cell>
          <cell r="J403" t="str">
            <v>UN</v>
          </cell>
          <cell r="K403">
            <v>45582</v>
          </cell>
        </row>
        <row r="404">
          <cell r="A404" t="str">
            <v>50714277110</v>
          </cell>
          <cell r="B404" t="str">
            <v>ZMTD</v>
          </cell>
          <cell r="C404">
            <v>45554</v>
          </cell>
          <cell r="D404" t="str">
            <v>Not delivered</v>
          </cell>
          <cell r="E404">
            <v>507142771</v>
          </cell>
          <cell r="F404">
            <v>10</v>
          </cell>
          <cell r="G404">
            <v>1378563</v>
          </cell>
          <cell r="H404" t="str">
            <v>CP-093:CAP D50 MT BLACK Ø.5 YASULOR 12A</v>
          </cell>
          <cell r="I404">
            <v>400000</v>
          </cell>
          <cell r="J404" t="str">
            <v>UN</v>
          </cell>
          <cell r="K404">
            <v>45583</v>
          </cell>
        </row>
        <row r="405">
          <cell r="A405" t="str">
            <v>50714278910</v>
          </cell>
          <cell r="B405" t="str">
            <v>ZMTD</v>
          </cell>
          <cell r="C405">
            <v>45554</v>
          </cell>
          <cell r="D405" t="str">
            <v>Not delivered</v>
          </cell>
          <cell r="E405">
            <v>507142789</v>
          </cell>
          <cell r="F405">
            <v>10</v>
          </cell>
          <cell r="G405">
            <v>1411213</v>
          </cell>
          <cell r="H405" t="str">
            <v>CM-105:BLCK COAT P/MAKE OVER PTI RV1 40H</v>
          </cell>
          <cell r="I405">
            <v>10080</v>
          </cell>
          <cell r="J405" t="str">
            <v>UN</v>
          </cell>
          <cell r="K405">
            <v>45583</v>
          </cell>
        </row>
        <row r="406">
          <cell r="A406" t="str">
            <v>50714279010</v>
          </cell>
          <cell r="B406" t="str">
            <v>ZMTD</v>
          </cell>
          <cell r="C406">
            <v>45554</v>
          </cell>
          <cell r="D406" t="str">
            <v>Not delivered</v>
          </cell>
          <cell r="E406">
            <v>507142790</v>
          </cell>
          <cell r="F406">
            <v>10</v>
          </cell>
          <cell r="G406">
            <v>1361170</v>
          </cell>
          <cell r="H406" t="str">
            <v>PT-097:BODY BLACK HOUSE WHT TRANS PTI12A</v>
          </cell>
          <cell r="I406">
            <v>110160</v>
          </cell>
          <cell r="J406" t="str">
            <v>UN</v>
          </cell>
          <cell r="K406">
            <v>45583</v>
          </cell>
        </row>
        <row r="407">
          <cell r="A407" t="str">
            <v>50714279020</v>
          </cell>
          <cell r="B407" t="str">
            <v>ZMTD</v>
          </cell>
          <cell r="C407">
            <v>45554</v>
          </cell>
          <cell r="D407" t="str">
            <v>Not delivered</v>
          </cell>
          <cell r="E407">
            <v>507142790</v>
          </cell>
          <cell r="F407">
            <v>20</v>
          </cell>
          <cell r="G407">
            <v>1361175</v>
          </cell>
          <cell r="H407" t="str">
            <v>PT-097:CAP BLACK TRANS PTI 12A</v>
          </cell>
          <cell r="I407">
            <v>110160</v>
          </cell>
          <cell r="J407" t="str">
            <v>UN</v>
          </cell>
          <cell r="K407">
            <v>45583</v>
          </cell>
        </row>
        <row r="408">
          <cell r="A408" t="str">
            <v>50714276550</v>
          </cell>
          <cell r="B408" t="str">
            <v>ZMTD</v>
          </cell>
          <cell r="C408">
            <v>45552</v>
          </cell>
          <cell r="D408" t="str">
            <v>Not delivered</v>
          </cell>
          <cell r="E408">
            <v>507142765</v>
          </cell>
          <cell r="F408">
            <v>50</v>
          </cell>
          <cell r="G408">
            <v>1398383</v>
          </cell>
          <cell r="H408" t="str">
            <v>CM-319:WHITE P/BLACK UV MATTE NARS</v>
          </cell>
          <cell r="I408">
            <v>40080</v>
          </cell>
          <cell r="J408" t="str">
            <v>UN</v>
          </cell>
          <cell r="K408">
            <v>45583</v>
          </cell>
        </row>
        <row r="409">
          <cell r="A409" t="str">
            <v>50714270910</v>
          </cell>
          <cell r="B409" t="str">
            <v>ZMTD</v>
          </cell>
          <cell r="C409">
            <v>45534</v>
          </cell>
          <cell r="D409" t="str">
            <v>Not delivered</v>
          </cell>
          <cell r="E409">
            <v>507142709</v>
          </cell>
          <cell r="F409">
            <v>10</v>
          </cell>
          <cell r="G409">
            <v>1187960</v>
          </cell>
          <cell r="H409" t="str">
            <v>FP-014:CVR VMRAINBOW P/ULTM II RUDYS 40C</v>
          </cell>
          <cell r="I409">
            <v>30000</v>
          </cell>
          <cell r="J409" t="str">
            <v>UN</v>
          </cell>
          <cell r="K409">
            <v>45583</v>
          </cell>
        </row>
        <row r="410">
          <cell r="A410" t="str">
            <v>50714270920</v>
          </cell>
          <cell r="B410" t="str">
            <v>ZMTD</v>
          </cell>
          <cell r="C410">
            <v>45534</v>
          </cell>
          <cell r="D410" t="str">
            <v>Not delivered</v>
          </cell>
          <cell r="E410">
            <v>507142709</v>
          </cell>
          <cell r="F410">
            <v>20</v>
          </cell>
          <cell r="G410">
            <v>1172318</v>
          </cell>
          <cell r="H410" t="str">
            <v>FP-014:BASE CLEAR NO DC ULTIMA II RUDY S</v>
          </cell>
          <cell r="I410">
            <v>30000</v>
          </cell>
          <cell r="J410" t="str">
            <v>UN</v>
          </cell>
          <cell r="K410">
            <v>45583</v>
          </cell>
        </row>
        <row r="411">
          <cell r="A411" t="str">
            <v>50714270930</v>
          </cell>
          <cell r="B411" t="str">
            <v>ZMTD</v>
          </cell>
          <cell r="C411">
            <v>45534</v>
          </cell>
          <cell r="D411" t="str">
            <v>Not delivered</v>
          </cell>
          <cell r="E411">
            <v>507142709</v>
          </cell>
          <cell r="F411">
            <v>30</v>
          </cell>
          <cell r="G411">
            <v>1170826</v>
          </cell>
          <cell r="H411" t="str">
            <v>FP-014:SIFTER NT W/LBL NO DECO ULTIMA II</v>
          </cell>
          <cell r="I411">
            <v>30000</v>
          </cell>
          <cell r="J411" t="str">
            <v>UN</v>
          </cell>
          <cell r="K411">
            <v>45583</v>
          </cell>
        </row>
        <row r="412">
          <cell r="A412" t="str">
            <v>50714260010</v>
          </cell>
          <cell r="B412" t="str">
            <v>ZMTD</v>
          </cell>
          <cell r="C412">
            <v>45509</v>
          </cell>
          <cell r="D412" t="str">
            <v>Not delivered</v>
          </cell>
          <cell r="E412">
            <v>507142600</v>
          </cell>
          <cell r="F412">
            <v>10</v>
          </cell>
          <cell r="G412">
            <v>1414413</v>
          </cell>
          <cell r="H412" t="str">
            <v>CM-216:S/RED INFAILLIBLE  L'OREAL US</v>
          </cell>
          <cell r="I412">
            <v>70000</v>
          </cell>
          <cell r="J412" t="str">
            <v>UN</v>
          </cell>
          <cell r="K412">
            <v>45583</v>
          </cell>
        </row>
        <row r="413">
          <cell r="A413" t="str">
            <v>50714254320</v>
          </cell>
          <cell r="B413" t="str">
            <v>ZMTD</v>
          </cell>
          <cell r="C413">
            <v>45491</v>
          </cell>
          <cell r="D413" t="str">
            <v>Not delivered</v>
          </cell>
          <cell r="E413">
            <v>507142543</v>
          </cell>
          <cell r="F413">
            <v>20</v>
          </cell>
          <cell r="G413">
            <v>1278860</v>
          </cell>
          <cell r="H413" t="str">
            <v>CM-296:WHT P/L.AGELES W/O HOLE COTY TAOR</v>
          </cell>
          <cell r="I413">
            <v>72000</v>
          </cell>
          <cell r="J413" t="str">
            <v>UN</v>
          </cell>
          <cell r="K413">
            <v>45583</v>
          </cell>
        </row>
        <row r="414">
          <cell r="A414" t="str">
            <v>507142416180</v>
          </cell>
          <cell r="B414" t="str">
            <v>ZMTD</v>
          </cell>
          <cell r="C414">
            <v>45474</v>
          </cell>
          <cell r="D414" t="str">
            <v>Not delivered</v>
          </cell>
          <cell r="E414">
            <v>507142416</v>
          </cell>
          <cell r="F414">
            <v>180</v>
          </cell>
          <cell r="G414">
            <v>1376248</v>
          </cell>
          <cell r="H414" t="str">
            <v>FP-008:CVR L.PINK P/BLK MANDOM RV1 12A</v>
          </cell>
          <cell r="I414">
            <v>10000</v>
          </cell>
          <cell r="J414" t="str">
            <v>UN</v>
          </cell>
          <cell r="K414">
            <v>45583</v>
          </cell>
        </row>
        <row r="415">
          <cell r="A415" t="str">
            <v>507142416190</v>
          </cell>
          <cell r="B415" t="str">
            <v>ZMTD</v>
          </cell>
          <cell r="C415">
            <v>45474</v>
          </cell>
          <cell r="D415" t="str">
            <v>Not delivered</v>
          </cell>
          <cell r="E415">
            <v>507142416</v>
          </cell>
          <cell r="F415">
            <v>190</v>
          </cell>
          <cell r="G415">
            <v>1171179</v>
          </cell>
          <cell r="H415" t="str">
            <v>FP-008:BS INJ BLK NO DC MANDOM</v>
          </cell>
          <cell r="I415">
            <v>10000</v>
          </cell>
          <cell r="J415" t="str">
            <v>UN</v>
          </cell>
          <cell r="K415">
            <v>45583</v>
          </cell>
        </row>
        <row r="416">
          <cell r="A416" t="str">
            <v>50714228010</v>
          </cell>
          <cell r="B416" t="str">
            <v>ZMTD</v>
          </cell>
          <cell r="C416">
            <v>45447</v>
          </cell>
          <cell r="D416" t="str">
            <v>Not delivered</v>
          </cell>
          <cell r="E416">
            <v>507142280</v>
          </cell>
          <cell r="F416">
            <v>10</v>
          </cell>
          <cell r="G416">
            <v>1419488</v>
          </cell>
          <cell r="H416" t="str">
            <v>CP-063R:SPOUT CAP WHITE LOREAL 12A</v>
          </cell>
          <cell r="I416">
            <v>1890000</v>
          </cell>
          <cell r="J416" t="str">
            <v>UN</v>
          </cell>
          <cell r="K416">
            <v>45584</v>
          </cell>
        </row>
        <row r="417">
          <cell r="A417" t="str">
            <v>50714275210</v>
          </cell>
          <cell r="B417" t="str">
            <v>ZMTD</v>
          </cell>
          <cell r="C417">
            <v>45545</v>
          </cell>
          <cell r="D417" t="str">
            <v>Not delivered</v>
          </cell>
          <cell r="E417">
            <v>507142752</v>
          </cell>
          <cell r="F417">
            <v>10</v>
          </cell>
          <cell r="G417">
            <v>1169286</v>
          </cell>
          <cell r="H417" t="str">
            <v>CM-294:RECTANGULAR WITH GODET PKTJ010032</v>
          </cell>
          <cell r="I417">
            <v>43280</v>
          </cell>
          <cell r="J417" t="str">
            <v>UN</v>
          </cell>
          <cell r="K417">
            <v>45585</v>
          </cell>
        </row>
        <row r="418">
          <cell r="A418" t="str">
            <v>50714284010</v>
          </cell>
          <cell r="B418" t="str">
            <v>ZMTD</v>
          </cell>
          <cell r="C418">
            <v>45562</v>
          </cell>
          <cell r="D418" t="str">
            <v>Not delivered</v>
          </cell>
          <cell r="E418">
            <v>507142840</v>
          </cell>
          <cell r="F418">
            <v>10</v>
          </cell>
          <cell r="G418">
            <v>1225388</v>
          </cell>
          <cell r="H418" t="str">
            <v>RX-039 PT-024 CVR WHT SP/MAT CLR</v>
          </cell>
          <cell r="I418">
            <v>27000</v>
          </cell>
          <cell r="J418" t="str">
            <v>UN</v>
          </cell>
          <cell r="K418">
            <v>45586</v>
          </cell>
        </row>
        <row r="419">
          <cell r="A419" t="str">
            <v>50714278210</v>
          </cell>
          <cell r="B419" t="str">
            <v>ZMTD</v>
          </cell>
          <cell r="C419">
            <v>45554</v>
          </cell>
          <cell r="D419" t="str">
            <v>Not delivered</v>
          </cell>
          <cell r="E419">
            <v>507142782</v>
          </cell>
          <cell r="F419">
            <v>10</v>
          </cell>
          <cell r="G419">
            <v>1420101</v>
          </cell>
          <cell r="H419" t="str">
            <v>LS-091:BS RED P/RED FRTY CHERRY NEW 60B</v>
          </cell>
          <cell r="I419">
            <v>25688</v>
          </cell>
          <cell r="J419" t="str">
            <v>UN</v>
          </cell>
          <cell r="K419">
            <v>45586</v>
          </cell>
        </row>
        <row r="420">
          <cell r="A420" t="str">
            <v>50714278220</v>
          </cell>
          <cell r="B420" t="str">
            <v>ZMTD</v>
          </cell>
          <cell r="C420">
            <v>45554</v>
          </cell>
          <cell r="D420" t="str">
            <v>Not delivered</v>
          </cell>
          <cell r="E420">
            <v>507142782</v>
          </cell>
          <cell r="F420">
            <v>20</v>
          </cell>
          <cell r="G420">
            <v>1420102</v>
          </cell>
          <cell r="H420" t="str">
            <v>LS-091:CV WHT P/ICE FRUITY CHERRY 60B</v>
          </cell>
          <cell r="I420">
            <v>25688</v>
          </cell>
          <cell r="J420" t="str">
            <v>UN</v>
          </cell>
          <cell r="K420">
            <v>45586</v>
          </cell>
        </row>
        <row r="421">
          <cell r="A421" t="str">
            <v>50714273330</v>
          </cell>
          <cell r="B421" t="str">
            <v>ZMTD</v>
          </cell>
          <cell r="C421">
            <v>45544</v>
          </cell>
          <cell r="D421" t="str">
            <v>Not delivered</v>
          </cell>
          <cell r="E421">
            <v>507142733</v>
          </cell>
          <cell r="F421">
            <v>30</v>
          </cell>
          <cell r="G421">
            <v>1375595</v>
          </cell>
          <cell r="H421" t="str">
            <v>LC-009:BTL/INNER CLEAR P/OMG PTIPT 60B</v>
          </cell>
          <cell r="I421">
            <v>49770</v>
          </cell>
          <cell r="J421" t="str">
            <v>UN</v>
          </cell>
          <cell r="K421">
            <v>45586</v>
          </cell>
        </row>
        <row r="422">
          <cell r="A422" t="str">
            <v>50714273340</v>
          </cell>
          <cell r="B422" t="str">
            <v>ZMTD</v>
          </cell>
          <cell r="C422">
            <v>45544</v>
          </cell>
          <cell r="D422" t="str">
            <v>Not delivered</v>
          </cell>
          <cell r="E422">
            <v>507142733</v>
          </cell>
          <cell r="F422">
            <v>40</v>
          </cell>
          <cell r="G422">
            <v>1375593</v>
          </cell>
          <cell r="H422" t="str">
            <v>LC-009:CAP REDTRANS WIP S/OMG PTIPT 60B</v>
          </cell>
          <cell r="I422">
            <v>49770</v>
          </cell>
          <cell r="J422" t="str">
            <v>UN</v>
          </cell>
          <cell r="K422">
            <v>45586</v>
          </cell>
        </row>
        <row r="423">
          <cell r="A423" t="str">
            <v>50714271910</v>
          </cell>
          <cell r="B423" t="str">
            <v>ZMTD</v>
          </cell>
          <cell r="C423">
            <v>45539</v>
          </cell>
          <cell r="D423" t="str">
            <v>Not delivered</v>
          </cell>
          <cell r="E423">
            <v>507142719</v>
          </cell>
          <cell r="F423">
            <v>10</v>
          </cell>
          <cell r="G423">
            <v>1431862</v>
          </cell>
          <cell r="H423" t="str">
            <v>PT6029R JAR GARNIER 18ML YUZU SPF30(635)</v>
          </cell>
          <cell r="I423">
            <v>42336</v>
          </cell>
          <cell r="J423" t="str">
            <v>UN</v>
          </cell>
          <cell r="K423">
            <v>45586</v>
          </cell>
        </row>
        <row r="424">
          <cell r="A424" t="str">
            <v>50714269910</v>
          </cell>
          <cell r="B424" t="str">
            <v>ZMTD</v>
          </cell>
          <cell r="C424">
            <v>45533</v>
          </cell>
          <cell r="D424" t="str">
            <v>Not delivered</v>
          </cell>
          <cell r="E424">
            <v>507142699</v>
          </cell>
          <cell r="F424">
            <v>10</v>
          </cell>
          <cell r="G424">
            <v>1315622</v>
          </cell>
          <cell r="H424" t="str">
            <v>CM-306:COTY BURBERRY PLATFORM QUAD</v>
          </cell>
          <cell r="I424">
            <v>32400</v>
          </cell>
          <cell r="J424" t="str">
            <v>UN</v>
          </cell>
          <cell r="K424">
            <v>45586</v>
          </cell>
        </row>
        <row r="425">
          <cell r="A425" t="str">
            <v>50800525110</v>
          </cell>
          <cell r="B425" t="str">
            <v>ZMFD</v>
          </cell>
          <cell r="C425">
            <v>45511</v>
          </cell>
          <cell r="D425" t="str">
            <v>Not delivered</v>
          </cell>
          <cell r="E425">
            <v>508005251</v>
          </cell>
          <cell r="F425">
            <v>10</v>
          </cell>
          <cell r="G425">
            <v>1168132</v>
          </cell>
          <cell r="H425" t="str">
            <v>LS-285:BS WHT NO DC WARDAH</v>
          </cell>
          <cell r="I425">
            <v>3000</v>
          </cell>
          <cell r="J425" t="str">
            <v>UN</v>
          </cell>
          <cell r="K425">
            <v>45586</v>
          </cell>
        </row>
        <row r="426">
          <cell r="A426" t="str">
            <v>50800525120</v>
          </cell>
          <cell r="B426" t="str">
            <v>ZMFD</v>
          </cell>
          <cell r="C426">
            <v>45511</v>
          </cell>
          <cell r="D426" t="str">
            <v>Not delivered</v>
          </cell>
          <cell r="E426">
            <v>508005251</v>
          </cell>
          <cell r="F426">
            <v>20</v>
          </cell>
          <cell r="G426">
            <v>1421510</v>
          </cell>
          <cell r="H426" t="str">
            <v>LS-285:CV PINK P/WHT UV P.BLOSOM PTI 30O</v>
          </cell>
          <cell r="I426">
            <v>3000</v>
          </cell>
          <cell r="J426" t="str">
            <v>UN</v>
          </cell>
          <cell r="K426">
            <v>45586</v>
          </cell>
        </row>
        <row r="427">
          <cell r="A427" t="str">
            <v>50714243310</v>
          </cell>
          <cell r="B427" t="str">
            <v>ZMTD</v>
          </cell>
          <cell r="C427">
            <v>45475</v>
          </cell>
          <cell r="D427" t="str">
            <v>Not delivered</v>
          </cell>
          <cell r="E427">
            <v>507142433</v>
          </cell>
          <cell r="F427">
            <v>10</v>
          </cell>
          <cell r="G427">
            <v>1406600</v>
          </cell>
          <cell r="H427" t="str">
            <v>CM-310:BLACK M086 CANNAGE S/SLV UV MT</v>
          </cell>
          <cell r="I427">
            <v>39000</v>
          </cell>
          <cell r="J427" t="str">
            <v>UN</v>
          </cell>
          <cell r="K427">
            <v>45586</v>
          </cell>
        </row>
        <row r="428">
          <cell r="A428" t="str">
            <v>50714228110</v>
          </cell>
          <cell r="B428" t="str">
            <v>ZMTD</v>
          </cell>
          <cell r="C428">
            <v>45447</v>
          </cell>
          <cell r="D428" t="str">
            <v>Not delivered</v>
          </cell>
          <cell r="E428">
            <v>507142281</v>
          </cell>
          <cell r="F428">
            <v>10</v>
          </cell>
          <cell r="G428">
            <v>1419488</v>
          </cell>
          <cell r="H428" t="str">
            <v>CP-063R:SPOUT CAP WHITE LOREAL 12A</v>
          </cell>
          <cell r="I428">
            <v>1890000</v>
          </cell>
          <cell r="J428" t="str">
            <v>UN</v>
          </cell>
          <cell r="K428">
            <v>45586</v>
          </cell>
        </row>
        <row r="429">
          <cell r="A429" t="str">
            <v>50714283110</v>
          </cell>
          <cell r="B429" t="str">
            <v>ZMTD</v>
          </cell>
          <cell r="C429">
            <v>45561</v>
          </cell>
          <cell r="D429" t="str">
            <v>Not delivered</v>
          </cell>
          <cell r="E429">
            <v>507142831</v>
          </cell>
          <cell r="F429">
            <v>10</v>
          </cell>
          <cell r="G429">
            <v>1367372</v>
          </cell>
          <cell r="H429" t="str">
            <v>PT-097:BODY GREN HOUSE WHT TRANS PTI 12A</v>
          </cell>
          <cell r="I429">
            <v>50220</v>
          </cell>
          <cell r="J429" t="str">
            <v>UN</v>
          </cell>
          <cell r="K429">
            <v>45587</v>
          </cell>
        </row>
        <row r="430">
          <cell r="A430" t="str">
            <v>50714283120</v>
          </cell>
          <cell r="B430" t="str">
            <v>ZMTD</v>
          </cell>
          <cell r="C430">
            <v>45561</v>
          </cell>
          <cell r="D430" t="str">
            <v>Not delivered</v>
          </cell>
          <cell r="E430">
            <v>507142831</v>
          </cell>
          <cell r="F430">
            <v>20</v>
          </cell>
          <cell r="G430">
            <v>1367370</v>
          </cell>
          <cell r="H430" t="str">
            <v>PT-097:CAP GREN TRANS PTI 12A</v>
          </cell>
          <cell r="I430">
            <v>50220</v>
          </cell>
          <cell r="J430" t="str">
            <v>UN</v>
          </cell>
          <cell r="K430">
            <v>45587</v>
          </cell>
        </row>
        <row r="431">
          <cell r="A431" t="str">
            <v>50714283410</v>
          </cell>
          <cell r="B431" t="str">
            <v>ZMTD</v>
          </cell>
          <cell r="C431">
            <v>45561</v>
          </cell>
          <cell r="D431" t="str">
            <v>Not delivered</v>
          </cell>
          <cell r="E431">
            <v>507142834</v>
          </cell>
          <cell r="F431">
            <v>10</v>
          </cell>
          <cell r="G431">
            <v>1209355</v>
          </cell>
          <cell r="H431" t="str">
            <v>CP-092:VM SLVR WRDH TREAT ESSENCE PTI20F</v>
          </cell>
          <cell r="I431">
            <v>25200</v>
          </cell>
          <cell r="J431" t="str">
            <v>UN</v>
          </cell>
          <cell r="K431">
            <v>45587</v>
          </cell>
        </row>
        <row r="432">
          <cell r="A432" t="str">
            <v>50714283510</v>
          </cell>
          <cell r="B432" t="str">
            <v>ZMTD</v>
          </cell>
          <cell r="C432">
            <v>45561</v>
          </cell>
          <cell r="D432" t="str">
            <v>Not delivered</v>
          </cell>
          <cell r="E432">
            <v>507142835</v>
          </cell>
          <cell r="F432">
            <v>10</v>
          </cell>
          <cell r="G432">
            <v>1167571</v>
          </cell>
          <cell r="H432" t="str">
            <v>FP-014:BS CLEAR NO DC PTI</v>
          </cell>
          <cell r="I432">
            <v>10080</v>
          </cell>
          <cell r="J432" t="str">
            <v>UN</v>
          </cell>
          <cell r="K432">
            <v>45587</v>
          </cell>
        </row>
        <row r="433">
          <cell r="A433" t="str">
            <v>50714283520</v>
          </cell>
          <cell r="B433" t="str">
            <v>ZMTD</v>
          </cell>
          <cell r="C433">
            <v>45561</v>
          </cell>
          <cell r="D433" t="str">
            <v>Not delivered</v>
          </cell>
          <cell r="E433">
            <v>507142835</v>
          </cell>
          <cell r="F433">
            <v>20</v>
          </cell>
          <cell r="G433">
            <v>1174020</v>
          </cell>
          <cell r="H433" t="str">
            <v>FP-014:CVR BLCK COAT P/DC MAKE OVER  PTI</v>
          </cell>
          <cell r="I433">
            <v>10080</v>
          </cell>
          <cell r="J433" t="str">
            <v>UN</v>
          </cell>
          <cell r="K433">
            <v>45587</v>
          </cell>
        </row>
        <row r="434">
          <cell r="A434" t="str">
            <v>50714283530</v>
          </cell>
          <cell r="B434" t="str">
            <v>ZMTD</v>
          </cell>
          <cell r="C434">
            <v>45561</v>
          </cell>
          <cell r="D434" t="str">
            <v>Not delivered</v>
          </cell>
          <cell r="E434">
            <v>507142835</v>
          </cell>
          <cell r="F434">
            <v>30</v>
          </cell>
          <cell r="G434">
            <v>1167434</v>
          </cell>
          <cell r="H434" t="str">
            <v>FP-014:SFTR NATURAL W/ LABEL POLOS PTI</v>
          </cell>
          <cell r="I434">
            <v>10080</v>
          </cell>
          <cell r="J434" t="str">
            <v>UN</v>
          </cell>
          <cell r="K434">
            <v>45587</v>
          </cell>
        </row>
        <row r="435">
          <cell r="A435" t="str">
            <v>50714283710</v>
          </cell>
          <cell r="B435" t="str">
            <v>ZMTD</v>
          </cell>
          <cell r="C435">
            <v>45561</v>
          </cell>
          <cell r="D435" t="str">
            <v>Not delivered</v>
          </cell>
          <cell r="E435">
            <v>507142837</v>
          </cell>
          <cell r="F435">
            <v>10</v>
          </cell>
          <cell r="G435">
            <v>1408740</v>
          </cell>
          <cell r="H435" t="str">
            <v>PT-097B:BDSR.2 BLU HOUS WHT TRNS PTI12A</v>
          </cell>
          <cell r="I435">
            <v>110160</v>
          </cell>
          <cell r="J435" t="str">
            <v>UN</v>
          </cell>
          <cell r="K435">
            <v>45587</v>
          </cell>
        </row>
        <row r="436">
          <cell r="A436" t="str">
            <v>50714283720</v>
          </cell>
          <cell r="B436" t="str">
            <v>ZMTD</v>
          </cell>
          <cell r="C436">
            <v>45561</v>
          </cell>
          <cell r="D436" t="str">
            <v>Not delivered</v>
          </cell>
          <cell r="E436">
            <v>507142837</v>
          </cell>
          <cell r="F436">
            <v>20</v>
          </cell>
          <cell r="G436">
            <v>1408739</v>
          </cell>
          <cell r="H436" t="str">
            <v>PT-097B:CAP SR.2 BLUE TRANS PTI 12A</v>
          </cell>
          <cell r="I436">
            <v>110160</v>
          </cell>
          <cell r="J436" t="str">
            <v>UN</v>
          </cell>
          <cell r="K436">
            <v>45587</v>
          </cell>
        </row>
        <row r="437">
          <cell r="A437" t="str">
            <v>50714282010</v>
          </cell>
          <cell r="B437" t="str">
            <v>ZMTD</v>
          </cell>
          <cell r="C437">
            <v>45560</v>
          </cell>
          <cell r="D437" t="str">
            <v>Not delivered</v>
          </cell>
          <cell r="E437">
            <v>507142820</v>
          </cell>
          <cell r="F437">
            <v>10</v>
          </cell>
          <cell r="G437">
            <v>1169047</v>
          </cell>
          <cell r="H437" t="str">
            <v>LS-285:B V/SL P/1PS SLEV H/SL BLM PTI20R</v>
          </cell>
          <cell r="I437">
            <v>25536</v>
          </cell>
          <cell r="J437" t="str">
            <v>UN</v>
          </cell>
          <cell r="K437">
            <v>45587</v>
          </cell>
        </row>
        <row r="438">
          <cell r="A438" t="str">
            <v>50714282020</v>
          </cell>
          <cell r="B438" t="str">
            <v>ZMTD</v>
          </cell>
          <cell r="C438">
            <v>45560</v>
          </cell>
          <cell r="D438" t="str">
            <v>Not delivered</v>
          </cell>
          <cell r="E438">
            <v>507142820</v>
          </cell>
          <cell r="F438">
            <v>20</v>
          </cell>
          <cell r="G438">
            <v>1169062</v>
          </cell>
          <cell r="H438" t="str">
            <v>LS-285:CV TRANS MATE 1 P/1PS VAR2 PTI40H</v>
          </cell>
          <cell r="I438">
            <v>25536</v>
          </cell>
          <cell r="J438" t="str">
            <v>UN</v>
          </cell>
          <cell r="K438">
            <v>45587</v>
          </cell>
        </row>
        <row r="439">
          <cell r="A439" t="str">
            <v>50714278020</v>
          </cell>
          <cell r="B439" t="str">
            <v>ZMTD</v>
          </cell>
          <cell r="C439">
            <v>45554</v>
          </cell>
          <cell r="D439" t="str">
            <v>Not delivered</v>
          </cell>
          <cell r="E439">
            <v>507142780</v>
          </cell>
          <cell r="F439">
            <v>20</v>
          </cell>
          <cell r="G439">
            <v>1409881</v>
          </cell>
          <cell r="H439" t="str">
            <v>CM-315:CVR/BS BLACK P/CVRLAST OMG RV160B</v>
          </cell>
          <cell r="I439">
            <v>50204</v>
          </cell>
          <cell r="J439" t="str">
            <v>UN</v>
          </cell>
          <cell r="K439">
            <v>45587</v>
          </cell>
        </row>
        <row r="440">
          <cell r="A440" t="str">
            <v>50714275750</v>
          </cell>
          <cell r="B440" t="str">
            <v>ZMTD</v>
          </cell>
          <cell r="C440">
            <v>45547</v>
          </cell>
          <cell r="D440" t="str">
            <v>Not delivered</v>
          </cell>
          <cell r="E440">
            <v>507142757</v>
          </cell>
          <cell r="F440">
            <v>50</v>
          </cell>
          <cell r="G440">
            <v>1411701</v>
          </cell>
          <cell r="H440" t="str">
            <v>PT-100:BS/INS BLUE P/WHT KAHF PTI 60B</v>
          </cell>
          <cell r="I440">
            <v>60160</v>
          </cell>
          <cell r="J440" t="str">
            <v>UN</v>
          </cell>
          <cell r="K440">
            <v>45587</v>
          </cell>
        </row>
        <row r="441">
          <cell r="A441" t="str">
            <v>50714275760</v>
          </cell>
          <cell r="B441" t="str">
            <v>ZMTD</v>
          </cell>
          <cell r="C441">
            <v>45547</v>
          </cell>
          <cell r="D441" t="str">
            <v>Not delivered</v>
          </cell>
          <cell r="E441">
            <v>507142757</v>
          </cell>
          <cell r="F441">
            <v>60</v>
          </cell>
          <cell r="G441">
            <v>1411700</v>
          </cell>
          <cell r="H441" t="str">
            <v>PT-100:CVR MT.BLUE EMBOS KAHF PTI 40D</v>
          </cell>
          <cell r="I441">
            <v>60160</v>
          </cell>
          <cell r="J441" t="str">
            <v>UN</v>
          </cell>
          <cell r="K441">
            <v>45587</v>
          </cell>
        </row>
        <row r="442">
          <cell r="A442" t="str">
            <v>50714274240</v>
          </cell>
          <cell r="B442" t="str">
            <v>ZMTD</v>
          </cell>
          <cell r="C442">
            <v>45544</v>
          </cell>
          <cell r="D442" t="str">
            <v>Not delivered</v>
          </cell>
          <cell r="E442">
            <v>507142742</v>
          </cell>
          <cell r="F442">
            <v>40</v>
          </cell>
          <cell r="G442">
            <v>1437039</v>
          </cell>
          <cell r="H442" t="str">
            <v>CM-290:1PC BS CV MT.BLK S/ EMBOS OMG 40C</v>
          </cell>
          <cell r="I442">
            <v>25032</v>
          </cell>
          <cell r="J442" t="str">
            <v>UN</v>
          </cell>
          <cell r="K442">
            <v>45587</v>
          </cell>
        </row>
        <row r="443">
          <cell r="A443" t="str">
            <v>50714274250</v>
          </cell>
          <cell r="B443" t="str">
            <v>ZMTD</v>
          </cell>
          <cell r="C443">
            <v>45544</v>
          </cell>
          <cell r="D443" t="str">
            <v>Not delivered</v>
          </cell>
          <cell r="E443">
            <v>507142742</v>
          </cell>
          <cell r="F443">
            <v>50</v>
          </cell>
          <cell r="G443">
            <v>1437140</v>
          </cell>
          <cell r="H443" t="str">
            <v>CM-290:ENGINE CV RED, BS BLK OMG PTI 12A</v>
          </cell>
          <cell r="I443">
            <v>25032</v>
          </cell>
          <cell r="J443" t="str">
            <v>UN</v>
          </cell>
          <cell r="K443">
            <v>45587</v>
          </cell>
        </row>
        <row r="444">
          <cell r="A444" t="str">
            <v>50714274260</v>
          </cell>
          <cell r="B444" t="str">
            <v>ZMTD</v>
          </cell>
          <cell r="C444">
            <v>45544</v>
          </cell>
          <cell r="D444" t="str">
            <v>Not delivered</v>
          </cell>
          <cell r="E444">
            <v>507142742</v>
          </cell>
          <cell r="F444">
            <v>60</v>
          </cell>
          <cell r="G444">
            <v>1437141</v>
          </cell>
          <cell r="H444" t="str">
            <v>CM-290:RING BLACK OMG PTI 12A</v>
          </cell>
          <cell r="I444">
            <v>25032</v>
          </cell>
          <cell r="J444" t="str">
            <v>UN</v>
          </cell>
          <cell r="K444">
            <v>45587</v>
          </cell>
        </row>
        <row r="445">
          <cell r="A445" t="str">
            <v>50714273020</v>
          </cell>
          <cell r="B445" t="str">
            <v>ZMTD</v>
          </cell>
          <cell r="C445">
            <v>45541</v>
          </cell>
          <cell r="D445" t="str">
            <v>Not delivered</v>
          </cell>
          <cell r="E445">
            <v>507142730</v>
          </cell>
          <cell r="F445">
            <v>20</v>
          </cell>
          <cell r="G445">
            <v>1371896</v>
          </cell>
          <cell r="H445" t="str">
            <v>RX-056:CM-316 CVR BLUE P/WHT SP/MTCLR</v>
          </cell>
          <cell r="I445">
            <v>110016</v>
          </cell>
          <cell r="J445" t="str">
            <v>UN</v>
          </cell>
          <cell r="K445">
            <v>45587</v>
          </cell>
        </row>
        <row r="446">
          <cell r="A446" t="str">
            <v>50714270540</v>
          </cell>
          <cell r="B446" t="str">
            <v>ZMTD</v>
          </cell>
          <cell r="C446">
            <v>45534</v>
          </cell>
          <cell r="D446" t="str">
            <v>Not delivered</v>
          </cell>
          <cell r="E446">
            <v>507142705</v>
          </cell>
          <cell r="F446">
            <v>40</v>
          </cell>
          <cell r="G446">
            <v>1342221</v>
          </cell>
          <cell r="H446" t="str">
            <v>LC-010:CAP BEIGE WIP NAT PTI 12A</v>
          </cell>
          <cell r="I446">
            <v>100170</v>
          </cell>
          <cell r="J446" t="str">
            <v>UN</v>
          </cell>
          <cell r="K446">
            <v>45587</v>
          </cell>
        </row>
        <row r="447">
          <cell r="A447" t="str">
            <v>50714262410</v>
          </cell>
          <cell r="B447" t="str">
            <v>ZMTD</v>
          </cell>
          <cell r="C447">
            <v>45513</v>
          </cell>
          <cell r="D447" t="str">
            <v>Not delivered</v>
          </cell>
          <cell r="E447">
            <v>507142624</v>
          </cell>
          <cell r="F447">
            <v>10</v>
          </cell>
          <cell r="G447">
            <v>1195860</v>
          </cell>
          <cell r="H447" t="str">
            <v>CM-248:WHITE  ZRPJ010031 S/CLINIQUE</v>
          </cell>
          <cell r="I447">
            <v>12600</v>
          </cell>
          <cell r="J447" t="str">
            <v>UN</v>
          </cell>
          <cell r="K447">
            <v>45587</v>
          </cell>
        </row>
        <row r="448">
          <cell r="A448" t="str">
            <v>50800523510</v>
          </cell>
          <cell r="B448" t="str">
            <v>ZMFD</v>
          </cell>
          <cell r="C448">
            <v>45505</v>
          </cell>
          <cell r="D448" t="str">
            <v>Not delivered</v>
          </cell>
          <cell r="E448">
            <v>508005235</v>
          </cell>
          <cell r="F448">
            <v>10</v>
          </cell>
          <cell r="G448">
            <v>1332995</v>
          </cell>
          <cell r="H448" t="str">
            <v>LC-008:CAP VM SLV WIP NAT EMLC PTI 20F</v>
          </cell>
          <cell r="I448">
            <v>100000</v>
          </cell>
          <cell r="J448" t="str">
            <v>UN</v>
          </cell>
          <cell r="K448">
            <v>45587</v>
          </cell>
        </row>
        <row r="449">
          <cell r="A449" t="str">
            <v>50800523520</v>
          </cell>
          <cell r="B449" t="str">
            <v>ZMFD</v>
          </cell>
          <cell r="C449">
            <v>45505</v>
          </cell>
          <cell r="D449" t="str">
            <v>Not delivered</v>
          </cell>
          <cell r="E449">
            <v>508005235</v>
          </cell>
          <cell r="F449">
            <v>20</v>
          </cell>
          <cell r="G449">
            <v>1434959</v>
          </cell>
          <cell r="H449" t="str">
            <v>LC-008:BTL CLR (PCTG) P/WHT EMLC PTI 60B</v>
          </cell>
          <cell r="I449">
            <v>100000</v>
          </cell>
          <cell r="J449" t="str">
            <v>UN</v>
          </cell>
          <cell r="K449">
            <v>45587</v>
          </cell>
        </row>
        <row r="450">
          <cell r="A450" t="str">
            <v>50714247910</v>
          </cell>
          <cell r="B450" t="str">
            <v>ZMTD</v>
          </cell>
          <cell r="C450">
            <v>45483</v>
          </cell>
          <cell r="D450" t="str">
            <v>Not delivered</v>
          </cell>
          <cell r="E450">
            <v>507142479</v>
          </cell>
          <cell r="F450">
            <v>10</v>
          </cell>
          <cell r="G450">
            <v>1195535</v>
          </cell>
          <cell r="H450" t="str">
            <v>FP-039:BASE SAN CLEAR HS KIKO PREMIER</v>
          </cell>
          <cell r="I450">
            <v>51408</v>
          </cell>
          <cell r="J450" t="str">
            <v>UN</v>
          </cell>
          <cell r="K450">
            <v>45587</v>
          </cell>
        </row>
        <row r="451">
          <cell r="A451" t="str">
            <v>50714248010</v>
          </cell>
          <cell r="B451" t="str">
            <v>ZMTD</v>
          </cell>
          <cell r="C451">
            <v>45483</v>
          </cell>
          <cell r="D451" t="str">
            <v>Not delivered</v>
          </cell>
          <cell r="E451">
            <v>507142480</v>
          </cell>
          <cell r="F451">
            <v>10</v>
          </cell>
          <cell r="G451">
            <v>1191869</v>
          </cell>
          <cell r="H451" t="str">
            <v>FP-039:CVR WHITE VM DARK SILVER  KIKO</v>
          </cell>
          <cell r="I451">
            <v>50688</v>
          </cell>
          <cell r="J451" t="str">
            <v>UN</v>
          </cell>
          <cell r="K451">
            <v>45587</v>
          </cell>
        </row>
        <row r="452">
          <cell r="A452" t="str">
            <v>507142416210</v>
          </cell>
          <cell r="B452" t="str">
            <v>ZMTD</v>
          </cell>
          <cell r="C452">
            <v>45474</v>
          </cell>
          <cell r="D452" t="str">
            <v>Not delivered</v>
          </cell>
          <cell r="E452">
            <v>507142416</v>
          </cell>
          <cell r="F452">
            <v>210</v>
          </cell>
          <cell r="G452">
            <v>1376248</v>
          </cell>
          <cell r="H452" t="str">
            <v>FP-008:CVR L.PINK P/BLK MANDOM RV1 12A</v>
          </cell>
          <cell r="I452">
            <v>10000</v>
          </cell>
          <cell r="J452" t="str">
            <v>UN</v>
          </cell>
          <cell r="K452">
            <v>45587</v>
          </cell>
        </row>
        <row r="453">
          <cell r="A453" t="str">
            <v>507142416220</v>
          </cell>
          <cell r="B453" t="str">
            <v>ZMTD</v>
          </cell>
          <cell r="C453">
            <v>45474</v>
          </cell>
          <cell r="D453" t="str">
            <v>Not delivered</v>
          </cell>
          <cell r="E453">
            <v>507142416</v>
          </cell>
          <cell r="F453">
            <v>220</v>
          </cell>
          <cell r="G453">
            <v>1171179</v>
          </cell>
          <cell r="H453" t="str">
            <v>FP-008:BS INJ BLK NO DC MANDOM</v>
          </cell>
          <cell r="I453">
            <v>10000</v>
          </cell>
          <cell r="J453" t="str">
            <v>UN</v>
          </cell>
          <cell r="K453">
            <v>45587</v>
          </cell>
        </row>
        <row r="454">
          <cell r="A454" t="str">
            <v>507142416230</v>
          </cell>
          <cell r="B454" t="str">
            <v>ZMTD</v>
          </cell>
          <cell r="C454">
            <v>45474</v>
          </cell>
          <cell r="D454" t="str">
            <v>Not delivered</v>
          </cell>
          <cell r="E454">
            <v>507142416</v>
          </cell>
          <cell r="F454">
            <v>230</v>
          </cell>
          <cell r="G454">
            <v>1172027</v>
          </cell>
          <cell r="H454" t="str">
            <v>FP-008:SFT NAT L.HINGE W/LBL NO DC MDM</v>
          </cell>
          <cell r="I454">
            <v>10000</v>
          </cell>
          <cell r="J454" t="str">
            <v>UN</v>
          </cell>
          <cell r="K454">
            <v>45587</v>
          </cell>
        </row>
        <row r="455">
          <cell r="A455" t="str">
            <v>50714228210</v>
          </cell>
          <cell r="B455" t="str">
            <v>ZMTD</v>
          </cell>
          <cell r="C455">
            <v>45447</v>
          </cell>
          <cell r="D455" t="str">
            <v>Not delivered</v>
          </cell>
          <cell r="E455">
            <v>507142282</v>
          </cell>
          <cell r="F455">
            <v>10</v>
          </cell>
          <cell r="G455">
            <v>1419488</v>
          </cell>
          <cell r="H455" t="str">
            <v>CP-063R:SPOUT CAP WHITE LOREAL 12A</v>
          </cell>
          <cell r="I455">
            <v>1890000</v>
          </cell>
          <cell r="J455" t="str">
            <v>UN</v>
          </cell>
          <cell r="K455">
            <v>45587</v>
          </cell>
        </row>
        <row r="456">
          <cell r="A456" t="str">
            <v>50714283610</v>
          </cell>
          <cell r="B456" t="str">
            <v>ZMTD</v>
          </cell>
          <cell r="C456">
            <v>45561</v>
          </cell>
          <cell r="D456" t="str">
            <v>Not delivered</v>
          </cell>
          <cell r="E456">
            <v>507142836</v>
          </cell>
          <cell r="F456">
            <v>10</v>
          </cell>
          <cell r="G456">
            <v>1261370</v>
          </cell>
          <cell r="H456" t="str">
            <v>CP-090:CAP ADORE VMPURPLE NOEMBOS PTI20F</v>
          </cell>
          <cell r="I456">
            <v>25272</v>
          </cell>
          <cell r="J456" t="str">
            <v>UN</v>
          </cell>
          <cell r="K456">
            <v>45588</v>
          </cell>
        </row>
        <row r="457">
          <cell r="A457" t="str">
            <v>50714282710</v>
          </cell>
          <cell r="B457" t="str">
            <v>ZMTD</v>
          </cell>
          <cell r="C457">
            <v>45560</v>
          </cell>
          <cell r="D457" t="str">
            <v>Not delivered</v>
          </cell>
          <cell r="E457">
            <v>507142827</v>
          </cell>
          <cell r="F457">
            <v>10</v>
          </cell>
          <cell r="G457">
            <v>1411213</v>
          </cell>
          <cell r="H457" t="str">
            <v>CM-105:BLCK COAT P/MAKE OVER PTI RV1 40H</v>
          </cell>
          <cell r="I457">
            <v>20160</v>
          </cell>
          <cell r="J457" t="str">
            <v>UN</v>
          </cell>
          <cell r="K457">
            <v>45588</v>
          </cell>
        </row>
        <row r="458">
          <cell r="A458" t="str">
            <v>50714282810</v>
          </cell>
          <cell r="B458" t="str">
            <v>ZMTD</v>
          </cell>
          <cell r="C458">
            <v>45560</v>
          </cell>
          <cell r="D458" t="str">
            <v>Not delivered</v>
          </cell>
          <cell r="E458">
            <v>507142828</v>
          </cell>
          <cell r="F458">
            <v>10</v>
          </cell>
          <cell r="G458">
            <v>1168132</v>
          </cell>
          <cell r="H458" t="str">
            <v>LS-285:BS WHT NO DC WARDAH</v>
          </cell>
          <cell r="I458">
            <v>120232</v>
          </cell>
          <cell r="J458" t="str">
            <v>UN</v>
          </cell>
          <cell r="K458">
            <v>45588</v>
          </cell>
        </row>
        <row r="459">
          <cell r="A459" t="str">
            <v>50714282820</v>
          </cell>
          <cell r="B459" t="str">
            <v>ZMTD</v>
          </cell>
          <cell r="C459">
            <v>45560</v>
          </cell>
          <cell r="D459" t="str">
            <v>Not delivered</v>
          </cell>
          <cell r="E459">
            <v>507142828</v>
          </cell>
          <cell r="F459">
            <v>20</v>
          </cell>
          <cell r="G459">
            <v>1421509</v>
          </cell>
          <cell r="H459" t="str">
            <v>LS-285:CV ORNG P/WHT UV ORGSQUEZE PTI30O</v>
          </cell>
          <cell r="I459">
            <v>120232</v>
          </cell>
          <cell r="J459" t="str">
            <v>UN</v>
          </cell>
          <cell r="K459">
            <v>45588</v>
          </cell>
        </row>
        <row r="460">
          <cell r="A460" t="str">
            <v>50714279710</v>
          </cell>
          <cell r="B460" t="str">
            <v>ZMTD</v>
          </cell>
          <cell r="C460">
            <v>45558</v>
          </cell>
          <cell r="D460" t="str">
            <v>Not delivered</v>
          </cell>
          <cell r="E460">
            <v>507142797</v>
          </cell>
          <cell r="F460">
            <v>10</v>
          </cell>
          <cell r="G460">
            <v>1383131</v>
          </cell>
          <cell r="H460" t="str">
            <v>LC-004:CAP PINK P2037C WIP HANUM MLA 40D</v>
          </cell>
          <cell r="I460">
            <v>25000</v>
          </cell>
          <cell r="J460" t="str">
            <v>UN</v>
          </cell>
          <cell r="K460">
            <v>45588</v>
          </cell>
        </row>
        <row r="461">
          <cell r="A461" t="str">
            <v>50714279720</v>
          </cell>
          <cell r="B461" t="str">
            <v>ZMTD</v>
          </cell>
          <cell r="C461">
            <v>45558</v>
          </cell>
          <cell r="D461" t="str">
            <v>Not delivered</v>
          </cell>
          <cell r="E461">
            <v>507142797</v>
          </cell>
          <cell r="F461">
            <v>20</v>
          </cell>
          <cell r="G461">
            <v>1383133</v>
          </cell>
          <cell r="H461" t="str">
            <v>LC-004:BTLCLR CLPINK2037C P/HANUM MLA40H</v>
          </cell>
          <cell r="I461">
            <v>25000</v>
          </cell>
          <cell r="J461" t="str">
            <v>UN</v>
          </cell>
          <cell r="K461">
            <v>45588</v>
          </cell>
        </row>
        <row r="462">
          <cell r="A462" t="str">
            <v>50714275690</v>
          </cell>
          <cell r="B462" t="str">
            <v>ZMTD</v>
          </cell>
          <cell r="C462">
            <v>45547</v>
          </cell>
          <cell r="D462" t="str">
            <v>Not delivered</v>
          </cell>
          <cell r="E462">
            <v>507142756</v>
          </cell>
          <cell r="F462">
            <v>90</v>
          </cell>
          <cell r="G462">
            <v>1411899</v>
          </cell>
          <cell r="H462" t="str">
            <v>PT-100:BS/INS GREEN P/WHT KAHF PTI 60B</v>
          </cell>
          <cell r="I462">
            <v>65280</v>
          </cell>
          <cell r="J462" t="str">
            <v>UN</v>
          </cell>
          <cell r="K462">
            <v>45588</v>
          </cell>
        </row>
        <row r="463">
          <cell r="A463" t="str">
            <v>507142756100</v>
          </cell>
          <cell r="B463" t="str">
            <v>ZMTD</v>
          </cell>
          <cell r="C463">
            <v>45547</v>
          </cell>
          <cell r="D463" t="str">
            <v>Not delivered</v>
          </cell>
          <cell r="E463">
            <v>507142756</v>
          </cell>
          <cell r="F463">
            <v>100</v>
          </cell>
          <cell r="G463">
            <v>1411898</v>
          </cell>
          <cell r="H463" t="str">
            <v>PT-100:CVR MT.GREEN EMBOS KAHF PTI 40D</v>
          </cell>
          <cell r="I463">
            <v>65280</v>
          </cell>
          <cell r="J463" t="str">
            <v>UN</v>
          </cell>
          <cell r="K463">
            <v>45588</v>
          </cell>
        </row>
        <row r="464">
          <cell r="A464" t="str">
            <v>50714270530</v>
          </cell>
          <cell r="B464" t="str">
            <v>ZMTD</v>
          </cell>
          <cell r="C464">
            <v>45534</v>
          </cell>
          <cell r="D464" t="str">
            <v>Not delivered</v>
          </cell>
          <cell r="E464">
            <v>507142705</v>
          </cell>
          <cell r="F464">
            <v>30</v>
          </cell>
          <cell r="G464">
            <v>1342220</v>
          </cell>
          <cell r="H464" t="str">
            <v>LC-010:BTL CLR HTF COLBEIGE CFIT PTI 60C</v>
          </cell>
          <cell r="I464">
            <v>100170</v>
          </cell>
          <cell r="J464" t="str">
            <v>UN</v>
          </cell>
          <cell r="K464">
            <v>45588</v>
          </cell>
        </row>
        <row r="465">
          <cell r="A465" t="str">
            <v>50714270810</v>
          </cell>
          <cell r="B465" t="str">
            <v>ZMTD</v>
          </cell>
          <cell r="C465">
            <v>45534</v>
          </cell>
          <cell r="D465" t="str">
            <v>Not delivered</v>
          </cell>
          <cell r="E465">
            <v>507142708</v>
          </cell>
          <cell r="F465">
            <v>10</v>
          </cell>
          <cell r="G465">
            <v>1215637</v>
          </cell>
          <cell r="H465" t="str">
            <v>CM-105:UV DBRW P/P8022C WWGLAM RUDYS 40C</v>
          </cell>
          <cell r="I465">
            <v>10000</v>
          </cell>
          <cell r="J465" t="str">
            <v>UN</v>
          </cell>
          <cell r="K465">
            <v>45588</v>
          </cell>
        </row>
        <row r="466">
          <cell r="A466" t="str">
            <v>50714263010</v>
          </cell>
          <cell r="B466" t="str">
            <v>ZMTD</v>
          </cell>
          <cell r="C466">
            <v>45516</v>
          </cell>
          <cell r="D466" t="str">
            <v>Not delivered</v>
          </cell>
          <cell r="E466">
            <v>507142630</v>
          </cell>
          <cell r="F466">
            <v>10</v>
          </cell>
          <cell r="G466">
            <v>1436641</v>
          </cell>
          <cell r="H466" t="str">
            <v>CM-310:BLUE UV S/SILVER DIOR PEPSPE+IXPE</v>
          </cell>
          <cell r="I466">
            <v>64800</v>
          </cell>
          <cell r="J466" t="str">
            <v>UN</v>
          </cell>
          <cell r="K466">
            <v>45588</v>
          </cell>
        </row>
        <row r="467">
          <cell r="A467" t="str">
            <v>50714262110</v>
          </cell>
          <cell r="B467" t="str">
            <v>ZMTD</v>
          </cell>
          <cell r="C467">
            <v>45512</v>
          </cell>
          <cell r="D467" t="str">
            <v>Not delivered</v>
          </cell>
          <cell r="E467">
            <v>507142621</v>
          </cell>
          <cell r="F467">
            <v>10</v>
          </cell>
          <cell r="G467">
            <v>1198670</v>
          </cell>
          <cell r="H467" t="str">
            <v>BRUSH HALFMOON ULT CRMY PWDRBL</v>
          </cell>
          <cell r="I467">
            <v>20000</v>
          </cell>
          <cell r="J467" t="str">
            <v>UN</v>
          </cell>
          <cell r="K467">
            <v>45588</v>
          </cell>
        </row>
        <row r="468">
          <cell r="A468" t="str">
            <v>50800517910</v>
          </cell>
          <cell r="B468" t="str">
            <v>ZMFD</v>
          </cell>
          <cell r="C468">
            <v>45484</v>
          </cell>
          <cell r="D468" t="str">
            <v>Not delivered</v>
          </cell>
          <cell r="E468">
            <v>508005179</v>
          </cell>
          <cell r="F468">
            <v>10</v>
          </cell>
          <cell r="G468">
            <v>1167571</v>
          </cell>
          <cell r="H468" t="str">
            <v>FP-014:BS CLEAR NO DC PTI</v>
          </cell>
          <cell r="I468">
            <v>20160</v>
          </cell>
          <cell r="J468" t="str">
            <v>UN</v>
          </cell>
          <cell r="K468">
            <v>45588</v>
          </cell>
        </row>
        <row r="469">
          <cell r="A469" t="str">
            <v>50800517920</v>
          </cell>
          <cell r="B469" t="str">
            <v>ZMFD</v>
          </cell>
          <cell r="C469">
            <v>45484</v>
          </cell>
          <cell r="D469" t="str">
            <v>Not delivered</v>
          </cell>
          <cell r="E469">
            <v>508005179</v>
          </cell>
          <cell r="F469">
            <v>20</v>
          </cell>
          <cell r="G469">
            <v>1174020</v>
          </cell>
          <cell r="H469" t="str">
            <v>FP-014:CVR BLCK COAT P/DC MAKE OVER  PTI</v>
          </cell>
          <cell r="I469">
            <v>20160</v>
          </cell>
          <cell r="J469" t="str">
            <v>UN</v>
          </cell>
          <cell r="K469">
            <v>45588</v>
          </cell>
        </row>
        <row r="470">
          <cell r="A470" t="str">
            <v>50800517930</v>
          </cell>
          <cell r="B470" t="str">
            <v>ZMFD</v>
          </cell>
          <cell r="C470">
            <v>45484</v>
          </cell>
          <cell r="D470" t="str">
            <v>Not delivered</v>
          </cell>
          <cell r="E470">
            <v>508005179</v>
          </cell>
          <cell r="F470">
            <v>30</v>
          </cell>
          <cell r="G470">
            <v>1167434</v>
          </cell>
          <cell r="H470" t="str">
            <v>FP-014:SFTR NATURAL W/ LABEL POLOS PTI</v>
          </cell>
          <cell r="I470">
            <v>20160</v>
          </cell>
          <cell r="J470" t="str">
            <v>UN</v>
          </cell>
          <cell r="K470">
            <v>45588</v>
          </cell>
        </row>
        <row r="471">
          <cell r="A471" t="str">
            <v>50714282110</v>
          </cell>
          <cell r="B471" t="str">
            <v>ZMTD</v>
          </cell>
          <cell r="C471">
            <v>45560</v>
          </cell>
          <cell r="D471" t="str">
            <v>Not delivered</v>
          </cell>
          <cell r="E471">
            <v>507142821</v>
          </cell>
          <cell r="F471">
            <v>10</v>
          </cell>
          <cell r="G471">
            <v>1153319</v>
          </cell>
          <cell r="H471" t="str">
            <v>LS-285:BS/SPRL BEIGE P/WRDH PTI 40H</v>
          </cell>
          <cell r="I471">
            <v>25536</v>
          </cell>
          <cell r="J471" t="str">
            <v>UN</v>
          </cell>
          <cell r="K471">
            <v>45589</v>
          </cell>
        </row>
        <row r="472">
          <cell r="A472" t="str">
            <v>50714282120</v>
          </cell>
          <cell r="B472" t="str">
            <v>ZMTD</v>
          </cell>
          <cell r="C472">
            <v>45560</v>
          </cell>
          <cell r="D472" t="str">
            <v>Not delivered</v>
          </cell>
          <cell r="E472">
            <v>507142821</v>
          </cell>
          <cell r="F472">
            <v>20</v>
          </cell>
          <cell r="G472">
            <v>1153467</v>
          </cell>
          <cell r="H472" t="str">
            <v>LS-285:CVR MT BEIGE P/S.SEOUL PTI40H</v>
          </cell>
          <cell r="I472">
            <v>25536</v>
          </cell>
          <cell r="J472" t="str">
            <v>UN</v>
          </cell>
          <cell r="K472">
            <v>45589</v>
          </cell>
        </row>
        <row r="473">
          <cell r="A473" t="str">
            <v>50714282210</v>
          </cell>
          <cell r="B473" t="str">
            <v>ZMTD</v>
          </cell>
          <cell r="C473">
            <v>45560</v>
          </cell>
          <cell r="D473" t="str">
            <v>Not delivered</v>
          </cell>
          <cell r="E473">
            <v>507142822</v>
          </cell>
          <cell r="F473">
            <v>10</v>
          </cell>
          <cell r="G473">
            <v>1153319</v>
          </cell>
          <cell r="H473" t="str">
            <v>LS-285:BS/SPRL BEIGE P/WRDH PTI 40H</v>
          </cell>
          <cell r="I473">
            <v>25536</v>
          </cell>
          <cell r="J473" t="str">
            <v>UN</v>
          </cell>
          <cell r="K473">
            <v>45589</v>
          </cell>
        </row>
        <row r="474">
          <cell r="A474" t="str">
            <v>50714282220</v>
          </cell>
          <cell r="B474" t="str">
            <v>ZMTD</v>
          </cell>
          <cell r="C474">
            <v>45560</v>
          </cell>
          <cell r="D474" t="str">
            <v>Not delivered</v>
          </cell>
          <cell r="E474">
            <v>507142822</v>
          </cell>
          <cell r="F474">
            <v>20</v>
          </cell>
          <cell r="G474">
            <v>1153469</v>
          </cell>
          <cell r="H474" t="str">
            <v>LS-285:CVR MT BEIGE P/HONGDAE PTI40H</v>
          </cell>
          <cell r="I474">
            <v>25536</v>
          </cell>
          <cell r="J474" t="str">
            <v>UN</v>
          </cell>
          <cell r="K474">
            <v>45589</v>
          </cell>
        </row>
        <row r="475">
          <cell r="A475" t="str">
            <v>50714282310</v>
          </cell>
          <cell r="B475" t="str">
            <v>ZMTD</v>
          </cell>
          <cell r="C475">
            <v>45560</v>
          </cell>
          <cell r="D475" t="str">
            <v>Not delivered</v>
          </cell>
          <cell r="E475">
            <v>507142823</v>
          </cell>
          <cell r="F475">
            <v>10</v>
          </cell>
          <cell r="G475">
            <v>1169047</v>
          </cell>
          <cell r="H475" t="str">
            <v>LS-285:B V/SL P/1PS SLEV H/SL BLM PTI20R</v>
          </cell>
          <cell r="I475">
            <v>25536</v>
          </cell>
          <cell r="J475" t="str">
            <v>UN</v>
          </cell>
          <cell r="K475">
            <v>45589</v>
          </cell>
        </row>
        <row r="476">
          <cell r="A476" t="str">
            <v>50714282320</v>
          </cell>
          <cell r="B476" t="str">
            <v>ZMTD</v>
          </cell>
          <cell r="C476">
            <v>45560</v>
          </cell>
          <cell r="D476" t="str">
            <v>Not delivered</v>
          </cell>
          <cell r="E476">
            <v>507142823</v>
          </cell>
          <cell r="F476">
            <v>20</v>
          </cell>
          <cell r="G476">
            <v>1171889</v>
          </cell>
          <cell r="H476" t="str">
            <v>LS-285:CV TRANS MATE 7 P/1PS VAR6 PTI40H</v>
          </cell>
          <cell r="I476">
            <v>25536</v>
          </cell>
          <cell r="J476" t="str">
            <v>UN</v>
          </cell>
          <cell r="K476">
            <v>45589</v>
          </cell>
        </row>
        <row r="477">
          <cell r="A477" t="str">
            <v>50714282410</v>
          </cell>
          <cell r="B477" t="str">
            <v>ZMTD</v>
          </cell>
          <cell r="C477">
            <v>45560</v>
          </cell>
          <cell r="D477" t="str">
            <v>Not delivered</v>
          </cell>
          <cell r="E477">
            <v>507142824</v>
          </cell>
          <cell r="F477">
            <v>10</v>
          </cell>
          <cell r="G477">
            <v>1386990</v>
          </cell>
          <cell r="H477" t="str">
            <v>CM-099:CVR BS MTBEIGE P/QUAD RV1 PTI 40H</v>
          </cell>
          <cell r="I477">
            <v>20160</v>
          </cell>
          <cell r="J477" t="str">
            <v>UN</v>
          </cell>
          <cell r="K477">
            <v>45589</v>
          </cell>
        </row>
        <row r="478">
          <cell r="A478" t="str">
            <v>50714282510</v>
          </cell>
          <cell r="B478" t="str">
            <v>ZMTD</v>
          </cell>
          <cell r="C478">
            <v>45560</v>
          </cell>
          <cell r="D478" t="str">
            <v>Not delivered</v>
          </cell>
          <cell r="E478">
            <v>507142825</v>
          </cell>
          <cell r="F478">
            <v>10</v>
          </cell>
          <cell r="G478">
            <v>1174001</v>
          </cell>
          <cell r="H478" t="str">
            <v>CM-133:CVR/BS MTLC GREN UV S/SLV WRDH30C</v>
          </cell>
          <cell r="I478">
            <v>20160</v>
          </cell>
          <cell r="J478" t="str">
            <v>UN</v>
          </cell>
          <cell r="K478">
            <v>45589</v>
          </cell>
        </row>
        <row r="479">
          <cell r="A479" t="str">
            <v>50714254330</v>
          </cell>
          <cell r="B479" t="str">
            <v>ZMTD</v>
          </cell>
          <cell r="C479">
            <v>45491</v>
          </cell>
          <cell r="D479" t="str">
            <v>Not delivered</v>
          </cell>
          <cell r="E479">
            <v>507142543</v>
          </cell>
          <cell r="F479">
            <v>30</v>
          </cell>
          <cell r="G479">
            <v>1278860</v>
          </cell>
          <cell r="H479" t="str">
            <v>CM-296:WHT P/L.AGELES W/O HOLE COTY TAOR</v>
          </cell>
          <cell r="I479">
            <v>57600</v>
          </cell>
          <cell r="J479" t="str">
            <v>UN</v>
          </cell>
          <cell r="K479">
            <v>45589</v>
          </cell>
        </row>
        <row r="480">
          <cell r="A480" t="str">
            <v>50714241740</v>
          </cell>
          <cell r="B480" t="str">
            <v>ZMTD</v>
          </cell>
          <cell r="C480">
            <v>45474</v>
          </cell>
          <cell r="D480" t="str">
            <v>Not delivered</v>
          </cell>
          <cell r="E480">
            <v>507142417</v>
          </cell>
          <cell r="F480">
            <v>40</v>
          </cell>
          <cell r="G480">
            <v>1405657</v>
          </cell>
          <cell r="H480" t="str">
            <v>CM-273:CV UV BS BRONZE P/PIXYSLKY RV130L</v>
          </cell>
          <cell r="I480">
            <v>10000</v>
          </cell>
          <cell r="J480" t="str">
            <v>UN</v>
          </cell>
          <cell r="K480">
            <v>45589</v>
          </cell>
        </row>
        <row r="481">
          <cell r="A481" t="str">
            <v>50714246510</v>
          </cell>
          <cell r="B481" t="str">
            <v>ZMTD</v>
          </cell>
          <cell r="C481">
            <v>45481</v>
          </cell>
          <cell r="D481" t="str">
            <v>Not delivered</v>
          </cell>
          <cell r="E481">
            <v>507142465</v>
          </cell>
          <cell r="F481">
            <v>10</v>
          </cell>
          <cell r="G481">
            <v>1382893</v>
          </cell>
          <cell r="H481" t="str">
            <v>LC-012:BTL VR1 CRMLCOAT P/GLASTNG PTI60B</v>
          </cell>
          <cell r="I481">
            <v>25326</v>
          </cell>
          <cell r="J481" t="str">
            <v>UN</v>
          </cell>
          <cell r="K481">
            <v>45589</v>
          </cell>
        </row>
        <row r="482">
          <cell r="A482" t="str">
            <v>50714246520</v>
          </cell>
          <cell r="B482" t="str">
            <v>ZMTD</v>
          </cell>
          <cell r="C482">
            <v>45481</v>
          </cell>
          <cell r="D482" t="str">
            <v>Not delivered</v>
          </cell>
          <cell r="E482">
            <v>507142465</v>
          </cell>
          <cell r="F482">
            <v>20</v>
          </cell>
          <cell r="G482">
            <v>1385814</v>
          </cell>
          <cell r="H482" t="str">
            <v>LC-012:CAP VM BRWN WIP GLASTING PTI 20F</v>
          </cell>
          <cell r="I482">
            <v>25326</v>
          </cell>
          <cell r="J482" t="str">
            <v>UN</v>
          </cell>
          <cell r="K482">
            <v>45589</v>
          </cell>
        </row>
        <row r="483">
          <cell r="A483" t="str">
            <v>50714246530</v>
          </cell>
          <cell r="B483" t="str">
            <v>ZMTD</v>
          </cell>
          <cell r="C483">
            <v>45481</v>
          </cell>
          <cell r="D483" t="str">
            <v>Not delivered</v>
          </cell>
          <cell r="E483">
            <v>507142465</v>
          </cell>
          <cell r="F483">
            <v>30</v>
          </cell>
          <cell r="G483">
            <v>1382893</v>
          </cell>
          <cell r="H483" t="str">
            <v>LC-012:BTL VR1 CRMLCOAT P/GLASTNG PTI60B</v>
          </cell>
          <cell r="I483">
            <v>52920</v>
          </cell>
          <cell r="J483" t="str">
            <v>UN</v>
          </cell>
          <cell r="K483">
            <v>45589</v>
          </cell>
        </row>
        <row r="484">
          <cell r="A484" t="str">
            <v>50714246540</v>
          </cell>
          <cell r="B484" t="str">
            <v>ZMTD</v>
          </cell>
          <cell r="C484">
            <v>45481</v>
          </cell>
          <cell r="D484" t="str">
            <v>Not delivered</v>
          </cell>
          <cell r="E484">
            <v>507142465</v>
          </cell>
          <cell r="F484">
            <v>40</v>
          </cell>
          <cell r="G484">
            <v>1385814</v>
          </cell>
          <cell r="H484" t="str">
            <v>LC-012:CAP VM BRWN WIP GLASTING PTI 20F</v>
          </cell>
          <cell r="I484">
            <v>52920</v>
          </cell>
          <cell r="J484" t="str">
            <v>UN</v>
          </cell>
          <cell r="K484">
            <v>45589</v>
          </cell>
        </row>
        <row r="485">
          <cell r="A485" t="str">
            <v>50714279310</v>
          </cell>
          <cell r="B485" t="str">
            <v>ZMTD</v>
          </cell>
          <cell r="C485">
            <v>45555</v>
          </cell>
          <cell r="D485" t="str">
            <v>Not delivered</v>
          </cell>
          <cell r="E485">
            <v>507142793</v>
          </cell>
          <cell r="F485">
            <v>10</v>
          </cell>
          <cell r="G485">
            <v>1243914</v>
          </cell>
          <cell r="H485" t="str">
            <v>TR-007:PLUG PET LULUR100GR CLR HRTA CSMO</v>
          </cell>
          <cell r="I485">
            <v>10000</v>
          </cell>
          <cell r="J485" t="str">
            <v>UN</v>
          </cell>
          <cell r="K485">
            <v>45590</v>
          </cell>
        </row>
        <row r="486">
          <cell r="A486" t="str">
            <v>50714278230</v>
          </cell>
          <cell r="B486" t="str">
            <v>ZMTD</v>
          </cell>
          <cell r="C486">
            <v>45554</v>
          </cell>
          <cell r="D486" t="str">
            <v>Not delivered</v>
          </cell>
          <cell r="E486">
            <v>507142782</v>
          </cell>
          <cell r="F486">
            <v>30</v>
          </cell>
          <cell r="G486">
            <v>1420082</v>
          </cell>
          <cell r="H486" t="str">
            <v>LS-091:BS PEACH P/REDFRTY STRAWBR NEW60B</v>
          </cell>
          <cell r="I486">
            <v>27664</v>
          </cell>
          <cell r="J486" t="str">
            <v>UN</v>
          </cell>
          <cell r="K486">
            <v>45590</v>
          </cell>
        </row>
        <row r="487">
          <cell r="A487" t="str">
            <v>50714278240</v>
          </cell>
          <cell r="B487" t="str">
            <v>ZMTD</v>
          </cell>
          <cell r="C487">
            <v>45554</v>
          </cell>
          <cell r="D487" t="str">
            <v>Not delivered</v>
          </cell>
          <cell r="E487">
            <v>507142782</v>
          </cell>
          <cell r="F487">
            <v>40</v>
          </cell>
          <cell r="G487">
            <v>1420083</v>
          </cell>
          <cell r="H487" t="str">
            <v>LS-091:CV WHT P/ICE FRUITY STRAWBERY 60B</v>
          </cell>
          <cell r="I487">
            <v>27664</v>
          </cell>
          <cell r="J487" t="str">
            <v>UN</v>
          </cell>
          <cell r="K487">
            <v>45590</v>
          </cell>
        </row>
        <row r="488">
          <cell r="A488" t="str">
            <v>50714276560</v>
          </cell>
          <cell r="B488" t="str">
            <v>ZMTD</v>
          </cell>
          <cell r="C488">
            <v>45552</v>
          </cell>
          <cell r="D488" t="str">
            <v>Not delivered</v>
          </cell>
          <cell r="E488">
            <v>507142765</v>
          </cell>
          <cell r="F488">
            <v>60</v>
          </cell>
          <cell r="G488">
            <v>1398383</v>
          </cell>
          <cell r="H488" t="str">
            <v>CM-319:WHITE P/BLACK UV MATTE NARS</v>
          </cell>
          <cell r="I488">
            <v>40080</v>
          </cell>
          <cell r="J488" t="str">
            <v>UN</v>
          </cell>
          <cell r="K488">
            <v>45590</v>
          </cell>
        </row>
        <row r="489">
          <cell r="A489" t="str">
            <v>50714262610</v>
          </cell>
          <cell r="B489" t="str">
            <v>ZMTD</v>
          </cell>
          <cell r="C489">
            <v>45516</v>
          </cell>
          <cell r="D489" t="str">
            <v>Not delivered</v>
          </cell>
          <cell r="E489">
            <v>507142626</v>
          </cell>
          <cell r="F489">
            <v>10</v>
          </cell>
          <cell r="G489">
            <v>1212608</v>
          </cell>
          <cell r="H489" t="str">
            <v>FP-014:CVR BLUE S/LOGO INEZ GOLD KSI 50C</v>
          </cell>
          <cell r="I489">
            <v>25000</v>
          </cell>
          <cell r="J489" t="str">
            <v>UN</v>
          </cell>
          <cell r="K489">
            <v>45590</v>
          </cell>
        </row>
        <row r="490">
          <cell r="A490" t="str">
            <v>50714262620</v>
          </cell>
          <cell r="B490" t="str">
            <v>ZMTD</v>
          </cell>
          <cell r="C490">
            <v>45516</v>
          </cell>
          <cell r="D490" t="str">
            <v>Not delivered</v>
          </cell>
          <cell r="E490">
            <v>507142626</v>
          </cell>
          <cell r="F490">
            <v>20</v>
          </cell>
          <cell r="G490">
            <v>1212609</v>
          </cell>
          <cell r="H490" t="str">
            <v>FP-014:SFTR NAT STICKER TRANS KSI 12A</v>
          </cell>
          <cell r="I490">
            <v>25000</v>
          </cell>
          <cell r="J490" t="str">
            <v>UN</v>
          </cell>
          <cell r="K490">
            <v>45590</v>
          </cell>
        </row>
        <row r="491">
          <cell r="A491" t="str">
            <v>50714262630</v>
          </cell>
          <cell r="B491" t="str">
            <v>ZMTD</v>
          </cell>
          <cell r="C491">
            <v>45516</v>
          </cell>
          <cell r="D491" t="str">
            <v>Not delivered</v>
          </cell>
          <cell r="E491">
            <v>507142626</v>
          </cell>
          <cell r="F491">
            <v>30</v>
          </cell>
          <cell r="G491">
            <v>1212640</v>
          </cell>
          <cell r="H491" t="str">
            <v>FP-014:BS CLR SPRYGRDS S/INEZ GLD 40C</v>
          </cell>
          <cell r="I491">
            <v>25000</v>
          </cell>
          <cell r="J491" t="str">
            <v>UN</v>
          </cell>
          <cell r="K491">
            <v>45590</v>
          </cell>
        </row>
        <row r="492">
          <cell r="A492" t="str">
            <v>50714271310</v>
          </cell>
          <cell r="B492" t="str">
            <v>ZMTD</v>
          </cell>
          <cell r="C492">
            <v>45538</v>
          </cell>
          <cell r="D492" t="str">
            <v>Not delivered</v>
          </cell>
          <cell r="E492">
            <v>507142713</v>
          </cell>
          <cell r="F492">
            <v>10</v>
          </cell>
          <cell r="G492">
            <v>1376248</v>
          </cell>
          <cell r="H492" t="str">
            <v>FP-008:CVR L.PINK P/BLK MANDOM RV1 12A</v>
          </cell>
          <cell r="I492">
            <v>10000</v>
          </cell>
          <cell r="J492" t="str">
            <v>UN</v>
          </cell>
          <cell r="K492">
            <v>45591</v>
          </cell>
        </row>
        <row r="493">
          <cell r="A493" t="str">
            <v>50714271320</v>
          </cell>
          <cell r="B493" t="str">
            <v>ZMTD</v>
          </cell>
          <cell r="C493">
            <v>45538</v>
          </cell>
          <cell r="D493" t="str">
            <v>Not delivered</v>
          </cell>
          <cell r="E493">
            <v>507142713</v>
          </cell>
          <cell r="F493">
            <v>20</v>
          </cell>
          <cell r="G493">
            <v>1171179</v>
          </cell>
          <cell r="H493" t="str">
            <v>FP-008:BS INJ BLK NO DC MANDOM</v>
          </cell>
          <cell r="I493">
            <v>10000</v>
          </cell>
          <cell r="J493" t="str">
            <v>UN</v>
          </cell>
          <cell r="K493">
            <v>45591</v>
          </cell>
        </row>
        <row r="494">
          <cell r="A494" t="str">
            <v>50714271330</v>
          </cell>
          <cell r="B494" t="str">
            <v>ZMTD</v>
          </cell>
          <cell r="C494">
            <v>45538</v>
          </cell>
          <cell r="D494" t="str">
            <v>Not delivered</v>
          </cell>
          <cell r="E494">
            <v>507142713</v>
          </cell>
          <cell r="F494">
            <v>30</v>
          </cell>
          <cell r="G494">
            <v>1172027</v>
          </cell>
          <cell r="H494" t="str">
            <v>FP-008:SFT NAT L.HINGE W/LBL NO DC MDM</v>
          </cell>
          <cell r="I494">
            <v>10000</v>
          </cell>
          <cell r="J494" t="str">
            <v>UN</v>
          </cell>
          <cell r="K494">
            <v>45591</v>
          </cell>
        </row>
        <row r="495">
          <cell r="A495" t="str">
            <v>50714271340</v>
          </cell>
          <cell r="B495" t="str">
            <v>ZMTD</v>
          </cell>
          <cell r="C495">
            <v>45538</v>
          </cell>
          <cell r="D495" t="str">
            <v>Not delivered</v>
          </cell>
          <cell r="E495">
            <v>507142713</v>
          </cell>
          <cell r="F495">
            <v>40</v>
          </cell>
          <cell r="G495">
            <v>1376248</v>
          </cell>
          <cell r="H495" t="str">
            <v>FP-008:CVR L.PINK P/BLK MANDOM RV1 12A</v>
          </cell>
          <cell r="I495">
            <v>10000</v>
          </cell>
          <cell r="J495" t="str">
            <v>UN</v>
          </cell>
          <cell r="K495">
            <v>45591</v>
          </cell>
        </row>
        <row r="496">
          <cell r="A496" t="str">
            <v>50714271350</v>
          </cell>
          <cell r="B496" t="str">
            <v>ZMTD</v>
          </cell>
          <cell r="C496">
            <v>45538</v>
          </cell>
          <cell r="D496" t="str">
            <v>Not delivered</v>
          </cell>
          <cell r="E496">
            <v>507142713</v>
          </cell>
          <cell r="F496">
            <v>50</v>
          </cell>
          <cell r="G496">
            <v>1171179</v>
          </cell>
          <cell r="H496" t="str">
            <v>FP-008:BS INJ BLK NO DC MANDOM</v>
          </cell>
          <cell r="I496">
            <v>10000</v>
          </cell>
          <cell r="J496" t="str">
            <v>UN</v>
          </cell>
          <cell r="K496">
            <v>45591</v>
          </cell>
        </row>
        <row r="497">
          <cell r="A497" t="str">
            <v>50714271360</v>
          </cell>
          <cell r="B497" t="str">
            <v>ZMTD</v>
          </cell>
          <cell r="C497">
            <v>45538</v>
          </cell>
          <cell r="D497" t="str">
            <v>Not delivered</v>
          </cell>
          <cell r="E497">
            <v>507142713</v>
          </cell>
          <cell r="F497">
            <v>60</v>
          </cell>
          <cell r="G497">
            <v>1172027</v>
          </cell>
          <cell r="H497" t="str">
            <v>FP-008:SFT NAT L.HINGE W/LBL NO DC MDM</v>
          </cell>
          <cell r="I497">
            <v>10000</v>
          </cell>
          <cell r="J497" t="str">
            <v>UN</v>
          </cell>
          <cell r="K497">
            <v>45591</v>
          </cell>
        </row>
        <row r="498">
          <cell r="A498" t="str">
            <v>50714271370</v>
          </cell>
          <cell r="B498" t="str">
            <v>ZMTD</v>
          </cell>
          <cell r="C498">
            <v>45538</v>
          </cell>
          <cell r="D498" t="str">
            <v>Not delivered</v>
          </cell>
          <cell r="E498">
            <v>507142713</v>
          </cell>
          <cell r="F498">
            <v>70</v>
          </cell>
          <cell r="G498">
            <v>1256191</v>
          </cell>
          <cell r="H498" t="str">
            <v>LS-285:COVER RED PX LCC NO DC MNDOM 12A</v>
          </cell>
          <cell r="I498">
            <v>10000</v>
          </cell>
          <cell r="J498" t="str">
            <v>UN</v>
          </cell>
          <cell r="K498">
            <v>45591</v>
          </cell>
        </row>
        <row r="499">
          <cell r="A499" t="str">
            <v>50714271380</v>
          </cell>
          <cell r="B499" t="str">
            <v>ZMTD</v>
          </cell>
          <cell r="C499">
            <v>45538</v>
          </cell>
          <cell r="D499" t="str">
            <v>Not delivered</v>
          </cell>
          <cell r="E499">
            <v>507142713</v>
          </cell>
          <cell r="F499">
            <v>80</v>
          </cell>
          <cell r="G499">
            <v>1393259</v>
          </cell>
          <cell r="H499" t="str">
            <v>LS-285:BS RED PX LCC P/BLK MNDOM RV1 60B</v>
          </cell>
          <cell r="I499">
            <v>10000</v>
          </cell>
          <cell r="J499" t="str">
            <v>UN</v>
          </cell>
          <cell r="K499">
            <v>45591</v>
          </cell>
        </row>
        <row r="500">
          <cell r="A500" t="str">
            <v>50714241750</v>
          </cell>
          <cell r="B500" t="str">
            <v>ZMTD</v>
          </cell>
          <cell r="C500">
            <v>45474</v>
          </cell>
          <cell r="D500" t="str">
            <v>Not delivered</v>
          </cell>
          <cell r="E500">
            <v>507142417</v>
          </cell>
          <cell r="F500">
            <v>50</v>
          </cell>
          <cell r="G500">
            <v>1405657</v>
          </cell>
          <cell r="H500" t="str">
            <v>CM-273:CV UV BS BRONZE P/PIXYSLKY RV130L</v>
          </cell>
          <cell r="I500">
            <v>10000</v>
          </cell>
          <cell r="J500" t="str">
            <v>UN</v>
          </cell>
          <cell r="K500">
            <v>45591</v>
          </cell>
        </row>
        <row r="501">
          <cell r="A501" t="str">
            <v>50714242610</v>
          </cell>
          <cell r="B501" t="str">
            <v>ZMTD</v>
          </cell>
          <cell r="C501">
            <v>45475</v>
          </cell>
          <cell r="D501" t="str">
            <v>Not delivered</v>
          </cell>
          <cell r="E501">
            <v>507142426</v>
          </cell>
          <cell r="F501">
            <v>10</v>
          </cell>
          <cell r="G501">
            <v>1160336</v>
          </cell>
          <cell r="H501" t="str">
            <v>CP-071:CP8364 TNR WPRL 200 REX IS 763</v>
          </cell>
          <cell r="I501">
            <v>43500</v>
          </cell>
          <cell r="J501" t="str">
            <v>UN</v>
          </cell>
          <cell r="K501">
            <v>45592</v>
          </cell>
        </row>
        <row r="502">
          <cell r="A502" t="str">
            <v>50714283310</v>
          </cell>
          <cell r="B502" t="str">
            <v>ZMTD</v>
          </cell>
          <cell r="C502">
            <v>45561</v>
          </cell>
          <cell r="D502" t="str">
            <v>Not delivered</v>
          </cell>
          <cell r="E502">
            <v>507142833</v>
          </cell>
          <cell r="F502">
            <v>10</v>
          </cell>
          <cell r="G502">
            <v>1405658</v>
          </cell>
          <cell r="H502" t="str">
            <v>LC-012:BTL VR08 P/GLASTNG PTI60B</v>
          </cell>
          <cell r="I502">
            <v>25326</v>
          </cell>
          <cell r="J502" t="str">
            <v>UN</v>
          </cell>
          <cell r="K502">
            <v>45593</v>
          </cell>
        </row>
        <row r="503">
          <cell r="A503" t="str">
            <v>50714283320</v>
          </cell>
          <cell r="B503" t="str">
            <v>ZMTD</v>
          </cell>
          <cell r="C503">
            <v>45561</v>
          </cell>
          <cell r="D503" t="str">
            <v>Not delivered</v>
          </cell>
          <cell r="E503">
            <v>507142833</v>
          </cell>
          <cell r="F503">
            <v>20</v>
          </cell>
          <cell r="G503">
            <v>1385814</v>
          </cell>
          <cell r="H503" t="str">
            <v>LC-012:CAP VM BRWN WIP GLASTING PTI 20F</v>
          </cell>
          <cell r="I503">
            <v>25326</v>
          </cell>
          <cell r="J503" t="str">
            <v>UN</v>
          </cell>
          <cell r="K503">
            <v>45593</v>
          </cell>
        </row>
        <row r="504">
          <cell r="A504" t="str">
            <v>50714283810</v>
          </cell>
          <cell r="B504" t="str">
            <v>ZMTD</v>
          </cell>
          <cell r="C504">
            <v>45561</v>
          </cell>
          <cell r="D504" t="str">
            <v>Not delivered</v>
          </cell>
          <cell r="E504">
            <v>507142838</v>
          </cell>
          <cell r="F504">
            <v>10</v>
          </cell>
          <cell r="G504">
            <v>1276491</v>
          </cell>
          <cell r="H504" t="str">
            <v>CM-105:CV VM RSGLD BS MT P/INSTA PTI 20X</v>
          </cell>
          <cell r="I504">
            <v>25200</v>
          </cell>
          <cell r="J504" t="str">
            <v>UN</v>
          </cell>
          <cell r="K504">
            <v>45593</v>
          </cell>
        </row>
        <row r="505">
          <cell r="A505" t="str">
            <v>50714271810</v>
          </cell>
          <cell r="B505" t="str">
            <v>ZMTD</v>
          </cell>
          <cell r="C505">
            <v>45539</v>
          </cell>
          <cell r="D505" t="str">
            <v>Not delivered</v>
          </cell>
          <cell r="E505">
            <v>507142718</v>
          </cell>
          <cell r="F505">
            <v>10</v>
          </cell>
          <cell r="G505">
            <v>1175678</v>
          </cell>
          <cell r="H505" t="str">
            <v>CM-073:MATTE SLV TWO WAY CAKE NO DC IMM</v>
          </cell>
          <cell r="I505">
            <v>10000</v>
          </cell>
          <cell r="J505" t="str">
            <v>UN</v>
          </cell>
          <cell r="K505">
            <v>45593</v>
          </cell>
        </row>
        <row r="506">
          <cell r="A506" t="str">
            <v>50800523530</v>
          </cell>
          <cell r="B506" t="str">
            <v>ZMFD</v>
          </cell>
          <cell r="C506">
            <v>45505</v>
          </cell>
          <cell r="D506" t="str">
            <v>Not delivered</v>
          </cell>
          <cell r="E506">
            <v>508005235</v>
          </cell>
          <cell r="F506">
            <v>30</v>
          </cell>
          <cell r="G506">
            <v>1332995</v>
          </cell>
          <cell r="H506" t="str">
            <v>LC-008:CAP VM SLV WIP NAT EMLC PTI 20F</v>
          </cell>
          <cell r="I506">
            <v>100000</v>
          </cell>
          <cell r="J506" t="str">
            <v>UN</v>
          </cell>
          <cell r="K506">
            <v>45593</v>
          </cell>
        </row>
        <row r="507">
          <cell r="A507" t="str">
            <v>50800523540</v>
          </cell>
          <cell r="B507" t="str">
            <v>ZMFD</v>
          </cell>
          <cell r="C507">
            <v>45505</v>
          </cell>
          <cell r="D507" t="str">
            <v>Not delivered</v>
          </cell>
          <cell r="E507">
            <v>508005235</v>
          </cell>
          <cell r="F507">
            <v>40</v>
          </cell>
          <cell r="G507">
            <v>1434959</v>
          </cell>
          <cell r="H507" t="str">
            <v>LC-008:BTL CLR (PCTG) P/WHT EMLC PTI 60B</v>
          </cell>
          <cell r="I507">
            <v>100000</v>
          </cell>
          <cell r="J507" t="str">
            <v>UN</v>
          </cell>
          <cell r="K507">
            <v>45593</v>
          </cell>
        </row>
        <row r="508">
          <cell r="A508" t="str">
            <v>50714243320</v>
          </cell>
          <cell r="B508" t="str">
            <v>ZMTD</v>
          </cell>
          <cell r="C508">
            <v>45475</v>
          </cell>
          <cell r="D508" t="str">
            <v>Not delivered</v>
          </cell>
          <cell r="E508">
            <v>507142433</v>
          </cell>
          <cell r="F508">
            <v>20</v>
          </cell>
          <cell r="G508">
            <v>1406600</v>
          </cell>
          <cell r="H508" t="str">
            <v>CM-310:BLACK M086 CANNAGE S/SLV UV MT</v>
          </cell>
          <cell r="I508">
            <v>39000</v>
          </cell>
          <cell r="J508" t="str">
            <v>UN</v>
          </cell>
          <cell r="K508">
            <v>45593</v>
          </cell>
        </row>
        <row r="509">
          <cell r="A509" t="str">
            <v>50714282720</v>
          </cell>
          <cell r="B509" t="str">
            <v>ZMTD</v>
          </cell>
          <cell r="C509">
            <v>45560</v>
          </cell>
          <cell r="D509" t="str">
            <v>Not delivered</v>
          </cell>
          <cell r="E509">
            <v>507142827</v>
          </cell>
          <cell r="F509">
            <v>20</v>
          </cell>
          <cell r="G509">
            <v>1411213</v>
          </cell>
          <cell r="H509" t="str">
            <v>CM-105:BLCK COAT P/MAKE OVER PTI RV1 40H</v>
          </cell>
          <cell r="I509">
            <v>9840</v>
          </cell>
          <cell r="J509" t="str">
            <v>UN</v>
          </cell>
          <cell r="K509">
            <v>45594</v>
          </cell>
        </row>
        <row r="510">
          <cell r="A510" t="str">
            <v>50714277210</v>
          </cell>
          <cell r="B510" t="str">
            <v>ZMTD</v>
          </cell>
          <cell r="C510">
            <v>45554</v>
          </cell>
          <cell r="D510" t="str">
            <v>Not delivered</v>
          </cell>
          <cell r="E510">
            <v>507142772</v>
          </cell>
          <cell r="F510">
            <v>10</v>
          </cell>
          <cell r="G510">
            <v>1378563</v>
          </cell>
          <cell r="H510" t="str">
            <v>CP-093:CAP D50 MT BLACK Ø.5 YASULOR 12A</v>
          </cell>
          <cell r="I510">
            <v>600000</v>
          </cell>
          <cell r="J510" t="str">
            <v>UN</v>
          </cell>
          <cell r="K510">
            <v>45594</v>
          </cell>
        </row>
        <row r="511">
          <cell r="A511" t="str">
            <v>50714278030</v>
          </cell>
          <cell r="B511" t="str">
            <v>ZMTD</v>
          </cell>
          <cell r="C511">
            <v>45554</v>
          </cell>
          <cell r="D511" t="str">
            <v>Not delivered</v>
          </cell>
          <cell r="E511">
            <v>507142780</v>
          </cell>
          <cell r="F511">
            <v>30</v>
          </cell>
          <cell r="G511">
            <v>1409881</v>
          </cell>
          <cell r="H511" t="str">
            <v>CM-315:CVR/BS BLACK P/CVRLAST OMG RV160B</v>
          </cell>
          <cell r="I511">
            <v>18172</v>
          </cell>
          <cell r="J511" t="str">
            <v>UN</v>
          </cell>
          <cell r="K511">
            <v>45594</v>
          </cell>
        </row>
        <row r="512">
          <cell r="A512" t="str">
            <v>50714275770</v>
          </cell>
          <cell r="B512" t="str">
            <v>ZMTD</v>
          </cell>
          <cell r="C512">
            <v>45547</v>
          </cell>
          <cell r="D512" t="str">
            <v>Not delivered</v>
          </cell>
          <cell r="E512">
            <v>507142757</v>
          </cell>
          <cell r="F512">
            <v>70</v>
          </cell>
          <cell r="G512">
            <v>1411701</v>
          </cell>
          <cell r="H512" t="str">
            <v>PT-100:BS/INS BLUE P/WHT KAHF PTI 60B</v>
          </cell>
          <cell r="I512">
            <v>21504</v>
          </cell>
          <cell r="J512" t="str">
            <v>UN</v>
          </cell>
          <cell r="K512">
            <v>45594</v>
          </cell>
        </row>
        <row r="513">
          <cell r="A513" t="str">
            <v>50714275780</v>
          </cell>
          <cell r="B513" t="str">
            <v>ZMTD</v>
          </cell>
          <cell r="C513">
            <v>45547</v>
          </cell>
          <cell r="D513" t="str">
            <v>Not delivered</v>
          </cell>
          <cell r="E513">
            <v>507142757</v>
          </cell>
          <cell r="F513">
            <v>80</v>
          </cell>
          <cell r="G513">
            <v>1411700</v>
          </cell>
          <cell r="H513" t="str">
            <v>PT-100:CVR MT.BLUE EMBOS KAHF PTI 40D</v>
          </cell>
          <cell r="I513">
            <v>21504</v>
          </cell>
          <cell r="J513" t="str">
            <v>UN</v>
          </cell>
          <cell r="K513">
            <v>45594</v>
          </cell>
        </row>
        <row r="514">
          <cell r="A514" t="str">
            <v>50714274270</v>
          </cell>
          <cell r="B514" t="str">
            <v>ZMTD</v>
          </cell>
          <cell r="C514">
            <v>45544</v>
          </cell>
          <cell r="D514" t="str">
            <v>Not delivered</v>
          </cell>
          <cell r="E514">
            <v>507142742</v>
          </cell>
          <cell r="F514">
            <v>70</v>
          </cell>
          <cell r="G514">
            <v>1437039</v>
          </cell>
          <cell r="H514" t="str">
            <v>CM-290:1PC BS CV MT.BLK S/ EMBOS OMG 40C</v>
          </cell>
          <cell r="I514">
            <v>25032</v>
          </cell>
          <cell r="J514" t="str">
            <v>UN</v>
          </cell>
          <cell r="K514">
            <v>45594</v>
          </cell>
        </row>
        <row r="515">
          <cell r="A515" t="str">
            <v>50714274280</v>
          </cell>
          <cell r="B515" t="str">
            <v>ZMTD</v>
          </cell>
          <cell r="C515">
            <v>45544</v>
          </cell>
          <cell r="D515" t="str">
            <v>Not delivered</v>
          </cell>
          <cell r="E515">
            <v>507142742</v>
          </cell>
          <cell r="F515">
            <v>80</v>
          </cell>
          <cell r="G515">
            <v>1437140</v>
          </cell>
          <cell r="H515" t="str">
            <v>CM-290:ENGINE CV RED, BS BLK OMG PTI 12A</v>
          </cell>
          <cell r="I515">
            <v>25032</v>
          </cell>
          <cell r="J515" t="str">
            <v>UN</v>
          </cell>
          <cell r="K515">
            <v>45594</v>
          </cell>
        </row>
        <row r="516">
          <cell r="A516" t="str">
            <v>50714274290</v>
          </cell>
          <cell r="B516" t="str">
            <v>ZMTD</v>
          </cell>
          <cell r="C516">
            <v>45544</v>
          </cell>
          <cell r="D516" t="str">
            <v>Not delivered</v>
          </cell>
          <cell r="E516">
            <v>507142742</v>
          </cell>
          <cell r="F516">
            <v>90</v>
          </cell>
          <cell r="G516">
            <v>1437141</v>
          </cell>
          <cell r="H516" t="str">
            <v>CM-290:RING BLACK OMG PTI 12A</v>
          </cell>
          <cell r="I516">
            <v>25032</v>
          </cell>
          <cell r="J516" t="str">
            <v>UN</v>
          </cell>
          <cell r="K516">
            <v>45594</v>
          </cell>
        </row>
        <row r="517">
          <cell r="A517" t="str">
            <v>50714272410</v>
          </cell>
          <cell r="B517" t="str">
            <v>ZMTD</v>
          </cell>
          <cell r="C517">
            <v>45541</v>
          </cell>
          <cell r="D517" t="str">
            <v>Not delivered</v>
          </cell>
          <cell r="E517">
            <v>507142724</v>
          </cell>
          <cell r="F517">
            <v>10</v>
          </cell>
          <cell r="G517">
            <v>1233451</v>
          </cell>
          <cell r="H517" t="str">
            <v>CM-260:EYSHDW CVR BLKSPRY S/GLD VIVA 40C</v>
          </cell>
          <cell r="I517">
            <v>10080</v>
          </cell>
          <cell r="J517" t="str">
            <v>UN</v>
          </cell>
          <cell r="K517">
            <v>45594</v>
          </cell>
        </row>
        <row r="518">
          <cell r="A518" t="str">
            <v>50714273030</v>
          </cell>
          <cell r="B518" t="str">
            <v>ZMTD</v>
          </cell>
          <cell r="C518">
            <v>45541</v>
          </cell>
          <cell r="D518" t="str">
            <v>Not delivered</v>
          </cell>
          <cell r="E518">
            <v>507142730</v>
          </cell>
          <cell r="F518">
            <v>30</v>
          </cell>
          <cell r="G518">
            <v>1371896</v>
          </cell>
          <cell r="H518" t="str">
            <v>RX-056:CM-316 CVR BLUE P/WHT SP/MTCLR</v>
          </cell>
          <cell r="I518">
            <v>110016</v>
          </cell>
          <cell r="J518" t="str">
            <v>UN</v>
          </cell>
          <cell r="K518">
            <v>45594</v>
          </cell>
        </row>
        <row r="519">
          <cell r="A519" t="str">
            <v>50714270310</v>
          </cell>
          <cell r="B519" t="str">
            <v>ZMTD</v>
          </cell>
          <cell r="C519">
            <v>45534</v>
          </cell>
          <cell r="D519" t="str">
            <v>Not delivered</v>
          </cell>
          <cell r="E519">
            <v>507142703</v>
          </cell>
          <cell r="F519">
            <v>10</v>
          </cell>
          <cell r="G519">
            <v>1268053</v>
          </cell>
          <cell r="H519" t="str">
            <v>CM-117:CVR BS BLACK S/CLRSTA'22 SAS 50C</v>
          </cell>
          <cell r="I519">
            <v>10000</v>
          </cell>
          <cell r="J519" t="str">
            <v>UN</v>
          </cell>
          <cell r="K519">
            <v>45594</v>
          </cell>
        </row>
        <row r="520">
          <cell r="A520" t="str">
            <v>50714252910</v>
          </cell>
          <cell r="B520" t="str">
            <v>ZMTD</v>
          </cell>
          <cell r="C520">
            <v>45488</v>
          </cell>
          <cell r="D520" t="str">
            <v>Not delivered</v>
          </cell>
          <cell r="E520">
            <v>507142529</v>
          </cell>
          <cell r="F520">
            <v>10</v>
          </cell>
          <cell r="G520">
            <v>1255662</v>
          </cell>
          <cell r="H520" t="str">
            <v>LC-002:BTL MT VAR12 P/WRDH B.MARK PTI40H</v>
          </cell>
          <cell r="I520">
            <v>31500</v>
          </cell>
          <cell r="J520" t="str">
            <v>UN</v>
          </cell>
          <cell r="K520">
            <v>45594</v>
          </cell>
        </row>
        <row r="521">
          <cell r="A521" t="str">
            <v>50714252920</v>
          </cell>
          <cell r="B521" t="str">
            <v>ZMTD</v>
          </cell>
          <cell r="C521">
            <v>45488</v>
          </cell>
          <cell r="D521" t="str">
            <v>Not delivered</v>
          </cell>
          <cell r="E521">
            <v>507142529</v>
          </cell>
          <cell r="F521">
            <v>20</v>
          </cell>
          <cell r="G521">
            <v>1174820</v>
          </cell>
          <cell r="H521" t="str">
            <v>LC-002:CP S/MT VAR12 STM-WHT WNAT PTI40D</v>
          </cell>
          <cell r="I521">
            <v>31500</v>
          </cell>
          <cell r="J521" t="str">
            <v>UN</v>
          </cell>
          <cell r="K521">
            <v>45594</v>
          </cell>
        </row>
        <row r="522">
          <cell r="A522" t="str">
            <v>50714241760</v>
          </cell>
          <cell r="B522" t="str">
            <v>ZMTD</v>
          </cell>
          <cell r="C522">
            <v>45474</v>
          </cell>
          <cell r="D522" t="str">
            <v>Not delivered</v>
          </cell>
          <cell r="E522">
            <v>507142417</v>
          </cell>
          <cell r="F522">
            <v>60</v>
          </cell>
          <cell r="G522">
            <v>1405657</v>
          </cell>
          <cell r="H522" t="str">
            <v>CM-273:CV UV BS BRONZE P/PIXYSLKY RV130L</v>
          </cell>
          <cell r="I522">
            <v>10000</v>
          </cell>
          <cell r="J522" t="str">
            <v>UN</v>
          </cell>
          <cell r="K522">
            <v>45594</v>
          </cell>
        </row>
        <row r="523">
          <cell r="A523" t="str">
            <v>50714283210</v>
          </cell>
          <cell r="B523" t="str">
            <v>ZMTD</v>
          </cell>
          <cell r="C523">
            <v>45561</v>
          </cell>
          <cell r="D523" t="str">
            <v>Not delivered</v>
          </cell>
          <cell r="E523">
            <v>507142832</v>
          </cell>
          <cell r="F523">
            <v>10</v>
          </cell>
          <cell r="G523">
            <v>1409881</v>
          </cell>
          <cell r="H523" t="str">
            <v>CM-315:CVR/BS BLACK P/CVRLAST OMG RV160B</v>
          </cell>
          <cell r="I523">
            <v>50204</v>
          </cell>
          <cell r="J523" t="str">
            <v>UN</v>
          </cell>
          <cell r="K523">
            <v>45595</v>
          </cell>
        </row>
        <row r="524">
          <cell r="A524" t="str">
            <v>50714278110</v>
          </cell>
          <cell r="B524" t="str">
            <v>ZMTD</v>
          </cell>
          <cell r="C524">
            <v>45554</v>
          </cell>
          <cell r="D524" t="str">
            <v>Not delivered</v>
          </cell>
          <cell r="E524">
            <v>507142781</v>
          </cell>
          <cell r="F524">
            <v>10</v>
          </cell>
          <cell r="G524">
            <v>1244215</v>
          </cell>
          <cell r="H524" t="str">
            <v>LC-004:CAP WHITE PEARL WIPNAT ROHTO 12A</v>
          </cell>
          <cell r="I524">
            <v>5000</v>
          </cell>
          <cell r="J524" t="str">
            <v>UN</v>
          </cell>
          <cell r="K524">
            <v>45595</v>
          </cell>
        </row>
        <row r="525">
          <cell r="A525" t="str">
            <v>50714278120</v>
          </cell>
          <cell r="B525" t="str">
            <v>ZMTD</v>
          </cell>
          <cell r="C525">
            <v>45554</v>
          </cell>
          <cell r="D525" t="str">
            <v>Not delivered</v>
          </cell>
          <cell r="E525">
            <v>507142781</v>
          </cell>
          <cell r="F525">
            <v>20</v>
          </cell>
          <cell r="G525">
            <v>1270258</v>
          </cell>
          <cell r="H525" t="str">
            <v>LC-004:BTL TRANS P/WHT FRUTPINK ROHTO60B</v>
          </cell>
          <cell r="I525">
            <v>5000</v>
          </cell>
          <cell r="J525" t="str">
            <v>UN</v>
          </cell>
          <cell r="K525">
            <v>45595</v>
          </cell>
        </row>
        <row r="526">
          <cell r="A526" t="str">
            <v>50714268220</v>
          </cell>
          <cell r="B526" t="str">
            <v>ZMTD</v>
          </cell>
          <cell r="C526">
            <v>45532</v>
          </cell>
          <cell r="D526" t="str">
            <v>Not delivered</v>
          </cell>
          <cell r="E526">
            <v>507142682</v>
          </cell>
          <cell r="F526">
            <v>20</v>
          </cell>
          <cell r="G526">
            <v>1209330</v>
          </cell>
          <cell r="H526" t="str">
            <v>RUBICELL:PUFF 52X5.8MM WHT W/RIBBON GNRL</v>
          </cell>
          <cell r="I526">
            <v>10000</v>
          </cell>
          <cell r="J526" t="str">
            <v>UN</v>
          </cell>
          <cell r="K526">
            <v>45595</v>
          </cell>
        </row>
        <row r="527">
          <cell r="A527" t="str">
            <v>50714268230</v>
          </cell>
          <cell r="B527" t="str">
            <v>ZMTD</v>
          </cell>
          <cell r="C527">
            <v>45532</v>
          </cell>
          <cell r="D527" t="str">
            <v>Not delivered</v>
          </cell>
          <cell r="E527">
            <v>507142682</v>
          </cell>
          <cell r="F527">
            <v>30</v>
          </cell>
          <cell r="G527">
            <v>1440082</v>
          </cell>
          <cell r="H527" t="str">
            <v>CM-290:1PC CV/BS PINK P/NEWFIVEZ MLA 60B</v>
          </cell>
          <cell r="I527">
            <v>10000</v>
          </cell>
          <cell r="J527" t="str">
            <v>UN</v>
          </cell>
          <cell r="K527">
            <v>45595</v>
          </cell>
        </row>
        <row r="528">
          <cell r="A528" t="str">
            <v>50714268240</v>
          </cell>
          <cell r="B528" t="str">
            <v>ZMTD</v>
          </cell>
          <cell r="C528">
            <v>45532</v>
          </cell>
          <cell r="D528" t="str">
            <v>Not delivered</v>
          </cell>
          <cell r="E528">
            <v>507142682</v>
          </cell>
          <cell r="F528">
            <v>40</v>
          </cell>
          <cell r="G528">
            <v>1440083</v>
          </cell>
          <cell r="H528" t="str">
            <v>CM-290:ENGINE PINK NEWFIVEZ MLA 12A</v>
          </cell>
          <cell r="I528">
            <v>10000</v>
          </cell>
          <cell r="J528" t="str">
            <v>UN</v>
          </cell>
          <cell r="K528">
            <v>45595</v>
          </cell>
        </row>
        <row r="529">
          <cell r="A529" t="str">
            <v>50714268250</v>
          </cell>
          <cell r="B529" t="str">
            <v>ZMTD</v>
          </cell>
          <cell r="C529">
            <v>45532</v>
          </cell>
          <cell r="D529" t="str">
            <v>Not delivered</v>
          </cell>
          <cell r="E529">
            <v>507142682</v>
          </cell>
          <cell r="F529">
            <v>50</v>
          </cell>
          <cell r="G529">
            <v>1440084</v>
          </cell>
          <cell r="H529" t="str">
            <v>CM-290:RING PINK NEWFIVEZ MLA 12A</v>
          </cell>
          <cell r="I529">
            <v>10000</v>
          </cell>
          <cell r="J529" t="str">
            <v>UN</v>
          </cell>
          <cell r="K529">
            <v>45595</v>
          </cell>
        </row>
        <row r="530">
          <cell r="A530" t="str">
            <v>50714263020</v>
          </cell>
          <cell r="B530" t="str">
            <v>ZMTD</v>
          </cell>
          <cell r="C530">
            <v>45516</v>
          </cell>
          <cell r="D530" t="str">
            <v>Not delivered</v>
          </cell>
          <cell r="E530">
            <v>507142630</v>
          </cell>
          <cell r="F530">
            <v>20</v>
          </cell>
          <cell r="G530">
            <v>1436641</v>
          </cell>
          <cell r="H530" t="str">
            <v>CM-310:BLUE UV S/SILVER DIOR PEPSPE+IXPE</v>
          </cell>
          <cell r="I530">
            <v>64800</v>
          </cell>
          <cell r="J530" t="str">
            <v>UN</v>
          </cell>
          <cell r="K530">
            <v>45595</v>
          </cell>
        </row>
        <row r="531">
          <cell r="A531" t="str">
            <v>50714244510</v>
          </cell>
          <cell r="B531" t="str">
            <v>ZMTD</v>
          </cell>
          <cell r="C531">
            <v>45476</v>
          </cell>
          <cell r="D531" t="str">
            <v>Not delivered</v>
          </cell>
          <cell r="E531">
            <v>507142445</v>
          </cell>
          <cell r="F531">
            <v>10</v>
          </cell>
          <cell r="G531">
            <v>1210981</v>
          </cell>
          <cell r="H531" t="str">
            <v>LS-092:COVER CLEAR P/WHT CSMAX 60B</v>
          </cell>
          <cell r="I531">
            <v>50400</v>
          </cell>
          <cell r="J531" t="str">
            <v>UN</v>
          </cell>
          <cell r="K531">
            <v>45595</v>
          </cell>
        </row>
        <row r="532">
          <cell r="A532" t="str">
            <v>50714244520</v>
          </cell>
          <cell r="B532" t="str">
            <v>ZMTD</v>
          </cell>
          <cell r="C532">
            <v>45476</v>
          </cell>
          <cell r="D532" t="str">
            <v>Not delivered</v>
          </cell>
          <cell r="E532">
            <v>507142445</v>
          </cell>
          <cell r="F532">
            <v>20</v>
          </cell>
          <cell r="G532">
            <v>1430493</v>
          </cell>
          <cell r="H532" t="str">
            <v>LS-092:BS WHT P/BLUE NP BLUE CSMXR02 60B</v>
          </cell>
          <cell r="I532">
            <v>50400</v>
          </cell>
          <cell r="J532" t="str">
            <v>UN</v>
          </cell>
          <cell r="K532">
            <v>45595</v>
          </cell>
        </row>
        <row r="533">
          <cell r="A533" t="str">
            <v>50714276810</v>
          </cell>
          <cell r="B533" t="str">
            <v>ZMTD</v>
          </cell>
          <cell r="C533">
            <v>45553</v>
          </cell>
          <cell r="D533" t="str">
            <v>Not delivered</v>
          </cell>
          <cell r="E533">
            <v>507142768</v>
          </cell>
          <cell r="F533">
            <v>10</v>
          </cell>
          <cell r="G533">
            <v>1169286</v>
          </cell>
          <cell r="H533" t="str">
            <v>CM-294:RECTANGULAR WITH GODET PKTJ010032</v>
          </cell>
          <cell r="I533">
            <v>43920</v>
          </cell>
          <cell r="J533" t="str">
            <v>UN</v>
          </cell>
          <cell r="K533">
            <v>45596</v>
          </cell>
        </row>
        <row r="534">
          <cell r="A534" t="str">
            <v>50714271010</v>
          </cell>
          <cell r="B534" t="str">
            <v>ZMTD</v>
          </cell>
          <cell r="C534">
            <v>45534</v>
          </cell>
          <cell r="D534" t="str">
            <v>Not delivered</v>
          </cell>
          <cell r="E534">
            <v>507142710</v>
          </cell>
          <cell r="F534">
            <v>10</v>
          </cell>
          <cell r="G534">
            <v>1187960</v>
          </cell>
          <cell r="H534" t="str">
            <v>FP-014:CVR VMRAINBOW P/ULTM II RUDYS 40C</v>
          </cell>
          <cell r="I534">
            <v>30000</v>
          </cell>
          <cell r="J534" t="str">
            <v>UN</v>
          </cell>
          <cell r="K534">
            <v>45596</v>
          </cell>
        </row>
        <row r="535">
          <cell r="A535" t="str">
            <v>50714271020</v>
          </cell>
          <cell r="B535" t="str">
            <v>ZMTD</v>
          </cell>
          <cell r="C535">
            <v>45534</v>
          </cell>
          <cell r="D535" t="str">
            <v>Not delivered</v>
          </cell>
          <cell r="E535">
            <v>507142710</v>
          </cell>
          <cell r="F535">
            <v>20</v>
          </cell>
          <cell r="G535">
            <v>1172318</v>
          </cell>
          <cell r="H535" t="str">
            <v>FP-014:BASE CLEAR NO DC ULTIMA II RUDY S</v>
          </cell>
          <cell r="I535">
            <v>30000</v>
          </cell>
          <cell r="J535" t="str">
            <v>UN</v>
          </cell>
          <cell r="K535">
            <v>45596</v>
          </cell>
        </row>
        <row r="536">
          <cell r="A536" t="str">
            <v>50714271030</v>
          </cell>
          <cell r="B536" t="str">
            <v>ZMTD</v>
          </cell>
          <cell r="C536">
            <v>45534</v>
          </cell>
          <cell r="D536" t="str">
            <v>Not delivered</v>
          </cell>
          <cell r="E536">
            <v>507142710</v>
          </cell>
          <cell r="F536">
            <v>30</v>
          </cell>
          <cell r="G536">
            <v>1170826</v>
          </cell>
          <cell r="H536" t="str">
            <v>FP-014:SIFTER NT W/LBL NO DECO ULTIMA II</v>
          </cell>
          <cell r="I536">
            <v>30000</v>
          </cell>
          <cell r="J536" t="str">
            <v>UN</v>
          </cell>
          <cell r="K536">
            <v>45596</v>
          </cell>
        </row>
        <row r="537">
          <cell r="A537" t="str">
            <v>50714268210</v>
          </cell>
          <cell r="B537" t="str">
            <v>ZMTD</v>
          </cell>
          <cell r="C537">
            <v>45532</v>
          </cell>
          <cell r="D537" t="str">
            <v>Not delivered</v>
          </cell>
          <cell r="E537">
            <v>507142682</v>
          </cell>
          <cell r="F537">
            <v>10</v>
          </cell>
          <cell r="G537">
            <v>1188806</v>
          </cell>
          <cell r="H537" t="str">
            <v>FILLER SPONGE DIA 50X11.5MM GNRL</v>
          </cell>
          <cell r="I537">
            <v>10000</v>
          </cell>
          <cell r="J537" t="str">
            <v>UN</v>
          </cell>
          <cell r="K537">
            <v>45596</v>
          </cell>
        </row>
        <row r="538">
          <cell r="A538" t="str">
            <v>50714254410</v>
          </cell>
          <cell r="B538" t="str">
            <v>ZMTD</v>
          </cell>
          <cell r="C538">
            <v>45491</v>
          </cell>
          <cell r="D538" t="str">
            <v>Not delivered</v>
          </cell>
          <cell r="E538">
            <v>507142544</v>
          </cell>
          <cell r="F538">
            <v>10</v>
          </cell>
          <cell r="G538">
            <v>1278860</v>
          </cell>
          <cell r="H538" t="str">
            <v>CM-296:WHT P/L.AGELES W/O HOLE COTY TAOR</v>
          </cell>
          <cell r="I538">
            <v>72000</v>
          </cell>
          <cell r="J538" t="str">
            <v>UN</v>
          </cell>
          <cell r="K538">
            <v>45596</v>
          </cell>
        </row>
        <row r="539">
          <cell r="A539" t="str">
            <v>50714242710</v>
          </cell>
          <cell r="B539" t="str">
            <v>ZMTD</v>
          </cell>
          <cell r="C539">
            <v>45475</v>
          </cell>
          <cell r="D539" t="str">
            <v>Not delivered</v>
          </cell>
          <cell r="E539">
            <v>507142427</v>
          </cell>
          <cell r="F539">
            <v>10</v>
          </cell>
          <cell r="G539">
            <v>1160336</v>
          </cell>
          <cell r="H539" t="str">
            <v>CP-071:CP8364 TNR WPRL 200 REX IS 763</v>
          </cell>
          <cell r="I539">
            <v>65250</v>
          </cell>
          <cell r="J539" t="str">
            <v>UN</v>
          </cell>
          <cell r="K539">
            <v>45596</v>
          </cell>
        </row>
        <row r="540">
          <cell r="A540" t="str">
            <v>50714243410</v>
          </cell>
          <cell r="B540" t="str">
            <v>ZMTD</v>
          </cell>
          <cell r="C540">
            <v>45475</v>
          </cell>
          <cell r="D540" t="str">
            <v>Not delivered</v>
          </cell>
          <cell r="E540">
            <v>507142434</v>
          </cell>
          <cell r="F540">
            <v>10</v>
          </cell>
          <cell r="G540">
            <v>1159364</v>
          </cell>
          <cell r="H540" t="str">
            <v>CP-071:PL8364 INSERT TNR 125-200ML REX</v>
          </cell>
          <cell r="I540">
            <v>111000</v>
          </cell>
          <cell r="J540" t="str">
            <v>UN</v>
          </cell>
          <cell r="K540">
            <v>45596</v>
          </cell>
        </row>
        <row r="541">
          <cell r="A541" t="str">
            <v>50714243510</v>
          </cell>
          <cell r="B541" t="str">
            <v>ZMTD</v>
          </cell>
          <cell r="C541">
            <v>45475</v>
          </cell>
          <cell r="D541" t="str">
            <v>Not delivered</v>
          </cell>
          <cell r="E541">
            <v>507142435</v>
          </cell>
          <cell r="F541">
            <v>10</v>
          </cell>
          <cell r="G541">
            <v>1159364</v>
          </cell>
          <cell r="H541" t="str">
            <v>CP-071:PL8364 INSERT TNR 125-200ML REX</v>
          </cell>
          <cell r="I541">
            <v>111000</v>
          </cell>
          <cell r="J541" t="str">
            <v>UN</v>
          </cell>
          <cell r="K541">
            <v>45596</v>
          </cell>
        </row>
        <row r="542">
          <cell r="A542" t="str">
            <v>50800494830</v>
          </cell>
          <cell r="B542" t="str">
            <v>ZMFD</v>
          </cell>
          <cell r="C542">
            <v>45370</v>
          </cell>
          <cell r="D542" t="str">
            <v>Not delivered</v>
          </cell>
          <cell r="E542">
            <v>508004948</v>
          </cell>
          <cell r="F542">
            <v>30</v>
          </cell>
          <cell r="G542">
            <v>1411700</v>
          </cell>
          <cell r="H542" t="str">
            <v>PT-100:CVR MT.BLUE EMBOS KAHF PTI 40D</v>
          </cell>
          <cell r="I542">
            <v>22000</v>
          </cell>
          <cell r="J542" t="str">
            <v>UN</v>
          </cell>
          <cell r="K542">
            <v>45596</v>
          </cell>
        </row>
        <row r="543">
          <cell r="A543" t="str">
            <v>50800494840</v>
          </cell>
          <cell r="B543" t="str">
            <v>ZMFD</v>
          </cell>
          <cell r="C543">
            <v>45370</v>
          </cell>
          <cell r="D543" t="str">
            <v>Not delivered</v>
          </cell>
          <cell r="E543">
            <v>508004948</v>
          </cell>
          <cell r="F543">
            <v>40</v>
          </cell>
          <cell r="G543">
            <v>1411701</v>
          </cell>
          <cell r="H543" t="str">
            <v>PT-100:BS/INS BLUE P/WHT KAHF PTI 60B</v>
          </cell>
          <cell r="I543">
            <v>22000</v>
          </cell>
          <cell r="J543" t="str">
            <v>UN</v>
          </cell>
          <cell r="K543">
            <v>45596</v>
          </cell>
        </row>
        <row r="544">
          <cell r="A544" t="str">
            <v>50714273110</v>
          </cell>
          <cell r="B544" t="str">
            <v>ZMTD</v>
          </cell>
          <cell r="C544">
            <v>45544</v>
          </cell>
          <cell r="D544" t="str">
            <v>Not delivered</v>
          </cell>
          <cell r="E544">
            <v>507142731</v>
          </cell>
          <cell r="F544">
            <v>10</v>
          </cell>
          <cell r="G544">
            <v>1181524</v>
          </cell>
          <cell r="H544" t="str">
            <v>CM-297:WHITE PERFECT LIGHT PP BOOTS</v>
          </cell>
          <cell r="I544">
            <v>29064</v>
          </cell>
          <cell r="J544" t="str">
            <v>UN</v>
          </cell>
          <cell r="K544">
            <v>45596</v>
          </cell>
        </row>
        <row r="545">
          <cell r="A545" t="str">
            <v>50714240910</v>
          </cell>
          <cell r="B545" t="str">
            <v>ZMTD</v>
          </cell>
          <cell r="C545">
            <v>45470</v>
          </cell>
          <cell r="D545" t="str">
            <v>Not delivered</v>
          </cell>
          <cell r="E545">
            <v>507142409</v>
          </cell>
          <cell r="F545">
            <v>10</v>
          </cell>
          <cell r="G545">
            <v>1382935</v>
          </cell>
          <cell r="H545" t="str">
            <v>LC-012:BTL VR2 PEACHPLS P/GLASTNG PTI60B</v>
          </cell>
          <cell r="I545">
            <v>37422</v>
          </cell>
          <cell r="J545" t="str">
            <v>UN</v>
          </cell>
          <cell r="K545">
            <v>45596</v>
          </cell>
        </row>
        <row r="546">
          <cell r="A546" t="str">
            <v>50714240920</v>
          </cell>
          <cell r="B546" t="str">
            <v>ZMTD</v>
          </cell>
          <cell r="C546">
            <v>45470</v>
          </cell>
          <cell r="D546" t="str">
            <v>Not delivered</v>
          </cell>
          <cell r="E546">
            <v>507142409</v>
          </cell>
          <cell r="F546">
            <v>20</v>
          </cell>
          <cell r="G546">
            <v>1385814</v>
          </cell>
          <cell r="H546" t="str">
            <v>LC-012:CAP VM BRWN WIP GLASTING PTI 20F</v>
          </cell>
          <cell r="I546">
            <v>37422</v>
          </cell>
          <cell r="J546" t="str">
            <v>UN</v>
          </cell>
          <cell r="K546">
            <v>45596</v>
          </cell>
        </row>
        <row r="547">
          <cell r="A547" t="str">
            <v>50714280010</v>
          </cell>
          <cell r="B547" t="str">
            <v>ZMTD</v>
          </cell>
          <cell r="C547">
            <v>45558</v>
          </cell>
          <cell r="D547" t="str">
            <v>Not delivered</v>
          </cell>
          <cell r="E547">
            <v>507142800</v>
          </cell>
          <cell r="F547">
            <v>10</v>
          </cell>
          <cell r="G547">
            <v>1132044</v>
          </cell>
          <cell r="H547" t="str">
            <v>CM-299:MONO EYESHADOW</v>
          </cell>
          <cell r="I547">
            <v>75060</v>
          </cell>
          <cell r="J547" t="str">
            <v>UN</v>
          </cell>
          <cell r="K547">
            <v>45596</v>
          </cell>
        </row>
        <row r="548">
          <cell r="A548" t="str">
            <v>50714248910</v>
          </cell>
          <cell r="B548" t="str">
            <v>ZMTD</v>
          </cell>
          <cell r="C548">
            <v>45485</v>
          </cell>
          <cell r="D548" t="str">
            <v>Not delivered</v>
          </cell>
          <cell r="E548">
            <v>507142489</v>
          </cell>
          <cell r="F548">
            <v>10</v>
          </cell>
          <cell r="G548">
            <v>1385814</v>
          </cell>
          <cell r="H548" t="str">
            <v>LC-012:CAP VM BRWN WIP GLASTING PTI 20F</v>
          </cell>
          <cell r="I548">
            <v>25326</v>
          </cell>
          <cell r="J548" t="str">
            <v>UN</v>
          </cell>
          <cell r="K548">
            <v>45596</v>
          </cell>
        </row>
        <row r="549">
          <cell r="A549" t="str">
            <v>50714248920</v>
          </cell>
          <cell r="B549" t="str">
            <v>ZMTD</v>
          </cell>
          <cell r="C549">
            <v>45485</v>
          </cell>
          <cell r="D549" t="str">
            <v>Not delivered</v>
          </cell>
          <cell r="E549">
            <v>507142489</v>
          </cell>
          <cell r="F549">
            <v>20</v>
          </cell>
          <cell r="G549">
            <v>1390058</v>
          </cell>
          <cell r="H549" t="str">
            <v>LC-012:BTL VR6 RUBYSPAR P/GLASTNG PTI60B</v>
          </cell>
          <cell r="I549">
            <v>25326</v>
          </cell>
          <cell r="J549" t="str">
            <v>UN</v>
          </cell>
          <cell r="K549">
            <v>45596</v>
          </cell>
        </row>
        <row r="550">
          <cell r="A550" t="str">
            <v>50714245830</v>
          </cell>
          <cell r="B550" t="str">
            <v>ZMTD</v>
          </cell>
          <cell r="C550">
            <v>45481</v>
          </cell>
          <cell r="D550" t="str">
            <v>Not delivered</v>
          </cell>
          <cell r="E550">
            <v>507142458</v>
          </cell>
          <cell r="F550">
            <v>30</v>
          </cell>
          <cell r="G550">
            <v>1385814</v>
          </cell>
          <cell r="H550" t="str">
            <v>LC-012:CAP VM BRWN WIP GLASTING PTI 20F</v>
          </cell>
          <cell r="I550">
            <v>24948</v>
          </cell>
          <cell r="J550" t="str">
            <v>UN</v>
          </cell>
          <cell r="K550">
            <v>45596</v>
          </cell>
        </row>
        <row r="551">
          <cell r="A551" t="str">
            <v>50714245840</v>
          </cell>
          <cell r="B551" t="str">
            <v>ZMTD</v>
          </cell>
          <cell r="C551">
            <v>45481</v>
          </cell>
          <cell r="D551" t="str">
            <v>Not delivered</v>
          </cell>
          <cell r="E551">
            <v>507142458</v>
          </cell>
          <cell r="F551">
            <v>40</v>
          </cell>
          <cell r="G551">
            <v>1405883</v>
          </cell>
          <cell r="H551" t="str">
            <v>LC-012:BTL VR13 P/GLASTNG PTI60B</v>
          </cell>
          <cell r="I551">
            <v>24948</v>
          </cell>
          <cell r="J551" t="str">
            <v>UN</v>
          </cell>
          <cell r="K551">
            <v>45596</v>
          </cell>
        </row>
        <row r="552">
          <cell r="A552" t="str">
            <v>50714226810</v>
          </cell>
          <cell r="B552" t="str">
            <v>ZMTD</v>
          </cell>
          <cell r="C552">
            <v>45443</v>
          </cell>
          <cell r="D552" t="str">
            <v>Not delivered</v>
          </cell>
          <cell r="E552">
            <v>507142268</v>
          </cell>
          <cell r="F552">
            <v>10</v>
          </cell>
          <cell r="G552">
            <v>1187961</v>
          </cell>
          <cell r="H552" t="str">
            <v>FP-029:CVR VMRAINBOW P/ULTM II RUDYS 40C</v>
          </cell>
          <cell r="I552">
            <v>5000</v>
          </cell>
          <cell r="J552" t="str">
            <v>UN</v>
          </cell>
          <cell r="K552">
            <v>45596</v>
          </cell>
        </row>
        <row r="553">
          <cell r="A553" t="str">
            <v>50714226820</v>
          </cell>
          <cell r="B553" t="str">
            <v>ZMTD</v>
          </cell>
          <cell r="C553">
            <v>45443</v>
          </cell>
          <cell r="D553" t="str">
            <v>Not delivered</v>
          </cell>
          <cell r="E553">
            <v>507142268</v>
          </cell>
          <cell r="F553">
            <v>20</v>
          </cell>
          <cell r="G553">
            <v>1176240</v>
          </cell>
          <cell r="H553" t="str">
            <v>FP-029:BASE CLEAR NO DC ULTIMA II RUDY S</v>
          </cell>
          <cell r="I553">
            <v>5000</v>
          </cell>
          <cell r="J553" t="str">
            <v>UN</v>
          </cell>
          <cell r="K553">
            <v>45596</v>
          </cell>
        </row>
        <row r="554">
          <cell r="A554" t="str">
            <v>50714226830</v>
          </cell>
          <cell r="B554" t="str">
            <v>ZMTD</v>
          </cell>
          <cell r="C554">
            <v>45443</v>
          </cell>
          <cell r="D554" t="str">
            <v>Not delivered</v>
          </cell>
          <cell r="E554">
            <v>507142268</v>
          </cell>
          <cell r="F554">
            <v>30</v>
          </cell>
          <cell r="G554">
            <v>1173507</v>
          </cell>
          <cell r="H554" t="str">
            <v>FP-029:SIFTER NT W/LBL NO DECO ULTIMA II</v>
          </cell>
          <cell r="I554">
            <v>5000</v>
          </cell>
          <cell r="J554" t="str">
            <v>UN</v>
          </cell>
          <cell r="K554">
            <v>45596</v>
          </cell>
        </row>
        <row r="555">
          <cell r="A555" t="str">
            <v>50714226840</v>
          </cell>
          <cell r="B555" t="str">
            <v>ZMTD</v>
          </cell>
          <cell r="C555">
            <v>45443</v>
          </cell>
          <cell r="D555" t="str">
            <v>Not delivered</v>
          </cell>
          <cell r="E555">
            <v>507142268</v>
          </cell>
          <cell r="F555">
            <v>40</v>
          </cell>
          <cell r="G555">
            <v>1187961</v>
          </cell>
          <cell r="H555" t="str">
            <v>FP-029:CVR VMRAINBOW P/ULTM II RUDYS 40C</v>
          </cell>
          <cell r="I555">
            <v>20000</v>
          </cell>
          <cell r="J555" t="str">
            <v>UN</v>
          </cell>
          <cell r="K555">
            <v>45596</v>
          </cell>
        </row>
        <row r="556">
          <cell r="A556" t="str">
            <v>50714226850</v>
          </cell>
          <cell r="B556" t="str">
            <v>ZMTD</v>
          </cell>
          <cell r="C556">
            <v>45443</v>
          </cell>
          <cell r="D556" t="str">
            <v>Not delivered</v>
          </cell>
          <cell r="E556">
            <v>507142268</v>
          </cell>
          <cell r="F556">
            <v>50</v>
          </cell>
          <cell r="G556">
            <v>1176240</v>
          </cell>
          <cell r="H556" t="str">
            <v>FP-029:BASE CLEAR NO DC ULTIMA II RUDY S</v>
          </cell>
          <cell r="I556">
            <v>20000</v>
          </cell>
          <cell r="J556" t="str">
            <v>UN</v>
          </cell>
          <cell r="K556">
            <v>45596</v>
          </cell>
        </row>
        <row r="557">
          <cell r="A557" t="str">
            <v>50714226860</v>
          </cell>
          <cell r="B557" t="str">
            <v>ZMTD</v>
          </cell>
          <cell r="C557">
            <v>45443</v>
          </cell>
          <cell r="D557" t="str">
            <v>Not delivered</v>
          </cell>
          <cell r="E557">
            <v>507142268</v>
          </cell>
          <cell r="F557">
            <v>60</v>
          </cell>
          <cell r="G557">
            <v>1173507</v>
          </cell>
          <cell r="H557" t="str">
            <v>FP-029:SIFTER NT W/LBL NO DECO ULTIMA II</v>
          </cell>
          <cell r="I557">
            <v>20000</v>
          </cell>
          <cell r="J557" t="str">
            <v>UN</v>
          </cell>
          <cell r="K557">
            <v>45596</v>
          </cell>
        </row>
        <row r="558">
          <cell r="A558" t="str">
            <v>50714276570</v>
          </cell>
          <cell r="B558" t="str">
            <v>ZMTD</v>
          </cell>
          <cell r="C558">
            <v>45552</v>
          </cell>
          <cell r="D558" t="str">
            <v>Not delivered</v>
          </cell>
          <cell r="E558">
            <v>507142765</v>
          </cell>
          <cell r="F558">
            <v>70</v>
          </cell>
          <cell r="G558">
            <v>1398383</v>
          </cell>
          <cell r="H558" t="str">
            <v>CM-319:WHITE P/BLACK UV MATTE NARS</v>
          </cell>
          <cell r="I558">
            <v>40080</v>
          </cell>
          <cell r="J558" t="str">
            <v>UN</v>
          </cell>
          <cell r="K558">
            <v>45597</v>
          </cell>
        </row>
        <row r="559">
          <cell r="A559" t="str">
            <v>50714276630</v>
          </cell>
          <cell r="B559" t="str">
            <v>ZMTD</v>
          </cell>
          <cell r="C559">
            <v>45552</v>
          </cell>
          <cell r="D559" t="str">
            <v>Not delivered</v>
          </cell>
          <cell r="E559">
            <v>507142766</v>
          </cell>
          <cell r="F559">
            <v>30</v>
          </cell>
          <cell r="G559">
            <v>1398763</v>
          </cell>
          <cell r="H559" t="str">
            <v>CM-320:WHITE S/BLACK UV MATTE NARS</v>
          </cell>
          <cell r="I559">
            <v>30240</v>
          </cell>
          <cell r="J559" t="str">
            <v>UN</v>
          </cell>
          <cell r="K559">
            <v>45597</v>
          </cell>
        </row>
        <row r="560">
          <cell r="A560" t="str">
            <v>50800527620</v>
          </cell>
          <cell r="B560" t="str">
            <v>ZMFD</v>
          </cell>
          <cell r="C560">
            <v>45539</v>
          </cell>
          <cell r="D560" t="str">
            <v>Not delivered</v>
          </cell>
          <cell r="E560">
            <v>508005276</v>
          </cell>
          <cell r="F560">
            <v>20</v>
          </cell>
          <cell r="G560">
            <v>1440707</v>
          </cell>
          <cell r="H560" t="str">
            <v>CM-253:CV CLR BS BLK S/LAKME HGLTR ANCRT</v>
          </cell>
          <cell r="I560">
            <v>25000</v>
          </cell>
          <cell r="J560" t="str">
            <v>UN</v>
          </cell>
          <cell r="K560">
            <v>45597</v>
          </cell>
        </row>
        <row r="561">
          <cell r="A561" t="str">
            <v>50800527630</v>
          </cell>
          <cell r="B561" t="str">
            <v>ZMFD</v>
          </cell>
          <cell r="C561">
            <v>45539</v>
          </cell>
          <cell r="D561" t="str">
            <v>Not delivered</v>
          </cell>
          <cell r="E561">
            <v>508005276</v>
          </cell>
          <cell r="F561">
            <v>30</v>
          </cell>
          <cell r="G561">
            <v>1440708</v>
          </cell>
          <cell r="H561" t="str">
            <v>CM-253:CV CLR BS BLK S/LAKME BLUSH ANCRT</v>
          </cell>
          <cell r="I561">
            <v>25000</v>
          </cell>
          <cell r="J561" t="str">
            <v>UN</v>
          </cell>
          <cell r="K561">
            <v>45597</v>
          </cell>
        </row>
        <row r="562">
          <cell r="A562" t="str">
            <v>50800522910</v>
          </cell>
          <cell r="B562" t="str">
            <v>ZMFD</v>
          </cell>
          <cell r="C562">
            <v>45499</v>
          </cell>
          <cell r="D562" t="str">
            <v>Not delivered</v>
          </cell>
          <cell r="E562">
            <v>508005229</v>
          </cell>
          <cell r="F562">
            <v>10</v>
          </cell>
          <cell r="G562">
            <v>1361170</v>
          </cell>
          <cell r="H562" t="str">
            <v>PT-097:BODY BLACK HOUSE WHT TRANS PTI12A</v>
          </cell>
          <cell r="I562">
            <v>150000</v>
          </cell>
          <cell r="J562" t="str">
            <v>UN</v>
          </cell>
          <cell r="K562">
            <v>45597</v>
          </cell>
        </row>
        <row r="563">
          <cell r="A563" t="str">
            <v>50800522920</v>
          </cell>
          <cell r="B563" t="str">
            <v>ZMFD</v>
          </cell>
          <cell r="C563">
            <v>45499</v>
          </cell>
          <cell r="D563" t="str">
            <v>Not delivered</v>
          </cell>
          <cell r="E563">
            <v>508005229</v>
          </cell>
          <cell r="F563">
            <v>20</v>
          </cell>
          <cell r="G563">
            <v>1361175</v>
          </cell>
          <cell r="H563" t="str">
            <v>PT-097:CAP BLACK TRANS PTI 12A</v>
          </cell>
          <cell r="I563">
            <v>150000</v>
          </cell>
          <cell r="J563" t="str">
            <v>UN</v>
          </cell>
          <cell r="K563">
            <v>45597</v>
          </cell>
        </row>
        <row r="564">
          <cell r="A564" t="str">
            <v>50714250410</v>
          </cell>
          <cell r="B564" t="str">
            <v>ZMTD</v>
          </cell>
          <cell r="C564">
            <v>45488</v>
          </cell>
          <cell r="D564" t="str">
            <v>Not delivered</v>
          </cell>
          <cell r="E564">
            <v>507142504</v>
          </cell>
          <cell r="F564">
            <v>10</v>
          </cell>
          <cell r="G564">
            <v>1419488</v>
          </cell>
          <cell r="H564" t="str">
            <v>CP-063R:SPOUT CAP WHITE LOREAL 12A</v>
          </cell>
          <cell r="I564">
            <v>1890000</v>
          </cell>
          <cell r="J564" t="str">
            <v>UN</v>
          </cell>
          <cell r="K564">
            <v>45597</v>
          </cell>
        </row>
        <row r="565">
          <cell r="A565" t="str">
            <v>50714250510</v>
          </cell>
          <cell r="B565" t="str">
            <v>ZMTD</v>
          </cell>
          <cell r="C565">
            <v>45488</v>
          </cell>
          <cell r="D565" t="str">
            <v>Not delivered</v>
          </cell>
          <cell r="E565">
            <v>507142505</v>
          </cell>
          <cell r="F565">
            <v>10</v>
          </cell>
          <cell r="G565">
            <v>1419488</v>
          </cell>
          <cell r="H565" t="str">
            <v>CP-063R:SPOUT CAP WHITE LOREAL 12A</v>
          </cell>
          <cell r="I565">
            <v>1890000</v>
          </cell>
          <cell r="J565" t="str">
            <v>UN</v>
          </cell>
          <cell r="K565">
            <v>45597</v>
          </cell>
        </row>
        <row r="566">
          <cell r="A566" t="str">
            <v>50714250710</v>
          </cell>
          <cell r="B566" t="str">
            <v>ZMTD</v>
          </cell>
          <cell r="C566">
            <v>45488</v>
          </cell>
          <cell r="D566" t="str">
            <v>Not delivered</v>
          </cell>
          <cell r="E566">
            <v>507142507</v>
          </cell>
          <cell r="F566">
            <v>10</v>
          </cell>
          <cell r="G566">
            <v>1419488</v>
          </cell>
          <cell r="H566" t="str">
            <v>CP-063R:SPOUT CAP WHITE LOREAL 12A</v>
          </cell>
          <cell r="I566">
            <v>1890000</v>
          </cell>
          <cell r="J566" t="str">
            <v>UN</v>
          </cell>
          <cell r="K566">
            <v>45597</v>
          </cell>
        </row>
        <row r="567">
          <cell r="A567" t="str">
            <v>50714251110</v>
          </cell>
          <cell r="B567" t="str">
            <v>ZMTD</v>
          </cell>
          <cell r="C567">
            <v>45488</v>
          </cell>
          <cell r="D567" t="str">
            <v>Not delivered</v>
          </cell>
          <cell r="E567">
            <v>507142511</v>
          </cell>
          <cell r="F567">
            <v>10</v>
          </cell>
          <cell r="G567">
            <v>1419488</v>
          </cell>
          <cell r="H567" t="str">
            <v>CP-063R:SPOUT CAP WHITE LOREAL 12A</v>
          </cell>
          <cell r="I567">
            <v>1890000</v>
          </cell>
          <cell r="J567" t="str">
            <v>UN</v>
          </cell>
          <cell r="K567">
            <v>45597</v>
          </cell>
        </row>
        <row r="568">
          <cell r="A568" t="str">
            <v>50714251310</v>
          </cell>
          <cell r="B568" t="str">
            <v>ZMTD</v>
          </cell>
          <cell r="C568">
            <v>45488</v>
          </cell>
          <cell r="D568" t="str">
            <v>Not delivered</v>
          </cell>
          <cell r="E568">
            <v>507142513</v>
          </cell>
          <cell r="F568">
            <v>10</v>
          </cell>
          <cell r="G568">
            <v>1419488</v>
          </cell>
          <cell r="H568" t="str">
            <v>CP-063R:SPOUT CAP WHITE LOREAL 12A</v>
          </cell>
          <cell r="I568">
            <v>1890000</v>
          </cell>
          <cell r="J568" t="str">
            <v>UN</v>
          </cell>
          <cell r="K568">
            <v>45597</v>
          </cell>
        </row>
        <row r="569">
          <cell r="A569" t="str">
            <v>50714251510</v>
          </cell>
          <cell r="B569" t="str">
            <v>ZMTD</v>
          </cell>
          <cell r="C569">
            <v>45488</v>
          </cell>
          <cell r="D569" t="str">
            <v>Not delivered</v>
          </cell>
          <cell r="E569">
            <v>507142515</v>
          </cell>
          <cell r="F569">
            <v>10</v>
          </cell>
          <cell r="G569">
            <v>1419488</v>
          </cell>
          <cell r="H569" t="str">
            <v>CP-063R:SPOUT CAP WHITE LOREAL 12A</v>
          </cell>
          <cell r="I569">
            <v>1890000</v>
          </cell>
          <cell r="J569" t="str">
            <v>UN</v>
          </cell>
          <cell r="K569">
            <v>45597</v>
          </cell>
        </row>
        <row r="570">
          <cell r="A570" t="str">
            <v>50714251710</v>
          </cell>
          <cell r="B570" t="str">
            <v>ZMTD</v>
          </cell>
          <cell r="C570">
            <v>45488</v>
          </cell>
          <cell r="D570" t="str">
            <v>Not delivered</v>
          </cell>
          <cell r="E570">
            <v>507142517</v>
          </cell>
          <cell r="F570">
            <v>10</v>
          </cell>
          <cell r="G570">
            <v>1419488</v>
          </cell>
          <cell r="H570" t="str">
            <v>CP-063R:SPOUT CAP WHITE LOREAL 12A</v>
          </cell>
          <cell r="I570">
            <v>1890000</v>
          </cell>
          <cell r="J570" t="str">
            <v>UN</v>
          </cell>
          <cell r="K570">
            <v>45597</v>
          </cell>
        </row>
        <row r="571">
          <cell r="A571" t="str">
            <v>50714251810</v>
          </cell>
          <cell r="B571" t="str">
            <v>ZMTD</v>
          </cell>
          <cell r="C571">
            <v>45488</v>
          </cell>
          <cell r="D571" t="str">
            <v>Not delivered</v>
          </cell>
          <cell r="E571">
            <v>507142518</v>
          </cell>
          <cell r="F571">
            <v>10</v>
          </cell>
          <cell r="G571">
            <v>1419488</v>
          </cell>
          <cell r="H571" t="str">
            <v>CP-063R:SPOUT CAP WHITE LOREAL 12A</v>
          </cell>
          <cell r="I571">
            <v>1890000</v>
          </cell>
          <cell r="J571" t="str">
            <v>UN</v>
          </cell>
          <cell r="K571">
            <v>45597</v>
          </cell>
        </row>
        <row r="572">
          <cell r="A572" t="str">
            <v>50714253110</v>
          </cell>
          <cell r="B572" t="str">
            <v>ZMTD</v>
          </cell>
          <cell r="C572">
            <v>45488</v>
          </cell>
          <cell r="D572" t="str">
            <v>Not delivered</v>
          </cell>
          <cell r="E572">
            <v>507142531</v>
          </cell>
          <cell r="F572">
            <v>10</v>
          </cell>
          <cell r="G572">
            <v>1164947</v>
          </cell>
          <cell r="H572" t="str">
            <v>CM-253:CVR CLR BS BLUE P2748C P/WHT NSF</v>
          </cell>
          <cell r="I572">
            <v>21600</v>
          </cell>
          <cell r="J572" t="str">
            <v>UN</v>
          </cell>
          <cell r="K572">
            <v>45597</v>
          </cell>
        </row>
        <row r="573">
          <cell r="A573" t="str">
            <v>50714253120</v>
          </cell>
          <cell r="B573" t="str">
            <v>ZMTD</v>
          </cell>
          <cell r="C573">
            <v>45488</v>
          </cell>
          <cell r="D573" t="str">
            <v>Not delivered</v>
          </cell>
          <cell r="E573">
            <v>507142531</v>
          </cell>
          <cell r="F573">
            <v>20</v>
          </cell>
          <cell r="G573">
            <v>1164946</v>
          </cell>
          <cell r="H573" t="str">
            <v>CM-255:CVR CLR BS RED P186C P/WHT NSF</v>
          </cell>
          <cell r="I573">
            <v>33600</v>
          </cell>
          <cell r="J573" t="str">
            <v>UN</v>
          </cell>
          <cell r="K573">
            <v>45597</v>
          </cell>
        </row>
        <row r="574">
          <cell r="A574" t="str">
            <v>50714253130</v>
          </cell>
          <cell r="B574" t="str">
            <v>ZMTD</v>
          </cell>
          <cell r="C574">
            <v>45488</v>
          </cell>
          <cell r="D574" t="str">
            <v>Not delivered</v>
          </cell>
          <cell r="E574">
            <v>507142531</v>
          </cell>
          <cell r="F574">
            <v>30</v>
          </cell>
          <cell r="G574">
            <v>1164945</v>
          </cell>
          <cell r="H574" t="str">
            <v>CM-256:CVR CLR BS BLUE P2748C P/RED NSF</v>
          </cell>
          <cell r="I574">
            <v>33600</v>
          </cell>
          <cell r="J574" t="str">
            <v>UN</v>
          </cell>
          <cell r="K574">
            <v>45597</v>
          </cell>
        </row>
        <row r="575">
          <cell r="A575" t="str">
            <v>50800518110</v>
          </cell>
          <cell r="B575" t="str">
            <v>ZMFD</v>
          </cell>
          <cell r="C575">
            <v>45485</v>
          </cell>
          <cell r="D575" t="str">
            <v>Not delivered</v>
          </cell>
          <cell r="E575">
            <v>508005181</v>
          </cell>
          <cell r="F575">
            <v>10</v>
          </cell>
          <cell r="G575">
            <v>1413967</v>
          </cell>
          <cell r="H575" t="str">
            <v>CM-323:VM SILVER DIOR JUMBO M080</v>
          </cell>
          <cell r="I575">
            <v>12600</v>
          </cell>
          <cell r="J575" t="str">
            <v>UN</v>
          </cell>
          <cell r="K575">
            <v>45597</v>
          </cell>
        </row>
        <row r="576">
          <cell r="A576" t="str">
            <v>50800506830</v>
          </cell>
          <cell r="B576" t="str">
            <v>ZMFD</v>
          </cell>
          <cell r="C576">
            <v>45433</v>
          </cell>
          <cell r="D576" t="str">
            <v>Not delivered</v>
          </cell>
          <cell r="E576">
            <v>508005068</v>
          </cell>
          <cell r="F576">
            <v>30</v>
          </cell>
          <cell r="G576">
            <v>1255663</v>
          </cell>
          <cell r="H576" t="str">
            <v>LC-002:BTL MT VAR13 P/WRDH B.MARK PTI40H</v>
          </cell>
          <cell r="I576">
            <v>25000</v>
          </cell>
          <cell r="J576" t="str">
            <v>UN</v>
          </cell>
          <cell r="K576">
            <v>45597</v>
          </cell>
        </row>
        <row r="577">
          <cell r="A577" t="str">
            <v>50800506840</v>
          </cell>
          <cell r="B577" t="str">
            <v>ZMFD</v>
          </cell>
          <cell r="C577">
            <v>45433</v>
          </cell>
          <cell r="D577" t="str">
            <v>Not delivered</v>
          </cell>
          <cell r="E577">
            <v>508005068</v>
          </cell>
          <cell r="F577">
            <v>40</v>
          </cell>
          <cell r="G577">
            <v>1173170</v>
          </cell>
          <cell r="H577" t="str">
            <v>LC-002:CP S/MT VAR13 STM-WHT WNAT PTI40D</v>
          </cell>
          <cell r="I577">
            <v>25000</v>
          </cell>
          <cell r="J577" t="str">
            <v>UN</v>
          </cell>
          <cell r="K577">
            <v>45597</v>
          </cell>
        </row>
        <row r="578">
          <cell r="A578" t="str">
            <v>50714274610</v>
          </cell>
          <cell r="B578" t="str">
            <v>ZMTD</v>
          </cell>
          <cell r="C578">
            <v>45545</v>
          </cell>
          <cell r="D578" t="str">
            <v>Not delivered</v>
          </cell>
          <cell r="E578">
            <v>507142746</v>
          </cell>
          <cell r="F578">
            <v>10</v>
          </cell>
          <cell r="G578">
            <v>1272832</v>
          </cell>
          <cell r="H578" t="str">
            <v>CM-133:CVR BS MTLC PRPL UV P/S/BFCIAL30B</v>
          </cell>
          <cell r="I578">
            <v>10000</v>
          </cell>
          <cell r="J578" t="str">
            <v>UN</v>
          </cell>
          <cell r="K578">
            <v>45598</v>
          </cell>
        </row>
        <row r="579">
          <cell r="A579" t="str">
            <v>50800517310</v>
          </cell>
          <cell r="B579" t="str">
            <v>ZMFD</v>
          </cell>
          <cell r="C579">
            <v>45481</v>
          </cell>
          <cell r="D579" t="str">
            <v>Not delivered</v>
          </cell>
          <cell r="E579">
            <v>508005173</v>
          </cell>
          <cell r="F579">
            <v>10</v>
          </cell>
          <cell r="G579">
            <v>1226229</v>
          </cell>
          <cell r="H579" t="str">
            <v>LC-004:BTL CLR S/P/WRDH EVERDAY PTI 60B</v>
          </cell>
          <cell r="I579">
            <v>100000</v>
          </cell>
          <cell r="J579" t="str">
            <v>UN</v>
          </cell>
          <cell r="K579">
            <v>45598</v>
          </cell>
        </row>
        <row r="580">
          <cell r="A580" t="str">
            <v>50800517320</v>
          </cell>
          <cell r="B580" t="str">
            <v>ZMFD</v>
          </cell>
          <cell r="C580">
            <v>45481</v>
          </cell>
          <cell r="D580" t="str">
            <v>Not delivered</v>
          </cell>
          <cell r="E580">
            <v>508005173</v>
          </cell>
          <cell r="F580">
            <v>20</v>
          </cell>
          <cell r="G580">
            <v>1226320</v>
          </cell>
          <cell r="H580" t="str">
            <v>LC-004:CAP WHT WIP WRDH EVERDAY PTI 60B</v>
          </cell>
          <cell r="I580">
            <v>100000</v>
          </cell>
          <cell r="J580" t="str">
            <v>UN</v>
          </cell>
          <cell r="K580">
            <v>45598</v>
          </cell>
        </row>
        <row r="581">
          <cell r="A581" t="str">
            <v>50714241770</v>
          </cell>
          <cell r="B581" t="str">
            <v>ZMTD</v>
          </cell>
          <cell r="C581">
            <v>45474</v>
          </cell>
          <cell r="D581" t="str">
            <v>Not delivered</v>
          </cell>
          <cell r="E581">
            <v>507142417</v>
          </cell>
          <cell r="F581">
            <v>70</v>
          </cell>
          <cell r="G581">
            <v>1405657</v>
          </cell>
          <cell r="H581" t="str">
            <v>CM-273:CV UV BS BRONZE P/PIXYSLKY RV130L</v>
          </cell>
          <cell r="I581">
            <v>10000</v>
          </cell>
          <cell r="J581" t="str">
            <v>UN</v>
          </cell>
          <cell r="K581">
            <v>45598</v>
          </cell>
        </row>
        <row r="582">
          <cell r="A582" t="str">
            <v>50714277410</v>
          </cell>
          <cell r="B582" t="str">
            <v>ZMTD</v>
          </cell>
          <cell r="C582">
            <v>45554</v>
          </cell>
          <cell r="D582" t="str">
            <v>Not delivered</v>
          </cell>
          <cell r="E582">
            <v>507142774</v>
          </cell>
          <cell r="F582">
            <v>10</v>
          </cell>
          <cell r="G582">
            <v>1378563</v>
          </cell>
          <cell r="H582" t="str">
            <v>CP-093:CAP D50 MT BLACK Ø.5 YASULOR 12A</v>
          </cell>
          <cell r="I582">
            <v>400000</v>
          </cell>
          <cell r="J582" t="str">
            <v>UN</v>
          </cell>
          <cell r="K582">
            <v>45600</v>
          </cell>
        </row>
        <row r="583">
          <cell r="A583" t="str">
            <v>50800525240</v>
          </cell>
          <cell r="B583" t="str">
            <v>ZMFD</v>
          </cell>
          <cell r="C583">
            <v>45512</v>
          </cell>
          <cell r="D583" t="str">
            <v>Not delivered</v>
          </cell>
          <cell r="E583">
            <v>508005252</v>
          </cell>
          <cell r="F583">
            <v>40</v>
          </cell>
          <cell r="G583">
            <v>1382368</v>
          </cell>
          <cell r="H583" t="str">
            <v>CP-067R:FT CAP35 SNAP BLK MATTE  Ø5 LRL</v>
          </cell>
          <cell r="I583">
            <v>300000</v>
          </cell>
          <cell r="J583" t="str">
            <v>UN</v>
          </cell>
          <cell r="K583">
            <v>45600</v>
          </cell>
        </row>
        <row r="584">
          <cell r="A584" t="str">
            <v>50800524110</v>
          </cell>
          <cell r="B584" t="str">
            <v>ZMFD</v>
          </cell>
          <cell r="C584">
            <v>45510</v>
          </cell>
          <cell r="D584" t="str">
            <v>Not delivered</v>
          </cell>
          <cell r="E584">
            <v>508005241</v>
          </cell>
          <cell r="F584">
            <v>10</v>
          </cell>
          <cell r="G584">
            <v>1411213</v>
          </cell>
          <cell r="H584" t="str">
            <v>CM-105:BLCK COAT P/MAKE OVER PTI RV1 40H</v>
          </cell>
          <cell r="I584">
            <v>60000</v>
          </cell>
          <cell r="J584" t="str">
            <v>UN</v>
          </cell>
          <cell r="K584">
            <v>45600</v>
          </cell>
        </row>
        <row r="585">
          <cell r="A585" t="str">
            <v>50714257510</v>
          </cell>
          <cell r="B585" t="str">
            <v>ZMTD</v>
          </cell>
          <cell r="C585">
            <v>45499</v>
          </cell>
          <cell r="D585" t="str">
            <v>Not delivered</v>
          </cell>
          <cell r="E585">
            <v>507142575</v>
          </cell>
          <cell r="F585">
            <v>10</v>
          </cell>
          <cell r="G585">
            <v>1431860</v>
          </cell>
          <cell r="H585" t="str">
            <v>PT6029R CAP GARNIER 18ML WHITE PLZ (553)</v>
          </cell>
          <cell r="I585">
            <v>52080</v>
          </cell>
          <cell r="J585" t="str">
            <v>UN</v>
          </cell>
          <cell r="K585">
            <v>45600</v>
          </cell>
        </row>
        <row r="586">
          <cell r="A586" t="str">
            <v>50714257520</v>
          </cell>
          <cell r="B586" t="str">
            <v>ZMTD</v>
          </cell>
          <cell r="C586">
            <v>45499</v>
          </cell>
          <cell r="D586" t="str">
            <v>Not delivered</v>
          </cell>
          <cell r="E586">
            <v>507142575</v>
          </cell>
          <cell r="F586">
            <v>20</v>
          </cell>
          <cell r="G586">
            <v>1431860</v>
          </cell>
          <cell r="H586" t="str">
            <v>PT6029R CAP GARNIER 18ML WHITE PLZ (553)</v>
          </cell>
          <cell r="I586">
            <v>20160</v>
          </cell>
          <cell r="J586" t="str">
            <v>UN</v>
          </cell>
          <cell r="K586">
            <v>45600</v>
          </cell>
        </row>
        <row r="587">
          <cell r="A587" t="str">
            <v>50800517450</v>
          </cell>
          <cell r="B587" t="str">
            <v>ZMFD</v>
          </cell>
          <cell r="C587">
            <v>45481</v>
          </cell>
          <cell r="D587" t="str">
            <v>Not delivered</v>
          </cell>
          <cell r="E587">
            <v>508005174</v>
          </cell>
          <cell r="F587">
            <v>50</v>
          </cell>
          <cell r="G587">
            <v>1194012</v>
          </cell>
          <cell r="H587" t="str">
            <v>CP-090:ROSETNR VM RSPINK NO EMBOS PTI20F</v>
          </cell>
          <cell r="I587">
            <v>25000</v>
          </cell>
          <cell r="J587" t="str">
            <v>UN</v>
          </cell>
          <cell r="K587">
            <v>45600</v>
          </cell>
        </row>
        <row r="588">
          <cell r="A588" t="str">
            <v>50714228310</v>
          </cell>
          <cell r="B588" t="str">
            <v>ZMTD</v>
          </cell>
          <cell r="C588">
            <v>45447</v>
          </cell>
          <cell r="D588" t="str">
            <v>Not delivered</v>
          </cell>
          <cell r="E588">
            <v>507142283</v>
          </cell>
          <cell r="F588">
            <v>10</v>
          </cell>
          <cell r="G588">
            <v>1419488</v>
          </cell>
          <cell r="H588" t="str">
            <v>CP-063R:SPOUT CAP WHITE LOREAL 12A</v>
          </cell>
          <cell r="I588">
            <v>1890000</v>
          </cell>
          <cell r="J588" t="str">
            <v>UN</v>
          </cell>
          <cell r="K588">
            <v>45600</v>
          </cell>
        </row>
        <row r="589">
          <cell r="A589" t="str">
            <v>50714228410</v>
          </cell>
          <cell r="B589" t="str">
            <v>ZMTD</v>
          </cell>
          <cell r="C589">
            <v>45447</v>
          </cell>
          <cell r="D589" t="str">
            <v>Not delivered</v>
          </cell>
          <cell r="E589">
            <v>507142284</v>
          </cell>
          <cell r="F589">
            <v>10</v>
          </cell>
          <cell r="G589">
            <v>1419488</v>
          </cell>
          <cell r="H589" t="str">
            <v>CP-063R:SPOUT CAP WHITE LOREAL 12A</v>
          </cell>
          <cell r="I589">
            <v>1890000</v>
          </cell>
          <cell r="J589" t="str">
            <v>UN</v>
          </cell>
          <cell r="K589">
            <v>45600</v>
          </cell>
        </row>
        <row r="590">
          <cell r="A590" t="str">
            <v>50800497810</v>
          </cell>
          <cell r="B590" t="str">
            <v>ZMFD</v>
          </cell>
          <cell r="C590">
            <v>45401</v>
          </cell>
          <cell r="D590" t="str">
            <v>Not delivered</v>
          </cell>
          <cell r="E590">
            <v>508004978</v>
          </cell>
          <cell r="F590">
            <v>10</v>
          </cell>
          <cell r="G590">
            <v>1120086</v>
          </cell>
          <cell r="H590" t="str">
            <v>CM-290:ENGINE WHITE KF SKIN 12A</v>
          </cell>
          <cell r="I590">
            <v>10000</v>
          </cell>
          <cell r="J590" t="str">
            <v>UN</v>
          </cell>
          <cell r="K590">
            <v>45600</v>
          </cell>
        </row>
        <row r="591">
          <cell r="A591" t="str">
            <v>50800497820</v>
          </cell>
          <cell r="B591" t="str">
            <v>ZMFD</v>
          </cell>
          <cell r="C591">
            <v>45401</v>
          </cell>
          <cell r="D591" t="str">
            <v>Not delivered</v>
          </cell>
          <cell r="E591">
            <v>508004978</v>
          </cell>
          <cell r="F591">
            <v>20</v>
          </cell>
          <cell r="G591">
            <v>1120087</v>
          </cell>
          <cell r="H591" t="str">
            <v>CM-290:RING WHITE KF SKIN 12A</v>
          </cell>
          <cell r="I591">
            <v>10000</v>
          </cell>
          <cell r="J591" t="str">
            <v>UN</v>
          </cell>
          <cell r="K591">
            <v>45600</v>
          </cell>
        </row>
        <row r="592">
          <cell r="A592" t="str">
            <v>50800497830</v>
          </cell>
          <cell r="B592" t="str">
            <v>ZMFD</v>
          </cell>
          <cell r="C592">
            <v>45401</v>
          </cell>
          <cell r="D592" t="str">
            <v>Not delivered</v>
          </cell>
          <cell r="E592">
            <v>508004978</v>
          </cell>
          <cell r="F592">
            <v>30</v>
          </cell>
          <cell r="G592">
            <v>1187970</v>
          </cell>
          <cell r="H592" t="str">
            <v>CM-290:BS CVR WHT P/LGHT NAT  MDALA50B</v>
          </cell>
          <cell r="I592">
            <v>10000</v>
          </cell>
          <cell r="J592" t="str">
            <v>UN</v>
          </cell>
          <cell r="K592">
            <v>45600</v>
          </cell>
        </row>
        <row r="593">
          <cell r="A593" t="str">
            <v>50800497840</v>
          </cell>
          <cell r="B593" t="str">
            <v>ZMFD</v>
          </cell>
          <cell r="C593">
            <v>45401</v>
          </cell>
          <cell r="D593" t="str">
            <v>Not delivered</v>
          </cell>
          <cell r="E593">
            <v>508004978</v>
          </cell>
          <cell r="F593">
            <v>40</v>
          </cell>
          <cell r="G593">
            <v>1188807</v>
          </cell>
          <cell r="H593" t="str">
            <v>RUBICELL PUFF WITH RIBBON P/KFSKIN MDALA</v>
          </cell>
          <cell r="I593">
            <v>10000</v>
          </cell>
          <cell r="J593" t="str">
            <v>UN</v>
          </cell>
          <cell r="K593">
            <v>45600</v>
          </cell>
        </row>
        <row r="594">
          <cell r="A594" t="str">
            <v>50800497850</v>
          </cell>
          <cell r="B594" t="str">
            <v>ZMFD</v>
          </cell>
          <cell r="C594">
            <v>45401</v>
          </cell>
          <cell r="D594" t="str">
            <v>Not delivered</v>
          </cell>
          <cell r="E594">
            <v>508004978</v>
          </cell>
          <cell r="F594">
            <v>50</v>
          </cell>
          <cell r="G594">
            <v>1188806</v>
          </cell>
          <cell r="H594" t="str">
            <v>FILLER SPONGE DIA 50X11.5MM GNRL</v>
          </cell>
          <cell r="I594">
            <v>10000</v>
          </cell>
          <cell r="J594" t="str">
            <v>UN</v>
          </cell>
          <cell r="K594">
            <v>45600</v>
          </cell>
        </row>
        <row r="595">
          <cell r="A595" t="str">
            <v>50800529110</v>
          </cell>
          <cell r="B595" t="str">
            <v>ZMFD</v>
          </cell>
          <cell r="C595">
            <v>45559</v>
          </cell>
          <cell r="D595" t="str">
            <v>Not delivered</v>
          </cell>
          <cell r="E595">
            <v>508005291</v>
          </cell>
          <cell r="F595">
            <v>10</v>
          </cell>
          <cell r="G595">
            <v>1169703</v>
          </cell>
          <cell r="H595" t="str">
            <v>CP-064:CAP 25 SCREW WHITE MT TR L'OREAL</v>
          </cell>
          <cell r="I595">
            <v>200000</v>
          </cell>
          <cell r="J595" t="str">
            <v>UN</v>
          </cell>
          <cell r="K595">
            <v>45601</v>
          </cell>
        </row>
        <row r="596">
          <cell r="A596" t="str">
            <v>50714279410</v>
          </cell>
          <cell r="B596" t="str">
            <v>ZMTD</v>
          </cell>
          <cell r="C596">
            <v>45558</v>
          </cell>
          <cell r="D596" t="str">
            <v>Not delivered</v>
          </cell>
          <cell r="E596">
            <v>507142794</v>
          </cell>
          <cell r="F596">
            <v>10</v>
          </cell>
          <cell r="G596">
            <v>1163327</v>
          </cell>
          <cell r="H596" t="str">
            <v>CM-246:CVR S.SLV PAN WHITE 6MPY 01 0034</v>
          </cell>
          <cell r="I596">
            <v>25056</v>
          </cell>
          <cell r="J596" t="str">
            <v>UN</v>
          </cell>
          <cell r="K596">
            <v>45601</v>
          </cell>
        </row>
        <row r="597">
          <cell r="A597" t="str">
            <v>507142742100</v>
          </cell>
          <cell r="B597" t="str">
            <v>ZMTD</v>
          </cell>
          <cell r="C597">
            <v>45544</v>
          </cell>
          <cell r="D597" t="str">
            <v>Not delivered</v>
          </cell>
          <cell r="E597">
            <v>507142742</v>
          </cell>
          <cell r="F597">
            <v>100</v>
          </cell>
          <cell r="G597">
            <v>1437039</v>
          </cell>
          <cell r="H597" t="str">
            <v>CM-290:1PC BS CV MT.BLK S/ EMBOS OMG 40C</v>
          </cell>
          <cell r="I597">
            <v>25032</v>
          </cell>
          <cell r="J597" t="str">
            <v>UN</v>
          </cell>
          <cell r="K597">
            <v>45601</v>
          </cell>
        </row>
        <row r="598">
          <cell r="A598" t="str">
            <v>507142742110</v>
          </cell>
          <cell r="B598" t="str">
            <v>ZMTD</v>
          </cell>
          <cell r="C598">
            <v>45544</v>
          </cell>
          <cell r="D598" t="str">
            <v>Not delivered</v>
          </cell>
          <cell r="E598">
            <v>507142742</v>
          </cell>
          <cell r="F598">
            <v>110</v>
          </cell>
          <cell r="G598">
            <v>1437140</v>
          </cell>
          <cell r="H598" t="str">
            <v>CM-290:ENGINE CV RED, BS BLK OMG PTI 12A</v>
          </cell>
          <cell r="I598">
            <v>25032</v>
          </cell>
          <cell r="J598" t="str">
            <v>UN</v>
          </cell>
          <cell r="K598">
            <v>45601</v>
          </cell>
        </row>
        <row r="599">
          <cell r="A599" t="str">
            <v>507142742120</v>
          </cell>
          <cell r="B599" t="str">
            <v>ZMTD</v>
          </cell>
          <cell r="C599">
            <v>45544</v>
          </cell>
          <cell r="D599" t="str">
            <v>Not delivered</v>
          </cell>
          <cell r="E599">
            <v>507142742</v>
          </cell>
          <cell r="F599">
            <v>120</v>
          </cell>
          <cell r="G599">
            <v>1437141</v>
          </cell>
          <cell r="H599" t="str">
            <v>CM-290:RING BLACK OMG PTI 12A</v>
          </cell>
          <cell r="I599">
            <v>25032</v>
          </cell>
          <cell r="J599" t="str">
            <v>UN</v>
          </cell>
          <cell r="K599">
            <v>45601</v>
          </cell>
        </row>
        <row r="600">
          <cell r="A600" t="str">
            <v>50714273040</v>
          </cell>
          <cell r="B600" t="str">
            <v>ZMTD</v>
          </cell>
          <cell r="C600">
            <v>45541</v>
          </cell>
          <cell r="D600" t="str">
            <v>Not delivered</v>
          </cell>
          <cell r="E600">
            <v>507142730</v>
          </cell>
          <cell r="F600">
            <v>40</v>
          </cell>
          <cell r="G600">
            <v>1371896</v>
          </cell>
          <cell r="H600" t="str">
            <v>RX-056:CM-316 CVR BLUE P/WHT SP/MTCLR</v>
          </cell>
          <cell r="I600">
            <v>69952</v>
          </cell>
          <cell r="J600" t="str">
            <v>UN</v>
          </cell>
          <cell r="K600">
            <v>45601</v>
          </cell>
        </row>
        <row r="601">
          <cell r="A601" t="str">
            <v>50800525830</v>
          </cell>
          <cell r="B601" t="str">
            <v>ZMFD</v>
          </cell>
          <cell r="C601">
            <v>45523</v>
          </cell>
          <cell r="D601" t="str">
            <v>Not delivered</v>
          </cell>
          <cell r="E601">
            <v>508005258</v>
          </cell>
          <cell r="F601">
            <v>30</v>
          </cell>
          <cell r="G601">
            <v>1168132</v>
          </cell>
          <cell r="H601" t="str">
            <v>LS-285:BS WHT NO DC WARDAH</v>
          </cell>
          <cell r="I601">
            <v>75000</v>
          </cell>
          <cell r="J601" t="str">
            <v>UN</v>
          </cell>
          <cell r="K601">
            <v>45601</v>
          </cell>
        </row>
        <row r="602">
          <cell r="A602" t="str">
            <v>50800525840</v>
          </cell>
          <cell r="B602" t="str">
            <v>ZMFD</v>
          </cell>
          <cell r="C602">
            <v>45523</v>
          </cell>
          <cell r="D602" t="str">
            <v>Not delivered</v>
          </cell>
          <cell r="E602">
            <v>508005258</v>
          </cell>
          <cell r="F602">
            <v>40</v>
          </cell>
          <cell r="G602">
            <v>1421418</v>
          </cell>
          <cell r="H602" t="str">
            <v>LS-285:CV RED P/WHT UV STRAWBERY PTI 30O</v>
          </cell>
          <cell r="I602">
            <v>75000</v>
          </cell>
          <cell r="J602" t="str">
            <v>UN</v>
          </cell>
          <cell r="K602">
            <v>45601</v>
          </cell>
        </row>
        <row r="603">
          <cell r="A603" t="str">
            <v>50800524610</v>
          </cell>
          <cell r="B603" t="str">
            <v>ZMFD</v>
          </cell>
          <cell r="C603">
            <v>45510</v>
          </cell>
          <cell r="D603" t="str">
            <v>Not delivered</v>
          </cell>
          <cell r="E603">
            <v>508005246</v>
          </cell>
          <cell r="F603">
            <v>10</v>
          </cell>
          <cell r="G603">
            <v>1408740</v>
          </cell>
          <cell r="H603" t="str">
            <v>PT-097B:BDSR.2 BLU HOUS WHT TRNS PTI12A</v>
          </cell>
          <cell r="I603">
            <v>440000</v>
          </cell>
          <cell r="J603" t="str">
            <v>UN</v>
          </cell>
          <cell r="K603">
            <v>45601</v>
          </cell>
        </row>
        <row r="604">
          <cell r="A604" t="str">
            <v>50800524630</v>
          </cell>
          <cell r="B604" t="str">
            <v>ZMFD</v>
          </cell>
          <cell r="C604">
            <v>45510</v>
          </cell>
          <cell r="D604" t="str">
            <v>Not delivered</v>
          </cell>
          <cell r="E604">
            <v>508005246</v>
          </cell>
          <cell r="F604">
            <v>30</v>
          </cell>
          <cell r="G604">
            <v>1408739</v>
          </cell>
          <cell r="H604" t="str">
            <v>PT-097B:CAP SR.2 BLUE TRANS PTI 12A</v>
          </cell>
          <cell r="I604">
            <v>440000</v>
          </cell>
          <cell r="J604" t="str">
            <v>UN</v>
          </cell>
          <cell r="K604">
            <v>45601</v>
          </cell>
        </row>
        <row r="605">
          <cell r="A605" t="str">
            <v>50800524710</v>
          </cell>
          <cell r="B605" t="str">
            <v>ZMFD</v>
          </cell>
          <cell r="C605">
            <v>45510</v>
          </cell>
          <cell r="D605" t="str">
            <v>Not delivered</v>
          </cell>
          <cell r="E605">
            <v>508005247</v>
          </cell>
          <cell r="F605">
            <v>10</v>
          </cell>
          <cell r="G605">
            <v>1361170</v>
          </cell>
          <cell r="H605" t="str">
            <v>PT-097:BODY BLACK HOUSE WHT TRANS PTI12A</v>
          </cell>
          <cell r="I605">
            <v>180000</v>
          </cell>
          <cell r="J605" t="str">
            <v>UN</v>
          </cell>
          <cell r="K605">
            <v>45601</v>
          </cell>
        </row>
        <row r="606">
          <cell r="A606" t="str">
            <v>50800524730</v>
          </cell>
          <cell r="B606" t="str">
            <v>ZMFD</v>
          </cell>
          <cell r="C606">
            <v>45510</v>
          </cell>
          <cell r="D606" t="str">
            <v>Not delivered</v>
          </cell>
          <cell r="E606">
            <v>508005247</v>
          </cell>
          <cell r="F606">
            <v>30</v>
          </cell>
          <cell r="G606">
            <v>1361175</v>
          </cell>
          <cell r="H606" t="str">
            <v>PT-097:CAP BLACK TRANS PTI 12A</v>
          </cell>
          <cell r="I606">
            <v>180000</v>
          </cell>
          <cell r="J606" t="str">
            <v>UN</v>
          </cell>
          <cell r="K606">
            <v>45601</v>
          </cell>
        </row>
        <row r="607">
          <cell r="A607" t="str">
            <v>50800524820</v>
          </cell>
          <cell r="B607" t="str">
            <v>ZMFD</v>
          </cell>
          <cell r="C607">
            <v>45510</v>
          </cell>
          <cell r="D607" t="str">
            <v>Not delivered</v>
          </cell>
          <cell r="E607">
            <v>508005248</v>
          </cell>
          <cell r="F607">
            <v>20</v>
          </cell>
          <cell r="G607">
            <v>1367372</v>
          </cell>
          <cell r="H607" t="str">
            <v>PT-097:BODY GREN HOUSE WHT TRANS PTI 12A</v>
          </cell>
          <cell r="I607">
            <v>160000</v>
          </cell>
          <cell r="J607" t="str">
            <v>UN</v>
          </cell>
          <cell r="K607">
            <v>45601</v>
          </cell>
        </row>
        <row r="608">
          <cell r="A608" t="str">
            <v>50800524850</v>
          </cell>
          <cell r="B608" t="str">
            <v>ZMFD</v>
          </cell>
          <cell r="C608">
            <v>45510</v>
          </cell>
          <cell r="D608" t="str">
            <v>Not delivered</v>
          </cell>
          <cell r="E608">
            <v>508005248</v>
          </cell>
          <cell r="F608">
            <v>50</v>
          </cell>
          <cell r="G608">
            <v>1367370</v>
          </cell>
          <cell r="H608" t="str">
            <v>PT-097:CAP GREN TRANS PTI 12A</v>
          </cell>
          <cell r="I608">
            <v>160000</v>
          </cell>
          <cell r="J608" t="str">
            <v>UN</v>
          </cell>
          <cell r="K608">
            <v>45601</v>
          </cell>
        </row>
        <row r="609">
          <cell r="A609" t="str">
            <v>50800524910</v>
          </cell>
          <cell r="B609" t="str">
            <v>ZMFD</v>
          </cell>
          <cell r="C609">
            <v>45510</v>
          </cell>
          <cell r="D609" t="str">
            <v>Not delivered</v>
          </cell>
          <cell r="E609">
            <v>508005249</v>
          </cell>
          <cell r="F609">
            <v>10</v>
          </cell>
          <cell r="G609">
            <v>1336783</v>
          </cell>
          <cell r="H609" t="str">
            <v>LC-003:BTL CLR CLVM P/S/INSTSUEDE PTI20Y</v>
          </cell>
          <cell r="I609">
            <v>25000</v>
          </cell>
          <cell r="J609" t="str">
            <v>UN</v>
          </cell>
          <cell r="K609">
            <v>45601</v>
          </cell>
        </row>
        <row r="610">
          <cell r="A610" t="str">
            <v>50800524920</v>
          </cell>
          <cell r="B610" t="str">
            <v>ZMFD</v>
          </cell>
          <cell r="C610">
            <v>45510</v>
          </cell>
          <cell r="D610" t="str">
            <v>Not delivered</v>
          </cell>
          <cell r="E610">
            <v>508005249</v>
          </cell>
          <cell r="F610">
            <v>20</v>
          </cell>
          <cell r="G610">
            <v>1378266</v>
          </cell>
          <cell r="H610" t="str">
            <v>LC-003:CAP VM RS PINK INSTASUEDE PTI 20F</v>
          </cell>
          <cell r="I610">
            <v>25000</v>
          </cell>
          <cell r="J610" t="str">
            <v>UN</v>
          </cell>
          <cell r="K610">
            <v>45601</v>
          </cell>
        </row>
        <row r="611">
          <cell r="A611" t="str">
            <v>50800523610</v>
          </cell>
          <cell r="B611" t="str">
            <v>ZMFD</v>
          </cell>
          <cell r="C611">
            <v>45505</v>
          </cell>
          <cell r="D611" t="str">
            <v>Not delivered</v>
          </cell>
          <cell r="E611">
            <v>508005236</v>
          </cell>
          <cell r="F611">
            <v>10</v>
          </cell>
          <cell r="G611">
            <v>1291869</v>
          </cell>
          <cell r="H611" t="str">
            <v>LC-004:BTL COL GRAD P/MOUSSE NEW MLA40H</v>
          </cell>
          <cell r="I611">
            <v>50000</v>
          </cell>
          <cell r="J611" t="str">
            <v>UN</v>
          </cell>
          <cell r="K611">
            <v>45601</v>
          </cell>
        </row>
        <row r="612">
          <cell r="A612" t="str">
            <v>50800523620</v>
          </cell>
          <cell r="B612" t="str">
            <v>ZMFD</v>
          </cell>
          <cell r="C612">
            <v>45505</v>
          </cell>
          <cell r="D612" t="str">
            <v>Not delivered</v>
          </cell>
          <cell r="E612">
            <v>508005236</v>
          </cell>
          <cell r="F612">
            <v>20</v>
          </cell>
          <cell r="G612">
            <v>1291930</v>
          </cell>
          <cell r="H612" t="str">
            <v>LC-004:CAP MTPINK WIPNAT MOUS NEW MLA40D</v>
          </cell>
          <cell r="I612">
            <v>50000</v>
          </cell>
          <cell r="J612" t="str">
            <v>UN</v>
          </cell>
          <cell r="K612">
            <v>45601</v>
          </cell>
        </row>
        <row r="613">
          <cell r="A613" t="str">
            <v>50800516110</v>
          </cell>
          <cell r="B613" t="str">
            <v>ZMFD</v>
          </cell>
          <cell r="C613">
            <v>45475</v>
          </cell>
          <cell r="D613" t="str">
            <v>Not delivered</v>
          </cell>
          <cell r="E613">
            <v>508005161</v>
          </cell>
          <cell r="F613">
            <v>10</v>
          </cell>
          <cell r="G613">
            <v>1386990</v>
          </cell>
          <cell r="H613" t="str">
            <v>CM-099:CVR BS MTBEIGE P/QUAD RV1 PTI 40H</v>
          </cell>
          <cell r="I613">
            <v>10000</v>
          </cell>
          <cell r="J613" t="str">
            <v>UN</v>
          </cell>
          <cell r="K613">
            <v>45601</v>
          </cell>
        </row>
        <row r="614">
          <cell r="A614" t="str">
            <v>50800515430</v>
          </cell>
          <cell r="B614" t="str">
            <v>ZMFD</v>
          </cell>
          <cell r="C614">
            <v>45470</v>
          </cell>
          <cell r="D614" t="str">
            <v>Not delivered</v>
          </cell>
          <cell r="E614">
            <v>508005154</v>
          </cell>
          <cell r="F614">
            <v>30</v>
          </cell>
          <cell r="G614">
            <v>1388326</v>
          </cell>
          <cell r="H614" t="str">
            <v>CM-253:CV BS MTPEACH P/C.BLSH RV1 PTI40H</v>
          </cell>
          <cell r="I614">
            <v>15000</v>
          </cell>
          <cell r="J614" t="str">
            <v>UN</v>
          </cell>
          <cell r="K614">
            <v>45601</v>
          </cell>
        </row>
        <row r="615">
          <cell r="A615" t="str">
            <v>50800515560</v>
          </cell>
          <cell r="B615" t="str">
            <v>ZMFD</v>
          </cell>
          <cell r="C615">
            <v>45470</v>
          </cell>
          <cell r="D615" t="str">
            <v>Not delivered</v>
          </cell>
          <cell r="E615">
            <v>508005155</v>
          </cell>
          <cell r="F615">
            <v>60</v>
          </cell>
          <cell r="G615">
            <v>1304094</v>
          </cell>
          <cell r="H615" t="str">
            <v>CM-253:CV CLR BS M.PINK P/EMINA C.LIT40H</v>
          </cell>
          <cell r="I615">
            <v>25000</v>
          </cell>
          <cell r="J615" t="str">
            <v>UN</v>
          </cell>
          <cell r="K615">
            <v>45601</v>
          </cell>
        </row>
        <row r="616">
          <cell r="A616" t="str">
            <v>50800514510</v>
          </cell>
          <cell r="B616" t="str">
            <v>ZMFD</v>
          </cell>
          <cell r="C616">
            <v>45464</v>
          </cell>
          <cell r="D616" t="str">
            <v>Not delivered</v>
          </cell>
          <cell r="E616">
            <v>508005145</v>
          </cell>
          <cell r="F616">
            <v>10</v>
          </cell>
          <cell r="G616">
            <v>1288811</v>
          </cell>
          <cell r="H616" t="str">
            <v>CP-065:FT 50 SNAP SLV GLOSSY ELSEVE</v>
          </cell>
          <cell r="I616">
            <v>109600</v>
          </cell>
          <cell r="J616" t="str">
            <v>UN</v>
          </cell>
          <cell r="K616">
            <v>45601</v>
          </cell>
        </row>
        <row r="617">
          <cell r="A617" t="str">
            <v>50800513020</v>
          </cell>
          <cell r="B617" t="str">
            <v>ZMFD</v>
          </cell>
          <cell r="C617">
            <v>45455</v>
          </cell>
          <cell r="D617" t="str">
            <v>Not delivered</v>
          </cell>
          <cell r="E617">
            <v>508005130</v>
          </cell>
          <cell r="F617">
            <v>20</v>
          </cell>
          <cell r="G617">
            <v>1386990</v>
          </cell>
          <cell r="H617" t="str">
            <v>CM-099:CVR BS MTBEIGE P/QUAD RV1 PTI 40H</v>
          </cell>
          <cell r="I617">
            <v>10000</v>
          </cell>
          <cell r="J617" t="str">
            <v>UN</v>
          </cell>
          <cell r="K617">
            <v>45601</v>
          </cell>
        </row>
        <row r="618">
          <cell r="A618" t="str">
            <v>50800507330</v>
          </cell>
          <cell r="B618" t="str">
            <v>ZMFD</v>
          </cell>
          <cell r="C618">
            <v>45433</v>
          </cell>
          <cell r="D618" t="str">
            <v>Not delivered</v>
          </cell>
          <cell r="E618">
            <v>508005073</v>
          </cell>
          <cell r="F618">
            <v>30</v>
          </cell>
          <cell r="G618">
            <v>1169047</v>
          </cell>
          <cell r="H618" t="str">
            <v>LS-285:B V/SL P/1PS SLEV H/SL BLM PTI20R</v>
          </cell>
          <cell r="I618">
            <v>25536</v>
          </cell>
          <cell r="J618" t="str">
            <v>UN</v>
          </cell>
          <cell r="K618">
            <v>45601</v>
          </cell>
        </row>
        <row r="619">
          <cell r="A619" t="str">
            <v>50800507340</v>
          </cell>
          <cell r="B619" t="str">
            <v>ZMFD</v>
          </cell>
          <cell r="C619">
            <v>45433</v>
          </cell>
          <cell r="D619" t="str">
            <v>Not delivered</v>
          </cell>
          <cell r="E619">
            <v>508005073</v>
          </cell>
          <cell r="F619">
            <v>40</v>
          </cell>
          <cell r="G619">
            <v>1171873</v>
          </cell>
          <cell r="H619" t="str">
            <v>LS-285:CV TRANS MATE 6 P/1PS VAR5 PTI40H</v>
          </cell>
          <cell r="I619">
            <v>25536</v>
          </cell>
          <cell r="J619" t="str">
            <v>UN</v>
          </cell>
          <cell r="K619">
            <v>45601</v>
          </cell>
        </row>
        <row r="620">
          <cell r="A620" t="str">
            <v>50800496630</v>
          </cell>
          <cell r="B620" t="str">
            <v>ZMFD</v>
          </cell>
          <cell r="C620">
            <v>45385</v>
          </cell>
          <cell r="D620" t="str">
            <v>Not delivered</v>
          </cell>
          <cell r="E620">
            <v>508004966</v>
          </cell>
          <cell r="F620">
            <v>30</v>
          </cell>
          <cell r="G620">
            <v>1388326</v>
          </cell>
          <cell r="H620" t="str">
            <v>CM-253:CV BS MTPEACH P/C.BLSH RV1 PTI40H</v>
          </cell>
          <cell r="I620">
            <v>15000</v>
          </cell>
          <cell r="J620" t="str">
            <v>UN</v>
          </cell>
          <cell r="K620">
            <v>45601</v>
          </cell>
        </row>
        <row r="621">
          <cell r="A621" t="str">
            <v>50714284310</v>
          </cell>
          <cell r="B621" t="str">
            <v>ZMTD</v>
          </cell>
          <cell r="C621">
            <v>45566</v>
          </cell>
          <cell r="D621" t="str">
            <v>Not delivered</v>
          </cell>
          <cell r="E621">
            <v>507142843</v>
          </cell>
          <cell r="F621">
            <v>10</v>
          </cell>
          <cell r="G621">
            <v>1169152</v>
          </cell>
          <cell r="H621" t="str">
            <v>CM-295:SQUARE COMPACT&amp;GODET PHHT010032</v>
          </cell>
          <cell r="I621">
            <v>20040</v>
          </cell>
          <cell r="J621" t="str">
            <v>UN</v>
          </cell>
          <cell r="K621">
            <v>45602</v>
          </cell>
        </row>
        <row r="622">
          <cell r="A622" t="str">
            <v>50714283220</v>
          </cell>
          <cell r="B622" t="str">
            <v>ZMTD</v>
          </cell>
          <cell r="C622">
            <v>45561</v>
          </cell>
          <cell r="D622" t="str">
            <v>Not delivered</v>
          </cell>
          <cell r="E622">
            <v>507142832</v>
          </cell>
          <cell r="F622">
            <v>20</v>
          </cell>
          <cell r="G622">
            <v>1409881</v>
          </cell>
          <cell r="H622" t="str">
            <v>CM-315:CVR/BS BLACK P/CVRLAST OMG RV160B</v>
          </cell>
          <cell r="I622">
            <v>49896</v>
          </cell>
          <cell r="J622" t="str">
            <v>UN</v>
          </cell>
          <cell r="K622">
            <v>45602</v>
          </cell>
        </row>
        <row r="623">
          <cell r="A623" t="str">
            <v>50800525130</v>
          </cell>
          <cell r="B623" t="str">
            <v>ZMFD</v>
          </cell>
          <cell r="C623">
            <v>45511</v>
          </cell>
          <cell r="D623" t="str">
            <v>Not delivered</v>
          </cell>
          <cell r="E623">
            <v>508005251</v>
          </cell>
          <cell r="F623">
            <v>30</v>
          </cell>
          <cell r="G623">
            <v>1168132</v>
          </cell>
          <cell r="H623" t="str">
            <v>LS-285:BS WHT NO DC WARDAH</v>
          </cell>
          <cell r="I623">
            <v>100000</v>
          </cell>
          <cell r="J623" t="str">
            <v>UN</v>
          </cell>
          <cell r="K623">
            <v>45602</v>
          </cell>
        </row>
        <row r="624">
          <cell r="A624" t="str">
            <v>50800525140</v>
          </cell>
          <cell r="B624" t="str">
            <v>ZMFD</v>
          </cell>
          <cell r="C624">
            <v>45511</v>
          </cell>
          <cell r="D624" t="str">
            <v>Not delivered</v>
          </cell>
          <cell r="E624">
            <v>508005251</v>
          </cell>
          <cell r="F624">
            <v>40</v>
          </cell>
          <cell r="G624">
            <v>1421510</v>
          </cell>
          <cell r="H624" t="str">
            <v>LS-285:CV PINK P/WHT UV P.BLOSOM PTI 30O</v>
          </cell>
          <cell r="I624">
            <v>100000</v>
          </cell>
          <cell r="J624" t="str">
            <v>UN</v>
          </cell>
          <cell r="K624">
            <v>45602</v>
          </cell>
        </row>
        <row r="625">
          <cell r="A625" t="str">
            <v>50714261210</v>
          </cell>
          <cell r="B625" t="str">
            <v>ZMTD</v>
          </cell>
          <cell r="C625">
            <v>45510</v>
          </cell>
          <cell r="D625" t="str">
            <v>Not delivered</v>
          </cell>
          <cell r="E625">
            <v>507142612</v>
          </cell>
          <cell r="F625">
            <v>10</v>
          </cell>
          <cell r="G625">
            <v>1436641</v>
          </cell>
          <cell r="H625" t="str">
            <v>CM-310:BLUE UV S/SILVER DIOR PEPSPE+IXPE</v>
          </cell>
          <cell r="I625">
            <v>64800</v>
          </cell>
          <cell r="J625" t="str">
            <v>UN</v>
          </cell>
          <cell r="K625">
            <v>45602</v>
          </cell>
        </row>
        <row r="626">
          <cell r="A626" t="str">
            <v>50800519450</v>
          </cell>
          <cell r="B626" t="str">
            <v>ZMFD</v>
          </cell>
          <cell r="C626">
            <v>45497</v>
          </cell>
          <cell r="D626" t="str">
            <v>Not delivered</v>
          </cell>
          <cell r="E626">
            <v>508005194</v>
          </cell>
          <cell r="F626">
            <v>50</v>
          </cell>
          <cell r="G626">
            <v>1385814</v>
          </cell>
          <cell r="H626" t="str">
            <v>LC-012:CAP VM BRWN WIP GLASTING PTI 20F</v>
          </cell>
          <cell r="I626">
            <v>25000</v>
          </cell>
          <cell r="J626" t="str">
            <v>UN</v>
          </cell>
          <cell r="K626">
            <v>45602</v>
          </cell>
        </row>
        <row r="627">
          <cell r="A627" t="str">
            <v>50800519460</v>
          </cell>
          <cell r="B627" t="str">
            <v>ZMFD</v>
          </cell>
          <cell r="C627">
            <v>45497</v>
          </cell>
          <cell r="D627" t="str">
            <v>Not delivered</v>
          </cell>
          <cell r="E627">
            <v>508005194</v>
          </cell>
          <cell r="F627">
            <v>60</v>
          </cell>
          <cell r="G627">
            <v>1406580</v>
          </cell>
          <cell r="H627" t="str">
            <v>LC-012:BTL VR09 P/GLASTNG PTI60B</v>
          </cell>
          <cell r="I627">
            <v>25000</v>
          </cell>
          <cell r="J627" t="str">
            <v>UN</v>
          </cell>
          <cell r="K627">
            <v>45602</v>
          </cell>
        </row>
        <row r="628">
          <cell r="A628" t="str">
            <v>50800519710</v>
          </cell>
          <cell r="B628" t="str">
            <v>ZMFD</v>
          </cell>
          <cell r="C628">
            <v>45497</v>
          </cell>
          <cell r="D628" t="str">
            <v>Not delivered</v>
          </cell>
          <cell r="E628">
            <v>508005197</v>
          </cell>
          <cell r="F628">
            <v>10</v>
          </cell>
          <cell r="G628">
            <v>1385811</v>
          </cell>
          <cell r="H628" t="str">
            <v>LC-012:BTL VR4 ROSEWOOD P/GLASTNG PTI60B</v>
          </cell>
          <cell r="I628">
            <v>25000</v>
          </cell>
          <cell r="J628" t="str">
            <v>UN</v>
          </cell>
          <cell r="K628">
            <v>45602</v>
          </cell>
        </row>
        <row r="629">
          <cell r="A629" t="str">
            <v>50800519720</v>
          </cell>
          <cell r="B629" t="str">
            <v>ZMFD</v>
          </cell>
          <cell r="C629">
            <v>45497</v>
          </cell>
          <cell r="D629" t="str">
            <v>Not delivered</v>
          </cell>
          <cell r="E629">
            <v>508005197</v>
          </cell>
          <cell r="F629">
            <v>20</v>
          </cell>
          <cell r="G629">
            <v>1385814</v>
          </cell>
          <cell r="H629" t="str">
            <v>LC-012:CAP VM BRWN WIP GLASTING PTI 20F</v>
          </cell>
          <cell r="I629">
            <v>25000</v>
          </cell>
          <cell r="J629" t="str">
            <v>UN</v>
          </cell>
          <cell r="K629">
            <v>45602</v>
          </cell>
        </row>
        <row r="630">
          <cell r="A630" t="str">
            <v>50800520010</v>
          </cell>
          <cell r="B630" t="str">
            <v>ZMFD</v>
          </cell>
          <cell r="C630">
            <v>45497</v>
          </cell>
          <cell r="D630" t="str">
            <v>Not delivered</v>
          </cell>
          <cell r="E630">
            <v>508005200</v>
          </cell>
          <cell r="F630">
            <v>10</v>
          </cell>
          <cell r="G630">
            <v>1405278</v>
          </cell>
          <cell r="H630" t="str">
            <v>LC-012:BTL VR07 P/GLASTNG PTI60B</v>
          </cell>
          <cell r="I630">
            <v>25000</v>
          </cell>
          <cell r="J630" t="str">
            <v>UN</v>
          </cell>
          <cell r="K630">
            <v>45602</v>
          </cell>
        </row>
        <row r="631">
          <cell r="A631" t="str">
            <v>50800520020</v>
          </cell>
          <cell r="B631" t="str">
            <v>ZMFD</v>
          </cell>
          <cell r="C631">
            <v>45497</v>
          </cell>
          <cell r="D631" t="str">
            <v>Not delivered</v>
          </cell>
          <cell r="E631">
            <v>508005200</v>
          </cell>
          <cell r="F631">
            <v>20</v>
          </cell>
          <cell r="G631">
            <v>1385814</v>
          </cell>
          <cell r="H631" t="str">
            <v>LC-012:CAP VM BRWN WIP GLASTING PTI 20F</v>
          </cell>
          <cell r="I631">
            <v>25000</v>
          </cell>
          <cell r="J631" t="str">
            <v>UN</v>
          </cell>
          <cell r="K631">
            <v>45602</v>
          </cell>
        </row>
        <row r="632">
          <cell r="A632" t="str">
            <v>50800517440</v>
          </cell>
          <cell r="B632" t="str">
            <v>ZMFD</v>
          </cell>
          <cell r="C632">
            <v>45481</v>
          </cell>
          <cell r="D632" t="str">
            <v>Not delivered</v>
          </cell>
          <cell r="E632">
            <v>508005174</v>
          </cell>
          <cell r="F632">
            <v>40</v>
          </cell>
          <cell r="G632">
            <v>1206787</v>
          </cell>
          <cell r="H632" t="str">
            <v>CP-090:CAP TONER VM SLV NO EMBOS PTI20F</v>
          </cell>
          <cell r="I632">
            <v>20000</v>
          </cell>
          <cell r="J632" t="str">
            <v>UN</v>
          </cell>
          <cell r="K632">
            <v>45602</v>
          </cell>
        </row>
        <row r="633">
          <cell r="A633" t="str">
            <v>50714243610</v>
          </cell>
          <cell r="B633" t="str">
            <v>ZMTD</v>
          </cell>
          <cell r="C633">
            <v>45475</v>
          </cell>
          <cell r="D633" t="str">
            <v>Not delivered</v>
          </cell>
          <cell r="E633">
            <v>507142436</v>
          </cell>
          <cell r="F633">
            <v>10</v>
          </cell>
          <cell r="G633">
            <v>1159364</v>
          </cell>
          <cell r="H633" t="str">
            <v>CP-071:PL8364 INSERT TNR 125-200ML REX</v>
          </cell>
          <cell r="I633">
            <v>111000</v>
          </cell>
          <cell r="J633" t="str">
            <v>UN</v>
          </cell>
          <cell r="K633">
            <v>45602</v>
          </cell>
        </row>
        <row r="634">
          <cell r="A634" t="str">
            <v>50800515920</v>
          </cell>
          <cell r="B634" t="str">
            <v>ZMFD</v>
          </cell>
          <cell r="C634">
            <v>45475</v>
          </cell>
          <cell r="D634" t="str">
            <v>Not delivered</v>
          </cell>
          <cell r="E634">
            <v>508005159</v>
          </cell>
          <cell r="F634">
            <v>20</v>
          </cell>
          <cell r="G634">
            <v>1285116</v>
          </cell>
          <cell r="H634" t="str">
            <v>CM-292:CV/BS MTBLK LENS S/SLV MO PTI 40C</v>
          </cell>
          <cell r="I634">
            <v>100000</v>
          </cell>
          <cell r="J634" t="str">
            <v>UN</v>
          </cell>
          <cell r="K634">
            <v>45602</v>
          </cell>
        </row>
        <row r="635">
          <cell r="A635" t="str">
            <v>50800515410</v>
          </cell>
          <cell r="B635" t="str">
            <v>ZMFD</v>
          </cell>
          <cell r="C635">
            <v>45470</v>
          </cell>
          <cell r="D635" t="str">
            <v>Not delivered</v>
          </cell>
          <cell r="E635">
            <v>508005154</v>
          </cell>
          <cell r="F635">
            <v>10</v>
          </cell>
          <cell r="G635">
            <v>1388034</v>
          </cell>
          <cell r="H635" t="str">
            <v>CM-253:CV BS MTCORL P/C.BLSH RV1 PTI40H</v>
          </cell>
          <cell r="I635">
            <v>30000</v>
          </cell>
          <cell r="J635" t="str">
            <v>UN</v>
          </cell>
          <cell r="K635">
            <v>45602</v>
          </cell>
        </row>
        <row r="636">
          <cell r="A636" t="str">
            <v>50800515510</v>
          </cell>
          <cell r="B636" t="str">
            <v>ZMFD</v>
          </cell>
          <cell r="C636">
            <v>45470</v>
          </cell>
          <cell r="D636" t="str">
            <v>Not delivered</v>
          </cell>
          <cell r="E636">
            <v>508005155</v>
          </cell>
          <cell r="F636">
            <v>10</v>
          </cell>
          <cell r="G636">
            <v>1388036</v>
          </cell>
          <cell r="H636" t="str">
            <v>CM-253:CV BS MTMAUVE P/C.BLSH RV1 PTI40H</v>
          </cell>
          <cell r="I636">
            <v>30000</v>
          </cell>
          <cell r="J636" t="str">
            <v>UN</v>
          </cell>
          <cell r="K636">
            <v>45602</v>
          </cell>
        </row>
        <row r="637">
          <cell r="A637" t="str">
            <v>50800514820</v>
          </cell>
          <cell r="B637" t="str">
            <v>ZMFD</v>
          </cell>
          <cell r="C637">
            <v>45464</v>
          </cell>
          <cell r="D637" t="str">
            <v>Not delivered</v>
          </cell>
          <cell r="E637">
            <v>508005148</v>
          </cell>
          <cell r="F637">
            <v>20</v>
          </cell>
          <cell r="G637">
            <v>1424980</v>
          </cell>
          <cell r="H637" t="str">
            <v>CP-093R:CAP D50 MT.YELOW Ø.5 YASULOR 12A</v>
          </cell>
          <cell r="I637">
            <v>80000</v>
          </cell>
          <cell r="J637" t="str">
            <v>UN</v>
          </cell>
          <cell r="K637">
            <v>45602</v>
          </cell>
        </row>
        <row r="638">
          <cell r="A638" t="str">
            <v>50800514130</v>
          </cell>
          <cell r="B638" t="str">
            <v>ZMFD</v>
          </cell>
          <cell r="C638">
            <v>45463</v>
          </cell>
          <cell r="D638" t="str">
            <v>Not delivered</v>
          </cell>
          <cell r="E638">
            <v>508005141</v>
          </cell>
          <cell r="F638">
            <v>30</v>
          </cell>
          <cell r="G638">
            <v>1340516</v>
          </cell>
          <cell r="H638" t="str">
            <v>CM-133:CVR BS MTLC GRN UV DP S/WARDH 30T</v>
          </cell>
          <cell r="I638">
            <v>30240</v>
          </cell>
          <cell r="J638" t="str">
            <v>UN</v>
          </cell>
          <cell r="K638">
            <v>45602</v>
          </cell>
        </row>
        <row r="639">
          <cell r="A639" t="str">
            <v>50714274110</v>
          </cell>
          <cell r="B639" t="str">
            <v>ZMTD</v>
          </cell>
          <cell r="C639">
            <v>45544</v>
          </cell>
          <cell r="D639" t="str">
            <v>Not delivered</v>
          </cell>
          <cell r="E639">
            <v>507142741</v>
          </cell>
          <cell r="F639">
            <v>10</v>
          </cell>
          <cell r="G639">
            <v>1323605</v>
          </cell>
          <cell r="H639" t="str">
            <v>CM-040:MT BLK S/LTPROBRNZE 8HL RMBKA 40I</v>
          </cell>
          <cell r="I639">
            <v>5000</v>
          </cell>
          <cell r="J639" t="str">
            <v>UN</v>
          </cell>
          <cell r="K639">
            <v>45603</v>
          </cell>
        </row>
        <row r="640">
          <cell r="A640" t="str">
            <v>50714266510</v>
          </cell>
          <cell r="B640" t="str">
            <v>ZMTD</v>
          </cell>
          <cell r="C640">
            <v>45525</v>
          </cell>
          <cell r="D640" t="str">
            <v>Not delivered</v>
          </cell>
          <cell r="E640">
            <v>507142665</v>
          </cell>
          <cell r="F640">
            <v>10</v>
          </cell>
          <cell r="G640">
            <v>1218707</v>
          </cell>
          <cell r="H640" t="str">
            <v>LS-086:BS L.BEIGE NODC N.CUP MAYB BULK</v>
          </cell>
          <cell r="I640">
            <v>30000</v>
          </cell>
          <cell r="J640" t="str">
            <v>UN</v>
          </cell>
          <cell r="K640">
            <v>45603</v>
          </cell>
        </row>
        <row r="641">
          <cell r="A641" t="str">
            <v>50714266610</v>
          </cell>
          <cell r="B641" t="str">
            <v>ZMTD</v>
          </cell>
          <cell r="C641">
            <v>45525</v>
          </cell>
          <cell r="D641" t="str">
            <v>Not delivered</v>
          </cell>
          <cell r="E641">
            <v>507142666</v>
          </cell>
          <cell r="F641">
            <v>10</v>
          </cell>
          <cell r="G641">
            <v>1218709</v>
          </cell>
          <cell r="H641" t="str">
            <v>LS-086:CVR CLR CVRSTICK DC4 N.MOLD MAYB</v>
          </cell>
          <cell r="I641">
            <v>69120</v>
          </cell>
          <cell r="J641" t="str">
            <v>UN</v>
          </cell>
          <cell r="K641">
            <v>45603</v>
          </cell>
        </row>
        <row r="642">
          <cell r="A642" t="str">
            <v>50714266810</v>
          </cell>
          <cell r="B642" t="str">
            <v>ZMTD</v>
          </cell>
          <cell r="C642">
            <v>45525</v>
          </cell>
          <cell r="D642" t="str">
            <v>Not delivered</v>
          </cell>
          <cell r="E642">
            <v>507142668</v>
          </cell>
          <cell r="F642">
            <v>10</v>
          </cell>
          <cell r="G642">
            <v>1256831</v>
          </cell>
          <cell r="H642" t="str">
            <v>LS-086:BS M.BEIGE NODC N.CUP MAYB BULK</v>
          </cell>
          <cell r="I642">
            <v>30000</v>
          </cell>
          <cell r="J642" t="str">
            <v>UN</v>
          </cell>
          <cell r="K642">
            <v>45603</v>
          </cell>
        </row>
        <row r="643">
          <cell r="A643" t="str">
            <v>50714254420</v>
          </cell>
          <cell r="B643" t="str">
            <v>ZMTD</v>
          </cell>
          <cell r="C643">
            <v>45491</v>
          </cell>
          <cell r="D643" t="str">
            <v>Not delivered</v>
          </cell>
          <cell r="E643">
            <v>507142544</v>
          </cell>
          <cell r="F643">
            <v>20</v>
          </cell>
          <cell r="G643">
            <v>1319857</v>
          </cell>
          <cell r="H643" t="str">
            <v>CM-296:WHT P/L.AGELES W/O HOLE COTY EPS</v>
          </cell>
          <cell r="I643">
            <v>72000</v>
          </cell>
          <cell r="J643" t="str">
            <v>UN</v>
          </cell>
          <cell r="K643">
            <v>45603</v>
          </cell>
        </row>
        <row r="644">
          <cell r="A644" t="str">
            <v>50800518120</v>
          </cell>
          <cell r="B644" t="str">
            <v>ZMFD</v>
          </cell>
          <cell r="C644">
            <v>45485</v>
          </cell>
          <cell r="D644" t="str">
            <v>Not delivered</v>
          </cell>
          <cell r="E644">
            <v>508005181</v>
          </cell>
          <cell r="F644">
            <v>20</v>
          </cell>
          <cell r="G644">
            <v>1413967</v>
          </cell>
          <cell r="H644" t="str">
            <v>CM-323:VM SILVER DIOR JUMBO M080</v>
          </cell>
          <cell r="I644">
            <v>18000</v>
          </cell>
          <cell r="J644" t="str">
            <v>UN</v>
          </cell>
          <cell r="K644">
            <v>45603</v>
          </cell>
        </row>
        <row r="645">
          <cell r="A645" t="str">
            <v>50800506730</v>
          </cell>
          <cell r="B645" t="str">
            <v>ZMFD</v>
          </cell>
          <cell r="C645">
            <v>45433</v>
          </cell>
          <cell r="D645" t="str">
            <v>Not delivered</v>
          </cell>
          <cell r="E645">
            <v>508005067</v>
          </cell>
          <cell r="F645">
            <v>30</v>
          </cell>
          <cell r="G645">
            <v>1255660</v>
          </cell>
          <cell r="H645" t="str">
            <v>LC-002:BTL MT VAR10 P/WRDH B.MARK PTI40H</v>
          </cell>
          <cell r="I645">
            <v>29000</v>
          </cell>
          <cell r="J645" t="str">
            <v>UN</v>
          </cell>
          <cell r="K645">
            <v>45603</v>
          </cell>
        </row>
        <row r="646">
          <cell r="A646" t="str">
            <v>50800506740</v>
          </cell>
          <cell r="B646" t="str">
            <v>ZMFD</v>
          </cell>
          <cell r="C646">
            <v>45433</v>
          </cell>
          <cell r="D646" t="str">
            <v>Not delivered</v>
          </cell>
          <cell r="E646">
            <v>508005067</v>
          </cell>
          <cell r="F646">
            <v>40</v>
          </cell>
          <cell r="G646">
            <v>1175939</v>
          </cell>
          <cell r="H646" t="str">
            <v>LC-002:CP S/MT VAR10 STM-WHT WNAT PTI40D</v>
          </cell>
          <cell r="I646">
            <v>29000</v>
          </cell>
          <cell r="J646" t="str">
            <v>UN</v>
          </cell>
          <cell r="K646">
            <v>45603</v>
          </cell>
        </row>
        <row r="647">
          <cell r="A647" t="str">
            <v>50714276580</v>
          </cell>
          <cell r="B647" t="str">
            <v>ZMTD</v>
          </cell>
          <cell r="C647">
            <v>45552</v>
          </cell>
          <cell r="D647" t="str">
            <v>Not delivered</v>
          </cell>
          <cell r="E647">
            <v>507142765</v>
          </cell>
          <cell r="F647">
            <v>80</v>
          </cell>
          <cell r="G647">
            <v>1398383</v>
          </cell>
          <cell r="H647" t="str">
            <v>CM-319:WHITE P/BLACK UV MATTE NARS</v>
          </cell>
          <cell r="I647">
            <v>40080</v>
          </cell>
          <cell r="J647" t="str">
            <v>UN</v>
          </cell>
          <cell r="K647">
            <v>45604</v>
          </cell>
        </row>
        <row r="648">
          <cell r="A648" t="str">
            <v>50714276640</v>
          </cell>
          <cell r="B648" t="str">
            <v>ZMTD</v>
          </cell>
          <cell r="C648">
            <v>45552</v>
          </cell>
          <cell r="D648" t="str">
            <v>Not delivered</v>
          </cell>
          <cell r="E648">
            <v>507142766</v>
          </cell>
          <cell r="F648">
            <v>40</v>
          </cell>
          <cell r="G648">
            <v>1398763</v>
          </cell>
          <cell r="H648" t="str">
            <v>CM-320:WHITE S/BLACK UV MATTE NARS</v>
          </cell>
          <cell r="I648">
            <v>40500</v>
          </cell>
          <cell r="J648" t="str">
            <v>UN</v>
          </cell>
          <cell r="K648">
            <v>45604</v>
          </cell>
        </row>
        <row r="649">
          <cell r="A649" t="str">
            <v>50800525710</v>
          </cell>
          <cell r="B649" t="str">
            <v>ZMFD</v>
          </cell>
          <cell r="C649">
            <v>45518</v>
          </cell>
          <cell r="D649" t="str">
            <v>Not delivered</v>
          </cell>
          <cell r="E649">
            <v>508005257</v>
          </cell>
          <cell r="F649">
            <v>10</v>
          </cell>
          <cell r="G649">
            <v>1409881</v>
          </cell>
          <cell r="H649" t="str">
            <v>CM-315:CVR/BS BLACK P/CVRLAST OMG RV160B</v>
          </cell>
          <cell r="I649">
            <v>100000</v>
          </cell>
          <cell r="J649" t="str">
            <v>UN</v>
          </cell>
          <cell r="K649">
            <v>45604</v>
          </cell>
        </row>
        <row r="650">
          <cell r="A650" t="str">
            <v>50800522610</v>
          </cell>
          <cell r="B650" t="str">
            <v>ZMFD</v>
          </cell>
          <cell r="C650">
            <v>45499</v>
          </cell>
          <cell r="D650" t="str">
            <v>Not delivered</v>
          </cell>
          <cell r="E650">
            <v>508005226</v>
          </cell>
          <cell r="F650">
            <v>10</v>
          </cell>
          <cell r="G650">
            <v>1291869</v>
          </cell>
          <cell r="H650" t="str">
            <v>LC-004:BTL COL GRAD P/MOUSSE NEW MLA40H</v>
          </cell>
          <cell r="I650">
            <v>25000</v>
          </cell>
          <cell r="J650" t="str">
            <v>UN</v>
          </cell>
          <cell r="K650">
            <v>45604</v>
          </cell>
        </row>
        <row r="651">
          <cell r="A651" t="str">
            <v>50800522620</v>
          </cell>
          <cell r="B651" t="str">
            <v>ZMFD</v>
          </cell>
          <cell r="C651">
            <v>45499</v>
          </cell>
          <cell r="D651" t="str">
            <v>Not delivered</v>
          </cell>
          <cell r="E651">
            <v>508005226</v>
          </cell>
          <cell r="F651">
            <v>20</v>
          </cell>
          <cell r="G651">
            <v>1291930</v>
          </cell>
          <cell r="H651" t="str">
            <v>LC-004:CAP MTPINK WIPNAT MOUS NEW MLA40D</v>
          </cell>
          <cell r="I651">
            <v>25000</v>
          </cell>
          <cell r="J651" t="str">
            <v>UN</v>
          </cell>
          <cell r="K651">
            <v>45604</v>
          </cell>
        </row>
        <row r="652">
          <cell r="A652" t="str">
            <v>50800517510</v>
          </cell>
          <cell r="B652" t="str">
            <v>ZMFD</v>
          </cell>
          <cell r="C652">
            <v>45481</v>
          </cell>
          <cell r="D652" t="str">
            <v>Not delivered</v>
          </cell>
          <cell r="E652">
            <v>508005175</v>
          </cell>
          <cell r="F652">
            <v>10</v>
          </cell>
          <cell r="G652">
            <v>1255657</v>
          </cell>
          <cell r="H652" t="str">
            <v>LC-002:BTL MT VAR7 P/WRDH B.MARK PTI40H</v>
          </cell>
          <cell r="I652">
            <v>17000</v>
          </cell>
          <cell r="J652" t="str">
            <v>UN</v>
          </cell>
          <cell r="K652">
            <v>45604</v>
          </cell>
        </row>
        <row r="653">
          <cell r="A653" t="str">
            <v>50800517520</v>
          </cell>
          <cell r="B653" t="str">
            <v>ZMFD</v>
          </cell>
          <cell r="C653">
            <v>45481</v>
          </cell>
          <cell r="D653" t="str">
            <v>Not delivered</v>
          </cell>
          <cell r="E653">
            <v>508005175</v>
          </cell>
          <cell r="F653">
            <v>20</v>
          </cell>
          <cell r="G653">
            <v>1264019</v>
          </cell>
          <cell r="H653" t="str">
            <v>LC-002:CAP S/MTVAR7 STM-WHT WPNAT PTI40D</v>
          </cell>
          <cell r="I653">
            <v>17000</v>
          </cell>
          <cell r="J653" t="str">
            <v>UN</v>
          </cell>
          <cell r="K653">
            <v>45604</v>
          </cell>
        </row>
        <row r="654">
          <cell r="A654" t="str">
            <v>50800517570</v>
          </cell>
          <cell r="B654" t="str">
            <v>ZMFD</v>
          </cell>
          <cell r="C654">
            <v>45481</v>
          </cell>
          <cell r="D654" t="str">
            <v>Not delivered</v>
          </cell>
          <cell r="E654">
            <v>508005175</v>
          </cell>
          <cell r="F654">
            <v>70</v>
          </cell>
          <cell r="G654">
            <v>1255657</v>
          </cell>
          <cell r="H654" t="str">
            <v>LC-002:BTL MT VAR7 P/WRDH B.MARK PTI40H</v>
          </cell>
          <cell r="I654">
            <v>8000</v>
          </cell>
          <cell r="J654" t="str">
            <v>UN</v>
          </cell>
          <cell r="K654">
            <v>45604</v>
          </cell>
        </row>
        <row r="655">
          <cell r="A655" t="str">
            <v>50800517580</v>
          </cell>
          <cell r="B655" t="str">
            <v>ZMFD</v>
          </cell>
          <cell r="C655">
            <v>45481</v>
          </cell>
          <cell r="D655" t="str">
            <v>Not delivered</v>
          </cell>
          <cell r="E655">
            <v>508005175</v>
          </cell>
          <cell r="F655">
            <v>80</v>
          </cell>
          <cell r="G655">
            <v>1264019</v>
          </cell>
          <cell r="H655" t="str">
            <v>LC-002:CAP S/MTVAR7 STM-WHT WPNAT PTI40D</v>
          </cell>
          <cell r="I655">
            <v>8000</v>
          </cell>
          <cell r="J655" t="str">
            <v>UN</v>
          </cell>
          <cell r="K655">
            <v>45604</v>
          </cell>
        </row>
        <row r="656">
          <cell r="A656" t="str">
            <v>50800515580</v>
          </cell>
          <cell r="B656" t="str">
            <v>ZMFD</v>
          </cell>
          <cell r="C656">
            <v>45470</v>
          </cell>
          <cell r="D656" t="str">
            <v>Not delivered</v>
          </cell>
          <cell r="E656">
            <v>508005155</v>
          </cell>
          <cell r="F656">
            <v>80</v>
          </cell>
          <cell r="G656">
            <v>1420925</v>
          </cell>
          <cell r="H656" t="str">
            <v>CM-253:CV BS MT ROSE 04 P/C.BLSH PTI40H</v>
          </cell>
          <cell r="I656">
            <v>15000</v>
          </cell>
          <cell r="J656" t="str">
            <v>UN</v>
          </cell>
          <cell r="K656">
            <v>45604</v>
          </cell>
        </row>
        <row r="657">
          <cell r="A657" t="str">
            <v>50800507370</v>
          </cell>
          <cell r="B657" t="str">
            <v>ZMFD</v>
          </cell>
          <cell r="C657">
            <v>45433</v>
          </cell>
          <cell r="D657" t="str">
            <v>Not delivered</v>
          </cell>
          <cell r="E657">
            <v>508005073</v>
          </cell>
          <cell r="F657">
            <v>70</v>
          </cell>
          <cell r="G657">
            <v>1169047</v>
          </cell>
          <cell r="H657" t="str">
            <v>LS-285:B V/SL P/1PS SLEV H/SL BLM PTI20R</v>
          </cell>
          <cell r="I657">
            <v>25536</v>
          </cell>
          <cell r="J657" t="str">
            <v>UN</v>
          </cell>
          <cell r="K657">
            <v>45604</v>
          </cell>
        </row>
        <row r="658">
          <cell r="A658" t="str">
            <v>50800507380</v>
          </cell>
          <cell r="B658" t="str">
            <v>ZMFD</v>
          </cell>
          <cell r="C658">
            <v>45433</v>
          </cell>
          <cell r="D658" t="str">
            <v>Not delivered</v>
          </cell>
          <cell r="E658">
            <v>508005073</v>
          </cell>
          <cell r="F658">
            <v>80</v>
          </cell>
          <cell r="G658">
            <v>1171160</v>
          </cell>
          <cell r="H658" t="str">
            <v>LS-285:CV TRANS LONG 9 P/1PS VAR7 PTI40H</v>
          </cell>
          <cell r="I658">
            <v>25536</v>
          </cell>
          <cell r="J658" t="str">
            <v>UN</v>
          </cell>
          <cell r="K658">
            <v>45604</v>
          </cell>
        </row>
        <row r="659">
          <cell r="A659" t="str">
            <v>50800507710</v>
          </cell>
          <cell r="B659" t="str">
            <v>ZMFD</v>
          </cell>
          <cell r="C659">
            <v>45433</v>
          </cell>
          <cell r="D659" t="str">
            <v>Not delivered</v>
          </cell>
          <cell r="E659">
            <v>508005077</v>
          </cell>
          <cell r="F659">
            <v>10</v>
          </cell>
          <cell r="G659">
            <v>1153319</v>
          </cell>
          <cell r="H659" t="str">
            <v>LS-285:BS/SPRL BEIGE P/WRDH PTI 40H</v>
          </cell>
          <cell r="I659">
            <v>25536</v>
          </cell>
          <cell r="J659" t="str">
            <v>UN</v>
          </cell>
          <cell r="K659">
            <v>45604</v>
          </cell>
        </row>
        <row r="660">
          <cell r="A660" t="str">
            <v>50800507720</v>
          </cell>
          <cell r="B660" t="str">
            <v>ZMFD</v>
          </cell>
          <cell r="C660">
            <v>45433</v>
          </cell>
          <cell r="D660" t="str">
            <v>Not delivered</v>
          </cell>
          <cell r="E660">
            <v>508005077</v>
          </cell>
          <cell r="F660">
            <v>20</v>
          </cell>
          <cell r="G660">
            <v>1153467</v>
          </cell>
          <cell r="H660" t="str">
            <v>LS-285:CVR MT BEIGE P/S.SEOUL PTI40H</v>
          </cell>
          <cell r="I660">
            <v>25536</v>
          </cell>
          <cell r="J660" t="str">
            <v>UN</v>
          </cell>
          <cell r="K660">
            <v>45604</v>
          </cell>
        </row>
        <row r="661">
          <cell r="A661" t="str">
            <v>50800502010</v>
          </cell>
          <cell r="B661" t="str">
            <v>ZMFD</v>
          </cell>
          <cell r="C661">
            <v>45422</v>
          </cell>
          <cell r="D661" t="str">
            <v>Not delivered</v>
          </cell>
          <cell r="E661">
            <v>508005020</v>
          </cell>
          <cell r="F661">
            <v>10</v>
          </cell>
          <cell r="G661">
            <v>1153319</v>
          </cell>
          <cell r="H661" t="str">
            <v>LS-285:BS/SPRL BEIGE P/WRDH PTI 40H</v>
          </cell>
          <cell r="I661">
            <v>25536</v>
          </cell>
          <cell r="J661" t="str">
            <v>UN</v>
          </cell>
          <cell r="K661">
            <v>45604</v>
          </cell>
        </row>
        <row r="662">
          <cell r="A662" t="str">
            <v>50800502020</v>
          </cell>
          <cell r="B662" t="str">
            <v>ZMFD</v>
          </cell>
          <cell r="C662">
            <v>45422</v>
          </cell>
          <cell r="D662" t="str">
            <v>Not delivered</v>
          </cell>
          <cell r="E662">
            <v>508005020</v>
          </cell>
          <cell r="F662">
            <v>20</v>
          </cell>
          <cell r="G662">
            <v>1153467</v>
          </cell>
          <cell r="H662" t="str">
            <v>LS-285:CVR MT BEIGE P/S.SEOUL PTI40H</v>
          </cell>
          <cell r="I662">
            <v>25536</v>
          </cell>
          <cell r="J662" t="str">
            <v>UN</v>
          </cell>
          <cell r="K662">
            <v>45604</v>
          </cell>
        </row>
        <row r="663">
          <cell r="A663" t="str">
            <v>50714277730</v>
          </cell>
          <cell r="B663" t="str">
            <v>ZMTD</v>
          </cell>
          <cell r="C663">
            <v>45554</v>
          </cell>
          <cell r="D663" t="str">
            <v>Not delivered</v>
          </cell>
          <cell r="E663">
            <v>507142777</v>
          </cell>
          <cell r="F663">
            <v>30</v>
          </cell>
          <cell r="G663">
            <v>1435311</v>
          </cell>
          <cell r="H663" t="str">
            <v>LC-002:BTL/COL MTGRAD SLV AZURA LION 40D</v>
          </cell>
          <cell r="I663">
            <v>50589</v>
          </cell>
          <cell r="J663" t="str">
            <v>UN</v>
          </cell>
          <cell r="K663">
            <v>45605</v>
          </cell>
        </row>
        <row r="664">
          <cell r="A664" t="str">
            <v>50714277740</v>
          </cell>
          <cell r="B664" t="str">
            <v>ZMTD</v>
          </cell>
          <cell r="C664">
            <v>45554</v>
          </cell>
          <cell r="D664" t="str">
            <v>Not delivered</v>
          </cell>
          <cell r="E664">
            <v>507142777</v>
          </cell>
          <cell r="F664">
            <v>40</v>
          </cell>
          <cell r="G664">
            <v>1435313</v>
          </cell>
          <cell r="H664" t="str">
            <v>LC-002:CAP MTSLV WIPNAT S/AZURA LION 40C</v>
          </cell>
          <cell r="I664">
            <v>50589</v>
          </cell>
          <cell r="J664" t="str">
            <v>UN</v>
          </cell>
          <cell r="K664">
            <v>45605</v>
          </cell>
        </row>
        <row r="665">
          <cell r="A665" t="str">
            <v>50714284410</v>
          </cell>
          <cell r="B665" t="str">
            <v>ZMTD</v>
          </cell>
          <cell r="C665">
            <v>45566</v>
          </cell>
          <cell r="D665" t="str">
            <v>Not delivered</v>
          </cell>
          <cell r="E665">
            <v>507142844</v>
          </cell>
          <cell r="F665">
            <v>10</v>
          </cell>
          <cell r="G665">
            <v>1404888</v>
          </cell>
          <cell r="H665" t="str">
            <v>LS-091:BS MGNTA P/SHEER COLOR ROHTO 60B</v>
          </cell>
          <cell r="I665">
            <v>29640</v>
          </cell>
          <cell r="J665" t="str">
            <v>UN</v>
          </cell>
          <cell r="K665">
            <v>45607</v>
          </cell>
        </row>
        <row r="666">
          <cell r="A666" t="str">
            <v>50714284420</v>
          </cell>
          <cell r="B666" t="str">
            <v>ZMTD</v>
          </cell>
          <cell r="C666">
            <v>45566</v>
          </cell>
          <cell r="D666" t="str">
            <v>Not delivered</v>
          </cell>
          <cell r="E666">
            <v>507142844</v>
          </cell>
          <cell r="F666">
            <v>20</v>
          </cell>
          <cell r="G666">
            <v>1404885</v>
          </cell>
          <cell r="H666" t="str">
            <v>LS-091:CVR MGNTA GRAD UV P/NATURAL ROHTO</v>
          </cell>
          <cell r="I666">
            <v>29640</v>
          </cell>
          <cell r="J666" t="str">
            <v>UN</v>
          </cell>
          <cell r="K666">
            <v>45607</v>
          </cell>
        </row>
        <row r="667">
          <cell r="A667" t="str">
            <v>50714277420</v>
          </cell>
          <cell r="B667" t="str">
            <v>ZMTD</v>
          </cell>
          <cell r="C667">
            <v>45554</v>
          </cell>
          <cell r="D667" t="str">
            <v>Not delivered</v>
          </cell>
          <cell r="E667">
            <v>507142774</v>
          </cell>
          <cell r="F667">
            <v>20</v>
          </cell>
          <cell r="G667">
            <v>1378563</v>
          </cell>
          <cell r="H667" t="str">
            <v>CP-093:CAP D50 MT BLACK Ø.5 YASULOR 12A</v>
          </cell>
          <cell r="I667">
            <v>800000</v>
          </cell>
          <cell r="J667" t="str">
            <v>UN</v>
          </cell>
          <cell r="K667">
            <v>45607</v>
          </cell>
        </row>
        <row r="668">
          <cell r="A668" t="str">
            <v>50714243330</v>
          </cell>
          <cell r="B668" t="str">
            <v>ZMTD</v>
          </cell>
          <cell r="C668">
            <v>45475</v>
          </cell>
          <cell r="D668" t="str">
            <v>Not delivered</v>
          </cell>
          <cell r="E668">
            <v>507142433</v>
          </cell>
          <cell r="F668">
            <v>30</v>
          </cell>
          <cell r="G668">
            <v>1406600</v>
          </cell>
          <cell r="H668" t="str">
            <v>CM-310:BLACK M086 CANNAGE S/SLV UV MT</v>
          </cell>
          <cell r="I668">
            <v>39000</v>
          </cell>
          <cell r="J668" t="str">
            <v>UN</v>
          </cell>
          <cell r="K668">
            <v>45607</v>
          </cell>
        </row>
        <row r="669">
          <cell r="A669" t="str">
            <v>50800525250</v>
          </cell>
          <cell r="B669" t="str">
            <v>ZMFD</v>
          </cell>
          <cell r="C669">
            <v>45512</v>
          </cell>
          <cell r="D669" t="str">
            <v>Not delivered</v>
          </cell>
          <cell r="E669">
            <v>508005252</v>
          </cell>
          <cell r="F669">
            <v>50</v>
          </cell>
          <cell r="G669">
            <v>1382368</v>
          </cell>
          <cell r="H669" t="str">
            <v>CP-067R:FT CAP35 SNAP BLK MATTE  Ø5 LRL</v>
          </cell>
          <cell r="I669">
            <v>461000</v>
          </cell>
          <cell r="J669" t="str">
            <v>UN</v>
          </cell>
          <cell r="K669">
            <v>45608</v>
          </cell>
        </row>
        <row r="670">
          <cell r="A670" t="str">
            <v>50800524510</v>
          </cell>
          <cell r="B670" t="str">
            <v>ZMFD</v>
          </cell>
          <cell r="C670">
            <v>45510</v>
          </cell>
          <cell r="D670" t="str">
            <v>Not delivered</v>
          </cell>
          <cell r="E670">
            <v>508005245</v>
          </cell>
          <cell r="F670">
            <v>10</v>
          </cell>
          <cell r="G670">
            <v>1340516</v>
          </cell>
          <cell r="H670" t="str">
            <v>CM-133:CVR BS MTLC GRN UV DP S/WARDH 30T</v>
          </cell>
          <cell r="I670">
            <v>10080</v>
          </cell>
          <cell r="J670" t="str">
            <v>UN</v>
          </cell>
          <cell r="K670">
            <v>45608</v>
          </cell>
        </row>
        <row r="671">
          <cell r="A671" t="str">
            <v>50800520230</v>
          </cell>
          <cell r="B671" t="str">
            <v>ZMFD</v>
          </cell>
          <cell r="C671">
            <v>45497</v>
          </cell>
          <cell r="D671" t="str">
            <v>Not delivered</v>
          </cell>
          <cell r="E671">
            <v>508005202</v>
          </cell>
          <cell r="F671">
            <v>30</v>
          </cell>
          <cell r="G671">
            <v>1405884</v>
          </cell>
          <cell r="H671" t="str">
            <v>LC-012:BTL VR10 P/GLASTNG PTI60B</v>
          </cell>
          <cell r="I671">
            <v>25000</v>
          </cell>
          <cell r="J671" t="str">
            <v>UN</v>
          </cell>
          <cell r="K671">
            <v>45608</v>
          </cell>
        </row>
        <row r="672">
          <cell r="A672" t="str">
            <v>50800520240</v>
          </cell>
          <cell r="B672" t="str">
            <v>ZMFD</v>
          </cell>
          <cell r="C672">
            <v>45497</v>
          </cell>
          <cell r="D672" t="str">
            <v>Not delivered</v>
          </cell>
          <cell r="E672">
            <v>508005202</v>
          </cell>
          <cell r="F672">
            <v>40</v>
          </cell>
          <cell r="G672">
            <v>1385814</v>
          </cell>
          <cell r="H672" t="str">
            <v>LC-012:CAP VM BRWN WIP GLASTING PTI 20F</v>
          </cell>
          <cell r="I672">
            <v>25000</v>
          </cell>
          <cell r="J672" t="str">
            <v>UN</v>
          </cell>
          <cell r="K672">
            <v>45608</v>
          </cell>
        </row>
        <row r="673">
          <cell r="A673" t="str">
            <v>50714220110</v>
          </cell>
          <cell r="B673" t="str">
            <v>ZMTD</v>
          </cell>
          <cell r="C673">
            <v>45432</v>
          </cell>
          <cell r="D673" t="str">
            <v>Partially delivered</v>
          </cell>
          <cell r="E673">
            <v>507142201</v>
          </cell>
          <cell r="F673">
            <v>10</v>
          </cell>
          <cell r="G673">
            <v>1160334</v>
          </cell>
          <cell r="H673" t="str">
            <v>CP-071:CP8364 RL RED 200ML MASS TINT 407</v>
          </cell>
          <cell r="I673">
            <v>43500</v>
          </cell>
          <cell r="J673" t="str">
            <v>UN</v>
          </cell>
          <cell r="K673">
            <v>45608</v>
          </cell>
        </row>
        <row r="674">
          <cell r="A674" t="str">
            <v>50714220210</v>
          </cell>
          <cell r="B674" t="str">
            <v>ZMTD</v>
          </cell>
          <cell r="C674">
            <v>45432</v>
          </cell>
          <cell r="D674" t="str">
            <v>Not delivered</v>
          </cell>
          <cell r="E674">
            <v>507142202</v>
          </cell>
          <cell r="F674">
            <v>10</v>
          </cell>
          <cell r="G674">
            <v>1160334</v>
          </cell>
          <cell r="H674" t="str">
            <v>CP-071:CP8364 RL RED 200ML MASS TINT 407</v>
          </cell>
          <cell r="I674">
            <v>43500</v>
          </cell>
          <cell r="J674" t="str">
            <v>UN</v>
          </cell>
          <cell r="K674">
            <v>45608</v>
          </cell>
        </row>
        <row r="675">
          <cell r="A675" t="str">
            <v>50800478130</v>
          </cell>
          <cell r="B675" t="str">
            <v>ZMFD</v>
          </cell>
          <cell r="C675">
            <v>45307</v>
          </cell>
          <cell r="D675" t="str">
            <v>Not delivered</v>
          </cell>
          <cell r="E675">
            <v>508004781</v>
          </cell>
          <cell r="F675">
            <v>30</v>
          </cell>
          <cell r="G675">
            <v>1169152</v>
          </cell>
          <cell r="H675" t="str">
            <v>CM-295:SQUARE COMPACT&amp;GODET PHHT010032</v>
          </cell>
          <cell r="I675">
            <v>20040</v>
          </cell>
          <cell r="J675" t="str">
            <v>UN</v>
          </cell>
          <cell r="K675">
            <v>45608</v>
          </cell>
        </row>
        <row r="676">
          <cell r="A676" t="str">
            <v>50714284110</v>
          </cell>
          <cell r="B676" t="str">
            <v>ZMTD</v>
          </cell>
          <cell r="C676">
            <v>45566</v>
          </cell>
          <cell r="D676" t="str">
            <v>Not delivered</v>
          </cell>
          <cell r="E676">
            <v>507142841</v>
          </cell>
          <cell r="F676">
            <v>10</v>
          </cell>
          <cell r="G676">
            <v>1163327</v>
          </cell>
          <cell r="H676" t="str">
            <v>CM-246:CVR S.SLV PAN WHITE 6MPY 01 0034</v>
          </cell>
          <cell r="I676">
            <v>41040</v>
          </cell>
          <cell r="J676" t="str">
            <v>UN</v>
          </cell>
          <cell r="K676">
            <v>45609</v>
          </cell>
        </row>
        <row r="677">
          <cell r="A677" t="str">
            <v>50800525930</v>
          </cell>
          <cell r="B677" t="str">
            <v>ZMFD</v>
          </cell>
          <cell r="C677">
            <v>45523</v>
          </cell>
          <cell r="D677" t="str">
            <v>Not delivered</v>
          </cell>
          <cell r="E677">
            <v>508005259</v>
          </cell>
          <cell r="F677">
            <v>30</v>
          </cell>
          <cell r="G677">
            <v>1168132</v>
          </cell>
          <cell r="H677" t="str">
            <v>LS-285:BS WHT NO DC WARDAH</v>
          </cell>
          <cell r="I677">
            <v>50000</v>
          </cell>
          <cell r="J677" t="str">
            <v>UN</v>
          </cell>
          <cell r="K677">
            <v>45609</v>
          </cell>
        </row>
        <row r="678">
          <cell r="A678" t="str">
            <v>50800525940</v>
          </cell>
          <cell r="B678" t="str">
            <v>ZMFD</v>
          </cell>
          <cell r="C678">
            <v>45523</v>
          </cell>
          <cell r="D678" t="str">
            <v>Not delivered</v>
          </cell>
          <cell r="E678">
            <v>508005259</v>
          </cell>
          <cell r="F678">
            <v>40</v>
          </cell>
          <cell r="G678">
            <v>1421509</v>
          </cell>
          <cell r="H678" t="str">
            <v>LS-285:CV ORNG P/WHT UV ORGSQUEZE PTI30O</v>
          </cell>
          <cell r="I678">
            <v>50000</v>
          </cell>
          <cell r="J678" t="str">
            <v>UN</v>
          </cell>
          <cell r="K678">
            <v>45609</v>
          </cell>
        </row>
        <row r="679">
          <cell r="A679" t="str">
            <v>50714264110</v>
          </cell>
          <cell r="B679" t="str">
            <v>ZMTD</v>
          </cell>
          <cell r="C679">
            <v>45520</v>
          </cell>
          <cell r="D679" t="str">
            <v>Not delivered</v>
          </cell>
          <cell r="E679">
            <v>507142641</v>
          </cell>
          <cell r="F679">
            <v>10</v>
          </cell>
          <cell r="G679">
            <v>1419206</v>
          </cell>
          <cell r="H679" t="str">
            <v>PT-055:BODY BLUE CITRUS HERBAL FAREVA</v>
          </cell>
          <cell r="I679">
            <v>24030</v>
          </cell>
          <cell r="J679" t="str">
            <v>UN</v>
          </cell>
          <cell r="K679">
            <v>45609</v>
          </cell>
        </row>
        <row r="680">
          <cell r="A680" t="str">
            <v>50714264120</v>
          </cell>
          <cell r="B680" t="str">
            <v>ZMTD</v>
          </cell>
          <cell r="C680">
            <v>45520</v>
          </cell>
          <cell r="D680" t="str">
            <v>Not delivered</v>
          </cell>
          <cell r="E680">
            <v>507142641</v>
          </cell>
          <cell r="F680">
            <v>20</v>
          </cell>
          <cell r="G680">
            <v>1194606</v>
          </cell>
          <cell r="H680" t="str">
            <v>PT-055:PLUG BLUE BAXTER FAREVA</v>
          </cell>
          <cell r="I680">
            <v>25110</v>
          </cell>
          <cell r="J680" t="str">
            <v>UN</v>
          </cell>
          <cell r="K680">
            <v>45609</v>
          </cell>
        </row>
        <row r="681">
          <cell r="A681" t="str">
            <v>50714261310</v>
          </cell>
          <cell r="B681" t="str">
            <v>ZMTD</v>
          </cell>
          <cell r="C681">
            <v>45510</v>
          </cell>
          <cell r="D681" t="str">
            <v>Not delivered</v>
          </cell>
          <cell r="E681">
            <v>507142613</v>
          </cell>
          <cell r="F681">
            <v>10</v>
          </cell>
          <cell r="G681">
            <v>1436641</v>
          </cell>
          <cell r="H681" t="str">
            <v>CM-310:BLUE UV S/SILVER DIOR PEPSPE+IXPE</v>
          </cell>
          <cell r="I681">
            <v>64800</v>
          </cell>
          <cell r="J681" t="str">
            <v>UN</v>
          </cell>
          <cell r="K681">
            <v>45609</v>
          </cell>
        </row>
        <row r="682">
          <cell r="A682" t="str">
            <v>50800523550</v>
          </cell>
          <cell r="B682" t="str">
            <v>ZMFD</v>
          </cell>
          <cell r="C682">
            <v>45505</v>
          </cell>
          <cell r="D682" t="str">
            <v>Not delivered</v>
          </cell>
          <cell r="E682">
            <v>508005235</v>
          </cell>
          <cell r="F682">
            <v>50</v>
          </cell>
          <cell r="G682">
            <v>1332995</v>
          </cell>
          <cell r="H682" t="str">
            <v>LC-008:CAP VM SLV WIP NAT EMLC PTI 20F</v>
          </cell>
          <cell r="I682">
            <v>100000</v>
          </cell>
          <cell r="J682" t="str">
            <v>UN</v>
          </cell>
          <cell r="K682">
            <v>45609</v>
          </cell>
        </row>
        <row r="683">
          <cell r="A683" t="str">
            <v>50800523560</v>
          </cell>
          <cell r="B683" t="str">
            <v>ZMFD</v>
          </cell>
          <cell r="C683">
            <v>45505</v>
          </cell>
          <cell r="D683" t="str">
            <v>Not delivered</v>
          </cell>
          <cell r="E683">
            <v>508005235</v>
          </cell>
          <cell r="F683">
            <v>60</v>
          </cell>
          <cell r="G683">
            <v>1434959</v>
          </cell>
          <cell r="H683" t="str">
            <v>LC-008:BTL CLR (PCTG) P/WHT EMLC PTI 60B</v>
          </cell>
          <cell r="I683">
            <v>100000</v>
          </cell>
          <cell r="J683" t="str">
            <v>UN</v>
          </cell>
          <cell r="K683">
            <v>45609</v>
          </cell>
        </row>
        <row r="684">
          <cell r="A684" t="str">
            <v>50800519230</v>
          </cell>
          <cell r="B684" t="str">
            <v>ZMFD</v>
          </cell>
          <cell r="C684">
            <v>45492</v>
          </cell>
          <cell r="D684" t="str">
            <v>Not delivered</v>
          </cell>
          <cell r="E684">
            <v>508005192</v>
          </cell>
          <cell r="F684">
            <v>30</v>
          </cell>
          <cell r="G684">
            <v>1430093</v>
          </cell>
          <cell r="H684" t="str">
            <v>LS-285:CV MT.TR BLUE P/SHERCLEAR PTI 40H</v>
          </cell>
          <cell r="I684">
            <v>25000</v>
          </cell>
          <cell r="J684" t="str">
            <v>UN</v>
          </cell>
          <cell r="K684">
            <v>45609</v>
          </cell>
        </row>
        <row r="685">
          <cell r="A685" t="str">
            <v>50800519240</v>
          </cell>
          <cell r="B685" t="str">
            <v>ZMFD</v>
          </cell>
          <cell r="C685">
            <v>45492</v>
          </cell>
          <cell r="D685" t="str">
            <v>Not delivered</v>
          </cell>
          <cell r="E685">
            <v>508005192</v>
          </cell>
          <cell r="F685">
            <v>40</v>
          </cell>
          <cell r="G685">
            <v>1430094</v>
          </cell>
          <cell r="H685" t="str">
            <v>LS-285:BS BLUE NO DC WARDAH PTI 12A</v>
          </cell>
          <cell r="I685">
            <v>25000</v>
          </cell>
          <cell r="J685" t="str">
            <v>UN</v>
          </cell>
          <cell r="K685">
            <v>45609</v>
          </cell>
        </row>
        <row r="686">
          <cell r="A686" t="str">
            <v>50800517130</v>
          </cell>
          <cell r="B686" t="str">
            <v>ZMFD</v>
          </cell>
          <cell r="C686">
            <v>45481</v>
          </cell>
          <cell r="D686" t="str">
            <v>Not delivered</v>
          </cell>
          <cell r="E686">
            <v>508005171</v>
          </cell>
          <cell r="F686">
            <v>30</v>
          </cell>
          <cell r="G686">
            <v>1375595</v>
          </cell>
          <cell r="H686" t="str">
            <v>LC-009:BTL/INNER CLEAR P/OMG PTIPT 60B</v>
          </cell>
          <cell r="I686">
            <v>648000</v>
          </cell>
          <cell r="J686" t="str">
            <v>UN</v>
          </cell>
          <cell r="K686">
            <v>45609</v>
          </cell>
        </row>
        <row r="687">
          <cell r="A687" t="str">
            <v>50800517140</v>
          </cell>
          <cell r="B687" t="str">
            <v>ZMFD</v>
          </cell>
          <cell r="C687">
            <v>45481</v>
          </cell>
          <cell r="D687" t="str">
            <v>Not delivered</v>
          </cell>
          <cell r="E687">
            <v>508005171</v>
          </cell>
          <cell r="F687">
            <v>40</v>
          </cell>
          <cell r="G687">
            <v>1375593</v>
          </cell>
          <cell r="H687" t="str">
            <v>LC-009:CAP REDTRANS WIP S/OMG PTIPT 60B</v>
          </cell>
          <cell r="I687">
            <v>648000</v>
          </cell>
          <cell r="J687" t="str">
            <v>UN</v>
          </cell>
          <cell r="K687">
            <v>45609</v>
          </cell>
        </row>
        <row r="688">
          <cell r="A688" t="str">
            <v>50800517230</v>
          </cell>
          <cell r="B688" t="str">
            <v>ZMFD</v>
          </cell>
          <cell r="C688">
            <v>45481</v>
          </cell>
          <cell r="D688" t="str">
            <v>Not delivered</v>
          </cell>
          <cell r="E688">
            <v>508005172</v>
          </cell>
          <cell r="F688">
            <v>30</v>
          </cell>
          <cell r="G688">
            <v>1417990</v>
          </cell>
          <cell r="H688" t="str">
            <v>LC-009:BTL #2#3 INNER CLR P/OMG PTIPT60B</v>
          </cell>
          <cell r="I688">
            <v>1600000</v>
          </cell>
          <cell r="J688" t="str">
            <v>UN</v>
          </cell>
          <cell r="K688">
            <v>45609</v>
          </cell>
        </row>
        <row r="689">
          <cell r="A689" t="str">
            <v>50800517240</v>
          </cell>
          <cell r="B689" t="str">
            <v>ZMFD</v>
          </cell>
          <cell r="C689">
            <v>45481</v>
          </cell>
          <cell r="D689" t="str">
            <v>Not delivered</v>
          </cell>
          <cell r="E689">
            <v>508005172</v>
          </cell>
          <cell r="F689">
            <v>40</v>
          </cell>
          <cell r="G689">
            <v>1417978</v>
          </cell>
          <cell r="H689" t="str">
            <v>LC-009:CAP #2#3 REDTR WIP S/OMG PTIPT60B</v>
          </cell>
          <cell r="I689">
            <v>1600000</v>
          </cell>
          <cell r="J689" t="str">
            <v>UN</v>
          </cell>
          <cell r="K689">
            <v>45609</v>
          </cell>
        </row>
        <row r="690">
          <cell r="A690" t="str">
            <v>50800514030</v>
          </cell>
          <cell r="B690" t="str">
            <v>ZMFD</v>
          </cell>
          <cell r="C690">
            <v>45463</v>
          </cell>
          <cell r="D690" t="str">
            <v>Not delivered</v>
          </cell>
          <cell r="E690">
            <v>508005140</v>
          </cell>
          <cell r="F690">
            <v>30</v>
          </cell>
          <cell r="G690">
            <v>1174001</v>
          </cell>
          <cell r="H690" t="str">
            <v>CM-133:CVR/BS MTLC GREN UV S/SLV WRDH30C</v>
          </cell>
          <cell r="I690">
            <v>20160</v>
          </cell>
          <cell r="J690" t="str">
            <v>UN</v>
          </cell>
          <cell r="K690">
            <v>45609</v>
          </cell>
        </row>
        <row r="691">
          <cell r="A691" t="str">
            <v>50714279810</v>
          </cell>
          <cell r="B691" t="str">
            <v>ZMTD</v>
          </cell>
          <cell r="C691">
            <v>45558</v>
          </cell>
          <cell r="D691" t="str">
            <v>Not delivered</v>
          </cell>
          <cell r="E691">
            <v>507142798</v>
          </cell>
          <cell r="F691">
            <v>10</v>
          </cell>
          <cell r="G691">
            <v>1305089</v>
          </cell>
          <cell r="H691" t="str">
            <v>CM-207:VM SHY SLV P/MATTE ZGH6010038 EL</v>
          </cell>
          <cell r="I691">
            <v>25920</v>
          </cell>
          <cell r="J691" t="str">
            <v>UN</v>
          </cell>
          <cell r="K691">
            <v>45610</v>
          </cell>
        </row>
        <row r="692">
          <cell r="A692" t="str">
            <v>50714277310</v>
          </cell>
          <cell r="B692" t="str">
            <v>ZMTD</v>
          </cell>
          <cell r="C692">
            <v>45554</v>
          </cell>
          <cell r="D692" t="str">
            <v>Not delivered</v>
          </cell>
          <cell r="E692">
            <v>507142773</v>
          </cell>
          <cell r="F692">
            <v>10</v>
          </cell>
          <cell r="G692">
            <v>1218709</v>
          </cell>
          <cell r="H692" t="str">
            <v>LS-086:CVR CLR CVRSTICK DC4 N.MOLD MAYB</v>
          </cell>
          <cell r="I692">
            <v>50400</v>
          </cell>
          <cell r="J692" t="str">
            <v>UN</v>
          </cell>
          <cell r="K692">
            <v>45610</v>
          </cell>
        </row>
        <row r="693">
          <cell r="A693" t="str">
            <v>50714277510</v>
          </cell>
          <cell r="B693" t="str">
            <v>ZMTD</v>
          </cell>
          <cell r="C693">
            <v>45554</v>
          </cell>
          <cell r="D693" t="str">
            <v>Not delivered</v>
          </cell>
          <cell r="E693">
            <v>507142775</v>
          </cell>
          <cell r="F693">
            <v>10</v>
          </cell>
          <cell r="G693">
            <v>1256831</v>
          </cell>
          <cell r="H693" t="str">
            <v>LS-086:BS M.BEIGE NODC N.CUP MAYB BULK</v>
          </cell>
          <cell r="I693">
            <v>30000</v>
          </cell>
          <cell r="J693" t="str">
            <v>UN</v>
          </cell>
          <cell r="K693">
            <v>45610</v>
          </cell>
        </row>
        <row r="694">
          <cell r="A694" t="str">
            <v>50714276710</v>
          </cell>
          <cell r="B694" t="str">
            <v>ZMTD</v>
          </cell>
          <cell r="C694">
            <v>45553</v>
          </cell>
          <cell r="D694" t="str">
            <v>Not delivered</v>
          </cell>
          <cell r="E694">
            <v>507142767</v>
          </cell>
          <cell r="F694">
            <v>10</v>
          </cell>
          <cell r="G694">
            <v>1286626</v>
          </cell>
          <cell r="H694" t="str">
            <v>FP-038:BASE AMBER GWLT010705 EL</v>
          </cell>
          <cell r="I694">
            <v>25020</v>
          </cell>
          <cell r="J694" t="str">
            <v>UN</v>
          </cell>
          <cell r="K694">
            <v>45610</v>
          </cell>
        </row>
        <row r="695">
          <cell r="A695" t="str">
            <v>50800523710</v>
          </cell>
          <cell r="B695" t="str">
            <v>ZMFD</v>
          </cell>
          <cell r="C695">
            <v>45505</v>
          </cell>
          <cell r="D695" t="str">
            <v>Not delivered</v>
          </cell>
          <cell r="E695">
            <v>508005237</v>
          </cell>
          <cell r="F695">
            <v>10</v>
          </cell>
          <cell r="G695">
            <v>1102728</v>
          </cell>
          <cell r="H695" t="str">
            <v>CM-274 BLACK P/WHITE LAKME CSMAX 60B</v>
          </cell>
          <cell r="I695">
            <v>30000</v>
          </cell>
          <cell r="J695" t="str">
            <v>UN</v>
          </cell>
          <cell r="K695">
            <v>45610</v>
          </cell>
        </row>
        <row r="696">
          <cell r="A696" t="str">
            <v>50714255510</v>
          </cell>
          <cell r="B696" t="str">
            <v>ZMTD</v>
          </cell>
          <cell r="C696">
            <v>45495</v>
          </cell>
          <cell r="D696" t="str">
            <v>Not delivered</v>
          </cell>
          <cell r="E696">
            <v>507142555</v>
          </cell>
          <cell r="F696">
            <v>10</v>
          </cell>
          <cell r="G696">
            <v>1432356</v>
          </cell>
          <cell r="H696" t="str">
            <v>CM-280:BS/CV BO BLUE UV P/S/INEZ FTC 30M</v>
          </cell>
          <cell r="I696">
            <v>30000</v>
          </cell>
          <cell r="J696" t="str">
            <v>UN</v>
          </cell>
          <cell r="K696">
            <v>45610</v>
          </cell>
        </row>
        <row r="697">
          <cell r="A697" t="str">
            <v>50714254430</v>
          </cell>
          <cell r="B697" t="str">
            <v>ZMTD</v>
          </cell>
          <cell r="C697">
            <v>45491</v>
          </cell>
          <cell r="D697" t="str">
            <v>Not delivered</v>
          </cell>
          <cell r="E697">
            <v>507142544</v>
          </cell>
          <cell r="F697">
            <v>30</v>
          </cell>
          <cell r="G697">
            <v>1319857</v>
          </cell>
          <cell r="H697" t="str">
            <v>CM-296:WHT P/L.AGELES W/O HOLE COTY EPS</v>
          </cell>
          <cell r="I697">
            <v>57600</v>
          </cell>
          <cell r="J697" t="str">
            <v>UN</v>
          </cell>
          <cell r="K697">
            <v>45610</v>
          </cell>
        </row>
        <row r="698">
          <cell r="A698" t="str">
            <v>50800518130</v>
          </cell>
          <cell r="B698" t="str">
            <v>ZMFD</v>
          </cell>
          <cell r="C698">
            <v>45485</v>
          </cell>
          <cell r="D698" t="str">
            <v>Not delivered</v>
          </cell>
          <cell r="E698">
            <v>508005181</v>
          </cell>
          <cell r="F698">
            <v>30</v>
          </cell>
          <cell r="G698">
            <v>1413967</v>
          </cell>
          <cell r="H698" t="str">
            <v>CM-323:VM SILVER DIOR JUMBO M080</v>
          </cell>
          <cell r="I698">
            <v>27000</v>
          </cell>
          <cell r="J698" t="str">
            <v>UN</v>
          </cell>
          <cell r="K698">
            <v>45610</v>
          </cell>
        </row>
        <row r="699">
          <cell r="A699" t="str">
            <v>50800511640</v>
          </cell>
          <cell r="B699" t="str">
            <v>ZMFD</v>
          </cell>
          <cell r="C699">
            <v>45453</v>
          </cell>
          <cell r="D699" t="str">
            <v>Not delivered</v>
          </cell>
          <cell r="E699">
            <v>508005116</v>
          </cell>
          <cell r="F699">
            <v>40</v>
          </cell>
          <cell r="G699">
            <v>1409881</v>
          </cell>
          <cell r="H699" t="str">
            <v>CM-315:CVR/BS BLACK P/CVRLAST OMG RV160B</v>
          </cell>
          <cell r="I699">
            <v>108516</v>
          </cell>
          <cell r="J699" t="str">
            <v>UN</v>
          </cell>
          <cell r="K699">
            <v>45610</v>
          </cell>
        </row>
        <row r="700">
          <cell r="A700" t="str">
            <v>50714284430</v>
          </cell>
          <cell r="B700" t="str">
            <v>ZMTD</v>
          </cell>
          <cell r="C700">
            <v>45566</v>
          </cell>
          <cell r="D700" t="str">
            <v>Not delivered</v>
          </cell>
          <cell r="E700">
            <v>507142844</v>
          </cell>
          <cell r="F700">
            <v>30</v>
          </cell>
          <cell r="G700">
            <v>1404888</v>
          </cell>
          <cell r="H700" t="str">
            <v>LS-091:BS MGNTA P/SHEER COLOR ROHTO 60B</v>
          </cell>
          <cell r="I700">
            <v>40508</v>
          </cell>
          <cell r="J700" t="str">
            <v>UN</v>
          </cell>
          <cell r="K700">
            <v>45611</v>
          </cell>
        </row>
        <row r="701">
          <cell r="A701" t="str">
            <v>50714284440</v>
          </cell>
          <cell r="B701" t="str">
            <v>ZMTD</v>
          </cell>
          <cell r="C701">
            <v>45566</v>
          </cell>
          <cell r="D701" t="str">
            <v>Not delivered</v>
          </cell>
          <cell r="E701">
            <v>507142844</v>
          </cell>
          <cell r="F701">
            <v>40</v>
          </cell>
          <cell r="G701">
            <v>1407563</v>
          </cell>
          <cell r="H701" t="str">
            <v>LS-091:CVR MGNTA GRAD UV P/STRWBRY ROHTO</v>
          </cell>
          <cell r="I701">
            <v>40508</v>
          </cell>
          <cell r="J701" t="str">
            <v>UN</v>
          </cell>
          <cell r="K701">
            <v>45611</v>
          </cell>
        </row>
        <row r="702">
          <cell r="A702" t="str">
            <v>50714276590</v>
          </cell>
          <cell r="B702" t="str">
            <v>ZMTD</v>
          </cell>
          <cell r="C702">
            <v>45552</v>
          </cell>
          <cell r="D702" t="str">
            <v>Not delivered</v>
          </cell>
          <cell r="E702">
            <v>507142765</v>
          </cell>
          <cell r="F702">
            <v>90</v>
          </cell>
          <cell r="G702">
            <v>1398383</v>
          </cell>
          <cell r="H702" t="str">
            <v>CM-319:WHITE P/BLACK UV MATTE NARS</v>
          </cell>
          <cell r="I702">
            <v>40080</v>
          </cell>
          <cell r="J702" t="str">
            <v>UN</v>
          </cell>
          <cell r="K702">
            <v>45611</v>
          </cell>
        </row>
        <row r="703">
          <cell r="A703" t="str">
            <v>50714276650</v>
          </cell>
          <cell r="B703" t="str">
            <v>ZMTD</v>
          </cell>
          <cell r="C703">
            <v>45552</v>
          </cell>
          <cell r="D703" t="str">
            <v>Not delivered</v>
          </cell>
          <cell r="E703">
            <v>507142766</v>
          </cell>
          <cell r="F703">
            <v>50</v>
          </cell>
          <cell r="G703">
            <v>1398763</v>
          </cell>
          <cell r="H703" t="str">
            <v>CM-320:WHITE S/BLACK UV MATTE NARS</v>
          </cell>
          <cell r="I703">
            <v>40500</v>
          </cell>
          <cell r="J703" t="str">
            <v>UN</v>
          </cell>
          <cell r="K703">
            <v>45611</v>
          </cell>
        </row>
        <row r="704">
          <cell r="A704" t="str">
            <v>50714275410</v>
          </cell>
          <cell r="B704" t="str">
            <v>ZMTD</v>
          </cell>
          <cell r="C704">
            <v>45547</v>
          </cell>
          <cell r="D704" t="str">
            <v>Not delivered</v>
          </cell>
          <cell r="E704">
            <v>507142754</v>
          </cell>
          <cell r="F704">
            <v>10</v>
          </cell>
          <cell r="G704">
            <v>1192463</v>
          </cell>
          <cell r="H704" t="str">
            <v>FP-014:LATULIPE FACE POWDER</v>
          </cell>
          <cell r="I704">
            <v>20000</v>
          </cell>
          <cell r="J704" t="str">
            <v>UN</v>
          </cell>
          <cell r="K704">
            <v>45611</v>
          </cell>
        </row>
        <row r="705">
          <cell r="A705" t="str">
            <v>50714275420</v>
          </cell>
          <cell r="B705" t="str">
            <v>ZMTD</v>
          </cell>
          <cell r="C705">
            <v>45547</v>
          </cell>
          <cell r="D705" t="str">
            <v>Not delivered</v>
          </cell>
          <cell r="E705">
            <v>507142754</v>
          </cell>
          <cell r="F705">
            <v>20</v>
          </cell>
          <cell r="G705">
            <v>1192460</v>
          </cell>
          <cell r="H705" t="str">
            <v>FP-014:SIFTER NAT W/LABEL NO DC REMBAKA</v>
          </cell>
          <cell r="I705">
            <v>20000</v>
          </cell>
          <cell r="J705" t="str">
            <v>UN</v>
          </cell>
          <cell r="K705">
            <v>45611</v>
          </cell>
        </row>
        <row r="706">
          <cell r="A706" t="str">
            <v>50800527510</v>
          </cell>
          <cell r="B706" t="str">
            <v>ZMFD</v>
          </cell>
          <cell r="C706">
            <v>45539</v>
          </cell>
          <cell r="D706" t="str">
            <v>Not delivered</v>
          </cell>
          <cell r="E706">
            <v>508005275</v>
          </cell>
          <cell r="F706">
            <v>10</v>
          </cell>
          <cell r="G706">
            <v>1210646</v>
          </cell>
          <cell r="H706" t="str">
            <v>FP-014:CVR BLACK MATTE BLACK SS SMITH</v>
          </cell>
          <cell r="I706">
            <v>20000</v>
          </cell>
          <cell r="J706" t="str">
            <v>UN</v>
          </cell>
          <cell r="K706">
            <v>45611</v>
          </cell>
        </row>
        <row r="707">
          <cell r="A707" t="str">
            <v>50800527520</v>
          </cell>
          <cell r="B707" t="str">
            <v>ZMFD</v>
          </cell>
          <cell r="C707">
            <v>45539</v>
          </cell>
          <cell r="D707" t="str">
            <v>Not delivered</v>
          </cell>
          <cell r="E707">
            <v>508005275</v>
          </cell>
          <cell r="F707">
            <v>20</v>
          </cell>
          <cell r="G707">
            <v>1210647</v>
          </cell>
          <cell r="H707" t="str">
            <v>FP-014:BASE BLK MATTE BLACK SS SMITH</v>
          </cell>
          <cell r="I707">
            <v>20000</v>
          </cell>
          <cell r="J707" t="str">
            <v>UN</v>
          </cell>
          <cell r="K707">
            <v>45611</v>
          </cell>
        </row>
        <row r="708">
          <cell r="A708" t="str">
            <v>50800523430</v>
          </cell>
          <cell r="B708" t="str">
            <v>ZMFD</v>
          </cell>
          <cell r="C708">
            <v>45504</v>
          </cell>
          <cell r="D708" t="str">
            <v>Not delivered</v>
          </cell>
          <cell r="E708">
            <v>508005234</v>
          </cell>
          <cell r="F708">
            <v>30</v>
          </cell>
          <cell r="G708">
            <v>1169286</v>
          </cell>
          <cell r="H708" t="str">
            <v>CM-294:RECTANGULAR WITH GODET PKTJ010032</v>
          </cell>
          <cell r="I708">
            <v>37920</v>
          </cell>
          <cell r="J708" t="str">
            <v>UN</v>
          </cell>
          <cell r="K708">
            <v>45611</v>
          </cell>
        </row>
        <row r="709">
          <cell r="A709" t="str">
            <v>50714156910</v>
          </cell>
          <cell r="B709" t="str">
            <v>ZMTD</v>
          </cell>
          <cell r="C709">
            <v>45303</v>
          </cell>
          <cell r="D709" t="str">
            <v>Not delivered</v>
          </cell>
          <cell r="E709">
            <v>507141569</v>
          </cell>
          <cell r="F709">
            <v>10</v>
          </cell>
          <cell r="G709">
            <v>1175313</v>
          </cell>
          <cell r="H709" t="str">
            <v>CM-101:N.GRN MRBL B/O 618J010304 CLNQ EL</v>
          </cell>
          <cell r="I709">
            <v>25350</v>
          </cell>
          <cell r="J709" t="str">
            <v>UN</v>
          </cell>
          <cell r="K709">
            <v>45611</v>
          </cell>
        </row>
        <row r="710">
          <cell r="A710" t="str">
            <v>50714242910</v>
          </cell>
          <cell r="B710" t="str">
            <v>ZMTD</v>
          </cell>
          <cell r="C710">
            <v>45475</v>
          </cell>
          <cell r="D710" t="str">
            <v>Not delivered</v>
          </cell>
          <cell r="E710">
            <v>507142429</v>
          </cell>
          <cell r="F710">
            <v>10</v>
          </cell>
          <cell r="G710">
            <v>1160336</v>
          </cell>
          <cell r="H710" t="str">
            <v>CP-071:CP8364 TNR WPRL 200 REX IS 763</v>
          </cell>
          <cell r="I710">
            <v>87000</v>
          </cell>
          <cell r="J710" t="str">
            <v>UN</v>
          </cell>
          <cell r="K710">
            <v>45612</v>
          </cell>
        </row>
        <row r="711">
          <cell r="A711" t="str">
            <v>50714284510</v>
          </cell>
          <cell r="B711" t="str">
            <v>ZMTD</v>
          </cell>
          <cell r="C711">
            <v>45566</v>
          </cell>
          <cell r="D711" t="str">
            <v>Not delivered</v>
          </cell>
          <cell r="E711">
            <v>507142845</v>
          </cell>
          <cell r="F711">
            <v>10</v>
          </cell>
          <cell r="G711">
            <v>1420101</v>
          </cell>
          <cell r="H711" t="str">
            <v>LS-091:BS RED P/RED FRTY CHERRY NEW 60B</v>
          </cell>
          <cell r="I711">
            <v>32604</v>
          </cell>
          <cell r="J711" t="str">
            <v>UN</v>
          </cell>
          <cell r="K711">
            <v>45614</v>
          </cell>
        </row>
        <row r="712">
          <cell r="A712" t="str">
            <v>50714284520</v>
          </cell>
          <cell r="B712" t="str">
            <v>ZMTD</v>
          </cell>
          <cell r="C712">
            <v>45566</v>
          </cell>
          <cell r="D712" t="str">
            <v>Not delivered</v>
          </cell>
          <cell r="E712">
            <v>507142845</v>
          </cell>
          <cell r="F712">
            <v>20</v>
          </cell>
          <cell r="G712">
            <v>1420102</v>
          </cell>
          <cell r="H712" t="str">
            <v>LS-091:CV WHT P/ICE FRUITY CHERRY 60B</v>
          </cell>
          <cell r="I712">
            <v>32604</v>
          </cell>
          <cell r="J712" t="str">
            <v>UN</v>
          </cell>
          <cell r="K712">
            <v>45614</v>
          </cell>
        </row>
        <row r="713">
          <cell r="A713" t="str">
            <v>50800529510</v>
          </cell>
          <cell r="B713" t="str">
            <v>ZMFD</v>
          </cell>
          <cell r="C713">
            <v>45561</v>
          </cell>
          <cell r="D713" t="str">
            <v>Not delivered</v>
          </cell>
          <cell r="E713">
            <v>508005295</v>
          </cell>
          <cell r="F713">
            <v>10</v>
          </cell>
          <cell r="G713">
            <v>1364395</v>
          </cell>
          <cell r="H713" t="str">
            <v>PT-048:CVR/BS WHT NO DC 4GR MISWAK 12A</v>
          </cell>
          <cell r="I713">
            <v>10000</v>
          </cell>
          <cell r="J713" t="str">
            <v>UN</v>
          </cell>
          <cell r="K713">
            <v>45614</v>
          </cell>
        </row>
        <row r="714">
          <cell r="A714" t="str">
            <v>50714272010</v>
          </cell>
          <cell r="B714" t="str">
            <v>ZMTD</v>
          </cell>
          <cell r="C714">
            <v>45539</v>
          </cell>
          <cell r="D714" t="str">
            <v>Not delivered</v>
          </cell>
          <cell r="E714">
            <v>507142720</v>
          </cell>
          <cell r="F714">
            <v>10</v>
          </cell>
          <cell r="G714">
            <v>1431862</v>
          </cell>
          <cell r="H714" t="str">
            <v>PT6029R JAR GARNIER 18ML YUZU SPF30(635)</v>
          </cell>
          <cell r="I714">
            <v>56448</v>
          </cell>
          <cell r="J714" t="str">
            <v>UN</v>
          </cell>
          <cell r="K714">
            <v>45614</v>
          </cell>
        </row>
        <row r="715">
          <cell r="A715" t="str">
            <v>50714271210</v>
          </cell>
          <cell r="B715" t="str">
            <v>ZMTD</v>
          </cell>
          <cell r="C715">
            <v>45538</v>
          </cell>
          <cell r="D715" t="str">
            <v>Not delivered</v>
          </cell>
          <cell r="E715">
            <v>507142712</v>
          </cell>
          <cell r="F715">
            <v>10</v>
          </cell>
          <cell r="G715">
            <v>1332672</v>
          </cell>
          <cell r="H715" t="str">
            <v>CM-095:VM ROSE GOLD P/BLACK COTY</v>
          </cell>
          <cell r="I715">
            <v>56160</v>
          </cell>
          <cell r="J715" t="str">
            <v>UN</v>
          </cell>
          <cell r="K715">
            <v>45614</v>
          </cell>
        </row>
        <row r="716">
          <cell r="A716" t="str">
            <v>50800520330</v>
          </cell>
          <cell r="B716" t="str">
            <v>ZMFD</v>
          </cell>
          <cell r="C716">
            <v>45497</v>
          </cell>
          <cell r="D716" t="str">
            <v>Not delivered</v>
          </cell>
          <cell r="E716">
            <v>508005203</v>
          </cell>
          <cell r="F716">
            <v>30</v>
          </cell>
          <cell r="G716">
            <v>1405377</v>
          </cell>
          <cell r="H716" t="str">
            <v>LC-012:BTL VR11 P/GLASTNG PTI60B</v>
          </cell>
          <cell r="I716">
            <v>25000</v>
          </cell>
          <cell r="J716" t="str">
            <v>UN</v>
          </cell>
          <cell r="K716">
            <v>45614</v>
          </cell>
        </row>
        <row r="717">
          <cell r="A717" t="str">
            <v>50800520340</v>
          </cell>
          <cell r="B717" t="str">
            <v>ZMFD</v>
          </cell>
          <cell r="C717">
            <v>45497</v>
          </cell>
          <cell r="D717" t="str">
            <v>Not delivered</v>
          </cell>
          <cell r="E717">
            <v>508005203</v>
          </cell>
          <cell r="F717">
            <v>40</v>
          </cell>
          <cell r="G717">
            <v>1385814</v>
          </cell>
          <cell r="H717" t="str">
            <v>LC-012:CAP VM BRWN WIP GLASTING PTI 20F</v>
          </cell>
          <cell r="I717">
            <v>25000</v>
          </cell>
          <cell r="J717" t="str">
            <v>UN</v>
          </cell>
          <cell r="K717">
            <v>45614</v>
          </cell>
        </row>
        <row r="718">
          <cell r="A718" t="str">
            <v>50800494730</v>
          </cell>
          <cell r="B718" t="str">
            <v>ZMFD</v>
          </cell>
          <cell r="C718">
            <v>45370</v>
          </cell>
          <cell r="D718" t="str">
            <v>Not delivered</v>
          </cell>
          <cell r="E718">
            <v>508004947</v>
          </cell>
          <cell r="F718">
            <v>30</v>
          </cell>
          <cell r="G718">
            <v>1411898</v>
          </cell>
          <cell r="H718" t="str">
            <v>PT-100:CVR MT.GREEN EMBOS KAHF PTI 40D</v>
          </cell>
          <cell r="I718">
            <v>177000</v>
          </cell>
          <cell r="J718" t="str">
            <v>UN</v>
          </cell>
          <cell r="K718">
            <v>45614</v>
          </cell>
        </row>
        <row r="719">
          <cell r="A719" t="str">
            <v>50800494740</v>
          </cell>
          <cell r="B719" t="str">
            <v>ZMFD</v>
          </cell>
          <cell r="C719">
            <v>45370</v>
          </cell>
          <cell r="D719" t="str">
            <v>Not delivered</v>
          </cell>
          <cell r="E719">
            <v>508004947</v>
          </cell>
          <cell r="F719">
            <v>40</v>
          </cell>
          <cell r="G719">
            <v>1411899</v>
          </cell>
          <cell r="H719" t="str">
            <v>PT-100:BS/INS GREEN P/WHT KAHF PTI 60B</v>
          </cell>
          <cell r="I719">
            <v>177000</v>
          </cell>
          <cell r="J719" t="str">
            <v>UN</v>
          </cell>
          <cell r="K719">
            <v>45614</v>
          </cell>
        </row>
        <row r="720">
          <cell r="A720" t="str">
            <v>50714270550</v>
          </cell>
          <cell r="B720" t="str">
            <v>ZMTD</v>
          </cell>
          <cell r="C720">
            <v>45534</v>
          </cell>
          <cell r="D720" t="str">
            <v>Not delivered</v>
          </cell>
          <cell r="E720">
            <v>507142705</v>
          </cell>
          <cell r="F720">
            <v>50</v>
          </cell>
          <cell r="G720">
            <v>1342220</v>
          </cell>
          <cell r="H720" t="str">
            <v>LC-010:BTL CLR HTF COLBEIGE CFIT PTI 60C</v>
          </cell>
          <cell r="I720">
            <v>100170</v>
          </cell>
          <cell r="J720" t="str">
            <v>UN</v>
          </cell>
          <cell r="K720">
            <v>45615</v>
          </cell>
        </row>
        <row r="721">
          <cell r="A721" t="str">
            <v>50714270560</v>
          </cell>
          <cell r="B721" t="str">
            <v>ZMTD</v>
          </cell>
          <cell r="C721">
            <v>45534</v>
          </cell>
          <cell r="D721" t="str">
            <v>Not delivered</v>
          </cell>
          <cell r="E721">
            <v>507142705</v>
          </cell>
          <cell r="F721">
            <v>60</v>
          </cell>
          <cell r="G721">
            <v>1342221</v>
          </cell>
          <cell r="H721" t="str">
            <v>LC-010:CAP BEIGE WIP NAT PTI 12A</v>
          </cell>
          <cell r="I721">
            <v>100170</v>
          </cell>
          <cell r="J721" t="str">
            <v>UN</v>
          </cell>
          <cell r="K721">
            <v>45615</v>
          </cell>
        </row>
        <row r="722">
          <cell r="A722" t="str">
            <v>50800520250</v>
          </cell>
          <cell r="B722" t="str">
            <v>ZMFD</v>
          </cell>
          <cell r="C722">
            <v>45497</v>
          </cell>
          <cell r="D722" t="str">
            <v>Not delivered</v>
          </cell>
          <cell r="E722">
            <v>508005202</v>
          </cell>
          <cell r="F722">
            <v>50</v>
          </cell>
          <cell r="G722">
            <v>1405884</v>
          </cell>
          <cell r="H722" t="str">
            <v>LC-012:BTL VR10 P/GLASTNG PTI60B</v>
          </cell>
          <cell r="I722">
            <v>25000</v>
          </cell>
          <cell r="J722" t="str">
            <v>UN</v>
          </cell>
          <cell r="K722">
            <v>45615</v>
          </cell>
        </row>
        <row r="723">
          <cell r="A723" t="str">
            <v>50800520260</v>
          </cell>
          <cell r="B723" t="str">
            <v>ZMFD</v>
          </cell>
          <cell r="C723">
            <v>45497</v>
          </cell>
          <cell r="D723" t="str">
            <v>Not delivered</v>
          </cell>
          <cell r="E723">
            <v>508005202</v>
          </cell>
          <cell r="F723">
            <v>60</v>
          </cell>
          <cell r="G723">
            <v>1385814</v>
          </cell>
          <cell r="H723" t="str">
            <v>LC-012:CAP VM BRWN WIP GLASTING PTI 20F</v>
          </cell>
          <cell r="I723">
            <v>25000</v>
          </cell>
          <cell r="J723" t="str">
            <v>UN</v>
          </cell>
          <cell r="K723">
            <v>45615</v>
          </cell>
        </row>
        <row r="724">
          <cell r="A724" t="str">
            <v>50714255520</v>
          </cell>
          <cell r="B724" t="str">
            <v>ZMTD</v>
          </cell>
          <cell r="C724">
            <v>45495</v>
          </cell>
          <cell r="D724" t="str">
            <v>Not delivered</v>
          </cell>
          <cell r="E724">
            <v>507142555</v>
          </cell>
          <cell r="F724">
            <v>20</v>
          </cell>
          <cell r="G724">
            <v>1432444</v>
          </cell>
          <cell r="H724" t="str">
            <v>CM-280:BS/CV ES BLUE UV P/S/INEZ FTC 30M</v>
          </cell>
          <cell r="I724">
            <v>25000</v>
          </cell>
          <cell r="J724" t="str">
            <v>UN</v>
          </cell>
          <cell r="K724">
            <v>45615</v>
          </cell>
        </row>
        <row r="725">
          <cell r="A725" t="str">
            <v>50714284210</v>
          </cell>
          <cell r="B725" t="str">
            <v>ZMTD</v>
          </cell>
          <cell r="C725">
            <v>45566</v>
          </cell>
          <cell r="D725" t="str">
            <v>Not delivered</v>
          </cell>
          <cell r="E725">
            <v>507142842</v>
          </cell>
          <cell r="F725">
            <v>10</v>
          </cell>
          <cell r="G725">
            <v>1217479</v>
          </cell>
          <cell r="H725" t="str">
            <v>CM-172:8W UV SLV P/ S.CLNQ 6P40010031 EL</v>
          </cell>
          <cell r="I725">
            <v>25080</v>
          </cell>
          <cell r="J725" t="str">
            <v>UN</v>
          </cell>
          <cell r="K725">
            <v>45616</v>
          </cell>
        </row>
        <row r="726">
          <cell r="A726" t="str">
            <v>50714284530</v>
          </cell>
          <cell r="B726" t="str">
            <v>ZMTD</v>
          </cell>
          <cell r="C726">
            <v>45566</v>
          </cell>
          <cell r="D726" t="str">
            <v>Not delivered</v>
          </cell>
          <cell r="E726">
            <v>507142845</v>
          </cell>
          <cell r="F726">
            <v>30</v>
          </cell>
          <cell r="G726">
            <v>1420082</v>
          </cell>
          <cell r="H726" t="str">
            <v>LS-091:BS PEACH P/REDFRTY STRAWBR NEW60B</v>
          </cell>
          <cell r="I726">
            <v>26676</v>
          </cell>
          <cell r="J726" t="str">
            <v>UN</v>
          </cell>
          <cell r="K726">
            <v>45616</v>
          </cell>
        </row>
        <row r="727">
          <cell r="A727" t="str">
            <v>50714284540</v>
          </cell>
          <cell r="B727" t="str">
            <v>ZMTD</v>
          </cell>
          <cell r="C727">
            <v>45566</v>
          </cell>
          <cell r="D727" t="str">
            <v>Not delivered</v>
          </cell>
          <cell r="E727">
            <v>507142845</v>
          </cell>
          <cell r="F727">
            <v>40</v>
          </cell>
          <cell r="G727">
            <v>1420083</v>
          </cell>
          <cell r="H727" t="str">
            <v>LS-091:CV WHT P/ICE FRUITY STRAWBERY 60B</v>
          </cell>
          <cell r="I727">
            <v>26676</v>
          </cell>
          <cell r="J727" t="str">
            <v>UN</v>
          </cell>
          <cell r="K727">
            <v>45616</v>
          </cell>
        </row>
        <row r="728">
          <cell r="A728" t="str">
            <v>50800529120</v>
          </cell>
          <cell r="B728" t="str">
            <v>ZMFD</v>
          </cell>
          <cell r="C728">
            <v>45559</v>
          </cell>
          <cell r="D728" t="str">
            <v>Not delivered</v>
          </cell>
          <cell r="E728">
            <v>508005291</v>
          </cell>
          <cell r="F728">
            <v>20</v>
          </cell>
          <cell r="G728">
            <v>1169703</v>
          </cell>
          <cell r="H728" t="str">
            <v>CP-064:CAP 25 SCREW WHITE MT TR L'OREAL</v>
          </cell>
          <cell r="I728">
            <v>100000</v>
          </cell>
          <cell r="J728" t="str">
            <v>UN</v>
          </cell>
          <cell r="K728">
            <v>45616</v>
          </cell>
        </row>
        <row r="729">
          <cell r="A729" t="str">
            <v>50800528810</v>
          </cell>
          <cell r="B729" t="str">
            <v>ZMFD</v>
          </cell>
          <cell r="C729">
            <v>45558</v>
          </cell>
          <cell r="D729" t="str">
            <v>Not delivered</v>
          </cell>
          <cell r="E729">
            <v>508005288</v>
          </cell>
          <cell r="F729">
            <v>10</v>
          </cell>
          <cell r="G729">
            <v>1336783</v>
          </cell>
          <cell r="H729" t="str">
            <v>LC-003:BTL CLR CLVM P/S/INSTSUEDE PTI20Y</v>
          </cell>
          <cell r="I729">
            <v>25000</v>
          </cell>
          <cell r="J729" t="str">
            <v>UN</v>
          </cell>
          <cell r="K729">
            <v>45616</v>
          </cell>
        </row>
        <row r="730">
          <cell r="A730" t="str">
            <v>50800528820</v>
          </cell>
          <cell r="B730" t="str">
            <v>ZMFD</v>
          </cell>
          <cell r="C730">
            <v>45558</v>
          </cell>
          <cell r="D730" t="str">
            <v>Not delivered</v>
          </cell>
          <cell r="E730">
            <v>508005288</v>
          </cell>
          <cell r="F730">
            <v>20</v>
          </cell>
          <cell r="G730">
            <v>1378266</v>
          </cell>
          <cell r="H730" t="str">
            <v>LC-003:CAP VM RS PINK INSTASUEDE PTI 20F</v>
          </cell>
          <cell r="I730">
            <v>25000</v>
          </cell>
          <cell r="J730" t="str">
            <v>UN</v>
          </cell>
          <cell r="K730">
            <v>45616</v>
          </cell>
        </row>
        <row r="731">
          <cell r="A731" t="str">
            <v>50800527110</v>
          </cell>
          <cell r="B731" t="str">
            <v>ZMFD</v>
          </cell>
          <cell r="C731">
            <v>45538</v>
          </cell>
          <cell r="D731" t="str">
            <v>Not delivered</v>
          </cell>
          <cell r="E731">
            <v>508005271</v>
          </cell>
          <cell r="F731">
            <v>10</v>
          </cell>
          <cell r="G731">
            <v>1411701</v>
          </cell>
          <cell r="H731" t="str">
            <v>PT-100:BS/INS BLUE P/WHT KAHF PTI 60B</v>
          </cell>
          <cell r="I731">
            <v>240000</v>
          </cell>
          <cell r="J731" t="str">
            <v>UN</v>
          </cell>
          <cell r="K731">
            <v>45616</v>
          </cell>
        </row>
        <row r="732">
          <cell r="A732" t="str">
            <v>50800527120</v>
          </cell>
          <cell r="B732" t="str">
            <v>ZMFD</v>
          </cell>
          <cell r="C732">
            <v>45538</v>
          </cell>
          <cell r="D732" t="str">
            <v>Not delivered</v>
          </cell>
          <cell r="E732">
            <v>508005271</v>
          </cell>
          <cell r="F732">
            <v>20</v>
          </cell>
          <cell r="G732">
            <v>1411700</v>
          </cell>
          <cell r="H732" t="str">
            <v>PT-100:CVR MT.BLUE EMBOS KAHF PTI 40D</v>
          </cell>
          <cell r="I732">
            <v>240000</v>
          </cell>
          <cell r="J732" t="str">
            <v>UN</v>
          </cell>
          <cell r="K732">
            <v>45616</v>
          </cell>
        </row>
        <row r="733">
          <cell r="A733" t="str">
            <v>50800525510</v>
          </cell>
          <cell r="B733" t="str">
            <v>ZMFD</v>
          </cell>
          <cell r="C733">
            <v>45516</v>
          </cell>
          <cell r="D733" t="str">
            <v>Not delivered</v>
          </cell>
          <cell r="E733">
            <v>508005255</v>
          </cell>
          <cell r="F733">
            <v>10</v>
          </cell>
          <cell r="G733">
            <v>1436641</v>
          </cell>
          <cell r="H733" t="str">
            <v>CM-310:BLUE UV S/SILVER DIOR PEPSPE+IXPE</v>
          </cell>
          <cell r="I733">
            <v>64800</v>
          </cell>
          <cell r="J733" t="str">
            <v>UN</v>
          </cell>
          <cell r="K733">
            <v>45616</v>
          </cell>
        </row>
        <row r="734">
          <cell r="A734" t="str">
            <v>50714261110</v>
          </cell>
          <cell r="B734" t="str">
            <v>ZMTD</v>
          </cell>
          <cell r="C734">
            <v>45510</v>
          </cell>
          <cell r="D734" t="str">
            <v>Not delivered</v>
          </cell>
          <cell r="E734">
            <v>507142611</v>
          </cell>
          <cell r="F734">
            <v>10</v>
          </cell>
          <cell r="G734">
            <v>1436641</v>
          </cell>
          <cell r="H734" t="str">
            <v>CM-310:BLUE UV S/SILVER DIOR PEPSPE+IXPE</v>
          </cell>
          <cell r="I734">
            <v>64800</v>
          </cell>
          <cell r="J734" t="str">
            <v>UN</v>
          </cell>
          <cell r="K734">
            <v>45616</v>
          </cell>
        </row>
        <row r="735">
          <cell r="A735" t="str">
            <v>50800523570</v>
          </cell>
          <cell r="B735" t="str">
            <v>ZMFD</v>
          </cell>
          <cell r="C735">
            <v>45505</v>
          </cell>
          <cell r="D735" t="str">
            <v>Not delivered</v>
          </cell>
          <cell r="E735">
            <v>508005235</v>
          </cell>
          <cell r="F735">
            <v>70</v>
          </cell>
          <cell r="G735">
            <v>1332995</v>
          </cell>
          <cell r="H735" t="str">
            <v>LC-008:CAP VM SLV WIP NAT EMLC PTI 20F</v>
          </cell>
          <cell r="I735">
            <v>100000</v>
          </cell>
          <cell r="J735" t="str">
            <v>UN</v>
          </cell>
          <cell r="K735">
            <v>45616</v>
          </cell>
        </row>
        <row r="736">
          <cell r="A736" t="str">
            <v>50800523580</v>
          </cell>
          <cell r="B736" t="str">
            <v>ZMFD</v>
          </cell>
          <cell r="C736">
            <v>45505</v>
          </cell>
          <cell r="D736" t="str">
            <v>Not delivered</v>
          </cell>
          <cell r="E736">
            <v>508005235</v>
          </cell>
          <cell r="F736">
            <v>80</v>
          </cell>
          <cell r="G736">
            <v>1434959</v>
          </cell>
          <cell r="H736" t="str">
            <v>LC-008:BTL CLR (PCTG) P/WHT EMLC PTI 60B</v>
          </cell>
          <cell r="I736">
            <v>100000</v>
          </cell>
          <cell r="J736" t="str">
            <v>UN</v>
          </cell>
          <cell r="K736">
            <v>45616</v>
          </cell>
        </row>
        <row r="737">
          <cell r="A737" t="str">
            <v>50800519610</v>
          </cell>
          <cell r="B737" t="str">
            <v>ZMFD</v>
          </cell>
          <cell r="C737">
            <v>45497</v>
          </cell>
          <cell r="D737" t="str">
            <v>Not delivered</v>
          </cell>
          <cell r="E737">
            <v>508005196</v>
          </cell>
          <cell r="F737">
            <v>10</v>
          </cell>
          <cell r="G737">
            <v>1382935</v>
          </cell>
          <cell r="H737" t="str">
            <v>LC-012:BTL VR2 PEACHPLS P/GLASTNG PTI60B</v>
          </cell>
          <cell r="I737">
            <v>13000</v>
          </cell>
          <cell r="J737" t="str">
            <v>UN</v>
          </cell>
          <cell r="K737">
            <v>45616</v>
          </cell>
        </row>
        <row r="738">
          <cell r="A738" t="str">
            <v>50800519620</v>
          </cell>
          <cell r="B738" t="str">
            <v>ZMFD</v>
          </cell>
          <cell r="C738">
            <v>45497</v>
          </cell>
          <cell r="D738" t="str">
            <v>Not delivered</v>
          </cell>
          <cell r="E738">
            <v>508005196</v>
          </cell>
          <cell r="F738">
            <v>20</v>
          </cell>
          <cell r="G738">
            <v>1385814</v>
          </cell>
          <cell r="H738" t="str">
            <v>LC-012:CAP VM BRWN WIP GLASTING PTI 20F</v>
          </cell>
          <cell r="I738">
            <v>13000</v>
          </cell>
          <cell r="J738" t="str">
            <v>UN</v>
          </cell>
          <cell r="K738">
            <v>45616</v>
          </cell>
        </row>
        <row r="739">
          <cell r="A739" t="str">
            <v>50800517620</v>
          </cell>
          <cell r="B739" t="str">
            <v>ZMFD</v>
          </cell>
          <cell r="C739">
            <v>45482</v>
          </cell>
          <cell r="D739" t="str">
            <v>Not delivered</v>
          </cell>
          <cell r="E739">
            <v>508005176</v>
          </cell>
          <cell r="F739">
            <v>20</v>
          </cell>
          <cell r="G739">
            <v>1171241</v>
          </cell>
          <cell r="H739" t="str">
            <v>CP-059:60ML UV GOLD WHT LN 7712010071 EL</v>
          </cell>
          <cell r="I739">
            <v>25080</v>
          </cell>
          <cell r="J739" t="str">
            <v>UN</v>
          </cell>
          <cell r="K739">
            <v>45616</v>
          </cell>
        </row>
        <row r="740">
          <cell r="A740" t="str">
            <v>50800514910</v>
          </cell>
          <cell r="B740" t="str">
            <v>ZMFD</v>
          </cell>
          <cell r="C740">
            <v>45464</v>
          </cell>
          <cell r="D740" t="str">
            <v>Not delivered</v>
          </cell>
          <cell r="E740">
            <v>508005149</v>
          </cell>
          <cell r="F740">
            <v>10</v>
          </cell>
          <cell r="G740">
            <v>1378563</v>
          </cell>
          <cell r="H740" t="str">
            <v>CP-093:CAP D50 MT BLACK Ø.5 YASULOR 12A</v>
          </cell>
          <cell r="I740">
            <v>600000</v>
          </cell>
          <cell r="J740" t="str">
            <v>UN</v>
          </cell>
          <cell r="K740">
            <v>45616</v>
          </cell>
        </row>
        <row r="741">
          <cell r="A741" t="str">
            <v>50800506810</v>
          </cell>
          <cell r="B741" t="str">
            <v>ZMFD</v>
          </cell>
          <cell r="C741">
            <v>45433</v>
          </cell>
          <cell r="D741" t="str">
            <v>Not delivered</v>
          </cell>
          <cell r="E741">
            <v>508005068</v>
          </cell>
          <cell r="F741">
            <v>10</v>
          </cell>
          <cell r="G741">
            <v>1255662</v>
          </cell>
          <cell r="H741" t="str">
            <v>LC-002:BTL MT VAR12 P/WRDH B.MARK PTI40H</v>
          </cell>
          <cell r="I741">
            <v>31000</v>
          </cell>
          <cell r="J741" t="str">
            <v>UN</v>
          </cell>
          <cell r="K741">
            <v>45616</v>
          </cell>
        </row>
        <row r="742">
          <cell r="A742" t="str">
            <v>50800506820</v>
          </cell>
          <cell r="B742" t="str">
            <v>ZMFD</v>
          </cell>
          <cell r="C742">
            <v>45433</v>
          </cell>
          <cell r="D742" t="str">
            <v>Not delivered</v>
          </cell>
          <cell r="E742">
            <v>508005068</v>
          </cell>
          <cell r="F742">
            <v>20</v>
          </cell>
          <cell r="G742">
            <v>1174820</v>
          </cell>
          <cell r="H742" t="str">
            <v>LC-002:CP S/MT VAR12 STM-WHT WNAT PTI40D</v>
          </cell>
          <cell r="I742">
            <v>31000</v>
          </cell>
          <cell r="J742" t="str">
            <v>UN</v>
          </cell>
          <cell r="K742">
            <v>45616</v>
          </cell>
        </row>
        <row r="743">
          <cell r="A743" t="str">
            <v>50714280020</v>
          </cell>
          <cell r="B743" t="str">
            <v>ZMTD</v>
          </cell>
          <cell r="C743">
            <v>45558</v>
          </cell>
          <cell r="D743" t="str">
            <v>Not delivered</v>
          </cell>
          <cell r="E743">
            <v>507142800</v>
          </cell>
          <cell r="F743">
            <v>20</v>
          </cell>
          <cell r="G743">
            <v>1181522</v>
          </cell>
          <cell r="H743" t="str">
            <v>CM-298:TRIO EYESHADOW</v>
          </cell>
          <cell r="I743">
            <v>50000</v>
          </cell>
          <cell r="J743" t="str">
            <v>UN</v>
          </cell>
          <cell r="K743">
            <v>45617</v>
          </cell>
        </row>
        <row r="744">
          <cell r="A744" t="str">
            <v>50714268310</v>
          </cell>
          <cell r="B744" t="str">
            <v>ZMTD</v>
          </cell>
          <cell r="C744">
            <v>45532</v>
          </cell>
          <cell r="D744" t="str">
            <v>Not delivered</v>
          </cell>
          <cell r="E744">
            <v>507142683</v>
          </cell>
          <cell r="F744">
            <v>10</v>
          </cell>
          <cell r="G744">
            <v>1284957</v>
          </cell>
          <cell r="H744" t="str">
            <v>CM-244:WHITE U/CLR  S/SLVR ZGNC010031 EL</v>
          </cell>
          <cell r="I744">
            <v>10080</v>
          </cell>
          <cell r="J744" t="str">
            <v>UN</v>
          </cell>
          <cell r="K744">
            <v>45617</v>
          </cell>
        </row>
        <row r="745">
          <cell r="A745" t="str">
            <v>50800518140</v>
          </cell>
          <cell r="B745" t="str">
            <v>ZMFD</v>
          </cell>
          <cell r="C745">
            <v>45485</v>
          </cell>
          <cell r="D745" t="str">
            <v>Not delivered</v>
          </cell>
          <cell r="E745">
            <v>508005181</v>
          </cell>
          <cell r="F745">
            <v>40</v>
          </cell>
          <cell r="G745">
            <v>1413967</v>
          </cell>
          <cell r="H745" t="str">
            <v>CM-323:VM SILVER DIOR JUMBO M080</v>
          </cell>
          <cell r="I745">
            <v>27000</v>
          </cell>
          <cell r="J745" t="str">
            <v>UN</v>
          </cell>
          <cell r="K745">
            <v>45617</v>
          </cell>
        </row>
        <row r="746">
          <cell r="A746" t="str">
            <v>50714243340</v>
          </cell>
          <cell r="B746" t="str">
            <v>ZMTD</v>
          </cell>
          <cell r="C746">
            <v>45475</v>
          </cell>
          <cell r="D746" t="str">
            <v>Not delivered</v>
          </cell>
          <cell r="E746">
            <v>507142433</v>
          </cell>
          <cell r="F746">
            <v>40</v>
          </cell>
          <cell r="G746">
            <v>1406600</v>
          </cell>
          <cell r="H746" t="str">
            <v>CM-310:BLACK M086 CANNAGE S/SLV UV MT</v>
          </cell>
          <cell r="I746">
            <v>39000</v>
          </cell>
          <cell r="J746" t="str">
            <v>UN</v>
          </cell>
          <cell r="K746">
            <v>45617</v>
          </cell>
        </row>
        <row r="747">
          <cell r="A747" t="str">
            <v>50714276340</v>
          </cell>
          <cell r="B747" t="str">
            <v>ZMTD</v>
          </cell>
          <cell r="C747">
            <v>45552</v>
          </cell>
          <cell r="D747" t="str">
            <v>Not delivered</v>
          </cell>
          <cell r="E747">
            <v>507142763</v>
          </cell>
          <cell r="F747">
            <v>40</v>
          </cell>
          <cell r="G747">
            <v>1182817</v>
          </cell>
          <cell r="H747" t="str">
            <v>FP-014:JAR P/BLACK ALMAY</v>
          </cell>
          <cell r="I747">
            <v>25056</v>
          </cell>
          <cell r="J747" t="str">
            <v>UN</v>
          </cell>
          <cell r="K747">
            <v>45618</v>
          </cell>
        </row>
        <row r="748">
          <cell r="A748" t="str">
            <v>50714276410</v>
          </cell>
          <cell r="B748" t="str">
            <v>ZMTD</v>
          </cell>
          <cell r="C748">
            <v>45552</v>
          </cell>
          <cell r="D748" t="str">
            <v>Not delivered</v>
          </cell>
          <cell r="E748">
            <v>507142764</v>
          </cell>
          <cell r="F748">
            <v>10</v>
          </cell>
          <cell r="G748">
            <v>1211756</v>
          </cell>
          <cell r="H748" t="str">
            <v>CM-246:COVER VM SHNY SLV ALMOST PWD</v>
          </cell>
          <cell r="I748">
            <v>120120</v>
          </cell>
          <cell r="J748" t="str">
            <v>UN</v>
          </cell>
          <cell r="K748">
            <v>45618</v>
          </cell>
        </row>
        <row r="749">
          <cell r="A749" t="str">
            <v>507142765100</v>
          </cell>
          <cell r="B749" t="str">
            <v>ZMTD</v>
          </cell>
          <cell r="C749">
            <v>45552</v>
          </cell>
          <cell r="D749" t="str">
            <v>Not delivered</v>
          </cell>
          <cell r="E749">
            <v>507142765</v>
          </cell>
          <cell r="F749">
            <v>100</v>
          </cell>
          <cell r="G749">
            <v>1398383</v>
          </cell>
          <cell r="H749" t="str">
            <v>CM-319:WHITE P/BLACK UV MATTE NARS</v>
          </cell>
          <cell r="I749">
            <v>40080</v>
          </cell>
          <cell r="J749" t="str">
            <v>UN</v>
          </cell>
          <cell r="K749">
            <v>45618</v>
          </cell>
        </row>
        <row r="750">
          <cell r="A750" t="str">
            <v>50714276660</v>
          </cell>
          <cell r="B750" t="str">
            <v>ZMTD</v>
          </cell>
          <cell r="C750">
            <v>45552</v>
          </cell>
          <cell r="D750" t="str">
            <v>Not delivered</v>
          </cell>
          <cell r="E750">
            <v>507142766</v>
          </cell>
          <cell r="F750">
            <v>60</v>
          </cell>
          <cell r="G750">
            <v>1398763</v>
          </cell>
          <cell r="H750" t="str">
            <v>CM-320:WHITE S/BLACK UV MATTE NARS</v>
          </cell>
          <cell r="I750">
            <v>8100</v>
          </cell>
          <cell r="J750" t="str">
            <v>UN</v>
          </cell>
          <cell r="K750">
            <v>45618</v>
          </cell>
        </row>
        <row r="751">
          <cell r="A751" t="str">
            <v>50714275510</v>
          </cell>
          <cell r="B751" t="str">
            <v>ZMTD</v>
          </cell>
          <cell r="C751">
            <v>45547</v>
          </cell>
          <cell r="D751" t="str">
            <v>Not delivered</v>
          </cell>
          <cell r="E751">
            <v>507142755</v>
          </cell>
          <cell r="F751">
            <v>10</v>
          </cell>
          <cell r="G751">
            <v>1216572</v>
          </cell>
          <cell r="H751" t="str">
            <v>CM-216:TRUE MATCH CV PF S/SLV LOR (SEA)</v>
          </cell>
          <cell r="I751">
            <v>207600</v>
          </cell>
          <cell r="J751" t="str">
            <v>UN</v>
          </cell>
          <cell r="K751">
            <v>45618</v>
          </cell>
        </row>
        <row r="752">
          <cell r="A752" t="str">
            <v>50800527210</v>
          </cell>
          <cell r="B752" t="str">
            <v>ZMFD</v>
          </cell>
          <cell r="C752">
            <v>45538</v>
          </cell>
          <cell r="D752" t="str">
            <v>Not delivered</v>
          </cell>
          <cell r="E752">
            <v>508005272</v>
          </cell>
          <cell r="F752">
            <v>10</v>
          </cell>
          <cell r="G752">
            <v>1411899</v>
          </cell>
          <cell r="H752" t="str">
            <v>PT-100:BS/INS GREEN P/WHT KAHF PTI 60B</v>
          </cell>
          <cell r="I752">
            <v>63000</v>
          </cell>
          <cell r="J752" t="str">
            <v>UN</v>
          </cell>
          <cell r="K752">
            <v>45618</v>
          </cell>
        </row>
        <row r="753">
          <cell r="A753" t="str">
            <v>50800527220</v>
          </cell>
          <cell r="B753" t="str">
            <v>ZMFD</v>
          </cell>
          <cell r="C753">
            <v>45538</v>
          </cell>
          <cell r="D753" t="str">
            <v>Not delivered</v>
          </cell>
          <cell r="E753">
            <v>508005272</v>
          </cell>
          <cell r="F753">
            <v>20</v>
          </cell>
          <cell r="G753">
            <v>1411898</v>
          </cell>
          <cell r="H753" t="str">
            <v>PT-100:CVR MT.GREEN EMBOS KAHF PTI 40D</v>
          </cell>
          <cell r="I753">
            <v>63000</v>
          </cell>
          <cell r="J753" t="str">
            <v>UN</v>
          </cell>
          <cell r="K753">
            <v>45618</v>
          </cell>
        </row>
        <row r="754">
          <cell r="A754" t="str">
            <v>50714275320</v>
          </cell>
          <cell r="B754" t="str">
            <v>ZMTD</v>
          </cell>
          <cell r="C754">
            <v>45546</v>
          </cell>
          <cell r="D754" t="str">
            <v>Not delivered</v>
          </cell>
          <cell r="E754">
            <v>507142753</v>
          </cell>
          <cell r="F754">
            <v>20</v>
          </cell>
          <cell r="G754">
            <v>1442652</v>
          </cell>
          <cell r="H754" t="str">
            <v>CM-253:BS BEIGE CV VMGLD P/INEZ RV1 20Y</v>
          </cell>
          <cell r="I754">
            <v>25000</v>
          </cell>
          <cell r="J754" t="str">
            <v>UN</v>
          </cell>
          <cell r="K754">
            <v>45621</v>
          </cell>
        </row>
        <row r="755">
          <cell r="A755" t="str">
            <v>50800527710</v>
          </cell>
          <cell r="B755" t="str">
            <v>ZMFD</v>
          </cell>
          <cell r="C755">
            <v>45541</v>
          </cell>
          <cell r="D755" t="str">
            <v>Not delivered</v>
          </cell>
          <cell r="E755">
            <v>508005277</v>
          </cell>
          <cell r="F755">
            <v>10</v>
          </cell>
          <cell r="G755">
            <v>1285453</v>
          </cell>
          <cell r="H755" t="str">
            <v>CM-216:TRUE MATCH PP CV PF S/SLV LOR US</v>
          </cell>
          <cell r="I755">
            <v>250000</v>
          </cell>
          <cell r="J755" t="str">
            <v>UN</v>
          </cell>
          <cell r="K755">
            <v>45621</v>
          </cell>
        </row>
        <row r="756">
          <cell r="A756" t="str">
            <v>50800519730</v>
          </cell>
          <cell r="B756" t="str">
            <v>ZMFD</v>
          </cell>
          <cell r="C756">
            <v>45497</v>
          </cell>
          <cell r="D756" t="str">
            <v>Not delivered</v>
          </cell>
          <cell r="E756">
            <v>508005197</v>
          </cell>
          <cell r="F756">
            <v>30</v>
          </cell>
          <cell r="G756">
            <v>1385811</v>
          </cell>
          <cell r="H756" t="str">
            <v>LC-012:BTL VR4 ROSEWOOD P/GLASTNG PTI60B</v>
          </cell>
          <cell r="I756">
            <v>50000</v>
          </cell>
          <cell r="J756" t="str">
            <v>UN</v>
          </cell>
          <cell r="K756">
            <v>45621</v>
          </cell>
        </row>
        <row r="757">
          <cell r="A757" t="str">
            <v>50800519740</v>
          </cell>
          <cell r="B757" t="str">
            <v>ZMFD</v>
          </cell>
          <cell r="C757">
            <v>45497</v>
          </cell>
          <cell r="D757" t="str">
            <v>Not delivered</v>
          </cell>
          <cell r="E757">
            <v>508005197</v>
          </cell>
          <cell r="F757">
            <v>40</v>
          </cell>
          <cell r="G757">
            <v>1385814</v>
          </cell>
          <cell r="H757" t="str">
            <v>LC-012:CAP VM BRWN WIP GLASTING PTI 20F</v>
          </cell>
          <cell r="I757">
            <v>50000</v>
          </cell>
          <cell r="J757" t="str">
            <v>UN</v>
          </cell>
          <cell r="K757">
            <v>45621</v>
          </cell>
        </row>
        <row r="758">
          <cell r="A758" t="str">
            <v>50800520130</v>
          </cell>
          <cell r="B758" t="str">
            <v>ZMFD</v>
          </cell>
          <cell r="C758">
            <v>45497</v>
          </cell>
          <cell r="D758" t="str">
            <v>Not delivered</v>
          </cell>
          <cell r="E758">
            <v>508005201</v>
          </cell>
          <cell r="F758">
            <v>30</v>
          </cell>
          <cell r="G758">
            <v>1405658</v>
          </cell>
          <cell r="H758" t="str">
            <v>LC-012:BTL VR08 P/GLASTNG PTI60B</v>
          </cell>
          <cell r="I758">
            <v>25000</v>
          </cell>
          <cell r="J758" t="str">
            <v>UN</v>
          </cell>
          <cell r="K758">
            <v>45621</v>
          </cell>
        </row>
        <row r="759">
          <cell r="A759" t="str">
            <v>50800520140</v>
          </cell>
          <cell r="B759" t="str">
            <v>ZMFD</v>
          </cell>
          <cell r="C759">
            <v>45497</v>
          </cell>
          <cell r="D759" t="str">
            <v>Not delivered</v>
          </cell>
          <cell r="E759">
            <v>508005201</v>
          </cell>
          <cell r="F759">
            <v>40</v>
          </cell>
          <cell r="G759">
            <v>1385814</v>
          </cell>
          <cell r="H759" t="str">
            <v>LC-012:CAP VM BRWN WIP GLASTING PTI 20F</v>
          </cell>
          <cell r="I759">
            <v>25000</v>
          </cell>
          <cell r="J759" t="str">
            <v>UN</v>
          </cell>
          <cell r="K759">
            <v>45621</v>
          </cell>
        </row>
        <row r="760">
          <cell r="A760" t="str">
            <v>50714276420</v>
          </cell>
          <cell r="B760" t="str">
            <v>ZMTD</v>
          </cell>
          <cell r="C760">
            <v>45552</v>
          </cell>
          <cell r="D760" t="str">
            <v>Not delivered</v>
          </cell>
          <cell r="E760">
            <v>507142764</v>
          </cell>
          <cell r="F760">
            <v>20</v>
          </cell>
          <cell r="G760">
            <v>1211756</v>
          </cell>
          <cell r="H760" t="str">
            <v>CM-246:COVER VM SHNY SLV ALMOST PWD</v>
          </cell>
          <cell r="I760">
            <v>120120</v>
          </cell>
          <cell r="J760" t="str">
            <v>UN</v>
          </cell>
          <cell r="K760">
            <v>45622</v>
          </cell>
        </row>
        <row r="761">
          <cell r="A761" t="str">
            <v>50800519470</v>
          </cell>
          <cell r="B761" t="str">
            <v>ZMFD</v>
          </cell>
          <cell r="C761">
            <v>45497</v>
          </cell>
          <cell r="D761" t="str">
            <v>Not delivered</v>
          </cell>
          <cell r="E761">
            <v>508005194</v>
          </cell>
          <cell r="F761">
            <v>70</v>
          </cell>
          <cell r="G761">
            <v>1385814</v>
          </cell>
          <cell r="H761" t="str">
            <v>LC-012:CAP VM BRWN WIP GLASTING PTI 20F</v>
          </cell>
          <cell r="I761">
            <v>25000</v>
          </cell>
          <cell r="J761" t="str">
            <v>UN</v>
          </cell>
          <cell r="K761">
            <v>45622</v>
          </cell>
        </row>
        <row r="762">
          <cell r="A762" t="str">
            <v>50800519480</v>
          </cell>
          <cell r="B762" t="str">
            <v>ZMFD</v>
          </cell>
          <cell r="C762">
            <v>45497</v>
          </cell>
          <cell r="D762" t="str">
            <v>Not delivered</v>
          </cell>
          <cell r="E762">
            <v>508005194</v>
          </cell>
          <cell r="F762">
            <v>80</v>
          </cell>
          <cell r="G762">
            <v>1406580</v>
          </cell>
          <cell r="H762" t="str">
            <v>LC-012:BTL VR09 P/GLASTNG PTI60B</v>
          </cell>
          <cell r="I762">
            <v>25000</v>
          </cell>
          <cell r="J762" t="str">
            <v>UN</v>
          </cell>
          <cell r="K762">
            <v>45622</v>
          </cell>
        </row>
        <row r="763">
          <cell r="A763" t="str">
            <v>50800519630</v>
          </cell>
          <cell r="B763" t="str">
            <v>ZMFD</v>
          </cell>
          <cell r="C763">
            <v>45497</v>
          </cell>
          <cell r="D763" t="str">
            <v>Not delivered</v>
          </cell>
          <cell r="E763">
            <v>508005196</v>
          </cell>
          <cell r="F763">
            <v>30</v>
          </cell>
          <cell r="G763">
            <v>1382935</v>
          </cell>
          <cell r="H763" t="str">
            <v>LC-012:BTL VR2 PEACHPLS P/GLASTNG PTI60B</v>
          </cell>
          <cell r="I763">
            <v>50000</v>
          </cell>
          <cell r="J763" t="str">
            <v>UN</v>
          </cell>
          <cell r="K763">
            <v>45622</v>
          </cell>
        </row>
        <row r="764">
          <cell r="A764" t="str">
            <v>50800519640</v>
          </cell>
          <cell r="B764" t="str">
            <v>ZMFD</v>
          </cell>
          <cell r="C764">
            <v>45497</v>
          </cell>
          <cell r="D764" t="str">
            <v>Not delivered</v>
          </cell>
          <cell r="E764">
            <v>508005196</v>
          </cell>
          <cell r="F764">
            <v>40</v>
          </cell>
          <cell r="G764">
            <v>1385814</v>
          </cell>
          <cell r="H764" t="str">
            <v>LC-012:CAP VM BRWN WIP GLASTING PTI 20F</v>
          </cell>
          <cell r="I764">
            <v>50000</v>
          </cell>
          <cell r="J764" t="str">
            <v>UN</v>
          </cell>
          <cell r="K764">
            <v>45622</v>
          </cell>
        </row>
        <row r="765">
          <cell r="A765" t="str">
            <v>50800520410</v>
          </cell>
          <cell r="B765" t="str">
            <v>ZMFD</v>
          </cell>
          <cell r="C765">
            <v>45497</v>
          </cell>
          <cell r="D765" t="str">
            <v>Not delivered</v>
          </cell>
          <cell r="E765">
            <v>508005204</v>
          </cell>
          <cell r="F765">
            <v>10</v>
          </cell>
          <cell r="G765">
            <v>1405883</v>
          </cell>
          <cell r="H765" t="str">
            <v>LC-012:BTL VR13 P/GLASTNG PTI60B</v>
          </cell>
          <cell r="I765">
            <v>25000</v>
          </cell>
          <cell r="J765" t="str">
            <v>UN</v>
          </cell>
          <cell r="K765">
            <v>45622</v>
          </cell>
        </row>
        <row r="766">
          <cell r="A766" t="str">
            <v>50800520420</v>
          </cell>
          <cell r="B766" t="str">
            <v>ZMFD</v>
          </cell>
          <cell r="C766">
            <v>45497</v>
          </cell>
          <cell r="D766" t="str">
            <v>Not delivered</v>
          </cell>
          <cell r="E766">
            <v>508005204</v>
          </cell>
          <cell r="F766">
            <v>20</v>
          </cell>
          <cell r="G766">
            <v>1385814</v>
          </cell>
          <cell r="H766" t="str">
            <v>LC-012:CAP VM BRWN WIP GLASTING PTI 20F</v>
          </cell>
          <cell r="I766">
            <v>25000</v>
          </cell>
          <cell r="J766" t="str">
            <v>UN</v>
          </cell>
          <cell r="K766">
            <v>45622</v>
          </cell>
        </row>
        <row r="767">
          <cell r="A767" t="str">
            <v>50800528910</v>
          </cell>
          <cell r="B767" t="str">
            <v>ZMFD</v>
          </cell>
          <cell r="C767">
            <v>45558</v>
          </cell>
          <cell r="D767" t="str">
            <v>Not delivered</v>
          </cell>
          <cell r="E767">
            <v>508005289</v>
          </cell>
          <cell r="F767">
            <v>10</v>
          </cell>
          <cell r="G767">
            <v>1255664</v>
          </cell>
          <cell r="H767" t="str">
            <v>LC-002:BTL MT VAR14 P/WRDH B.MARK PTI40H</v>
          </cell>
          <cell r="I767">
            <v>25000</v>
          </cell>
          <cell r="J767" t="str">
            <v>UN</v>
          </cell>
          <cell r="K767">
            <v>45623</v>
          </cell>
        </row>
        <row r="768">
          <cell r="A768" t="str">
            <v>50800528920</v>
          </cell>
          <cell r="B768" t="str">
            <v>ZMFD</v>
          </cell>
          <cell r="C768">
            <v>45558</v>
          </cell>
          <cell r="D768" t="str">
            <v>Not delivered</v>
          </cell>
          <cell r="E768">
            <v>508005289</v>
          </cell>
          <cell r="F768">
            <v>20</v>
          </cell>
          <cell r="G768">
            <v>1264032</v>
          </cell>
          <cell r="H768" t="str">
            <v>LC-002:CP S/MT VAR14 STM-WHT WNAT PTI40D</v>
          </cell>
          <cell r="I768">
            <v>25000</v>
          </cell>
          <cell r="J768" t="str">
            <v>UN</v>
          </cell>
          <cell r="K768">
            <v>45623</v>
          </cell>
        </row>
        <row r="769">
          <cell r="A769" t="str">
            <v>50800527810</v>
          </cell>
          <cell r="B769" t="str">
            <v>ZMFD</v>
          </cell>
          <cell r="C769">
            <v>45544</v>
          </cell>
          <cell r="D769" t="str">
            <v>Not delivered</v>
          </cell>
          <cell r="E769">
            <v>508005278</v>
          </cell>
          <cell r="F769">
            <v>10</v>
          </cell>
          <cell r="G769">
            <v>1437039</v>
          </cell>
          <cell r="H769" t="str">
            <v>CM-290:1PC BS CV MT.BLK S/ EMBOS OMG 40C</v>
          </cell>
          <cell r="I769">
            <v>75000</v>
          </cell>
          <cell r="J769" t="str">
            <v>UN</v>
          </cell>
          <cell r="K769">
            <v>45623</v>
          </cell>
        </row>
        <row r="770">
          <cell r="A770" t="str">
            <v>50800527820</v>
          </cell>
          <cell r="B770" t="str">
            <v>ZMFD</v>
          </cell>
          <cell r="C770">
            <v>45544</v>
          </cell>
          <cell r="D770" t="str">
            <v>Not delivered</v>
          </cell>
          <cell r="E770">
            <v>508005278</v>
          </cell>
          <cell r="F770">
            <v>20</v>
          </cell>
          <cell r="G770">
            <v>1437140</v>
          </cell>
          <cell r="H770" t="str">
            <v>CM-290:ENGINE CV RED, BS BLK OMG PTI 12A</v>
          </cell>
          <cell r="I770">
            <v>75000</v>
          </cell>
          <cell r="J770" t="str">
            <v>UN</v>
          </cell>
          <cell r="K770">
            <v>45623</v>
          </cell>
        </row>
        <row r="771">
          <cell r="A771" t="str">
            <v>50800527830</v>
          </cell>
          <cell r="B771" t="str">
            <v>ZMFD</v>
          </cell>
          <cell r="C771">
            <v>45544</v>
          </cell>
          <cell r="D771" t="str">
            <v>Not delivered</v>
          </cell>
          <cell r="E771">
            <v>508005278</v>
          </cell>
          <cell r="F771">
            <v>30</v>
          </cell>
          <cell r="G771">
            <v>1437141</v>
          </cell>
          <cell r="H771" t="str">
            <v>CM-290:RING BLACK OMG PTI 12A</v>
          </cell>
          <cell r="I771">
            <v>75000</v>
          </cell>
          <cell r="J771" t="str">
            <v>UN</v>
          </cell>
          <cell r="K771">
            <v>45623</v>
          </cell>
        </row>
        <row r="772">
          <cell r="A772" t="str">
            <v>50714262810</v>
          </cell>
          <cell r="B772" t="str">
            <v>ZMTD</v>
          </cell>
          <cell r="C772">
            <v>45516</v>
          </cell>
          <cell r="D772" t="str">
            <v>Not delivered</v>
          </cell>
          <cell r="E772">
            <v>507142628</v>
          </cell>
          <cell r="F772">
            <v>10</v>
          </cell>
          <cell r="G772">
            <v>1263107</v>
          </cell>
          <cell r="H772" t="str">
            <v>CM-117:CVR BLK S/SLV BS BLK KSIPT 30K</v>
          </cell>
          <cell r="I772">
            <v>10000</v>
          </cell>
          <cell r="J772" t="str">
            <v>UN</v>
          </cell>
          <cell r="K772">
            <v>45623</v>
          </cell>
        </row>
        <row r="773">
          <cell r="A773" t="str">
            <v>50800523310</v>
          </cell>
          <cell r="B773" t="str">
            <v>ZMFD</v>
          </cell>
          <cell r="C773">
            <v>45504</v>
          </cell>
          <cell r="D773" t="str">
            <v>Not delivered</v>
          </cell>
          <cell r="E773">
            <v>508005233</v>
          </cell>
          <cell r="F773">
            <v>10</v>
          </cell>
          <cell r="G773">
            <v>1169152</v>
          </cell>
          <cell r="H773" t="str">
            <v>CM-295:SQUARE COMPACT&amp;GODET PHHT010032</v>
          </cell>
          <cell r="I773">
            <v>20040</v>
          </cell>
          <cell r="J773" t="str">
            <v>UN</v>
          </cell>
          <cell r="K773">
            <v>45623</v>
          </cell>
        </row>
        <row r="774">
          <cell r="A774" t="str">
            <v>50714243710</v>
          </cell>
          <cell r="B774" t="str">
            <v>ZMTD</v>
          </cell>
          <cell r="C774">
            <v>45475</v>
          </cell>
          <cell r="D774" t="str">
            <v>Not delivered</v>
          </cell>
          <cell r="E774">
            <v>507142437</v>
          </cell>
          <cell r="F774">
            <v>10</v>
          </cell>
          <cell r="G774">
            <v>1159364</v>
          </cell>
          <cell r="H774" t="str">
            <v>CP-071:PL8364 INSERT TNR 125-200ML REX</v>
          </cell>
          <cell r="I774">
            <v>111000</v>
          </cell>
          <cell r="J774" t="str">
            <v>UN</v>
          </cell>
          <cell r="K774">
            <v>45623</v>
          </cell>
        </row>
        <row r="775">
          <cell r="A775" t="str">
            <v>50800529310</v>
          </cell>
          <cell r="B775" t="str">
            <v>ZMFD</v>
          </cell>
          <cell r="C775">
            <v>45560</v>
          </cell>
          <cell r="D775" t="str">
            <v>Not delivered</v>
          </cell>
          <cell r="E775">
            <v>508005293</v>
          </cell>
          <cell r="F775">
            <v>10</v>
          </cell>
          <cell r="G775">
            <v>1195173</v>
          </cell>
          <cell r="H775" t="str">
            <v>PT-085:BS CVR WHT MT NDC 12.5 ZAP 40D</v>
          </cell>
          <cell r="I775">
            <v>25000</v>
          </cell>
          <cell r="J775" t="str">
            <v>UN</v>
          </cell>
          <cell r="K775">
            <v>45624</v>
          </cell>
        </row>
        <row r="776">
          <cell r="A776" t="str">
            <v>50714272910</v>
          </cell>
          <cell r="B776" t="str">
            <v>ZMTD</v>
          </cell>
          <cell r="C776">
            <v>45541</v>
          </cell>
          <cell r="D776" t="str">
            <v>Not delivered</v>
          </cell>
          <cell r="E776">
            <v>507142729</v>
          </cell>
          <cell r="F776">
            <v>10</v>
          </cell>
          <cell r="G776">
            <v>1193139</v>
          </cell>
          <cell r="H776" t="str">
            <v>FP-026:APPLICT VM SILVER FACES</v>
          </cell>
          <cell r="I776">
            <v>15000</v>
          </cell>
          <cell r="J776" t="str">
            <v>UN</v>
          </cell>
          <cell r="K776">
            <v>45624</v>
          </cell>
        </row>
        <row r="777">
          <cell r="A777" t="str">
            <v>50714272920</v>
          </cell>
          <cell r="B777" t="str">
            <v>ZMTD</v>
          </cell>
          <cell r="C777">
            <v>45541</v>
          </cell>
          <cell r="D777" t="str">
            <v>Not delivered</v>
          </cell>
          <cell r="E777">
            <v>507142729</v>
          </cell>
          <cell r="F777">
            <v>20</v>
          </cell>
          <cell r="G777">
            <v>1193250</v>
          </cell>
          <cell r="H777" t="str">
            <v>FP-026:BASE BLACK P/SLVR 2018 RGIND 60B</v>
          </cell>
          <cell r="I777">
            <v>15000</v>
          </cell>
          <cell r="J777" t="str">
            <v>UN</v>
          </cell>
          <cell r="K777">
            <v>45624</v>
          </cell>
        </row>
        <row r="778">
          <cell r="A778" t="str">
            <v>50714262710</v>
          </cell>
          <cell r="B778" t="str">
            <v>ZMTD</v>
          </cell>
          <cell r="C778">
            <v>45516</v>
          </cell>
          <cell r="D778" t="str">
            <v>Not delivered</v>
          </cell>
          <cell r="E778">
            <v>507142627</v>
          </cell>
          <cell r="F778">
            <v>10</v>
          </cell>
          <cell r="G778">
            <v>1238216</v>
          </cell>
          <cell r="H778" t="str">
            <v>FP-041:CVR NAT VM SLV P/LG INEZ KSI 20Y</v>
          </cell>
          <cell r="I778">
            <v>20000</v>
          </cell>
          <cell r="J778" t="str">
            <v>UN</v>
          </cell>
          <cell r="K778">
            <v>45624</v>
          </cell>
        </row>
        <row r="779">
          <cell r="A779" t="str">
            <v>50714262720</v>
          </cell>
          <cell r="B779" t="str">
            <v>ZMTD</v>
          </cell>
          <cell r="C779">
            <v>45516</v>
          </cell>
          <cell r="D779" t="str">
            <v>Not delivered</v>
          </cell>
          <cell r="E779">
            <v>507142627</v>
          </cell>
          <cell r="F779">
            <v>20</v>
          </cell>
          <cell r="G779">
            <v>1238217</v>
          </cell>
          <cell r="H779" t="str">
            <v>FP-041:BS CLR NO DECO KSI 12A</v>
          </cell>
          <cell r="I779">
            <v>20000</v>
          </cell>
          <cell r="J779" t="str">
            <v>UN</v>
          </cell>
          <cell r="K779">
            <v>45624</v>
          </cell>
        </row>
        <row r="780">
          <cell r="A780" t="str">
            <v>50714262730</v>
          </cell>
          <cell r="B780" t="str">
            <v>ZMTD</v>
          </cell>
          <cell r="C780">
            <v>45516</v>
          </cell>
          <cell r="D780" t="str">
            <v>Not delivered</v>
          </cell>
          <cell r="E780">
            <v>507142627</v>
          </cell>
          <cell r="F780">
            <v>30</v>
          </cell>
          <cell r="G780">
            <v>1238218</v>
          </cell>
          <cell r="H780" t="str">
            <v>FP-041:SFTR NAT W/LBL CLEAR KSI 12A</v>
          </cell>
          <cell r="I780">
            <v>20000</v>
          </cell>
          <cell r="J780" t="str">
            <v>UN</v>
          </cell>
          <cell r="K780">
            <v>45624</v>
          </cell>
        </row>
        <row r="781">
          <cell r="A781" t="str">
            <v>50800518150</v>
          </cell>
          <cell r="B781" t="str">
            <v>ZMFD</v>
          </cell>
          <cell r="C781">
            <v>45485</v>
          </cell>
          <cell r="D781" t="str">
            <v>Not delivered</v>
          </cell>
          <cell r="E781">
            <v>508005181</v>
          </cell>
          <cell r="F781">
            <v>50</v>
          </cell>
          <cell r="G781">
            <v>1413967</v>
          </cell>
          <cell r="H781" t="str">
            <v>CM-323:VM SILVER DIOR JUMBO M080</v>
          </cell>
          <cell r="I781">
            <v>18000</v>
          </cell>
          <cell r="J781" t="str">
            <v>UN</v>
          </cell>
          <cell r="K781">
            <v>45624</v>
          </cell>
        </row>
        <row r="782">
          <cell r="A782" t="str">
            <v>50714236710</v>
          </cell>
          <cell r="B782" t="str">
            <v>ZMTD</v>
          </cell>
          <cell r="C782">
            <v>45463</v>
          </cell>
          <cell r="D782" t="str">
            <v>Not delivered</v>
          </cell>
          <cell r="E782">
            <v>507142367</v>
          </cell>
          <cell r="F782">
            <v>10</v>
          </cell>
          <cell r="G782">
            <v>1175305</v>
          </cell>
          <cell r="H782" t="str">
            <v>CM-088:BROWN PRL S/GLD REVLON NEW RUDY</v>
          </cell>
          <cell r="I782">
            <v>10000</v>
          </cell>
          <cell r="J782" t="str">
            <v>UN</v>
          </cell>
          <cell r="K782">
            <v>45624</v>
          </cell>
        </row>
        <row r="783">
          <cell r="A783" t="str">
            <v>50800500140</v>
          </cell>
          <cell r="B783" t="str">
            <v>ZMFD</v>
          </cell>
          <cell r="C783">
            <v>45412</v>
          </cell>
          <cell r="D783" t="str">
            <v>Not delivered</v>
          </cell>
          <cell r="E783">
            <v>508005001</v>
          </cell>
          <cell r="F783">
            <v>40</v>
          </cell>
          <cell r="G783">
            <v>1212608</v>
          </cell>
          <cell r="H783" t="str">
            <v>FP-014:CVR BLUE S/LOGO INEZ GOLD KSI 50C</v>
          </cell>
          <cell r="I783">
            <v>25000</v>
          </cell>
          <cell r="J783" t="str">
            <v>UN</v>
          </cell>
          <cell r="K783">
            <v>45624</v>
          </cell>
        </row>
        <row r="784">
          <cell r="A784" t="str">
            <v>50800500150</v>
          </cell>
          <cell r="B784" t="str">
            <v>ZMFD</v>
          </cell>
          <cell r="C784">
            <v>45412</v>
          </cell>
          <cell r="D784" t="str">
            <v>Not delivered</v>
          </cell>
          <cell r="E784">
            <v>508005001</v>
          </cell>
          <cell r="F784">
            <v>50</v>
          </cell>
          <cell r="G784">
            <v>1212609</v>
          </cell>
          <cell r="H784" t="str">
            <v>FP-014:SFTR NAT STICKER TRANS KSI 12A</v>
          </cell>
          <cell r="I784">
            <v>25000</v>
          </cell>
          <cell r="J784" t="str">
            <v>UN</v>
          </cell>
          <cell r="K784">
            <v>45624</v>
          </cell>
        </row>
        <row r="785">
          <cell r="A785" t="str">
            <v>50800500160</v>
          </cell>
          <cell r="B785" t="str">
            <v>ZMFD</v>
          </cell>
          <cell r="C785">
            <v>45412</v>
          </cell>
          <cell r="D785" t="str">
            <v>Not delivered</v>
          </cell>
          <cell r="E785">
            <v>508005001</v>
          </cell>
          <cell r="F785">
            <v>60</v>
          </cell>
          <cell r="G785">
            <v>1212640</v>
          </cell>
          <cell r="H785" t="str">
            <v>FP-014:BS CLR SPRYGRDS S/INEZ GLD 40C</v>
          </cell>
          <cell r="I785">
            <v>25000</v>
          </cell>
          <cell r="J785" t="str">
            <v>UN</v>
          </cell>
          <cell r="K785">
            <v>45624</v>
          </cell>
        </row>
        <row r="786">
          <cell r="A786" t="str">
            <v>50714281010</v>
          </cell>
          <cell r="B786" t="str">
            <v>ZMTD</v>
          </cell>
          <cell r="C786">
            <v>45559</v>
          </cell>
          <cell r="D786" t="str">
            <v>Not delivered</v>
          </cell>
          <cell r="E786">
            <v>507142810</v>
          </cell>
          <cell r="F786">
            <v>10</v>
          </cell>
          <cell r="G786">
            <v>1159912</v>
          </cell>
          <cell r="H786" t="str">
            <v>CP-064:CAP 25 SCREW BLK MT L'OREAL</v>
          </cell>
          <cell r="I786">
            <v>150000</v>
          </cell>
          <cell r="J786" t="str">
            <v>UN</v>
          </cell>
          <cell r="K786">
            <v>45625</v>
          </cell>
        </row>
        <row r="787">
          <cell r="A787" t="str">
            <v>50714281110</v>
          </cell>
          <cell r="B787" t="str">
            <v>ZMTD</v>
          </cell>
          <cell r="C787">
            <v>45559</v>
          </cell>
          <cell r="D787" t="str">
            <v>Not delivered</v>
          </cell>
          <cell r="E787">
            <v>507142811</v>
          </cell>
          <cell r="F787">
            <v>10</v>
          </cell>
          <cell r="G787">
            <v>1159912</v>
          </cell>
          <cell r="H787" t="str">
            <v>CP-064:CAP 25 SCREW BLK MT L'OREAL</v>
          </cell>
          <cell r="I787">
            <v>150000</v>
          </cell>
          <cell r="J787" t="str">
            <v>UN</v>
          </cell>
          <cell r="K787">
            <v>45625</v>
          </cell>
        </row>
        <row r="788">
          <cell r="A788" t="str">
            <v>507142765110</v>
          </cell>
          <cell r="B788" t="str">
            <v>ZMTD</v>
          </cell>
          <cell r="C788">
            <v>45552</v>
          </cell>
          <cell r="D788" t="str">
            <v>Not delivered</v>
          </cell>
          <cell r="E788">
            <v>507142765</v>
          </cell>
          <cell r="F788">
            <v>110</v>
          </cell>
          <cell r="G788">
            <v>1398383</v>
          </cell>
          <cell r="H788" t="str">
            <v>CM-319:WHITE P/BLACK UV MATTE NARS</v>
          </cell>
          <cell r="I788">
            <v>40080</v>
          </cell>
          <cell r="J788" t="str">
            <v>UN</v>
          </cell>
          <cell r="K788">
            <v>45625</v>
          </cell>
        </row>
        <row r="789">
          <cell r="A789" t="str">
            <v>50800526210</v>
          </cell>
          <cell r="B789" t="str">
            <v>ZMFD</v>
          </cell>
          <cell r="C789">
            <v>45524</v>
          </cell>
          <cell r="D789" t="str">
            <v>Not delivered</v>
          </cell>
          <cell r="E789">
            <v>508005262</v>
          </cell>
          <cell r="F789">
            <v>10</v>
          </cell>
          <cell r="G789">
            <v>1163327</v>
          </cell>
          <cell r="H789" t="str">
            <v>CM-246:CVR S.SLV PAN WHITE 6MPY 01 0034</v>
          </cell>
          <cell r="I789">
            <v>25056</v>
          </cell>
          <cell r="J789" t="str">
            <v>UN</v>
          </cell>
          <cell r="K789">
            <v>45625</v>
          </cell>
        </row>
        <row r="790">
          <cell r="A790" t="str">
            <v>50800523220</v>
          </cell>
          <cell r="B790" t="str">
            <v>ZMFD</v>
          </cell>
          <cell r="C790">
            <v>45503</v>
          </cell>
          <cell r="D790" t="str">
            <v>Not delivered</v>
          </cell>
          <cell r="E790">
            <v>508005232</v>
          </cell>
          <cell r="F790">
            <v>20</v>
          </cell>
          <cell r="G790">
            <v>1305089</v>
          </cell>
          <cell r="H790" t="str">
            <v>CM-207:VM SHY SLV P/MATTE ZGH6010038 EL</v>
          </cell>
          <cell r="I790">
            <v>25920</v>
          </cell>
          <cell r="J790" t="str">
            <v>UN</v>
          </cell>
          <cell r="K790">
            <v>45625</v>
          </cell>
        </row>
        <row r="791">
          <cell r="A791" t="str">
            <v>50714251910</v>
          </cell>
          <cell r="B791" t="str">
            <v>ZMTD</v>
          </cell>
          <cell r="C791">
            <v>45488</v>
          </cell>
          <cell r="D791" t="str">
            <v>Not delivered</v>
          </cell>
          <cell r="E791">
            <v>507142519</v>
          </cell>
          <cell r="F791">
            <v>10</v>
          </cell>
          <cell r="G791">
            <v>1419488</v>
          </cell>
          <cell r="H791" t="str">
            <v>CP-063R:SPOUT CAP WHITE LOREAL 12A</v>
          </cell>
          <cell r="I791">
            <v>1890000</v>
          </cell>
          <cell r="J791" t="str">
            <v>UN</v>
          </cell>
          <cell r="K791">
            <v>45626</v>
          </cell>
        </row>
        <row r="792">
          <cell r="A792" t="str">
            <v>50714277750</v>
          </cell>
          <cell r="B792" t="str">
            <v>ZMTD</v>
          </cell>
          <cell r="C792">
            <v>45554</v>
          </cell>
          <cell r="D792" t="str">
            <v>Not delivered</v>
          </cell>
          <cell r="E792">
            <v>507142777</v>
          </cell>
          <cell r="F792">
            <v>50</v>
          </cell>
          <cell r="G792">
            <v>1435311</v>
          </cell>
          <cell r="H792" t="str">
            <v>LC-002:BTL/COL MTGRAD SLV AZURA LION 40D</v>
          </cell>
          <cell r="I792">
            <v>50589</v>
          </cell>
          <cell r="J792" t="str">
            <v>UN</v>
          </cell>
          <cell r="K792">
            <v>45628</v>
          </cell>
        </row>
        <row r="793">
          <cell r="A793" t="str">
            <v>50714277760</v>
          </cell>
          <cell r="B793" t="str">
            <v>ZMTD</v>
          </cell>
          <cell r="C793">
            <v>45554</v>
          </cell>
          <cell r="D793" t="str">
            <v>Not delivered</v>
          </cell>
          <cell r="E793">
            <v>507142777</v>
          </cell>
          <cell r="F793">
            <v>60</v>
          </cell>
          <cell r="G793">
            <v>1435313</v>
          </cell>
          <cell r="H793" t="str">
            <v>LC-002:CAP MTSLV WIPNAT S/AZURA LION 40C</v>
          </cell>
          <cell r="I793">
            <v>50589</v>
          </cell>
          <cell r="J793" t="str">
            <v>UN</v>
          </cell>
          <cell r="K793">
            <v>45628</v>
          </cell>
        </row>
        <row r="794">
          <cell r="A794" t="str">
            <v>50714248930</v>
          </cell>
          <cell r="B794" t="str">
            <v>ZMTD</v>
          </cell>
          <cell r="C794">
            <v>45485</v>
          </cell>
          <cell r="D794" t="str">
            <v>Not delivered</v>
          </cell>
          <cell r="E794">
            <v>507142489</v>
          </cell>
          <cell r="F794">
            <v>30</v>
          </cell>
          <cell r="G794">
            <v>1385814</v>
          </cell>
          <cell r="H794" t="str">
            <v>LC-012:CAP VM BRWN WIP GLASTING PTI 20F</v>
          </cell>
          <cell r="I794">
            <v>27972</v>
          </cell>
          <cell r="J794" t="str">
            <v>UN</v>
          </cell>
          <cell r="K794">
            <v>45628</v>
          </cell>
        </row>
        <row r="795">
          <cell r="A795" t="str">
            <v>50714248940</v>
          </cell>
          <cell r="B795" t="str">
            <v>ZMTD</v>
          </cell>
          <cell r="C795">
            <v>45485</v>
          </cell>
          <cell r="D795" t="str">
            <v>Not delivered</v>
          </cell>
          <cell r="E795">
            <v>507142489</v>
          </cell>
          <cell r="F795">
            <v>40</v>
          </cell>
          <cell r="G795">
            <v>1390058</v>
          </cell>
          <cell r="H795" t="str">
            <v>LC-012:BTL VR6 RUBYSPAR P/GLASTNG PTI60B</v>
          </cell>
          <cell r="I795">
            <v>27972</v>
          </cell>
          <cell r="J795" t="str">
            <v>UN</v>
          </cell>
          <cell r="K795">
            <v>45628</v>
          </cell>
        </row>
        <row r="796">
          <cell r="A796" t="str">
            <v>50714248630</v>
          </cell>
          <cell r="B796" t="str">
            <v>ZMTD</v>
          </cell>
          <cell r="C796">
            <v>45484</v>
          </cell>
          <cell r="D796" t="str">
            <v>Not delivered</v>
          </cell>
          <cell r="E796">
            <v>507142486</v>
          </cell>
          <cell r="F796">
            <v>30</v>
          </cell>
          <cell r="G796">
            <v>1225724</v>
          </cell>
          <cell r="H796" t="str">
            <v>CL-003:BTL CLR COL BEIGE P/EMINA PTI 60B</v>
          </cell>
          <cell r="I796">
            <v>24948</v>
          </cell>
          <cell r="J796" t="str">
            <v>UN</v>
          </cell>
          <cell r="K796">
            <v>45628</v>
          </cell>
        </row>
        <row r="797">
          <cell r="A797" t="str">
            <v>50714248640</v>
          </cell>
          <cell r="B797" t="str">
            <v>ZMTD</v>
          </cell>
          <cell r="C797">
            <v>45484</v>
          </cell>
          <cell r="D797" t="str">
            <v>Not delivered</v>
          </cell>
          <cell r="E797">
            <v>507142486</v>
          </cell>
          <cell r="F797">
            <v>40</v>
          </cell>
          <cell r="G797">
            <v>1225723</v>
          </cell>
          <cell r="H797" t="str">
            <v>CL-003:CAP BEIGE P/EMINA WIP NAT PTI 60B</v>
          </cell>
          <cell r="I797">
            <v>24948</v>
          </cell>
          <cell r="J797" t="str">
            <v>UN</v>
          </cell>
          <cell r="K797">
            <v>45628</v>
          </cell>
        </row>
        <row r="798">
          <cell r="A798" t="str">
            <v>50714276430</v>
          </cell>
          <cell r="B798" t="str">
            <v>ZMTD</v>
          </cell>
          <cell r="C798">
            <v>45552</v>
          </cell>
          <cell r="D798" t="str">
            <v>Not delivered</v>
          </cell>
          <cell r="E798">
            <v>507142764</v>
          </cell>
          <cell r="F798">
            <v>30</v>
          </cell>
          <cell r="G798">
            <v>1211756</v>
          </cell>
          <cell r="H798" t="str">
            <v>CM-246:COVER VM SHNY SLV ALMOST PWD</v>
          </cell>
          <cell r="I798">
            <v>120120</v>
          </cell>
          <cell r="J798" t="str">
            <v>UN</v>
          </cell>
          <cell r="K798">
            <v>45629</v>
          </cell>
        </row>
        <row r="799">
          <cell r="A799" t="str">
            <v>50714267010</v>
          </cell>
          <cell r="B799" t="str">
            <v>ZMTD</v>
          </cell>
          <cell r="C799">
            <v>45526</v>
          </cell>
          <cell r="D799" t="str">
            <v>Not delivered</v>
          </cell>
          <cell r="E799">
            <v>507142670</v>
          </cell>
          <cell r="F799">
            <v>10</v>
          </cell>
          <cell r="G799">
            <v>1391910</v>
          </cell>
          <cell r="H799" t="str">
            <v>CM-133:CV BS WHT PRL S/NAVAGRN RV1 50C</v>
          </cell>
          <cell r="I799">
            <v>10000</v>
          </cell>
          <cell r="J799" t="str">
            <v>UN</v>
          </cell>
          <cell r="K799">
            <v>45629</v>
          </cell>
        </row>
        <row r="800">
          <cell r="A800" t="str">
            <v>50714267020</v>
          </cell>
          <cell r="B800" t="str">
            <v>ZMTD</v>
          </cell>
          <cell r="C800">
            <v>45526</v>
          </cell>
          <cell r="D800" t="str">
            <v>Not delivered</v>
          </cell>
          <cell r="E800">
            <v>507142670</v>
          </cell>
          <cell r="F800">
            <v>20</v>
          </cell>
          <cell r="G800">
            <v>1369453</v>
          </cell>
          <cell r="H800" t="str">
            <v>SPONGE WHT 55X6T NBR TWC D.FARMA(T)</v>
          </cell>
          <cell r="I800">
            <v>10000</v>
          </cell>
          <cell r="J800" t="str">
            <v>UN</v>
          </cell>
          <cell r="K800">
            <v>45629</v>
          </cell>
        </row>
        <row r="801">
          <cell r="A801" t="str">
            <v>50714267030</v>
          </cell>
          <cell r="B801" t="str">
            <v>ZMTD</v>
          </cell>
          <cell r="C801">
            <v>45526</v>
          </cell>
          <cell r="D801" t="str">
            <v>Not delivered</v>
          </cell>
          <cell r="E801">
            <v>507142670</v>
          </cell>
          <cell r="F801">
            <v>30</v>
          </cell>
          <cell r="G801">
            <v>1387222</v>
          </cell>
          <cell r="H801" t="str">
            <v>PUFF:WHT SATIN55X7T P/NAAVAGR NEWLOGO(T)</v>
          </cell>
          <cell r="I801">
            <v>10000</v>
          </cell>
          <cell r="J801" t="str">
            <v>UN</v>
          </cell>
          <cell r="K801">
            <v>45629</v>
          </cell>
        </row>
        <row r="802">
          <cell r="A802" t="str">
            <v>50800525260</v>
          </cell>
          <cell r="B802" t="str">
            <v>ZMFD</v>
          </cell>
          <cell r="C802">
            <v>45512</v>
          </cell>
          <cell r="D802" t="str">
            <v>Not delivered</v>
          </cell>
          <cell r="E802">
            <v>508005252</v>
          </cell>
          <cell r="F802">
            <v>60</v>
          </cell>
          <cell r="G802">
            <v>1382368</v>
          </cell>
          <cell r="H802" t="str">
            <v>CP-067R:FT CAP35 SNAP BLK MATTE  Ø5 LRL</v>
          </cell>
          <cell r="I802">
            <v>300000</v>
          </cell>
          <cell r="J802" t="str">
            <v>UN</v>
          </cell>
          <cell r="K802">
            <v>45629</v>
          </cell>
        </row>
        <row r="803">
          <cell r="A803" t="str">
            <v>50800523920</v>
          </cell>
          <cell r="B803" t="str">
            <v>ZMFD</v>
          </cell>
          <cell r="C803">
            <v>45505</v>
          </cell>
          <cell r="D803" t="str">
            <v>Not delivered</v>
          </cell>
          <cell r="E803">
            <v>508005239</v>
          </cell>
          <cell r="F803">
            <v>20</v>
          </cell>
          <cell r="G803">
            <v>1388326</v>
          </cell>
          <cell r="H803" t="str">
            <v>CM-253:CV BS MTPEACH P/C.BLSH RV1 PTI40H</v>
          </cell>
          <cell r="I803">
            <v>15000</v>
          </cell>
          <cell r="J803" t="str">
            <v>UN</v>
          </cell>
          <cell r="K803">
            <v>45629</v>
          </cell>
        </row>
        <row r="804">
          <cell r="A804" t="str">
            <v>50800519490</v>
          </cell>
          <cell r="B804" t="str">
            <v>ZMFD</v>
          </cell>
          <cell r="C804">
            <v>45497</v>
          </cell>
          <cell r="D804" t="str">
            <v>Not delivered</v>
          </cell>
          <cell r="E804">
            <v>508005194</v>
          </cell>
          <cell r="F804">
            <v>90</v>
          </cell>
          <cell r="G804">
            <v>1385814</v>
          </cell>
          <cell r="H804" t="str">
            <v>LC-012:CAP VM BRWN WIP GLASTING PTI 20F</v>
          </cell>
          <cell r="I804">
            <v>25000</v>
          </cell>
          <cell r="J804" t="str">
            <v>UN</v>
          </cell>
          <cell r="K804">
            <v>45629</v>
          </cell>
        </row>
        <row r="805">
          <cell r="A805" t="str">
            <v>508005194100</v>
          </cell>
          <cell r="B805" t="str">
            <v>ZMFD</v>
          </cell>
          <cell r="C805">
            <v>45497</v>
          </cell>
          <cell r="D805" t="str">
            <v>Not delivered</v>
          </cell>
          <cell r="E805">
            <v>508005194</v>
          </cell>
          <cell r="F805">
            <v>100</v>
          </cell>
          <cell r="G805">
            <v>1406580</v>
          </cell>
          <cell r="H805" t="str">
            <v>LC-012:BTL VR09 P/GLASTNG PTI60B</v>
          </cell>
          <cell r="I805">
            <v>25000</v>
          </cell>
          <cell r="J805" t="str">
            <v>UN</v>
          </cell>
          <cell r="K805">
            <v>45629</v>
          </cell>
        </row>
        <row r="806">
          <cell r="A806" t="str">
            <v>50800519510</v>
          </cell>
          <cell r="B806" t="str">
            <v>ZMFD</v>
          </cell>
          <cell r="C806">
            <v>45497</v>
          </cell>
          <cell r="D806" t="str">
            <v>Not delivered</v>
          </cell>
          <cell r="E806">
            <v>508005195</v>
          </cell>
          <cell r="F806">
            <v>10</v>
          </cell>
          <cell r="G806">
            <v>1382893</v>
          </cell>
          <cell r="H806" t="str">
            <v>LC-012:BTL VR1 CRMLCOAT P/GLASTNG PTI60B</v>
          </cell>
          <cell r="I806">
            <v>23000</v>
          </cell>
          <cell r="J806" t="str">
            <v>UN</v>
          </cell>
          <cell r="K806">
            <v>45629</v>
          </cell>
        </row>
        <row r="807">
          <cell r="A807" t="str">
            <v>50800519520</v>
          </cell>
          <cell r="B807" t="str">
            <v>ZMFD</v>
          </cell>
          <cell r="C807">
            <v>45497</v>
          </cell>
          <cell r="D807" t="str">
            <v>Not delivered</v>
          </cell>
          <cell r="E807">
            <v>508005195</v>
          </cell>
          <cell r="F807">
            <v>20</v>
          </cell>
          <cell r="G807">
            <v>1385814</v>
          </cell>
          <cell r="H807" t="str">
            <v>LC-012:CAP VM BRWN WIP GLASTING PTI 20F</v>
          </cell>
          <cell r="I807">
            <v>23000</v>
          </cell>
          <cell r="J807" t="str">
            <v>UN</v>
          </cell>
          <cell r="K807">
            <v>45629</v>
          </cell>
        </row>
        <row r="808">
          <cell r="A808" t="str">
            <v>50800519650</v>
          </cell>
          <cell r="B808" t="str">
            <v>ZMFD</v>
          </cell>
          <cell r="C808">
            <v>45497</v>
          </cell>
          <cell r="D808" t="str">
            <v>Not delivered</v>
          </cell>
          <cell r="E808">
            <v>508005196</v>
          </cell>
          <cell r="F808">
            <v>50</v>
          </cell>
          <cell r="G808">
            <v>1382935</v>
          </cell>
          <cell r="H808" t="str">
            <v>LC-012:BTL VR2 PEACHPLS P/GLASTNG PTI60B</v>
          </cell>
          <cell r="I808">
            <v>50000</v>
          </cell>
          <cell r="J808" t="str">
            <v>UN</v>
          </cell>
          <cell r="K808">
            <v>45629</v>
          </cell>
        </row>
        <row r="809">
          <cell r="A809" t="str">
            <v>50800519660</v>
          </cell>
          <cell r="B809" t="str">
            <v>ZMFD</v>
          </cell>
          <cell r="C809">
            <v>45497</v>
          </cell>
          <cell r="D809" t="str">
            <v>Not delivered</v>
          </cell>
          <cell r="E809">
            <v>508005196</v>
          </cell>
          <cell r="F809">
            <v>60</v>
          </cell>
          <cell r="G809">
            <v>1385814</v>
          </cell>
          <cell r="H809" t="str">
            <v>LC-012:CAP VM BRWN WIP GLASTING PTI 20F</v>
          </cell>
          <cell r="I809">
            <v>50000</v>
          </cell>
          <cell r="J809" t="str">
            <v>UN</v>
          </cell>
          <cell r="K809">
            <v>45629</v>
          </cell>
        </row>
        <row r="810">
          <cell r="A810" t="str">
            <v>50800519750</v>
          </cell>
          <cell r="B810" t="str">
            <v>ZMFD</v>
          </cell>
          <cell r="C810">
            <v>45497</v>
          </cell>
          <cell r="D810" t="str">
            <v>Not delivered</v>
          </cell>
          <cell r="E810">
            <v>508005197</v>
          </cell>
          <cell r="F810">
            <v>50</v>
          </cell>
          <cell r="G810">
            <v>1385811</v>
          </cell>
          <cell r="H810" t="str">
            <v>LC-012:BTL VR4 ROSEWOOD P/GLASTNG PTI60B</v>
          </cell>
          <cell r="I810">
            <v>75000</v>
          </cell>
          <cell r="J810" t="str">
            <v>UN</v>
          </cell>
          <cell r="K810">
            <v>45629</v>
          </cell>
        </row>
        <row r="811">
          <cell r="A811" t="str">
            <v>50800519760</v>
          </cell>
          <cell r="B811" t="str">
            <v>ZMFD</v>
          </cell>
          <cell r="C811">
            <v>45497</v>
          </cell>
          <cell r="D811" t="str">
            <v>Not delivered</v>
          </cell>
          <cell r="E811">
            <v>508005197</v>
          </cell>
          <cell r="F811">
            <v>60</v>
          </cell>
          <cell r="G811">
            <v>1385814</v>
          </cell>
          <cell r="H811" t="str">
            <v>LC-012:CAP VM BRWN WIP GLASTING PTI 20F</v>
          </cell>
          <cell r="I811">
            <v>75000</v>
          </cell>
          <cell r="J811" t="str">
            <v>UN</v>
          </cell>
          <cell r="K811">
            <v>45629</v>
          </cell>
        </row>
        <row r="812">
          <cell r="A812" t="str">
            <v>50800519910</v>
          </cell>
          <cell r="B812" t="str">
            <v>ZMFD</v>
          </cell>
          <cell r="C812">
            <v>45497</v>
          </cell>
          <cell r="D812" t="str">
            <v>Not delivered</v>
          </cell>
          <cell r="E812">
            <v>508005199</v>
          </cell>
          <cell r="F812">
            <v>10</v>
          </cell>
          <cell r="G812">
            <v>1390058</v>
          </cell>
          <cell r="H812" t="str">
            <v>LC-012:BTL VR6 RUBYSPAR P/GLASTNG PTI60B</v>
          </cell>
          <cell r="I812">
            <v>23000</v>
          </cell>
          <cell r="J812" t="str">
            <v>UN</v>
          </cell>
          <cell r="K812">
            <v>45629</v>
          </cell>
        </row>
        <row r="813">
          <cell r="A813" t="str">
            <v>50800519920</v>
          </cell>
          <cell r="B813" t="str">
            <v>ZMFD</v>
          </cell>
          <cell r="C813">
            <v>45497</v>
          </cell>
          <cell r="D813" t="str">
            <v>Not delivered</v>
          </cell>
          <cell r="E813">
            <v>508005199</v>
          </cell>
          <cell r="F813">
            <v>20</v>
          </cell>
          <cell r="G813">
            <v>1385814</v>
          </cell>
          <cell r="H813" t="str">
            <v>LC-012:CAP VM BRWN WIP GLASTING PTI 20F</v>
          </cell>
          <cell r="I813">
            <v>23000</v>
          </cell>
          <cell r="J813" t="str">
            <v>UN</v>
          </cell>
          <cell r="K813">
            <v>45629</v>
          </cell>
        </row>
        <row r="814">
          <cell r="A814" t="str">
            <v>50800519350</v>
          </cell>
          <cell r="B814" t="str">
            <v>ZMFD</v>
          </cell>
          <cell r="C814">
            <v>45492</v>
          </cell>
          <cell r="D814" t="str">
            <v>Not delivered</v>
          </cell>
          <cell r="E814">
            <v>508005193</v>
          </cell>
          <cell r="F814">
            <v>50</v>
          </cell>
          <cell r="G814">
            <v>1342220</v>
          </cell>
          <cell r="H814" t="str">
            <v>LC-010:BTL CLR HTF COLBEIGE CFIT PTI 60C</v>
          </cell>
          <cell r="I814">
            <v>100000</v>
          </cell>
          <cell r="J814" t="str">
            <v>UN</v>
          </cell>
          <cell r="K814">
            <v>45629</v>
          </cell>
        </row>
        <row r="815">
          <cell r="A815" t="str">
            <v>50800519360</v>
          </cell>
          <cell r="B815" t="str">
            <v>ZMFD</v>
          </cell>
          <cell r="C815">
            <v>45492</v>
          </cell>
          <cell r="D815" t="str">
            <v>Not delivered</v>
          </cell>
          <cell r="E815">
            <v>508005193</v>
          </cell>
          <cell r="F815">
            <v>60</v>
          </cell>
          <cell r="G815">
            <v>1342221</v>
          </cell>
          <cell r="H815" t="str">
            <v>LC-010:CAP BEIGE WIP NAT PTI 12A</v>
          </cell>
          <cell r="I815">
            <v>100000</v>
          </cell>
          <cell r="J815" t="str">
            <v>UN</v>
          </cell>
          <cell r="K815">
            <v>45629</v>
          </cell>
        </row>
        <row r="816">
          <cell r="A816" t="str">
            <v>50714246550</v>
          </cell>
          <cell r="B816" t="str">
            <v>ZMTD</v>
          </cell>
          <cell r="C816">
            <v>45481</v>
          </cell>
          <cell r="D816" t="str">
            <v>Not delivered</v>
          </cell>
          <cell r="E816">
            <v>507142465</v>
          </cell>
          <cell r="F816">
            <v>50</v>
          </cell>
          <cell r="G816">
            <v>1382893</v>
          </cell>
          <cell r="H816" t="str">
            <v>LC-012:BTL VR1 CRMLCOAT P/GLASTNG PTI60B</v>
          </cell>
          <cell r="I816">
            <v>27972</v>
          </cell>
          <cell r="J816" t="str">
            <v>UN</v>
          </cell>
          <cell r="K816">
            <v>45629</v>
          </cell>
        </row>
        <row r="817">
          <cell r="A817" t="str">
            <v>50714246560</v>
          </cell>
          <cell r="B817" t="str">
            <v>ZMTD</v>
          </cell>
          <cell r="C817">
            <v>45481</v>
          </cell>
          <cell r="D817" t="str">
            <v>Not delivered</v>
          </cell>
          <cell r="E817">
            <v>507142465</v>
          </cell>
          <cell r="F817">
            <v>60</v>
          </cell>
          <cell r="G817">
            <v>1385814</v>
          </cell>
          <cell r="H817" t="str">
            <v>LC-012:CAP VM BRWN WIP GLASTING PTI 20F</v>
          </cell>
          <cell r="I817">
            <v>27972</v>
          </cell>
          <cell r="J817" t="str">
            <v>UN</v>
          </cell>
          <cell r="K817">
            <v>45629</v>
          </cell>
        </row>
        <row r="818">
          <cell r="A818" t="str">
            <v>50800516120</v>
          </cell>
          <cell r="B818" t="str">
            <v>ZMFD</v>
          </cell>
          <cell r="C818">
            <v>45475</v>
          </cell>
          <cell r="D818" t="str">
            <v>Not delivered</v>
          </cell>
          <cell r="E818">
            <v>508005161</v>
          </cell>
          <cell r="F818">
            <v>20</v>
          </cell>
          <cell r="G818">
            <v>1386990</v>
          </cell>
          <cell r="H818" t="str">
            <v>CM-099:CVR BS MTBEIGE P/QUAD RV1 PTI 40H</v>
          </cell>
          <cell r="I818">
            <v>20000</v>
          </cell>
          <cell r="J818" t="str">
            <v>UN</v>
          </cell>
          <cell r="K818">
            <v>45629</v>
          </cell>
        </row>
        <row r="819">
          <cell r="A819" t="str">
            <v>50800507310</v>
          </cell>
          <cell r="B819" t="str">
            <v>ZMFD</v>
          </cell>
          <cell r="C819">
            <v>45433</v>
          </cell>
          <cell r="D819" t="str">
            <v>Not delivered</v>
          </cell>
          <cell r="E819">
            <v>508005073</v>
          </cell>
          <cell r="F819">
            <v>10</v>
          </cell>
          <cell r="G819">
            <v>1169047</v>
          </cell>
          <cell r="H819" t="str">
            <v>LS-285:B V/SL P/1PS SLEV H/SL BLM PTI20R</v>
          </cell>
          <cell r="I819">
            <v>25536</v>
          </cell>
          <cell r="J819" t="str">
            <v>UN</v>
          </cell>
          <cell r="K819">
            <v>45629</v>
          </cell>
        </row>
        <row r="820">
          <cell r="A820" t="str">
            <v>50800507320</v>
          </cell>
          <cell r="B820" t="str">
            <v>ZMFD</v>
          </cell>
          <cell r="C820">
            <v>45433</v>
          </cell>
          <cell r="D820" t="str">
            <v>Not delivered</v>
          </cell>
          <cell r="E820">
            <v>508005073</v>
          </cell>
          <cell r="F820">
            <v>20</v>
          </cell>
          <cell r="G820">
            <v>1171170</v>
          </cell>
          <cell r="H820" t="str">
            <v>LS-285:CV TRANS LONG13 P/1PS VAR4 PTI40H</v>
          </cell>
          <cell r="I820">
            <v>25536</v>
          </cell>
          <cell r="J820" t="str">
            <v>UN</v>
          </cell>
          <cell r="K820">
            <v>45629</v>
          </cell>
        </row>
        <row r="821">
          <cell r="A821" t="str">
            <v>50800507440</v>
          </cell>
          <cell r="B821" t="str">
            <v>ZMFD</v>
          </cell>
          <cell r="C821">
            <v>45433</v>
          </cell>
          <cell r="D821" t="str">
            <v>Not delivered</v>
          </cell>
          <cell r="E821">
            <v>508005074</v>
          </cell>
          <cell r="F821">
            <v>40</v>
          </cell>
          <cell r="G821">
            <v>1169047</v>
          </cell>
          <cell r="H821" t="str">
            <v>LS-285:B V/SL P/1PS SLEV H/SL BLM PTI20R</v>
          </cell>
          <cell r="I821">
            <v>25536</v>
          </cell>
          <cell r="J821" t="str">
            <v>UN</v>
          </cell>
          <cell r="K821">
            <v>45629</v>
          </cell>
        </row>
        <row r="822">
          <cell r="A822" t="str">
            <v>50800507450</v>
          </cell>
          <cell r="B822" t="str">
            <v>ZMFD</v>
          </cell>
          <cell r="C822">
            <v>45433</v>
          </cell>
          <cell r="D822" t="str">
            <v>Not delivered</v>
          </cell>
          <cell r="E822">
            <v>508005074</v>
          </cell>
          <cell r="F822">
            <v>50</v>
          </cell>
          <cell r="G822">
            <v>1171873</v>
          </cell>
          <cell r="H822" t="str">
            <v>LS-285:CV TRANS MATE 6 P/1PS VAR5 PTI40H</v>
          </cell>
          <cell r="I822">
            <v>25536</v>
          </cell>
          <cell r="J822" t="str">
            <v>UN</v>
          </cell>
          <cell r="K822">
            <v>45629</v>
          </cell>
        </row>
        <row r="823">
          <cell r="A823" t="str">
            <v>50714280210</v>
          </cell>
          <cell r="B823" t="str">
            <v>ZMTD</v>
          </cell>
          <cell r="C823">
            <v>45559</v>
          </cell>
          <cell r="D823" t="str">
            <v>Not delivered</v>
          </cell>
          <cell r="E823">
            <v>507142802</v>
          </cell>
          <cell r="F823">
            <v>10</v>
          </cell>
          <cell r="G823">
            <v>1419488</v>
          </cell>
          <cell r="H823" t="str">
            <v>CP-063R:SPOUT CAP WHITE LOREAL 12A</v>
          </cell>
          <cell r="I823">
            <v>1890000</v>
          </cell>
          <cell r="J823" t="str">
            <v>UN</v>
          </cell>
          <cell r="K823">
            <v>45630</v>
          </cell>
        </row>
        <row r="824">
          <cell r="A824" t="str">
            <v>50800527840</v>
          </cell>
          <cell r="B824" t="str">
            <v>ZMFD</v>
          </cell>
          <cell r="C824">
            <v>45544</v>
          </cell>
          <cell r="D824" t="str">
            <v>Not delivered</v>
          </cell>
          <cell r="E824">
            <v>508005278</v>
          </cell>
          <cell r="F824">
            <v>40</v>
          </cell>
          <cell r="G824">
            <v>1437039</v>
          </cell>
          <cell r="H824" t="str">
            <v>CM-290:1PC BS CV MT.BLK S/ EMBOS OMG 40C</v>
          </cell>
          <cell r="I824">
            <v>75000</v>
          </cell>
          <cell r="J824" t="str">
            <v>UN</v>
          </cell>
          <cell r="K824">
            <v>45630</v>
          </cell>
        </row>
        <row r="825">
          <cell r="A825" t="str">
            <v>50800527850</v>
          </cell>
          <cell r="B825" t="str">
            <v>ZMFD</v>
          </cell>
          <cell r="C825">
            <v>45544</v>
          </cell>
          <cell r="D825" t="str">
            <v>Not delivered</v>
          </cell>
          <cell r="E825">
            <v>508005278</v>
          </cell>
          <cell r="F825">
            <v>50</v>
          </cell>
          <cell r="G825">
            <v>1437140</v>
          </cell>
          <cell r="H825" t="str">
            <v>CM-290:ENGINE CV RED, BS BLK OMG PTI 12A</v>
          </cell>
          <cell r="I825">
            <v>75000</v>
          </cell>
          <cell r="J825" t="str">
            <v>UN</v>
          </cell>
          <cell r="K825">
            <v>45630</v>
          </cell>
        </row>
        <row r="826">
          <cell r="A826" t="str">
            <v>50800527860</v>
          </cell>
          <cell r="B826" t="str">
            <v>ZMFD</v>
          </cell>
          <cell r="C826">
            <v>45544</v>
          </cell>
          <cell r="D826" t="str">
            <v>Not delivered</v>
          </cell>
          <cell r="E826">
            <v>508005278</v>
          </cell>
          <cell r="F826">
            <v>60</v>
          </cell>
          <cell r="G826">
            <v>1437141</v>
          </cell>
          <cell r="H826" t="str">
            <v>CM-290:RING BLACK OMG PTI 12A</v>
          </cell>
          <cell r="I826">
            <v>75000</v>
          </cell>
          <cell r="J826" t="str">
            <v>UN</v>
          </cell>
          <cell r="K826">
            <v>45630</v>
          </cell>
        </row>
        <row r="827">
          <cell r="A827" t="str">
            <v>50800525150</v>
          </cell>
          <cell r="B827" t="str">
            <v>ZMFD</v>
          </cell>
          <cell r="C827">
            <v>45511</v>
          </cell>
          <cell r="D827" t="str">
            <v>Not delivered</v>
          </cell>
          <cell r="E827">
            <v>508005251</v>
          </cell>
          <cell r="F827">
            <v>50</v>
          </cell>
          <cell r="G827">
            <v>1168132</v>
          </cell>
          <cell r="H827" t="str">
            <v>LS-285:BS WHT NO DC WARDAH</v>
          </cell>
          <cell r="I827">
            <v>50000</v>
          </cell>
          <cell r="J827" t="str">
            <v>UN</v>
          </cell>
          <cell r="K827">
            <v>45630</v>
          </cell>
        </row>
        <row r="828">
          <cell r="A828" t="str">
            <v>50800525160</v>
          </cell>
          <cell r="B828" t="str">
            <v>ZMFD</v>
          </cell>
          <cell r="C828">
            <v>45511</v>
          </cell>
          <cell r="D828" t="str">
            <v>Not delivered</v>
          </cell>
          <cell r="E828">
            <v>508005251</v>
          </cell>
          <cell r="F828">
            <v>60</v>
          </cell>
          <cell r="G828">
            <v>1421510</v>
          </cell>
          <cell r="H828" t="str">
            <v>LS-285:CV PINK P/WHT UV P.BLOSOM PTI 30O</v>
          </cell>
          <cell r="I828">
            <v>50000</v>
          </cell>
          <cell r="J828" t="str">
            <v>UN</v>
          </cell>
          <cell r="K828">
            <v>45630</v>
          </cell>
        </row>
        <row r="829">
          <cell r="A829" t="str">
            <v>50800524120</v>
          </cell>
          <cell r="B829" t="str">
            <v>ZMFD</v>
          </cell>
          <cell r="C829">
            <v>45510</v>
          </cell>
          <cell r="D829" t="str">
            <v>Not delivered</v>
          </cell>
          <cell r="E829">
            <v>508005241</v>
          </cell>
          <cell r="F829">
            <v>20</v>
          </cell>
          <cell r="G829">
            <v>1411213</v>
          </cell>
          <cell r="H829" t="str">
            <v>CM-105:BLCK COAT P/MAKE OVER PTI RV1 40H</v>
          </cell>
          <cell r="I829">
            <v>10000</v>
          </cell>
          <cell r="J829" t="str">
            <v>UN</v>
          </cell>
          <cell r="K829">
            <v>45630</v>
          </cell>
        </row>
        <row r="830">
          <cell r="A830" t="str">
            <v>50800523590</v>
          </cell>
          <cell r="B830" t="str">
            <v>ZMFD</v>
          </cell>
          <cell r="C830">
            <v>45505</v>
          </cell>
          <cell r="D830" t="str">
            <v>Not delivered</v>
          </cell>
          <cell r="E830">
            <v>508005235</v>
          </cell>
          <cell r="F830">
            <v>90</v>
          </cell>
          <cell r="G830">
            <v>1332995</v>
          </cell>
          <cell r="H830" t="str">
            <v>LC-008:CAP VM SLV WIP NAT EMLC PTI 20F</v>
          </cell>
          <cell r="I830">
            <v>100000</v>
          </cell>
          <cell r="J830" t="str">
            <v>UN</v>
          </cell>
          <cell r="K830">
            <v>45630</v>
          </cell>
        </row>
        <row r="831">
          <cell r="A831" t="str">
            <v>508005235100</v>
          </cell>
          <cell r="B831" t="str">
            <v>ZMFD</v>
          </cell>
          <cell r="C831">
            <v>45505</v>
          </cell>
          <cell r="D831" t="str">
            <v>Not delivered</v>
          </cell>
          <cell r="E831">
            <v>508005235</v>
          </cell>
          <cell r="F831">
            <v>100</v>
          </cell>
          <cell r="G831">
            <v>1434959</v>
          </cell>
          <cell r="H831" t="str">
            <v>LC-008:BTL CLR (PCTG) P/WHT EMLC PTI 60B</v>
          </cell>
          <cell r="I831">
            <v>100000</v>
          </cell>
          <cell r="J831" t="str">
            <v>UN</v>
          </cell>
          <cell r="K831">
            <v>45630</v>
          </cell>
        </row>
        <row r="832">
          <cell r="A832" t="str">
            <v>50800515930</v>
          </cell>
          <cell r="B832" t="str">
            <v>ZMFD</v>
          </cell>
          <cell r="C832">
            <v>45475</v>
          </cell>
          <cell r="D832" t="str">
            <v>Not delivered</v>
          </cell>
          <cell r="E832">
            <v>508005159</v>
          </cell>
          <cell r="F832">
            <v>30</v>
          </cell>
          <cell r="G832">
            <v>1285116</v>
          </cell>
          <cell r="H832" t="str">
            <v>CM-292:CV/BS MTBLK LENS S/SLV MO PTI 40C</v>
          </cell>
          <cell r="I832">
            <v>50000</v>
          </cell>
          <cell r="J832" t="str">
            <v>UN</v>
          </cell>
          <cell r="K832">
            <v>45630</v>
          </cell>
        </row>
        <row r="833">
          <cell r="A833" t="str">
            <v>50800513930</v>
          </cell>
          <cell r="B833" t="str">
            <v>ZMFD</v>
          </cell>
          <cell r="C833">
            <v>45462</v>
          </cell>
          <cell r="D833" t="str">
            <v>Not delivered</v>
          </cell>
          <cell r="E833">
            <v>508005139</v>
          </cell>
          <cell r="F833">
            <v>30</v>
          </cell>
          <cell r="G833">
            <v>1388034</v>
          </cell>
          <cell r="H833" t="str">
            <v>CM-253:CV BS MTCORL P/C.BLSH RV1 PTI40H</v>
          </cell>
          <cell r="I833">
            <v>15000</v>
          </cell>
          <cell r="J833" t="str">
            <v>UN</v>
          </cell>
          <cell r="K833">
            <v>45630</v>
          </cell>
        </row>
        <row r="834">
          <cell r="A834" t="str">
            <v>508005067110</v>
          </cell>
          <cell r="B834" t="str">
            <v>ZMFD</v>
          </cell>
          <cell r="C834">
            <v>45433</v>
          </cell>
          <cell r="D834" t="str">
            <v>Not delivered</v>
          </cell>
          <cell r="E834">
            <v>508005067</v>
          </cell>
          <cell r="F834">
            <v>110</v>
          </cell>
          <cell r="G834">
            <v>1255664</v>
          </cell>
          <cell r="H834" t="str">
            <v>LC-002:BTL MT VAR14 P/WRDH B.MARK PTI40H</v>
          </cell>
          <cell r="I834">
            <v>25000</v>
          </cell>
          <cell r="J834" t="str">
            <v>UN</v>
          </cell>
          <cell r="K834">
            <v>45630</v>
          </cell>
        </row>
        <row r="835">
          <cell r="A835" t="str">
            <v>508005067120</v>
          </cell>
          <cell r="B835" t="str">
            <v>ZMFD</v>
          </cell>
          <cell r="C835">
            <v>45433</v>
          </cell>
          <cell r="D835" t="str">
            <v>Not delivered</v>
          </cell>
          <cell r="E835">
            <v>508005067</v>
          </cell>
          <cell r="F835">
            <v>120</v>
          </cell>
          <cell r="G835">
            <v>1264032</v>
          </cell>
          <cell r="H835" t="str">
            <v>LC-002:CP S/MT VAR14 STM-WHT WNAT PTI40D</v>
          </cell>
          <cell r="I835">
            <v>25000</v>
          </cell>
          <cell r="J835" t="str">
            <v>UN</v>
          </cell>
          <cell r="K835">
            <v>45630</v>
          </cell>
        </row>
        <row r="836">
          <cell r="A836" t="str">
            <v>50714279210</v>
          </cell>
          <cell r="B836" t="str">
            <v>ZMTD</v>
          </cell>
          <cell r="C836">
            <v>45555</v>
          </cell>
          <cell r="D836" t="str">
            <v>Not delivered</v>
          </cell>
          <cell r="E836">
            <v>507142792</v>
          </cell>
          <cell r="F836">
            <v>10</v>
          </cell>
          <cell r="G836">
            <v>1406600</v>
          </cell>
          <cell r="H836" t="str">
            <v>CM-310:BLACK M086 CANNAGE S/SLV UV MT</v>
          </cell>
          <cell r="I836">
            <v>39000</v>
          </cell>
          <cell r="J836" t="str">
            <v>UN</v>
          </cell>
          <cell r="K836">
            <v>45631</v>
          </cell>
        </row>
        <row r="837">
          <cell r="A837" t="str">
            <v>50800527230</v>
          </cell>
          <cell r="B837" t="str">
            <v>ZMFD</v>
          </cell>
          <cell r="C837">
            <v>45538</v>
          </cell>
          <cell r="D837" t="str">
            <v>Not delivered</v>
          </cell>
          <cell r="E837">
            <v>508005272</v>
          </cell>
          <cell r="F837">
            <v>30</v>
          </cell>
          <cell r="G837">
            <v>1411899</v>
          </cell>
          <cell r="H837" t="str">
            <v>PT-100:BS/INS GREEN P/WHT KAHF PTI 60B</v>
          </cell>
          <cell r="I837">
            <v>180000</v>
          </cell>
          <cell r="J837" t="str">
            <v>UN</v>
          </cell>
          <cell r="K837">
            <v>45631</v>
          </cell>
        </row>
        <row r="838">
          <cell r="A838" t="str">
            <v>50800527240</v>
          </cell>
          <cell r="B838" t="str">
            <v>ZMFD</v>
          </cell>
          <cell r="C838">
            <v>45538</v>
          </cell>
          <cell r="D838" t="str">
            <v>Not delivered</v>
          </cell>
          <cell r="E838">
            <v>508005272</v>
          </cell>
          <cell r="F838">
            <v>40</v>
          </cell>
          <cell r="G838">
            <v>1411898</v>
          </cell>
          <cell r="H838" t="str">
            <v>PT-100:CVR MT.GREEN EMBOS KAHF PTI 40D</v>
          </cell>
          <cell r="I838">
            <v>180000</v>
          </cell>
          <cell r="J838" t="str">
            <v>UN</v>
          </cell>
          <cell r="K838">
            <v>45631</v>
          </cell>
        </row>
        <row r="839">
          <cell r="A839" t="str">
            <v>50800525850</v>
          </cell>
          <cell r="B839" t="str">
            <v>ZMFD</v>
          </cell>
          <cell r="C839">
            <v>45523</v>
          </cell>
          <cell r="D839" t="str">
            <v>Not delivered</v>
          </cell>
          <cell r="E839">
            <v>508005258</v>
          </cell>
          <cell r="F839">
            <v>50</v>
          </cell>
          <cell r="G839">
            <v>1168132</v>
          </cell>
          <cell r="H839" t="str">
            <v>LS-285:BS WHT NO DC WARDAH</v>
          </cell>
          <cell r="I839">
            <v>100000</v>
          </cell>
          <cell r="J839" t="str">
            <v>UN</v>
          </cell>
          <cell r="K839">
            <v>45631</v>
          </cell>
        </row>
        <row r="840">
          <cell r="A840" t="str">
            <v>50800525860</v>
          </cell>
          <cell r="B840" t="str">
            <v>ZMFD</v>
          </cell>
          <cell r="C840">
            <v>45523</v>
          </cell>
          <cell r="D840" t="str">
            <v>Not delivered</v>
          </cell>
          <cell r="E840">
            <v>508005258</v>
          </cell>
          <cell r="F840">
            <v>60</v>
          </cell>
          <cell r="G840">
            <v>1421418</v>
          </cell>
          <cell r="H840" t="str">
            <v>LS-285:CV RED P/WHT UV STRAWBERY PTI 30O</v>
          </cell>
          <cell r="I840">
            <v>100000</v>
          </cell>
          <cell r="J840" t="str">
            <v>UN</v>
          </cell>
          <cell r="K840">
            <v>45631</v>
          </cell>
        </row>
        <row r="841">
          <cell r="A841" t="str">
            <v>50800525410</v>
          </cell>
          <cell r="B841" t="str">
            <v>ZMFD</v>
          </cell>
          <cell r="C841">
            <v>45516</v>
          </cell>
          <cell r="D841" t="str">
            <v>Not delivered</v>
          </cell>
          <cell r="E841">
            <v>508005254</v>
          </cell>
          <cell r="F841">
            <v>10</v>
          </cell>
          <cell r="G841">
            <v>1304094</v>
          </cell>
          <cell r="H841" t="str">
            <v>CM-253:CV CLR BS M.PINK P/EMINA C.LIT40H</v>
          </cell>
          <cell r="I841">
            <v>50000</v>
          </cell>
          <cell r="J841" t="str">
            <v>UN</v>
          </cell>
          <cell r="K841">
            <v>45631</v>
          </cell>
        </row>
        <row r="842">
          <cell r="A842" t="str">
            <v>50800524410</v>
          </cell>
          <cell r="B842" t="str">
            <v>ZMFD</v>
          </cell>
          <cell r="C842">
            <v>45510</v>
          </cell>
          <cell r="D842" t="str">
            <v>Not delivered</v>
          </cell>
          <cell r="E842">
            <v>508005244</v>
          </cell>
          <cell r="F842">
            <v>10</v>
          </cell>
          <cell r="G842">
            <v>1174001</v>
          </cell>
          <cell r="H842" t="str">
            <v>CM-133:CVR/BS MTLC GREN UV S/SLV WRDH30C</v>
          </cell>
          <cell r="I842">
            <v>10080</v>
          </cell>
          <cell r="J842" t="str">
            <v>UN</v>
          </cell>
          <cell r="K842">
            <v>45631</v>
          </cell>
        </row>
        <row r="843">
          <cell r="A843" t="str">
            <v>50800524520</v>
          </cell>
          <cell r="B843" t="str">
            <v>ZMFD</v>
          </cell>
          <cell r="C843">
            <v>45510</v>
          </cell>
          <cell r="D843" t="str">
            <v>Not delivered</v>
          </cell>
          <cell r="E843">
            <v>508005245</v>
          </cell>
          <cell r="F843">
            <v>20</v>
          </cell>
          <cell r="G843">
            <v>1340516</v>
          </cell>
          <cell r="H843" t="str">
            <v>CM-133:CVR BS MTLC GRN UV DP S/WARDH 30T</v>
          </cell>
          <cell r="I843">
            <v>30240</v>
          </cell>
          <cell r="J843" t="str">
            <v>UN</v>
          </cell>
          <cell r="K843">
            <v>45631</v>
          </cell>
        </row>
        <row r="844">
          <cell r="A844" t="str">
            <v>50800524620</v>
          </cell>
          <cell r="B844" t="str">
            <v>ZMFD</v>
          </cell>
          <cell r="C844">
            <v>45510</v>
          </cell>
          <cell r="D844" t="str">
            <v>Not delivered</v>
          </cell>
          <cell r="E844">
            <v>508005246</v>
          </cell>
          <cell r="F844">
            <v>20</v>
          </cell>
          <cell r="G844">
            <v>1408740</v>
          </cell>
          <cell r="H844" t="str">
            <v>PT-097B:BDSR.2 BLU HOUS WHT TRNS PTI12A</v>
          </cell>
          <cell r="I844">
            <v>330000</v>
          </cell>
          <cell r="J844" t="str">
            <v>UN</v>
          </cell>
          <cell r="K844">
            <v>45631</v>
          </cell>
        </row>
        <row r="845">
          <cell r="A845" t="str">
            <v>50800524640</v>
          </cell>
          <cell r="B845" t="str">
            <v>ZMFD</v>
          </cell>
          <cell r="C845">
            <v>45510</v>
          </cell>
          <cell r="D845" t="str">
            <v>Not delivered</v>
          </cell>
          <cell r="E845">
            <v>508005246</v>
          </cell>
          <cell r="F845">
            <v>40</v>
          </cell>
          <cell r="G845">
            <v>1408739</v>
          </cell>
          <cell r="H845" t="str">
            <v>PT-097B:CAP SR.2 BLUE TRANS PTI 12A</v>
          </cell>
          <cell r="I845">
            <v>330000</v>
          </cell>
          <cell r="J845" t="str">
            <v>UN</v>
          </cell>
          <cell r="K845">
            <v>45631</v>
          </cell>
        </row>
        <row r="846">
          <cell r="A846" t="str">
            <v>50800524720</v>
          </cell>
          <cell r="B846" t="str">
            <v>ZMFD</v>
          </cell>
          <cell r="C846">
            <v>45510</v>
          </cell>
          <cell r="D846" t="str">
            <v>Not delivered</v>
          </cell>
          <cell r="E846">
            <v>508005247</v>
          </cell>
          <cell r="F846">
            <v>20</v>
          </cell>
          <cell r="G846">
            <v>1361170</v>
          </cell>
          <cell r="H846" t="str">
            <v>PT-097:BODY BLACK HOUSE WHT TRANS PTI12A</v>
          </cell>
          <cell r="I846">
            <v>100000</v>
          </cell>
          <cell r="J846" t="str">
            <v>UN</v>
          </cell>
          <cell r="K846">
            <v>45631</v>
          </cell>
        </row>
        <row r="847">
          <cell r="A847" t="str">
            <v>50800524740</v>
          </cell>
          <cell r="B847" t="str">
            <v>ZMFD</v>
          </cell>
          <cell r="C847">
            <v>45510</v>
          </cell>
          <cell r="D847" t="str">
            <v>Not delivered</v>
          </cell>
          <cell r="E847">
            <v>508005247</v>
          </cell>
          <cell r="F847">
            <v>40</v>
          </cell>
          <cell r="G847">
            <v>1361175</v>
          </cell>
          <cell r="H847" t="str">
            <v>PT-097:CAP BLACK TRANS PTI 12A</v>
          </cell>
          <cell r="I847">
            <v>100000</v>
          </cell>
          <cell r="J847" t="str">
            <v>UN</v>
          </cell>
          <cell r="K847">
            <v>45631</v>
          </cell>
        </row>
        <row r="848">
          <cell r="A848" t="str">
            <v>50800524830</v>
          </cell>
          <cell r="B848" t="str">
            <v>ZMFD</v>
          </cell>
          <cell r="C848">
            <v>45510</v>
          </cell>
          <cell r="D848" t="str">
            <v>Not delivered</v>
          </cell>
          <cell r="E848">
            <v>508005248</v>
          </cell>
          <cell r="F848">
            <v>30</v>
          </cell>
          <cell r="G848">
            <v>1367372</v>
          </cell>
          <cell r="H848" t="str">
            <v>PT-097:BODY GREN HOUSE WHT TRANS PTI 12A</v>
          </cell>
          <cell r="I848">
            <v>260000</v>
          </cell>
          <cell r="J848" t="str">
            <v>UN</v>
          </cell>
          <cell r="K848">
            <v>45631</v>
          </cell>
        </row>
        <row r="849">
          <cell r="A849" t="str">
            <v>50800524860</v>
          </cell>
          <cell r="B849" t="str">
            <v>ZMFD</v>
          </cell>
          <cell r="C849">
            <v>45510</v>
          </cell>
          <cell r="D849" t="str">
            <v>Not delivered</v>
          </cell>
          <cell r="E849">
            <v>508005248</v>
          </cell>
          <cell r="F849">
            <v>60</v>
          </cell>
          <cell r="G849">
            <v>1367370</v>
          </cell>
          <cell r="H849" t="str">
            <v>PT-097:CAP GREN TRANS PTI 12A</v>
          </cell>
          <cell r="I849">
            <v>260000</v>
          </cell>
          <cell r="J849" t="str">
            <v>UN</v>
          </cell>
          <cell r="K849">
            <v>45631</v>
          </cell>
        </row>
        <row r="850">
          <cell r="A850" t="str">
            <v>50800523320</v>
          </cell>
          <cell r="B850" t="str">
            <v>ZMFD</v>
          </cell>
          <cell r="C850">
            <v>45504</v>
          </cell>
          <cell r="D850" t="str">
            <v>Not delivered</v>
          </cell>
          <cell r="E850">
            <v>508005233</v>
          </cell>
          <cell r="F850">
            <v>20</v>
          </cell>
          <cell r="G850">
            <v>1169152</v>
          </cell>
          <cell r="H850" t="str">
            <v>CM-295:SQUARE COMPACT&amp;GODET PHHT010032</v>
          </cell>
          <cell r="I850">
            <v>20040</v>
          </cell>
          <cell r="J850" t="str">
            <v>UN</v>
          </cell>
          <cell r="K850">
            <v>45631</v>
          </cell>
        </row>
        <row r="851">
          <cell r="A851" t="str">
            <v>50714254810</v>
          </cell>
          <cell r="B851" t="str">
            <v>ZMTD</v>
          </cell>
          <cell r="C851">
            <v>45492</v>
          </cell>
          <cell r="D851" t="str">
            <v>Not delivered</v>
          </cell>
          <cell r="E851">
            <v>507142548</v>
          </cell>
          <cell r="F851">
            <v>10</v>
          </cell>
          <cell r="G851">
            <v>1182817</v>
          </cell>
          <cell r="H851" t="str">
            <v>FP-014:JAR P/BLACK ALMAY</v>
          </cell>
          <cell r="I851">
            <v>25056</v>
          </cell>
          <cell r="J851" t="str">
            <v>UN</v>
          </cell>
          <cell r="K851">
            <v>45631</v>
          </cell>
        </row>
        <row r="852">
          <cell r="A852" t="str">
            <v>50714254820</v>
          </cell>
          <cell r="B852" t="str">
            <v>ZMTD</v>
          </cell>
          <cell r="C852">
            <v>45492</v>
          </cell>
          <cell r="D852" t="str">
            <v>Not delivered</v>
          </cell>
          <cell r="E852">
            <v>507142548</v>
          </cell>
          <cell r="F852">
            <v>20</v>
          </cell>
          <cell r="G852">
            <v>1171483</v>
          </cell>
          <cell r="H852" t="str">
            <v>FP-014:COVER GREY MATTE IN MOLD REVLON</v>
          </cell>
          <cell r="I852">
            <v>34992</v>
          </cell>
          <cell r="J852" t="str">
            <v>UN</v>
          </cell>
          <cell r="K852">
            <v>45631</v>
          </cell>
        </row>
        <row r="853">
          <cell r="A853" t="str">
            <v>50714254830</v>
          </cell>
          <cell r="B853" t="str">
            <v>ZMTD</v>
          </cell>
          <cell r="C853">
            <v>45492</v>
          </cell>
          <cell r="D853" t="str">
            <v>Not delivered</v>
          </cell>
          <cell r="E853">
            <v>507142548</v>
          </cell>
          <cell r="F853">
            <v>30</v>
          </cell>
          <cell r="G853">
            <v>1240862</v>
          </cell>
          <cell r="H853" t="str">
            <v>FP-014 SIFTER NAT W/ORDERED LABEL REVLON</v>
          </cell>
          <cell r="I853">
            <v>38750</v>
          </cell>
          <cell r="J853" t="str">
            <v>UN</v>
          </cell>
          <cell r="K853">
            <v>45631</v>
          </cell>
        </row>
        <row r="854">
          <cell r="A854" t="str">
            <v>50800519250</v>
          </cell>
          <cell r="B854" t="str">
            <v>ZMFD</v>
          </cell>
          <cell r="C854">
            <v>45492</v>
          </cell>
          <cell r="D854" t="str">
            <v>Not delivered</v>
          </cell>
          <cell r="E854">
            <v>508005192</v>
          </cell>
          <cell r="F854">
            <v>50</v>
          </cell>
          <cell r="G854">
            <v>1430093</v>
          </cell>
          <cell r="H854" t="str">
            <v>LS-285:CV MT.TR BLUE P/SHERCLEAR PTI 40H</v>
          </cell>
          <cell r="I854">
            <v>25000</v>
          </cell>
          <cell r="J854" t="str">
            <v>UN</v>
          </cell>
          <cell r="K854">
            <v>45631</v>
          </cell>
        </row>
        <row r="855">
          <cell r="A855" t="str">
            <v>50800519260</v>
          </cell>
          <cell r="B855" t="str">
            <v>ZMFD</v>
          </cell>
          <cell r="C855">
            <v>45492</v>
          </cell>
          <cell r="D855" t="str">
            <v>Not delivered</v>
          </cell>
          <cell r="E855">
            <v>508005192</v>
          </cell>
          <cell r="F855">
            <v>60</v>
          </cell>
          <cell r="G855">
            <v>1430094</v>
          </cell>
          <cell r="H855" t="str">
            <v>LS-285:BS BLUE NO DC WARDAH PTI 12A</v>
          </cell>
          <cell r="I855">
            <v>25000</v>
          </cell>
          <cell r="J855" t="str">
            <v>UN</v>
          </cell>
          <cell r="K855">
            <v>45631</v>
          </cell>
        </row>
        <row r="856">
          <cell r="A856" t="str">
            <v>50800517150</v>
          </cell>
          <cell r="B856" t="str">
            <v>ZMFD</v>
          </cell>
          <cell r="C856">
            <v>45481</v>
          </cell>
          <cell r="D856" t="str">
            <v>Not delivered</v>
          </cell>
          <cell r="E856">
            <v>508005171</v>
          </cell>
          <cell r="F856">
            <v>50</v>
          </cell>
          <cell r="G856">
            <v>1375595</v>
          </cell>
          <cell r="H856" t="str">
            <v>LC-009:BTL/INNER CLEAR P/OMG PTIPT 60B</v>
          </cell>
          <cell r="I856">
            <v>486000</v>
          </cell>
          <cell r="J856" t="str">
            <v>UN</v>
          </cell>
          <cell r="K856">
            <v>45631</v>
          </cell>
        </row>
        <row r="857">
          <cell r="A857" t="str">
            <v>50800517160</v>
          </cell>
          <cell r="B857" t="str">
            <v>ZMFD</v>
          </cell>
          <cell r="C857">
            <v>45481</v>
          </cell>
          <cell r="D857" t="str">
            <v>Not delivered</v>
          </cell>
          <cell r="E857">
            <v>508005171</v>
          </cell>
          <cell r="F857">
            <v>60</v>
          </cell>
          <cell r="G857">
            <v>1375593</v>
          </cell>
          <cell r="H857" t="str">
            <v>LC-009:CAP REDTRANS WIP S/OMG PTIPT 60B</v>
          </cell>
          <cell r="I857">
            <v>486000</v>
          </cell>
          <cell r="J857" t="str">
            <v>UN</v>
          </cell>
          <cell r="K857">
            <v>45631</v>
          </cell>
        </row>
        <row r="858">
          <cell r="A858" t="str">
            <v>50800517250</v>
          </cell>
          <cell r="B858" t="str">
            <v>ZMFD</v>
          </cell>
          <cell r="C858">
            <v>45481</v>
          </cell>
          <cell r="D858" t="str">
            <v>Not delivered</v>
          </cell>
          <cell r="E858">
            <v>508005172</v>
          </cell>
          <cell r="F858">
            <v>50</v>
          </cell>
          <cell r="G858">
            <v>1417990</v>
          </cell>
          <cell r="H858" t="str">
            <v>LC-009:BTL #2#3 INNER CLR P/OMG PTIPT60B</v>
          </cell>
          <cell r="I858">
            <v>1200000</v>
          </cell>
          <cell r="J858" t="str">
            <v>UN</v>
          </cell>
          <cell r="K858">
            <v>45631</v>
          </cell>
        </row>
        <row r="859">
          <cell r="A859" t="str">
            <v>50800517260</v>
          </cell>
          <cell r="B859" t="str">
            <v>ZMFD</v>
          </cell>
          <cell r="C859">
            <v>45481</v>
          </cell>
          <cell r="D859" t="str">
            <v>Not delivered</v>
          </cell>
          <cell r="E859">
            <v>508005172</v>
          </cell>
          <cell r="F859">
            <v>60</v>
          </cell>
          <cell r="G859">
            <v>1417978</v>
          </cell>
          <cell r="H859" t="str">
            <v>LC-009:CAP #2#3 REDTR WIP S/OMG PTIPT60B</v>
          </cell>
          <cell r="I859">
            <v>1200000</v>
          </cell>
          <cell r="J859" t="str">
            <v>UN</v>
          </cell>
          <cell r="K859">
            <v>45631</v>
          </cell>
        </row>
        <row r="860">
          <cell r="A860" t="str">
            <v>50800515570</v>
          </cell>
          <cell r="B860" t="str">
            <v>ZMFD</v>
          </cell>
          <cell r="C860">
            <v>45470</v>
          </cell>
          <cell r="D860" t="str">
            <v>Not delivered</v>
          </cell>
          <cell r="E860">
            <v>508005155</v>
          </cell>
          <cell r="F860">
            <v>70</v>
          </cell>
          <cell r="G860">
            <v>1388036</v>
          </cell>
          <cell r="H860" t="str">
            <v>CM-253:CV BS MTMAUVE P/C.BLSH RV1 PTI40H</v>
          </cell>
          <cell r="I860">
            <v>30000</v>
          </cell>
          <cell r="J860" t="str">
            <v>UN</v>
          </cell>
          <cell r="K860">
            <v>45631</v>
          </cell>
        </row>
        <row r="861">
          <cell r="A861" t="str">
            <v>50800511220</v>
          </cell>
          <cell r="B861" t="str">
            <v>ZMFD</v>
          </cell>
          <cell r="C861">
            <v>45450</v>
          </cell>
          <cell r="D861" t="str">
            <v>Not delivered</v>
          </cell>
          <cell r="E861">
            <v>508005112</v>
          </cell>
          <cell r="F861">
            <v>20</v>
          </cell>
          <cell r="G861">
            <v>1169658</v>
          </cell>
          <cell r="H861" t="str">
            <v>CM-156:NEW GREEN MRBL 6339010303 CLNQ EL</v>
          </cell>
          <cell r="I861">
            <v>22680</v>
          </cell>
          <cell r="J861" t="str">
            <v>UN</v>
          </cell>
          <cell r="K861">
            <v>45631</v>
          </cell>
        </row>
        <row r="862">
          <cell r="A862" t="str">
            <v>50800504010</v>
          </cell>
          <cell r="B862" t="str">
            <v>ZMFD</v>
          </cell>
          <cell r="C862">
            <v>45427</v>
          </cell>
          <cell r="D862" t="str">
            <v>Not delivered</v>
          </cell>
          <cell r="E862">
            <v>508005040</v>
          </cell>
          <cell r="F862">
            <v>10</v>
          </cell>
          <cell r="G862">
            <v>1286393</v>
          </cell>
          <cell r="H862" t="str">
            <v>CM-300:BLUE UV S/SLV DIOR GALASHN PEPSPE</v>
          </cell>
          <cell r="I862">
            <v>62720</v>
          </cell>
          <cell r="J862" t="str">
            <v>UN</v>
          </cell>
          <cell r="K862">
            <v>45631</v>
          </cell>
        </row>
        <row r="863">
          <cell r="A863" t="str">
            <v>50800528830</v>
          </cell>
          <cell r="B863" t="str">
            <v>ZMFD</v>
          </cell>
          <cell r="C863">
            <v>45558</v>
          </cell>
          <cell r="D863" t="str">
            <v>Not delivered</v>
          </cell>
          <cell r="E863">
            <v>508005288</v>
          </cell>
          <cell r="F863">
            <v>30</v>
          </cell>
          <cell r="G863">
            <v>1336783</v>
          </cell>
          <cell r="H863" t="str">
            <v>LC-003:BTL CLR CLVM P/S/INSTSUEDE PTI20Y</v>
          </cell>
          <cell r="I863">
            <v>25000</v>
          </cell>
          <cell r="J863" t="str">
            <v>UN</v>
          </cell>
          <cell r="K863">
            <v>45632</v>
          </cell>
        </row>
        <row r="864">
          <cell r="A864" t="str">
            <v>50800528840</v>
          </cell>
          <cell r="B864" t="str">
            <v>ZMFD</v>
          </cell>
          <cell r="C864">
            <v>45558</v>
          </cell>
          <cell r="D864" t="str">
            <v>Not delivered</v>
          </cell>
          <cell r="E864">
            <v>508005288</v>
          </cell>
          <cell r="F864">
            <v>40</v>
          </cell>
          <cell r="G864">
            <v>1378266</v>
          </cell>
          <cell r="H864" t="str">
            <v>LC-003:CAP VM RS PINK INSTASUEDE PTI 20F</v>
          </cell>
          <cell r="I864">
            <v>25000</v>
          </cell>
          <cell r="J864" t="str">
            <v>UN</v>
          </cell>
          <cell r="K864">
            <v>45632</v>
          </cell>
        </row>
        <row r="865">
          <cell r="A865" t="str">
            <v>50800528110</v>
          </cell>
          <cell r="B865" t="str">
            <v>ZMFD</v>
          </cell>
          <cell r="C865">
            <v>45553</v>
          </cell>
          <cell r="D865" t="str">
            <v>Not delivered</v>
          </cell>
          <cell r="E865">
            <v>508005281</v>
          </cell>
          <cell r="F865">
            <v>10</v>
          </cell>
          <cell r="G865">
            <v>1175313</v>
          </cell>
          <cell r="H865" t="str">
            <v>CM-101:N.GRN MRBL B/O 618J010304 CLNQ EL</v>
          </cell>
          <cell r="I865">
            <v>25350</v>
          </cell>
          <cell r="J865" t="str">
            <v>UN</v>
          </cell>
          <cell r="K865">
            <v>45632</v>
          </cell>
        </row>
        <row r="866">
          <cell r="A866" t="str">
            <v>507142765120</v>
          </cell>
          <cell r="B866" t="str">
            <v>ZMTD</v>
          </cell>
          <cell r="C866">
            <v>45552</v>
          </cell>
          <cell r="D866" t="str">
            <v>Not delivered</v>
          </cell>
          <cell r="E866">
            <v>507142765</v>
          </cell>
          <cell r="F866">
            <v>120</v>
          </cell>
          <cell r="G866">
            <v>1398383</v>
          </cell>
          <cell r="H866" t="str">
            <v>CM-319:WHITE P/BLACK UV MATTE NARS</v>
          </cell>
          <cell r="I866">
            <v>40080</v>
          </cell>
          <cell r="J866" t="str">
            <v>UN</v>
          </cell>
          <cell r="K866">
            <v>45632</v>
          </cell>
        </row>
        <row r="867">
          <cell r="A867" t="str">
            <v>50800524210</v>
          </cell>
          <cell r="B867" t="str">
            <v>ZMFD</v>
          </cell>
          <cell r="C867">
            <v>45510</v>
          </cell>
          <cell r="D867" t="str">
            <v>Not delivered</v>
          </cell>
          <cell r="E867">
            <v>508005242</v>
          </cell>
          <cell r="F867">
            <v>10</v>
          </cell>
          <cell r="G867">
            <v>1412602</v>
          </cell>
          <cell r="H867" t="str">
            <v>CM-105:CVR/BS MTBLK S/PWRSTAY RV1 PTI30C</v>
          </cell>
          <cell r="I867">
            <v>10080</v>
          </cell>
          <cell r="J867" t="str">
            <v>UN</v>
          </cell>
          <cell r="K867">
            <v>45632</v>
          </cell>
        </row>
        <row r="868">
          <cell r="A868" t="str">
            <v>50800524010</v>
          </cell>
          <cell r="B868" t="str">
            <v>ZMFD</v>
          </cell>
          <cell r="C868">
            <v>45505</v>
          </cell>
          <cell r="D868" t="str">
            <v>Not delivered</v>
          </cell>
          <cell r="E868">
            <v>508005240</v>
          </cell>
          <cell r="F868">
            <v>10</v>
          </cell>
          <cell r="G868">
            <v>1420925</v>
          </cell>
          <cell r="H868" t="str">
            <v>CM-253:CV BS MT ROSE 04 P/C.BLSH PTI40H</v>
          </cell>
          <cell r="I868">
            <v>15000</v>
          </cell>
          <cell r="J868" t="str">
            <v>UN</v>
          </cell>
          <cell r="K868">
            <v>45632</v>
          </cell>
        </row>
        <row r="869">
          <cell r="A869" t="str">
            <v>50714243210</v>
          </cell>
          <cell r="B869" t="str">
            <v>ZMTD</v>
          </cell>
          <cell r="C869">
            <v>45475</v>
          </cell>
          <cell r="D869" t="str">
            <v>Not delivered</v>
          </cell>
          <cell r="E869">
            <v>507142432</v>
          </cell>
          <cell r="F869">
            <v>10</v>
          </cell>
          <cell r="G869">
            <v>1160336</v>
          </cell>
          <cell r="H869" t="str">
            <v>CP-071:CP8364 TNR WPRL 200 REX IS 763</v>
          </cell>
          <cell r="I869">
            <v>65250</v>
          </cell>
          <cell r="J869" t="str">
            <v>UN</v>
          </cell>
          <cell r="K869">
            <v>45632</v>
          </cell>
        </row>
        <row r="870">
          <cell r="A870" t="str">
            <v>50714280310</v>
          </cell>
          <cell r="B870" t="str">
            <v>ZMTD</v>
          </cell>
          <cell r="C870">
            <v>45559</v>
          </cell>
          <cell r="D870" t="str">
            <v>Not delivered</v>
          </cell>
          <cell r="E870">
            <v>507142803</v>
          </cell>
          <cell r="F870">
            <v>10</v>
          </cell>
          <cell r="G870">
            <v>1419488</v>
          </cell>
          <cell r="H870" t="str">
            <v>CP-063R:SPOUT CAP WHITE LOREAL 12A</v>
          </cell>
          <cell r="I870">
            <v>1890000</v>
          </cell>
          <cell r="J870" t="str">
            <v>UN</v>
          </cell>
          <cell r="K870">
            <v>45633</v>
          </cell>
        </row>
        <row r="871">
          <cell r="A871" t="str">
            <v>50714243110</v>
          </cell>
          <cell r="B871" t="str">
            <v>ZMTD</v>
          </cell>
          <cell r="C871">
            <v>45475</v>
          </cell>
          <cell r="D871" t="str">
            <v>Not delivered</v>
          </cell>
          <cell r="E871">
            <v>507142431</v>
          </cell>
          <cell r="F871">
            <v>10</v>
          </cell>
          <cell r="G871">
            <v>1160336</v>
          </cell>
          <cell r="H871" t="str">
            <v>CP-071:CP8364 TNR WPRL 200 REX IS 763</v>
          </cell>
          <cell r="I871">
            <v>43500</v>
          </cell>
          <cell r="J871" t="str">
            <v>UN</v>
          </cell>
          <cell r="K871">
            <v>45633</v>
          </cell>
        </row>
        <row r="872">
          <cell r="A872" t="str">
            <v>50714280410</v>
          </cell>
          <cell r="B872" t="str">
            <v>ZMTD</v>
          </cell>
          <cell r="C872">
            <v>45559</v>
          </cell>
          <cell r="D872" t="str">
            <v>Not delivered</v>
          </cell>
          <cell r="E872">
            <v>507142804</v>
          </cell>
          <cell r="F872">
            <v>10</v>
          </cell>
          <cell r="G872">
            <v>1419488</v>
          </cell>
          <cell r="H872" t="str">
            <v>CP-063R:SPOUT CAP WHITE LOREAL 12A</v>
          </cell>
          <cell r="I872">
            <v>1890000</v>
          </cell>
          <cell r="J872" t="str">
            <v>UN</v>
          </cell>
          <cell r="K872">
            <v>45635</v>
          </cell>
        </row>
        <row r="873">
          <cell r="A873" t="str">
            <v>50714261620</v>
          </cell>
          <cell r="B873" t="str">
            <v>ZMTD</v>
          </cell>
          <cell r="C873">
            <v>45511</v>
          </cell>
          <cell r="D873" t="str">
            <v>Not delivered</v>
          </cell>
          <cell r="E873">
            <v>507142616</v>
          </cell>
          <cell r="F873">
            <v>20</v>
          </cell>
          <cell r="G873">
            <v>1229927</v>
          </cell>
          <cell r="H873" t="str">
            <v>CM-273:INJ WHT 1PHS PURP PRSNAL COLCTION</v>
          </cell>
          <cell r="I873">
            <v>50000</v>
          </cell>
          <cell r="J873" t="str">
            <v>UN</v>
          </cell>
          <cell r="K873">
            <v>45635</v>
          </cell>
        </row>
        <row r="874">
          <cell r="A874" t="str">
            <v>50800520350</v>
          </cell>
          <cell r="B874" t="str">
            <v>ZMFD</v>
          </cell>
          <cell r="C874">
            <v>45497</v>
          </cell>
          <cell r="D874" t="str">
            <v>Not delivered</v>
          </cell>
          <cell r="E874">
            <v>508005203</v>
          </cell>
          <cell r="F874">
            <v>50</v>
          </cell>
          <cell r="G874">
            <v>1405377</v>
          </cell>
          <cell r="H874" t="str">
            <v>LC-012:BTL VR11 P/GLASTNG PTI60B</v>
          </cell>
          <cell r="I874">
            <v>50000</v>
          </cell>
          <cell r="J874" t="str">
            <v>UN</v>
          </cell>
          <cell r="K874">
            <v>45635</v>
          </cell>
        </row>
        <row r="875">
          <cell r="A875" t="str">
            <v>50800520360</v>
          </cell>
          <cell r="B875" t="str">
            <v>ZMFD</v>
          </cell>
          <cell r="C875">
            <v>45497</v>
          </cell>
          <cell r="D875" t="str">
            <v>Not delivered</v>
          </cell>
          <cell r="E875">
            <v>508005203</v>
          </cell>
          <cell r="F875">
            <v>60</v>
          </cell>
          <cell r="G875">
            <v>1385814</v>
          </cell>
          <cell r="H875" t="str">
            <v>LC-012:CAP VM BRWN WIP GLASTING PTI 20F</v>
          </cell>
          <cell r="I875">
            <v>50000</v>
          </cell>
          <cell r="J875" t="str">
            <v>UN</v>
          </cell>
          <cell r="K875">
            <v>45635</v>
          </cell>
        </row>
        <row r="876">
          <cell r="A876" t="str">
            <v>50714247310</v>
          </cell>
          <cell r="B876" t="str">
            <v>ZMTD</v>
          </cell>
          <cell r="C876">
            <v>45482</v>
          </cell>
          <cell r="D876" t="str">
            <v>Not delivered</v>
          </cell>
          <cell r="E876">
            <v>507142473</v>
          </cell>
          <cell r="F876">
            <v>10</v>
          </cell>
          <cell r="G876">
            <v>1382946</v>
          </cell>
          <cell r="H876" t="str">
            <v>LC-012:BTL VR3 DAZLEMAP P/GLASTNG PTI60B</v>
          </cell>
          <cell r="I876">
            <v>50274</v>
          </cell>
          <cell r="J876" t="str">
            <v>UN</v>
          </cell>
          <cell r="K876">
            <v>45635</v>
          </cell>
        </row>
        <row r="877">
          <cell r="A877" t="str">
            <v>50714247320</v>
          </cell>
          <cell r="B877" t="str">
            <v>ZMTD</v>
          </cell>
          <cell r="C877">
            <v>45482</v>
          </cell>
          <cell r="D877" t="str">
            <v>Not delivered</v>
          </cell>
          <cell r="E877">
            <v>507142473</v>
          </cell>
          <cell r="F877">
            <v>20</v>
          </cell>
          <cell r="G877">
            <v>1385814</v>
          </cell>
          <cell r="H877" t="str">
            <v>LC-012:CAP VM BRWN WIP GLASTING PTI 20F</v>
          </cell>
          <cell r="I877">
            <v>50274</v>
          </cell>
          <cell r="J877" t="str">
            <v>UN</v>
          </cell>
          <cell r="K877">
            <v>45635</v>
          </cell>
        </row>
        <row r="878">
          <cell r="A878" t="str">
            <v>50714241310</v>
          </cell>
          <cell r="B878" t="str">
            <v>ZMTD</v>
          </cell>
          <cell r="C878">
            <v>45470</v>
          </cell>
          <cell r="D878" t="str">
            <v>Not delivered</v>
          </cell>
          <cell r="E878">
            <v>507142413</v>
          </cell>
          <cell r="F878">
            <v>10</v>
          </cell>
          <cell r="G878">
            <v>1382946</v>
          </cell>
          <cell r="H878" t="str">
            <v>LC-012:BTL VR3 DAZLEMAP P/GLASTNG PTI60B</v>
          </cell>
          <cell r="I878">
            <v>50274</v>
          </cell>
          <cell r="J878" t="str">
            <v>UN</v>
          </cell>
          <cell r="K878">
            <v>45635</v>
          </cell>
        </row>
        <row r="879">
          <cell r="A879" t="str">
            <v>50714241320</v>
          </cell>
          <cell r="B879" t="str">
            <v>ZMTD</v>
          </cell>
          <cell r="C879">
            <v>45470</v>
          </cell>
          <cell r="D879" t="str">
            <v>Not delivered</v>
          </cell>
          <cell r="E879">
            <v>507142413</v>
          </cell>
          <cell r="F879">
            <v>20</v>
          </cell>
          <cell r="G879">
            <v>1385814</v>
          </cell>
          <cell r="H879" t="str">
            <v>LC-012:CAP VM BRWN WIP GLASTING PTI 20F</v>
          </cell>
          <cell r="I879">
            <v>50274</v>
          </cell>
          <cell r="J879" t="str">
            <v>UN</v>
          </cell>
          <cell r="K879">
            <v>45635</v>
          </cell>
        </row>
        <row r="880">
          <cell r="A880" t="str">
            <v>50714276440</v>
          </cell>
          <cell r="B880" t="str">
            <v>ZMTD</v>
          </cell>
          <cell r="C880">
            <v>45552</v>
          </cell>
          <cell r="D880" t="str">
            <v>Not delivered</v>
          </cell>
          <cell r="E880">
            <v>507142764</v>
          </cell>
          <cell r="F880">
            <v>40</v>
          </cell>
          <cell r="G880">
            <v>1211756</v>
          </cell>
          <cell r="H880" t="str">
            <v>CM-246:COVER VM SHNY SLV ALMOST PWD</v>
          </cell>
          <cell r="I880">
            <v>120120</v>
          </cell>
          <cell r="J880" t="str">
            <v>UN</v>
          </cell>
          <cell r="K880">
            <v>45636</v>
          </cell>
        </row>
        <row r="881">
          <cell r="A881" t="str">
            <v>50800526220</v>
          </cell>
          <cell r="B881" t="str">
            <v>ZMFD</v>
          </cell>
          <cell r="C881">
            <v>45524</v>
          </cell>
          <cell r="D881" t="str">
            <v>Not delivered</v>
          </cell>
          <cell r="E881">
            <v>508005262</v>
          </cell>
          <cell r="F881">
            <v>20</v>
          </cell>
          <cell r="G881">
            <v>1163327</v>
          </cell>
          <cell r="H881" t="str">
            <v>CM-246:CVR S.SLV PAN WHITE 6MPY 01 0034</v>
          </cell>
          <cell r="I881">
            <v>25056</v>
          </cell>
          <cell r="J881" t="str">
            <v>UN</v>
          </cell>
          <cell r="K881">
            <v>45636</v>
          </cell>
        </row>
        <row r="882">
          <cell r="A882" t="str">
            <v>50800525720</v>
          </cell>
          <cell r="B882" t="str">
            <v>ZMFD</v>
          </cell>
          <cell r="C882">
            <v>45518</v>
          </cell>
          <cell r="D882" t="str">
            <v>Not delivered</v>
          </cell>
          <cell r="E882">
            <v>508005257</v>
          </cell>
          <cell r="F882">
            <v>20</v>
          </cell>
          <cell r="G882">
            <v>1409881</v>
          </cell>
          <cell r="H882" t="str">
            <v>CM-315:CVR/BS BLACK P/CVRLAST OMG RV160B</v>
          </cell>
          <cell r="I882">
            <v>150304</v>
          </cell>
          <cell r="J882" t="str">
            <v>UN</v>
          </cell>
          <cell r="K882">
            <v>45636</v>
          </cell>
        </row>
        <row r="883">
          <cell r="A883" t="str">
            <v>50800525270</v>
          </cell>
          <cell r="B883" t="str">
            <v>ZMFD</v>
          </cell>
          <cell r="C883">
            <v>45512</v>
          </cell>
          <cell r="D883" t="str">
            <v>Not delivered</v>
          </cell>
          <cell r="E883">
            <v>508005252</v>
          </cell>
          <cell r="F883">
            <v>70</v>
          </cell>
          <cell r="G883">
            <v>1382368</v>
          </cell>
          <cell r="H883" t="str">
            <v>CP-067R:FT CAP35 SNAP BLK MATTE  Ø5 LRL</v>
          </cell>
          <cell r="I883">
            <v>440000</v>
          </cell>
          <cell r="J883" t="str">
            <v>UN</v>
          </cell>
          <cell r="K883">
            <v>45636</v>
          </cell>
        </row>
        <row r="884">
          <cell r="A884" t="str">
            <v>50800519530</v>
          </cell>
          <cell r="B884" t="str">
            <v>ZMFD</v>
          </cell>
          <cell r="C884">
            <v>45497</v>
          </cell>
          <cell r="D884" t="str">
            <v>Not delivered</v>
          </cell>
          <cell r="E884">
            <v>508005195</v>
          </cell>
          <cell r="F884">
            <v>30</v>
          </cell>
          <cell r="G884">
            <v>1382893</v>
          </cell>
          <cell r="H884" t="str">
            <v>LC-012:BTL VR1 CRMLCOAT P/GLASTNG PTI60B</v>
          </cell>
          <cell r="I884">
            <v>75000</v>
          </cell>
          <cell r="J884" t="str">
            <v>UN</v>
          </cell>
          <cell r="K884">
            <v>45636</v>
          </cell>
        </row>
        <row r="885">
          <cell r="A885" t="str">
            <v>50800519540</v>
          </cell>
          <cell r="B885" t="str">
            <v>ZMFD</v>
          </cell>
          <cell r="C885">
            <v>45497</v>
          </cell>
          <cell r="D885" t="str">
            <v>Not delivered</v>
          </cell>
          <cell r="E885">
            <v>508005195</v>
          </cell>
          <cell r="F885">
            <v>40</v>
          </cell>
          <cell r="G885">
            <v>1385814</v>
          </cell>
          <cell r="H885" t="str">
            <v>LC-012:CAP VM BRWN WIP GLASTING PTI 20F</v>
          </cell>
          <cell r="I885">
            <v>75000</v>
          </cell>
          <cell r="J885" t="str">
            <v>UN</v>
          </cell>
          <cell r="K885">
            <v>45636</v>
          </cell>
        </row>
        <row r="886">
          <cell r="A886" t="str">
            <v>50800519770</v>
          </cell>
          <cell r="B886" t="str">
            <v>ZMFD</v>
          </cell>
          <cell r="C886">
            <v>45497</v>
          </cell>
          <cell r="D886" t="str">
            <v>Not delivered</v>
          </cell>
          <cell r="E886">
            <v>508005197</v>
          </cell>
          <cell r="F886">
            <v>70</v>
          </cell>
          <cell r="G886">
            <v>1385811</v>
          </cell>
          <cell r="H886" t="str">
            <v>LC-012:BTL VR4 ROSEWOOD P/GLASTNG PTI60B</v>
          </cell>
          <cell r="I886">
            <v>75000</v>
          </cell>
          <cell r="J886" t="str">
            <v>UN</v>
          </cell>
          <cell r="K886">
            <v>45636</v>
          </cell>
        </row>
        <row r="887">
          <cell r="A887" t="str">
            <v>50800519780</v>
          </cell>
          <cell r="B887" t="str">
            <v>ZMFD</v>
          </cell>
          <cell r="C887">
            <v>45497</v>
          </cell>
          <cell r="D887" t="str">
            <v>Not delivered</v>
          </cell>
          <cell r="E887">
            <v>508005197</v>
          </cell>
          <cell r="F887">
            <v>80</v>
          </cell>
          <cell r="G887">
            <v>1385814</v>
          </cell>
          <cell r="H887" t="str">
            <v>LC-012:CAP VM BRWN WIP GLASTING PTI 20F</v>
          </cell>
          <cell r="I887">
            <v>75000</v>
          </cell>
          <cell r="J887" t="str">
            <v>UN</v>
          </cell>
          <cell r="K887">
            <v>45636</v>
          </cell>
        </row>
        <row r="888">
          <cell r="A888" t="str">
            <v>50800493070</v>
          </cell>
          <cell r="B888" t="str">
            <v>ZMFD</v>
          </cell>
          <cell r="C888">
            <v>45364</v>
          </cell>
          <cell r="D888" t="str">
            <v>Not delivered</v>
          </cell>
          <cell r="E888">
            <v>508004930</v>
          </cell>
          <cell r="F888">
            <v>70</v>
          </cell>
          <cell r="G888">
            <v>1159912</v>
          </cell>
          <cell r="H888" t="str">
            <v>CP-064:CAP 25 SCREW BLK MT L'OREAL</v>
          </cell>
          <cell r="I888">
            <v>252000</v>
          </cell>
          <cell r="J888" t="str">
            <v>UN</v>
          </cell>
          <cell r="K888">
            <v>45636</v>
          </cell>
        </row>
        <row r="889">
          <cell r="A889" t="str">
            <v>50714280510</v>
          </cell>
          <cell r="B889" t="str">
            <v>ZMTD</v>
          </cell>
          <cell r="C889">
            <v>45559</v>
          </cell>
          <cell r="D889" t="str">
            <v>Not delivered</v>
          </cell>
          <cell r="E889">
            <v>507142805</v>
          </cell>
          <cell r="F889">
            <v>10</v>
          </cell>
          <cell r="G889">
            <v>1419488</v>
          </cell>
          <cell r="H889" t="str">
            <v>CP-063R:SPOUT CAP WHITE LOREAL 12A</v>
          </cell>
          <cell r="I889">
            <v>1890000</v>
          </cell>
          <cell r="J889" t="str">
            <v>UN</v>
          </cell>
          <cell r="K889">
            <v>45637</v>
          </cell>
        </row>
        <row r="890">
          <cell r="A890" t="str">
            <v>50800527130</v>
          </cell>
          <cell r="B890" t="str">
            <v>ZMFD</v>
          </cell>
          <cell r="C890">
            <v>45538</v>
          </cell>
          <cell r="D890" t="str">
            <v>Not delivered</v>
          </cell>
          <cell r="E890">
            <v>508005271</v>
          </cell>
          <cell r="F890">
            <v>30</v>
          </cell>
          <cell r="G890">
            <v>1411701</v>
          </cell>
          <cell r="H890" t="str">
            <v>PT-100:BS/INS BLUE P/WHT KAHF PTI 60B</v>
          </cell>
          <cell r="I890">
            <v>180000</v>
          </cell>
          <cell r="J890" t="str">
            <v>UN</v>
          </cell>
          <cell r="K890">
            <v>45637</v>
          </cell>
        </row>
        <row r="891">
          <cell r="A891" t="str">
            <v>50800527140</v>
          </cell>
          <cell r="B891" t="str">
            <v>ZMFD</v>
          </cell>
          <cell r="C891">
            <v>45538</v>
          </cell>
          <cell r="D891" t="str">
            <v>Not delivered</v>
          </cell>
          <cell r="E891">
            <v>508005271</v>
          </cell>
          <cell r="F891">
            <v>40</v>
          </cell>
          <cell r="G891">
            <v>1411700</v>
          </cell>
          <cell r="H891" t="str">
            <v>PT-100:CVR MT.BLUE EMBOS KAHF PTI 40D</v>
          </cell>
          <cell r="I891">
            <v>180000</v>
          </cell>
          <cell r="J891" t="str">
            <v>UN</v>
          </cell>
          <cell r="K891">
            <v>45637</v>
          </cell>
        </row>
        <row r="892">
          <cell r="A892" t="str">
            <v>50800525950</v>
          </cell>
          <cell r="B892" t="str">
            <v>ZMFD</v>
          </cell>
          <cell r="C892">
            <v>45523</v>
          </cell>
          <cell r="D892" t="str">
            <v>Not delivered</v>
          </cell>
          <cell r="E892">
            <v>508005259</v>
          </cell>
          <cell r="F892">
            <v>50</v>
          </cell>
          <cell r="G892">
            <v>1168132</v>
          </cell>
          <cell r="H892" t="str">
            <v>LS-285:BS WHT NO DC WARDAH</v>
          </cell>
          <cell r="I892">
            <v>25000</v>
          </cell>
          <cell r="J892" t="str">
            <v>UN</v>
          </cell>
          <cell r="K892">
            <v>45637</v>
          </cell>
        </row>
        <row r="893">
          <cell r="A893" t="str">
            <v>50800525960</v>
          </cell>
          <cell r="B893" t="str">
            <v>ZMFD</v>
          </cell>
          <cell r="C893">
            <v>45523</v>
          </cell>
          <cell r="D893" t="str">
            <v>Not delivered</v>
          </cell>
          <cell r="E893">
            <v>508005259</v>
          </cell>
          <cell r="F893">
            <v>60</v>
          </cell>
          <cell r="G893">
            <v>1421509</v>
          </cell>
          <cell r="H893" t="str">
            <v>LS-285:CV ORNG P/WHT UV ORGSQUEZE PTI30O</v>
          </cell>
          <cell r="I893">
            <v>25000</v>
          </cell>
          <cell r="J893" t="str">
            <v>UN</v>
          </cell>
          <cell r="K893">
            <v>45637</v>
          </cell>
        </row>
        <row r="894">
          <cell r="A894" t="str">
            <v>50800520030</v>
          </cell>
          <cell r="B894" t="str">
            <v>ZMFD</v>
          </cell>
          <cell r="C894">
            <v>45497</v>
          </cell>
          <cell r="D894" t="str">
            <v>Not delivered</v>
          </cell>
          <cell r="E894">
            <v>508005200</v>
          </cell>
          <cell r="F894">
            <v>30</v>
          </cell>
          <cell r="G894">
            <v>1405278</v>
          </cell>
          <cell r="H894" t="str">
            <v>LC-012:BTL VR07 P/GLASTNG PTI60B</v>
          </cell>
          <cell r="I894">
            <v>50000</v>
          </cell>
          <cell r="J894" t="str">
            <v>UN</v>
          </cell>
          <cell r="K894">
            <v>45637</v>
          </cell>
        </row>
        <row r="895">
          <cell r="A895" t="str">
            <v>50800520040</v>
          </cell>
          <cell r="B895" t="str">
            <v>ZMFD</v>
          </cell>
          <cell r="C895">
            <v>45497</v>
          </cell>
          <cell r="D895" t="str">
            <v>Not delivered</v>
          </cell>
          <cell r="E895">
            <v>508005200</v>
          </cell>
          <cell r="F895">
            <v>40</v>
          </cell>
          <cell r="G895">
            <v>1385814</v>
          </cell>
          <cell r="H895" t="str">
            <v>LC-012:CAP VM BRWN WIP GLASTING PTI 20F</v>
          </cell>
          <cell r="I895">
            <v>50000</v>
          </cell>
          <cell r="J895" t="str">
            <v>UN</v>
          </cell>
          <cell r="K895">
            <v>45637</v>
          </cell>
        </row>
        <row r="896">
          <cell r="A896" t="str">
            <v>50714279220</v>
          </cell>
          <cell r="B896" t="str">
            <v>ZMTD</v>
          </cell>
          <cell r="C896">
            <v>45555</v>
          </cell>
          <cell r="D896" t="str">
            <v>Not delivered</v>
          </cell>
          <cell r="E896">
            <v>507142792</v>
          </cell>
          <cell r="F896">
            <v>20</v>
          </cell>
          <cell r="G896">
            <v>1406600</v>
          </cell>
          <cell r="H896" t="str">
            <v>CM-310:BLACK M086 CANNAGE S/SLV UV MT</v>
          </cell>
          <cell r="I896">
            <v>39000</v>
          </cell>
          <cell r="J896" t="str">
            <v>UN</v>
          </cell>
          <cell r="K896">
            <v>45638</v>
          </cell>
        </row>
        <row r="897">
          <cell r="A897" t="str">
            <v>50800523330</v>
          </cell>
          <cell r="B897" t="str">
            <v>ZMFD</v>
          </cell>
          <cell r="C897">
            <v>45504</v>
          </cell>
          <cell r="D897" t="str">
            <v>Not delivered</v>
          </cell>
          <cell r="E897">
            <v>508005233</v>
          </cell>
          <cell r="F897">
            <v>30</v>
          </cell>
          <cell r="G897">
            <v>1169152</v>
          </cell>
          <cell r="H897" t="str">
            <v>CM-295:SQUARE COMPACT&amp;GODET PHHT010032</v>
          </cell>
          <cell r="I897">
            <v>20040</v>
          </cell>
          <cell r="J897" t="str">
            <v>UN</v>
          </cell>
          <cell r="K897">
            <v>45638</v>
          </cell>
        </row>
        <row r="898">
          <cell r="A898" t="str">
            <v>50714254840</v>
          </cell>
          <cell r="B898" t="str">
            <v>ZMTD</v>
          </cell>
          <cell r="C898">
            <v>45492</v>
          </cell>
          <cell r="D898" t="str">
            <v>Not delivered</v>
          </cell>
          <cell r="E898">
            <v>507142548</v>
          </cell>
          <cell r="F898">
            <v>40</v>
          </cell>
          <cell r="G898">
            <v>1182817</v>
          </cell>
          <cell r="H898" t="str">
            <v>FP-014:JAR P/BLACK ALMAY</v>
          </cell>
          <cell r="I898">
            <v>25056</v>
          </cell>
          <cell r="J898" t="str">
            <v>UN</v>
          </cell>
          <cell r="K898">
            <v>45638</v>
          </cell>
        </row>
        <row r="899">
          <cell r="A899" t="str">
            <v>50714254850</v>
          </cell>
          <cell r="B899" t="str">
            <v>ZMTD</v>
          </cell>
          <cell r="C899">
            <v>45492</v>
          </cell>
          <cell r="D899" t="str">
            <v>Not delivered</v>
          </cell>
          <cell r="E899">
            <v>507142548</v>
          </cell>
          <cell r="F899">
            <v>50</v>
          </cell>
          <cell r="G899">
            <v>1171483</v>
          </cell>
          <cell r="H899" t="str">
            <v>FP-014:COVER GREY MATTE IN MOLD REVLON</v>
          </cell>
          <cell r="I899">
            <v>34992</v>
          </cell>
          <cell r="J899" t="str">
            <v>UN</v>
          </cell>
          <cell r="K899">
            <v>45638</v>
          </cell>
        </row>
        <row r="900">
          <cell r="A900" t="str">
            <v>50800526810</v>
          </cell>
          <cell r="B900" t="str">
            <v>ZMFD</v>
          </cell>
          <cell r="C900">
            <v>45532</v>
          </cell>
          <cell r="D900" t="str">
            <v>Not delivered</v>
          </cell>
          <cell r="E900">
            <v>508005268</v>
          </cell>
          <cell r="F900">
            <v>10</v>
          </cell>
          <cell r="G900">
            <v>1284957</v>
          </cell>
          <cell r="H900" t="str">
            <v>CM-244:WHITE U/CLR  S/SLVR ZGNC010031 EL</v>
          </cell>
          <cell r="I900">
            <v>10080</v>
          </cell>
          <cell r="J900" t="str">
            <v>UN</v>
          </cell>
          <cell r="K900">
            <v>45639</v>
          </cell>
        </row>
        <row r="901">
          <cell r="A901" t="str">
            <v>50714252610</v>
          </cell>
          <cell r="B901" t="str">
            <v>ZMTD</v>
          </cell>
          <cell r="C901">
            <v>45488</v>
          </cell>
          <cell r="D901" t="str">
            <v>Not delivered</v>
          </cell>
          <cell r="E901">
            <v>507142526</v>
          </cell>
          <cell r="F901">
            <v>10</v>
          </cell>
          <cell r="G901">
            <v>1382946</v>
          </cell>
          <cell r="H901" t="str">
            <v>LC-012:BTL VR3 DAZLEMAP P/GLASTNG PTI60B</v>
          </cell>
          <cell r="I901">
            <v>50274</v>
          </cell>
          <cell r="J901" t="str">
            <v>UN</v>
          </cell>
          <cell r="K901">
            <v>45639</v>
          </cell>
        </row>
        <row r="902">
          <cell r="A902" t="str">
            <v>50714252620</v>
          </cell>
          <cell r="B902" t="str">
            <v>ZMTD</v>
          </cell>
          <cell r="C902">
            <v>45488</v>
          </cell>
          <cell r="D902" t="str">
            <v>Not delivered</v>
          </cell>
          <cell r="E902">
            <v>507142526</v>
          </cell>
          <cell r="F902">
            <v>20</v>
          </cell>
          <cell r="G902">
            <v>1385814</v>
          </cell>
          <cell r="H902" t="str">
            <v>LC-012:CAP VM BRWN WIP GLASTING PTI 20F</v>
          </cell>
          <cell r="I902">
            <v>50274</v>
          </cell>
          <cell r="J902" t="str">
            <v>UN</v>
          </cell>
          <cell r="K902">
            <v>45639</v>
          </cell>
        </row>
        <row r="903">
          <cell r="A903" t="str">
            <v>50800508210</v>
          </cell>
          <cell r="B903" t="str">
            <v>ZMFD</v>
          </cell>
          <cell r="C903">
            <v>45436</v>
          </cell>
          <cell r="D903" t="str">
            <v>Not delivered</v>
          </cell>
          <cell r="E903">
            <v>508005082</v>
          </cell>
          <cell r="F903">
            <v>10</v>
          </cell>
          <cell r="G903">
            <v>1331787</v>
          </cell>
          <cell r="H903" t="str">
            <v>CM-216:TRUE MATCH BLUSH W/O BRUSH LOR US</v>
          </cell>
          <cell r="I903">
            <v>174200</v>
          </cell>
          <cell r="J903" t="str">
            <v>UN</v>
          </cell>
          <cell r="K903">
            <v>45639</v>
          </cell>
        </row>
        <row r="904">
          <cell r="A904" t="str">
            <v>50714280610</v>
          </cell>
          <cell r="B904" t="str">
            <v>ZMTD</v>
          </cell>
          <cell r="C904">
            <v>45559</v>
          </cell>
          <cell r="D904" t="str">
            <v>Not delivered</v>
          </cell>
          <cell r="E904">
            <v>507142806</v>
          </cell>
          <cell r="F904">
            <v>10</v>
          </cell>
          <cell r="G904">
            <v>1419488</v>
          </cell>
          <cell r="H904" t="str">
            <v>CP-063R:SPOUT CAP WHITE LOREAL 12A</v>
          </cell>
          <cell r="I904">
            <v>1890000</v>
          </cell>
          <cell r="J904" t="str">
            <v>UN</v>
          </cell>
          <cell r="K904">
            <v>45642</v>
          </cell>
        </row>
        <row r="905">
          <cell r="A905" t="str">
            <v>50714271710</v>
          </cell>
          <cell r="B905" t="str">
            <v>ZMTD</v>
          </cell>
          <cell r="C905">
            <v>45538</v>
          </cell>
          <cell r="D905" t="str">
            <v>Not delivered</v>
          </cell>
          <cell r="E905">
            <v>507142717</v>
          </cell>
          <cell r="F905">
            <v>10</v>
          </cell>
          <cell r="G905">
            <v>1435161</v>
          </cell>
          <cell r="H905" t="str">
            <v>CP-095:BLACK U/CLEAR CHRISTMAS 25</v>
          </cell>
          <cell r="I905">
            <v>29160</v>
          </cell>
          <cell r="J905" t="str">
            <v>UN</v>
          </cell>
          <cell r="K905">
            <v>45642</v>
          </cell>
        </row>
        <row r="906">
          <cell r="A906" t="str">
            <v>50800519810</v>
          </cell>
          <cell r="B906" t="str">
            <v>ZMFD</v>
          </cell>
          <cell r="C906">
            <v>45497</v>
          </cell>
          <cell r="D906" t="str">
            <v>Not delivered</v>
          </cell>
          <cell r="E906">
            <v>508005198</v>
          </cell>
          <cell r="F906">
            <v>10</v>
          </cell>
          <cell r="G906">
            <v>1390981</v>
          </cell>
          <cell r="H906" t="str">
            <v>LC-012:BTL VR5 GLAZBERY P/GLASTNG PTI60B</v>
          </cell>
          <cell r="I906">
            <v>80000</v>
          </cell>
          <cell r="J906" t="str">
            <v>UN</v>
          </cell>
          <cell r="K906">
            <v>45642</v>
          </cell>
        </row>
        <row r="907">
          <cell r="A907" t="str">
            <v>50800519820</v>
          </cell>
          <cell r="B907" t="str">
            <v>ZMFD</v>
          </cell>
          <cell r="C907">
            <v>45497</v>
          </cell>
          <cell r="D907" t="str">
            <v>Not delivered</v>
          </cell>
          <cell r="E907">
            <v>508005198</v>
          </cell>
          <cell r="F907">
            <v>20</v>
          </cell>
          <cell r="G907">
            <v>1385814</v>
          </cell>
          <cell r="H907" t="str">
            <v>LC-012:CAP VM BRWN WIP GLASTING PTI 20F</v>
          </cell>
          <cell r="I907">
            <v>80000</v>
          </cell>
          <cell r="J907" t="str">
            <v>UN</v>
          </cell>
          <cell r="K907">
            <v>45642</v>
          </cell>
        </row>
        <row r="908">
          <cell r="A908" t="str">
            <v>50800519930</v>
          </cell>
          <cell r="B908" t="str">
            <v>ZMFD</v>
          </cell>
          <cell r="C908">
            <v>45497</v>
          </cell>
          <cell r="D908" t="str">
            <v>Not delivered</v>
          </cell>
          <cell r="E908">
            <v>508005199</v>
          </cell>
          <cell r="F908">
            <v>30</v>
          </cell>
          <cell r="G908">
            <v>1390058</v>
          </cell>
          <cell r="H908" t="str">
            <v>LC-012:BTL VR6 RUBYSPAR P/GLASTNG PTI60B</v>
          </cell>
          <cell r="I908">
            <v>50000</v>
          </cell>
          <cell r="J908" t="str">
            <v>UN</v>
          </cell>
          <cell r="K908">
            <v>45642</v>
          </cell>
        </row>
        <row r="909">
          <cell r="A909" t="str">
            <v>50800519940</v>
          </cell>
          <cell r="B909" t="str">
            <v>ZMFD</v>
          </cell>
          <cell r="C909">
            <v>45497</v>
          </cell>
          <cell r="D909" t="str">
            <v>Not delivered</v>
          </cell>
          <cell r="E909">
            <v>508005199</v>
          </cell>
          <cell r="F909">
            <v>40</v>
          </cell>
          <cell r="G909">
            <v>1385814</v>
          </cell>
          <cell r="H909" t="str">
            <v>LC-012:CAP VM BRWN WIP GLASTING PTI 20F</v>
          </cell>
          <cell r="I909">
            <v>50000</v>
          </cell>
          <cell r="J909" t="str">
            <v>UN</v>
          </cell>
          <cell r="K909">
            <v>45642</v>
          </cell>
        </row>
        <row r="910">
          <cell r="A910" t="str">
            <v>50800520150</v>
          </cell>
          <cell r="B910" t="str">
            <v>ZMFD</v>
          </cell>
          <cell r="C910">
            <v>45497</v>
          </cell>
          <cell r="D910" t="str">
            <v>Not delivered</v>
          </cell>
          <cell r="E910">
            <v>508005201</v>
          </cell>
          <cell r="F910">
            <v>50</v>
          </cell>
          <cell r="G910">
            <v>1405658</v>
          </cell>
          <cell r="H910" t="str">
            <v>LC-012:BTL VR08 P/GLASTNG PTI60B</v>
          </cell>
          <cell r="I910">
            <v>25000</v>
          </cell>
          <cell r="J910" t="str">
            <v>UN</v>
          </cell>
          <cell r="K910">
            <v>45642</v>
          </cell>
        </row>
        <row r="911">
          <cell r="A911" t="str">
            <v>50800520160</v>
          </cell>
          <cell r="B911" t="str">
            <v>ZMFD</v>
          </cell>
          <cell r="C911">
            <v>45497</v>
          </cell>
          <cell r="D911" t="str">
            <v>Not delivered</v>
          </cell>
          <cell r="E911">
            <v>508005201</v>
          </cell>
          <cell r="F911">
            <v>60</v>
          </cell>
          <cell r="G911">
            <v>1385814</v>
          </cell>
          <cell r="H911" t="str">
            <v>LC-012:CAP VM BRWN WIP GLASTING PTI 20F</v>
          </cell>
          <cell r="I911">
            <v>25000</v>
          </cell>
          <cell r="J911" t="str">
            <v>UN</v>
          </cell>
          <cell r="K911">
            <v>45642</v>
          </cell>
        </row>
        <row r="912">
          <cell r="A912" t="str">
            <v>50800520270</v>
          </cell>
          <cell r="B912" t="str">
            <v>ZMFD</v>
          </cell>
          <cell r="C912">
            <v>45497</v>
          </cell>
          <cell r="D912" t="str">
            <v>Not delivered</v>
          </cell>
          <cell r="E912">
            <v>508005202</v>
          </cell>
          <cell r="F912">
            <v>70</v>
          </cell>
          <cell r="G912">
            <v>1405884</v>
          </cell>
          <cell r="H912" t="str">
            <v>LC-012:BTL VR10 P/GLASTNG PTI60B</v>
          </cell>
          <cell r="I912">
            <v>25000</v>
          </cell>
          <cell r="J912" t="str">
            <v>UN</v>
          </cell>
          <cell r="K912">
            <v>45642</v>
          </cell>
        </row>
        <row r="913">
          <cell r="A913" t="str">
            <v>50800520280</v>
          </cell>
          <cell r="B913" t="str">
            <v>ZMFD</v>
          </cell>
          <cell r="C913">
            <v>45497</v>
          </cell>
          <cell r="D913" t="str">
            <v>Not delivered</v>
          </cell>
          <cell r="E913">
            <v>508005202</v>
          </cell>
          <cell r="F913">
            <v>80</v>
          </cell>
          <cell r="G913">
            <v>1385814</v>
          </cell>
          <cell r="H913" t="str">
            <v>LC-012:CAP VM BRWN WIP GLASTING PTI 20F</v>
          </cell>
          <cell r="I913">
            <v>25000</v>
          </cell>
          <cell r="J913" t="str">
            <v>UN</v>
          </cell>
          <cell r="K913">
            <v>45642</v>
          </cell>
        </row>
        <row r="914">
          <cell r="A914" t="str">
            <v>50800520450</v>
          </cell>
          <cell r="B914" t="str">
            <v>ZMFD</v>
          </cell>
          <cell r="C914">
            <v>45497</v>
          </cell>
          <cell r="D914" t="str">
            <v>Not delivered</v>
          </cell>
          <cell r="E914">
            <v>508005204</v>
          </cell>
          <cell r="F914">
            <v>50</v>
          </cell>
          <cell r="G914">
            <v>1405883</v>
          </cell>
          <cell r="H914" t="str">
            <v>LC-012:BTL VR13 P/GLASTNG PTI60B</v>
          </cell>
          <cell r="I914">
            <v>25000</v>
          </cell>
          <cell r="J914" t="str">
            <v>UN</v>
          </cell>
          <cell r="K914">
            <v>45642</v>
          </cell>
        </row>
        <row r="915">
          <cell r="A915" t="str">
            <v>50800520460</v>
          </cell>
          <cell r="B915" t="str">
            <v>ZMFD</v>
          </cell>
          <cell r="C915">
            <v>45497</v>
          </cell>
          <cell r="D915" t="str">
            <v>Not delivered</v>
          </cell>
          <cell r="E915">
            <v>508005204</v>
          </cell>
          <cell r="F915">
            <v>60</v>
          </cell>
          <cell r="G915">
            <v>1385814</v>
          </cell>
          <cell r="H915" t="str">
            <v>LC-012:CAP VM BRWN WIP GLASTING PTI 20F</v>
          </cell>
          <cell r="I915">
            <v>25000</v>
          </cell>
          <cell r="J915" t="str">
            <v>UN</v>
          </cell>
          <cell r="K915">
            <v>45642</v>
          </cell>
        </row>
        <row r="916">
          <cell r="A916" t="str">
            <v>50800514950</v>
          </cell>
          <cell r="B916" t="str">
            <v>ZMFD</v>
          </cell>
          <cell r="C916">
            <v>45464</v>
          </cell>
          <cell r="D916" t="str">
            <v>Not delivered</v>
          </cell>
          <cell r="E916">
            <v>508005149</v>
          </cell>
          <cell r="F916">
            <v>50</v>
          </cell>
          <cell r="G916">
            <v>1378563</v>
          </cell>
          <cell r="H916" t="str">
            <v>CP-093:CAP D50 MT BLACK Ø.5 YASULOR 12A</v>
          </cell>
          <cell r="I916">
            <v>600000</v>
          </cell>
          <cell r="J916" t="str">
            <v>UN</v>
          </cell>
          <cell r="K916">
            <v>45642</v>
          </cell>
        </row>
        <row r="917">
          <cell r="A917" t="str">
            <v>50714131990</v>
          </cell>
          <cell r="B917" t="str">
            <v>ZMTD</v>
          </cell>
          <cell r="C917">
            <v>45247</v>
          </cell>
          <cell r="D917" t="str">
            <v>Not delivered</v>
          </cell>
          <cell r="E917">
            <v>507141319</v>
          </cell>
          <cell r="F917">
            <v>90</v>
          </cell>
          <cell r="G917">
            <v>1383698</v>
          </cell>
          <cell r="H917" t="str">
            <v>PT-098:CVR WHT PLUG NAT NDC MENTARI 12A</v>
          </cell>
          <cell r="I917">
            <v>1800</v>
          </cell>
          <cell r="J917" t="str">
            <v>UN</v>
          </cell>
          <cell r="K917">
            <v>45642</v>
          </cell>
        </row>
        <row r="918">
          <cell r="A918" t="str">
            <v>507141319100</v>
          </cell>
          <cell r="B918" t="str">
            <v>ZMTD</v>
          </cell>
          <cell r="C918">
            <v>45247</v>
          </cell>
          <cell r="D918" t="str">
            <v>Not delivered</v>
          </cell>
          <cell r="E918">
            <v>507141319</v>
          </cell>
          <cell r="F918">
            <v>100</v>
          </cell>
          <cell r="G918">
            <v>1383699</v>
          </cell>
          <cell r="H918" t="str">
            <v>PT-098:BS CLR REFIL WHT 12.5G MENTARI12A</v>
          </cell>
          <cell r="I918">
            <v>1800</v>
          </cell>
          <cell r="J918" t="str">
            <v>UN</v>
          </cell>
          <cell r="K918">
            <v>45642</v>
          </cell>
        </row>
        <row r="919">
          <cell r="A919" t="str">
            <v>50800529410</v>
          </cell>
          <cell r="B919" t="str">
            <v>ZMFD</v>
          </cell>
          <cell r="C919">
            <v>45560</v>
          </cell>
          <cell r="D919" t="str">
            <v>Not delivered</v>
          </cell>
          <cell r="E919">
            <v>508005294</v>
          </cell>
          <cell r="F919">
            <v>10</v>
          </cell>
          <cell r="G919">
            <v>1286626</v>
          </cell>
          <cell r="H919" t="str">
            <v>FP-038:BASE AMBER GWLT010705 EL</v>
          </cell>
          <cell r="I919">
            <v>25020</v>
          </cell>
          <cell r="J919" t="str">
            <v>UN</v>
          </cell>
          <cell r="K919">
            <v>45643</v>
          </cell>
        </row>
        <row r="920">
          <cell r="A920" t="str">
            <v>50714280710</v>
          </cell>
          <cell r="B920" t="str">
            <v>ZMTD</v>
          </cell>
          <cell r="C920">
            <v>45559</v>
          </cell>
          <cell r="D920" t="str">
            <v>Not delivered</v>
          </cell>
          <cell r="E920">
            <v>507142807</v>
          </cell>
          <cell r="F920">
            <v>10</v>
          </cell>
          <cell r="G920">
            <v>1419488</v>
          </cell>
          <cell r="H920" t="str">
            <v>CP-063R:SPOUT CAP WHITE LOREAL 12A</v>
          </cell>
          <cell r="I920">
            <v>1890000</v>
          </cell>
          <cell r="J920" t="str">
            <v>UN</v>
          </cell>
          <cell r="K920">
            <v>45643</v>
          </cell>
        </row>
        <row r="921">
          <cell r="A921" t="str">
            <v>50800528610</v>
          </cell>
          <cell r="B921" t="str">
            <v>ZMFD</v>
          </cell>
          <cell r="C921">
            <v>45558</v>
          </cell>
          <cell r="D921" t="str">
            <v>Not delivered</v>
          </cell>
          <cell r="E921">
            <v>508005286</v>
          </cell>
          <cell r="F921">
            <v>10</v>
          </cell>
          <cell r="G921">
            <v>1170578</v>
          </cell>
          <cell r="H921" t="str">
            <v>FP-029:CAP VM GOLD S/MATTE REEY010073</v>
          </cell>
          <cell r="I921">
            <v>25080</v>
          </cell>
          <cell r="J921" t="str">
            <v>UN</v>
          </cell>
          <cell r="K921">
            <v>45643</v>
          </cell>
        </row>
        <row r="922">
          <cell r="A922" t="str">
            <v>50714276330</v>
          </cell>
          <cell r="B922" t="str">
            <v>ZMTD</v>
          </cell>
          <cell r="C922">
            <v>45552</v>
          </cell>
          <cell r="D922" t="str">
            <v>Not delivered</v>
          </cell>
          <cell r="E922">
            <v>507142763</v>
          </cell>
          <cell r="F922">
            <v>30</v>
          </cell>
          <cell r="G922">
            <v>1182817</v>
          </cell>
          <cell r="H922" t="str">
            <v>FP-014:JAR P/BLACK ALMAY</v>
          </cell>
          <cell r="I922">
            <v>25056</v>
          </cell>
          <cell r="J922" t="str">
            <v>UN</v>
          </cell>
          <cell r="K922">
            <v>45644</v>
          </cell>
        </row>
        <row r="923">
          <cell r="A923" t="str">
            <v>50714276450</v>
          </cell>
          <cell r="B923" t="str">
            <v>ZMTD</v>
          </cell>
          <cell r="C923">
            <v>45552</v>
          </cell>
          <cell r="D923" t="str">
            <v>Not delivered</v>
          </cell>
          <cell r="E923">
            <v>507142764</v>
          </cell>
          <cell r="F923">
            <v>50</v>
          </cell>
          <cell r="G923">
            <v>1211756</v>
          </cell>
          <cell r="H923" t="str">
            <v>CM-246:COVER VM SHNY SLV ALMOST PWD</v>
          </cell>
          <cell r="I923">
            <v>120120</v>
          </cell>
          <cell r="J923" t="str">
            <v>UN</v>
          </cell>
          <cell r="K923">
            <v>45644</v>
          </cell>
        </row>
        <row r="924">
          <cell r="A924" t="str">
            <v>50800528010</v>
          </cell>
          <cell r="B924" t="str">
            <v>ZMFD</v>
          </cell>
          <cell r="C924">
            <v>45553</v>
          </cell>
          <cell r="D924" t="str">
            <v>Not delivered</v>
          </cell>
          <cell r="E924">
            <v>508005280</v>
          </cell>
          <cell r="F924">
            <v>10</v>
          </cell>
          <cell r="G924">
            <v>1169286</v>
          </cell>
          <cell r="H924" t="str">
            <v>CM-294:RECTANGULAR WITH GODET PKTJ010032</v>
          </cell>
          <cell r="I924">
            <v>46880</v>
          </cell>
          <cell r="J924" t="str">
            <v>UN</v>
          </cell>
          <cell r="K924">
            <v>45645</v>
          </cell>
        </row>
        <row r="925">
          <cell r="A925" t="str">
            <v>50800523340</v>
          </cell>
          <cell r="B925" t="str">
            <v>ZMFD</v>
          </cell>
          <cell r="C925">
            <v>45504</v>
          </cell>
          <cell r="D925" t="str">
            <v>Not delivered</v>
          </cell>
          <cell r="E925">
            <v>508005233</v>
          </cell>
          <cell r="F925">
            <v>40</v>
          </cell>
          <cell r="G925">
            <v>1169152</v>
          </cell>
          <cell r="H925" t="str">
            <v>CM-295:SQUARE COMPACT&amp;GODET PHHT010032</v>
          </cell>
          <cell r="I925">
            <v>20040</v>
          </cell>
          <cell r="J925" t="str">
            <v>UN</v>
          </cell>
          <cell r="K925">
            <v>45645</v>
          </cell>
        </row>
        <row r="926">
          <cell r="A926" t="str">
            <v>50800514960</v>
          </cell>
          <cell r="B926" t="str">
            <v>ZMFD</v>
          </cell>
          <cell r="C926">
            <v>45464</v>
          </cell>
          <cell r="D926" t="str">
            <v>Not delivered</v>
          </cell>
          <cell r="E926">
            <v>508005149</v>
          </cell>
          <cell r="F926">
            <v>60</v>
          </cell>
          <cell r="G926">
            <v>1378563</v>
          </cell>
          <cell r="H926" t="str">
            <v>CP-093:CAP D50 MT BLACK Ø.5 YASULOR 12A</v>
          </cell>
          <cell r="I926">
            <v>600000</v>
          </cell>
          <cell r="J926" t="str">
            <v>UN</v>
          </cell>
          <cell r="K926">
            <v>45646</v>
          </cell>
        </row>
        <row r="927">
          <cell r="A927" t="str">
            <v>50714139120</v>
          </cell>
          <cell r="B927" t="str">
            <v>ZMTD</v>
          </cell>
          <cell r="C927">
            <v>45265</v>
          </cell>
          <cell r="D927" t="str">
            <v>Not delivered</v>
          </cell>
          <cell r="E927">
            <v>507141391</v>
          </cell>
          <cell r="F927">
            <v>20</v>
          </cell>
          <cell r="G927">
            <v>1259608</v>
          </cell>
          <cell r="H927" t="str">
            <v>CM-302:MUFE MEDIUM FLEXI MAGNET SUPERMAT</v>
          </cell>
          <cell r="I927">
            <v>51408</v>
          </cell>
          <cell r="J927" t="str">
            <v>UN</v>
          </cell>
          <cell r="K927">
            <v>45646</v>
          </cell>
        </row>
        <row r="928">
          <cell r="A928" t="str">
            <v>50714112220</v>
          </cell>
          <cell r="B928" t="str">
            <v>ZMTD</v>
          </cell>
          <cell r="C928">
            <v>45195</v>
          </cell>
          <cell r="D928" t="str">
            <v>Not delivered</v>
          </cell>
          <cell r="E928">
            <v>507141122</v>
          </cell>
          <cell r="F928">
            <v>20</v>
          </cell>
          <cell r="G928">
            <v>1273398</v>
          </cell>
          <cell r="H928" t="str">
            <v>CM-309:FAC-098 BTIR MNO BRNZR INSRT ROND</v>
          </cell>
          <cell r="I928">
            <v>50400</v>
          </cell>
          <cell r="J928" t="str">
            <v>UN</v>
          </cell>
          <cell r="K928">
            <v>45646</v>
          </cell>
        </row>
        <row r="929">
          <cell r="A929" t="str">
            <v>50714112230</v>
          </cell>
          <cell r="B929" t="str">
            <v>ZMTD</v>
          </cell>
          <cell r="C929">
            <v>45195</v>
          </cell>
          <cell r="D929" t="str">
            <v>Not delivered</v>
          </cell>
          <cell r="E929">
            <v>507141122</v>
          </cell>
          <cell r="F929">
            <v>30</v>
          </cell>
          <cell r="G929">
            <v>1273398</v>
          </cell>
          <cell r="H929" t="str">
            <v>CM-309:FAC-098 BTIR MNO BRNZR INSRT ROND</v>
          </cell>
          <cell r="I929">
            <v>50400</v>
          </cell>
          <cell r="J929" t="str">
            <v>UN</v>
          </cell>
          <cell r="K929">
            <v>45646</v>
          </cell>
        </row>
        <row r="930">
          <cell r="A930" t="str">
            <v>50800528510</v>
          </cell>
          <cell r="B930" t="str">
            <v>ZMFD</v>
          </cell>
          <cell r="C930">
            <v>45558</v>
          </cell>
          <cell r="D930" t="str">
            <v>Not delivered</v>
          </cell>
          <cell r="E930">
            <v>508005285</v>
          </cell>
          <cell r="F930">
            <v>10</v>
          </cell>
          <cell r="G930">
            <v>1163327</v>
          </cell>
          <cell r="H930" t="str">
            <v>CM-246:CVR S.SLV PAN WHITE 6MPY 01 0034</v>
          </cell>
          <cell r="I930">
            <v>25056</v>
          </cell>
          <cell r="J930" t="str">
            <v>UN</v>
          </cell>
          <cell r="K930">
            <v>45650</v>
          </cell>
        </row>
        <row r="931">
          <cell r="A931" t="str">
            <v>50800528710</v>
          </cell>
          <cell r="B931" t="str">
            <v>ZMFD</v>
          </cell>
          <cell r="C931">
            <v>45558</v>
          </cell>
          <cell r="D931" t="str">
            <v>Not delivered</v>
          </cell>
          <cell r="E931">
            <v>508005287</v>
          </cell>
          <cell r="F931">
            <v>10</v>
          </cell>
          <cell r="G931">
            <v>1305089</v>
          </cell>
          <cell r="H931" t="str">
            <v>CM-207:VM SHY SLV P/MATTE ZGH6010038 EL</v>
          </cell>
          <cell r="I931">
            <v>25920</v>
          </cell>
          <cell r="J931" t="str">
            <v>UN</v>
          </cell>
          <cell r="K931">
            <v>45650</v>
          </cell>
        </row>
        <row r="932">
          <cell r="A932" t="str">
            <v>50714277770</v>
          </cell>
          <cell r="B932" t="str">
            <v>ZMTD</v>
          </cell>
          <cell r="C932">
            <v>45554</v>
          </cell>
          <cell r="D932" t="str">
            <v>Not delivered</v>
          </cell>
          <cell r="E932">
            <v>507142777</v>
          </cell>
          <cell r="F932">
            <v>70</v>
          </cell>
          <cell r="G932">
            <v>1435311</v>
          </cell>
          <cell r="H932" t="str">
            <v>LC-002:BTL/COL MTGRAD SLV AZURA LION 40D</v>
          </cell>
          <cell r="I932">
            <v>48510</v>
          </cell>
          <cell r="J932" t="str">
            <v>UN</v>
          </cell>
          <cell r="K932">
            <v>45650</v>
          </cell>
        </row>
        <row r="933">
          <cell r="A933" t="str">
            <v>50714277780</v>
          </cell>
          <cell r="B933" t="str">
            <v>ZMTD</v>
          </cell>
          <cell r="C933">
            <v>45554</v>
          </cell>
          <cell r="D933" t="str">
            <v>Not delivered</v>
          </cell>
          <cell r="E933">
            <v>507142777</v>
          </cell>
          <cell r="F933">
            <v>80</v>
          </cell>
          <cell r="G933">
            <v>1435313</v>
          </cell>
          <cell r="H933" t="str">
            <v>LC-002:CAP MTSLV WIPNAT S/AZURA LION 40C</v>
          </cell>
          <cell r="I933">
            <v>48510</v>
          </cell>
          <cell r="J933" t="str">
            <v>UN</v>
          </cell>
          <cell r="K933">
            <v>45650</v>
          </cell>
        </row>
        <row r="934">
          <cell r="A934" t="str">
            <v>50800528020</v>
          </cell>
          <cell r="B934" t="str">
            <v>ZMFD</v>
          </cell>
          <cell r="C934">
            <v>45553</v>
          </cell>
          <cell r="D934" t="str">
            <v>Not delivered</v>
          </cell>
          <cell r="E934">
            <v>508005280</v>
          </cell>
          <cell r="F934">
            <v>20</v>
          </cell>
          <cell r="G934">
            <v>1169286</v>
          </cell>
          <cell r="H934" t="str">
            <v>CM-294:RECTANGULAR WITH GODET PKTJ010032</v>
          </cell>
          <cell r="I934">
            <v>35000</v>
          </cell>
          <cell r="J934" t="str">
            <v>UN</v>
          </cell>
          <cell r="K934">
            <v>45652</v>
          </cell>
        </row>
        <row r="935">
          <cell r="A935" t="str">
            <v>50800528720</v>
          </cell>
          <cell r="B935" t="str">
            <v>ZMFD</v>
          </cell>
          <cell r="C935">
            <v>45558</v>
          </cell>
          <cell r="D935" t="str">
            <v>Not delivered</v>
          </cell>
          <cell r="E935">
            <v>508005287</v>
          </cell>
          <cell r="F935">
            <v>20</v>
          </cell>
          <cell r="G935">
            <v>1305089</v>
          </cell>
          <cell r="H935" t="str">
            <v>CM-207:VM SHY SLV P/MATTE ZGH6010038 EL</v>
          </cell>
          <cell r="I935">
            <v>25920</v>
          </cell>
          <cell r="J935" t="str">
            <v>UN</v>
          </cell>
          <cell r="K935">
            <v>45659</v>
          </cell>
        </row>
        <row r="936">
          <cell r="A936" t="str">
            <v>50800528210</v>
          </cell>
          <cell r="B936" t="str">
            <v>ZMFD</v>
          </cell>
          <cell r="C936">
            <v>45554</v>
          </cell>
          <cell r="D936" t="str">
            <v>Not delivered</v>
          </cell>
          <cell r="E936">
            <v>508005282</v>
          </cell>
          <cell r="F936">
            <v>10</v>
          </cell>
          <cell r="G936">
            <v>1431860</v>
          </cell>
          <cell r="H936" t="str">
            <v>PT6029R CAP GARNIER 18ML WHITE PLZ (553)</v>
          </cell>
          <cell r="I936">
            <v>105840</v>
          </cell>
          <cell r="J936" t="str">
            <v>UN</v>
          </cell>
          <cell r="K936">
            <v>45659</v>
          </cell>
        </row>
        <row r="937">
          <cell r="A937" t="str">
            <v>50714270710</v>
          </cell>
          <cell r="B937" t="str">
            <v>ZMTD</v>
          </cell>
          <cell r="C937">
            <v>45534</v>
          </cell>
          <cell r="D937" t="str">
            <v>Not delivered</v>
          </cell>
          <cell r="E937">
            <v>507142707</v>
          </cell>
          <cell r="F937">
            <v>10</v>
          </cell>
          <cell r="G937">
            <v>1187758</v>
          </cell>
          <cell r="H937" t="str">
            <v>CM-105:VM RAINBOW P/ULTIMA II RUDYS 40C</v>
          </cell>
          <cell r="I937">
            <v>20000</v>
          </cell>
          <cell r="J937" t="str">
            <v>UN</v>
          </cell>
          <cell r="K937">
            <v>45659</v>
          </cell>
        </row>
        <row r="938">
          <cell r="A938" t="str">
            <v>50714243810</v>
          </cell>
          <cell r="B938" t="str">
            <v>ZMTD</v>
          </cell>
          <cell r="C938">
            <v>45475</v>
          </cell>
          <cell r="D938" t="str">
            <v>Not delivered</v>
          </cell>
          <cell r="E938">
            <v>507142438</v>
          </cell>
          <cell r="F938">
            <v>10</v>
          </cell>
          <cell r="G938">
            <v>1159364</v>
          </cell>
          <cell r="H938" t="str">
            <v>CP-071:PL8364 INSERT TNR 125-200ML REX</v>
          </cell>
          <cell r="I938">
            <v>111000</v>
          </cell>
          <cell r="J938" t="str">
            <v>UN</v>
          </cell>
          <cell r="K938">
            <v>45659</v>
          </cell>
        </row>
        <row r="939">
          <cell r="A939" t="str">
            <v>50800529610</v>
          </cell>
          <cell r="B939" t="str">
            <v>ZMFD</v>
          </cell>
          <cell r="C939">
            <v>45565</v>
          </cell>
          <cell r="D939" t="str">
            <v>Not delivered</v>
          </cell>
          <cell r="E939">
            <v>508005296</v>
          </cell>
          <cell r="F939">
            <v>10</v>
          </cell>
          <cell r="G939">
            <v>1378563</v>
          </cell>
          <cell r="H939" t="str">
            <v>CP-093:CAP D50 MT BLACK Ø.5 YASULOR 12A</v>
          </cell>
          <cell r="I939">
            <v>600000</v>
          </cell>
          <cell r="J939" t="str">
            <v>UN</v>
          </cell>
          <cell r="K939">
            <v>45660</v>
          </cell>
        </row>
        <row r="940">
          <cell r="A940" t="str">
            <v>50800529710</v>
          </cell>
          <cell r="B940" t="str">
            <v>ZMFD</v>
          </cell>
          <cell r="C940">
            <v>45565</v>
          </cell>
          <cell r="D940" t="str">
            <v>Not delivered</v>
          </cell>
          <cell r="E940">
            <v>508005297</v>
          </cell>
          <cell r="F940">
            <v>10</v>
          </cell>
          <cell r="G940">
            <v>1419488</v>
          </cell>
          <cell r="H940" t="str">
            <v>CP-063R:SPOUT CAP WHITE LOREAL 12A</v>
          </cell>
          <cell r="I940">
            <v>1890000</v>
          </cell>
          <cell r="J940" t="str">
            <v>UN</v>
          </cell>
          <cell r="K940">
            <v>45660</v>
          </cell>
        </row>
        <row r="941">
          <cell r="A941" t="str">
            <v>50714283010</v>
          </cell>
          <cell r="B941" t="str">
            <v>ZMTD</v>
          </cell>
          <cell r="C941">
            <v>45561</v>
          </cell>
          <cell r="D941" t="str">
            <v>Not delivered</v>
          </cell>
          <cell r="E941">
            <v>507142830</v>
          </cell>
          <cell r="F941">
            <v>10</v>
          </cell>
          <cell r="G941">
            <v>1402130</v>
          </cell>
          <cell r="H941" t="str">
            <v>CM-288:BL UV S/SLV DUOBLSH DIORM098 IXPE</v>
          </cell>
          <cell r="I941">
            <v>22000</v>
          </cell>
          <cell r="J941" t="str">
            <v>UN</v>
          </cell>
          <cell r="K941">
            <v>45660</v>
          </cell>
        </row>
        <row r="942">
          <cell r="A942" t="str">
            <v>50800528030</v>
          </cell>
          <cell r="B942" t="str">
            <v>ZMFD</v>
          </cell>
          <cell r="C942">
            <v>45553</v>
          </cell>
          <cell r="D942" t="str">
            <v>Not delivered</v>
          </cell>
          <cell r="E942">
            <v>508005280</v>
          </cell>
          <cell r="F942">
            <v>30</v>
          </cell>
          <cell r="G942">
            <v>1169286</v>
          </cell>
          <cell r="H942" t="str">
            <v>CM-294:RECTANGULAR WITH GODET PKTJ010032</v>
          </cell>
          <cell r="I942">
            <v>53920</v>
          </cell>
          <cell r="J942" t="str">
            <v>UN</v>
          </cell>
          <cell r="K942">
            <v>45660</v>
          </cell>
        </row>
        <row r="943">
          <cell r="A943" t="str">
            <v>50714276310</v>
          </cell>
          <cell r="B943" t="str">
            <v>ZMTD</v>
          </cell>
          <cell r="C943">
            <v>45552</v>
          </cell>
          <cell r="D943" t="str">
            <v>Not delivered</v>
          </cell>
          <cell r="E943">
            <v>507142763</v>
          </cell>
          <cell r="F943">
            <v>10</v>
          </cell>
          <cell r="G943">
            <v>1240862</v>
          </cell>
          <cell r="H943" t="str">
            <v>FP-014 SIFTER NAT W/ORDERED LABEL REVLON</v>
          </cell>
          <cell r="I943">
            <v>38750</v>
          </cell>
          <cell r="J943" t="str">
            <v>UN</v>
          </cell>
          <cell r="K943">
            <v>45660</v>
          </cell>
        </row>
        <row r="944">
          <cell r="A944" t="str">
            <v>50714276320</v>
          </cell>
          <cell r="B944" t="str">
            <v>ZMTD</v>
          </cell>
          <cell r="C944">
            <v>45552</v>
          </cell>
          <cell r="D944" t="str">
            <v>Not delivered</v>
          </cell>
          <cell r="E944">
            <v>507142763</v>
          </cell>
          <cell r="F944">
            <v>20</v>
          </cell>
          <cell r="G944">
            <v>1171483</v>
          </cell>
          <cell r="H944" t="str">
            <v>FP-014:COVER GREY MATTE IN MOLD REVLON</v>
          </cell>
          <cell r="I944">
            <v>34992</v>
          </cell>
          <cell r="J944" t="str">
            <v>UN</v>
          </cell>
          <cell r="K944">
            <v>45660</v>
          </cell>
        </row>
        <row r="945">
          <cell r="A945" t="str">
            <v>50714276460</v>
          </cell>
          <cell r="B945" t="str">
            <v>ZMTD</v>
          </cell>
          <cell r="C945">
            <v>45552</v>
          </cell>
          <cell r="D945" t="str">
            <v>Not delivered</v>
          </cell>
          <cell r="E945">
            <v>507142764</v>
          </cell>
          <cell r="F945">
            <v>60</v>
          </cell>
          <cell r="G945">
            <v>1211756</v>
          </cell>
          <cell r="H945" t="str">
            <v>CM-246:COVER VM SHNY SLV ALMOST PWD</v>
          </cell>
          <cell r="I945">
            <v>120120</v>
          </cell>
          <cell r="J945" t="str">
            <v>UN</v>
          </cell>
          <cell r="K945">
            <v>45660</v>
          </cell>
        </row>
        <row r="946">
          <cell r="A946" t="str">
            <v>50714275810</v>
          </cell>
          <cell r="B946" t="str">
            <v>ZMTD</v>
          </cell>
          <cell r="C946">
            <v>45548</v>
          </cell>
          <cell r="D946" t="str">
            <v>Not delivered</v>
          </cell>
          <cell r="E946">
            <v>507142758</v>
          </cell>
          <cell r="F946">
            <v>10</v>
          </cell>
          <cell r="G946">
            <v>1432080</v>
          </cell>
          <cell r="H946" t="str">
            <v>CM-281:BS/CV TWC BLUE UV P/S/INEZ FTC30M</v>
          </cell>
          <cell r="I946">
            <v>25000</v>
          </cell>
          <cell r="J946" t="str">
            <v>UN</v>
          </cell>
          <cell r="K946">
            <v>45660</v>
          </cell>
        </row>
        <row r="947">
          <cell r="A947" t="str">
            <v>50800529620</v>
          </cell>
          <cell r="B947" t="str">
            <v>ZMFD</v>
          </cell>
          <cell r="C947">
            <v>45565</v>
          </cell>
          <cell r="D947" t="str">
            <v>Not delivered</v>
          </cell>
          <cell r="E947">
            <v>508005296</v>
          </cell>
          <cell r="F947">
            <v>20</v>
          </cell>
          <cell r="G947">
            <v>1378563</v>
          </cell>
          <cell r="H947" t="str">
            <v>CP-093:CAP D50 MT BLACK Ø.5 YASULOR 12A</v>
          </cell>
          <cell r="I947">
            <v>600000</v>
          </cell>
          <cell r="J947" t="str">
            <v>UN</v>
          </cell>
          <cell r="K947">
            <v>45664</v>
          </cell>
        </row>
        <row r="948">
          <cell r="A948" t="str">
            <v>50800529720</v>
          </cell>
          <cell r="B948" t="str">
            <v>ZMFD</v>
          </cell>
          <cell r="C948">
            <v>45565</v>
          </cell>
          <cell r="D948" t="str">
            <v>Not delivered</v>
          </cell>
          <cell r="E948">
            <v>508005297</v>
          </cell>
          <cell r="F948">
            <v>20</v>
          </cell>
          <cell r="G948">
            <v>1419488</v>
          </cell>
          <cell r="H948" t="str">
            <v>CP-063R:SPOUT CAP WHITE LOREAL 12A</v>
          </cell>
          <cell r="I948">
            <v>1890000</v>
          </cell>
          <cell r="J948" t="str">
            <v>UN</v>
          </cell>
          <cell r="K948">
            <v>45664</v>
          </cell>
        </row>
        <row r="949">
          <cell r="A949" t="str">
            <v>50800528040</v>
          </cell>
          <cell r="B949" t="str">
            <v>ZMFD</v>
          </cell>
          <cell r="C949">
            <v>45553</v>
          </cell>
          <cell r="D949" t="str">
            <v>Not delivered</v>
          </cell>
          <cell r="E949">
            <v>508005280</v>
          </cell>
          <cell r="F949">
            <v>40</v>
          </cell>
          <cell r="G949">
            <v>1169286</v>
          </cell>
          <cell r="H949" t="str">
            <v>CM-294:RECTANGULAR WITH GODET PKTJ010032</v>
          </cell>
          <cell r="I949">
            <v>41840</v>
          </cell>
          <cell r="J949" t="str">
            <v>UN</v>
          </cell>
          <cell r="K949">
            <v>45665</v>
          </cell>
        </row>
        <row r="950">
          <cell r="A950" t="str">
            <v>50800528410</v>
          </cell>
          <cell r="B950" t="str">
            <v>ZMFD</v>
          </cell>
          <cell r="C950">
            <v>45554</v>
          </cell>
          <cell r="D950" t="str">
            <v>Not delivered</v>
          </cell>
          <cell r="E950">
            <v>508005284</v>
          </cell>
          <cell r="F950">
            <v>10</v>
          </cell>
          <cell r="G950">
            <v>1431861</v>
          </cell>
          <cell r="H950" t="str">
            <v>PT6029R JAR GARNIER 18ML NIGHT CRM (659)</v>
          </cell>
          <cell r="I950">
            <v>51856</v>
          </cell>
          <cell r="J950" t="str">
            <v>UN</v>
          </cell>
          <cell r="K950">
            <v>45666</v>
          </cell>
        </row>
        <row r="951">
          <cell r="A951" t="str">
            <v>50714260630</v>
          </cell>
          <cell r="B951" t="str">
            <v>ZMTD</v>
          </cell>
          <cell r="C951">
            <v>45509</v>
          </cell>
          <cell r="D951" t="str">
            <v>Not delivered</v>
          </cell>
          <cell r="E951">
            <v>507142606</v>
          </cell>
          <cell r="F951">
            <v>30</v>
          </cell>
          <cell r="G951">
            <v>1172020</v>
          </cell>
          <cell r="H951" t="str">
            <v>FP-028:SLEEVE EYELASHES 01SLMAC EL</v>
          </cell>
          <cell r="I951">
            <v>80256</v>
          </cell>
          <cell r="J951" t="str">
            <v>UN</v>
          </cell>
          <cell r="K951">
            <v>45666</v>
          </cell>
        </row>
        <row r="952">
          <cell r="A952" t="str">
            <v>50714260640</v>
          </cell>
          <cell r="B952" t="str">
            <v>ZMTD</v>
          </cell>
          <cell r="C952">
            <v>45509</v>
          </cell>
          <cell r="D952" t="str">
            <v>Not delivered</v>
          </cell>
          <cell r="E952">
            <v>507142606</v>
          </cell>
          <cell r="F952">
            <v>40</v>
          </cell>
          <cell r="G952">
            <v>1170605</v>
          </cell>
          <cell r="H952" t="str">
            <v>FP-028:WHITE TR EYLSHS P/ 01PLMAC EL</v>
          </cell>
          <cell r="I952">
            <v>80514</v>
          </cell>
          <cell r="J952" t="str">
            <v>UN</v>
          </cell>
          <cell r="K952">
            <v>45666</v>
          </cell>
        </row>
        <row r="953">
          <cell r="A953" t="str">
            <v>50800529730</v>
          </cell>
          <cell r="B953" t="str">
            <v>ZMFD</v>
          </cell>
          <cell r="C953">
            <v>45565</v>
          </cell>
          <cell r="D953" t="str">
            <v>Not delivered</v>
          </cell>
          <cell r="E953">
            <v>508005297</v>
          </cell>
          <cell r="F953">
            <v>30</v>
          </cell>
          <cell r="G953">
            <v>1419488</v>
          </cell>
          <cell r="H953" t="str">
            <v>CP-063R:SPOUT CAP WHITE LOREAL 12A</v>
          </cell>
          <cell r="I953">
            <v>1890000</v>
          </cell>
          <cell r="J953" t="str">
            <v>UN</v>
          </cell>
          <cell r="K953">
            <v>45667</v>
          </cell>
        </row>
        <row r="954">
          <cell r="A954" t="str">
            <v>50800528520</v>
          </cell>
          <cell r="B954" t="str">
            <v>ZMFD</v>
          </cell>
          <cell r="C954">
            <v>45558</v>
          </cell>
          <cell r="D954" t="str">
            <v>Not delivered</v>
          </cell>
          <cell r="E954">
            <v>508005285</v>
          </cell>
          <cell r="F954">
            <v>20</v>
          </cell>
          <cell r="G954">
            <v>1163327</v>
          </cell>
          <cell r="H954" t="str">
            <v>CM-246:CVR S.SLV PAN WHITE 6MPY 01 0034</v>
          </cell>
          <cell r="I954">
            <v>25056</v>
          </cell>
          <cell r="J954" t="str">
            <v>UN</v>
          </cell>
          <cell r="K954">
            <v>45667</v>
          </cell>
        </row>
        <row r="955">
          <cell r="A955" t="str">
            <v>50714276470</v>
          </cell>
          <cell r="B955" t="str">
            <v>ZMTD</v>
          </cell>
          <cell r="C955">
            <v>45552</v>
          </cell>
          <cell r="D955" t="str">
            <v>Not delivered</v>
          </cell>
          <cell r="E955">
            <v>507142764</v>
          </cell>
          <cell r="F955">
            <v>70</v>
          </cell>
          <cell r="G955">
            <v>1211756</v>
          </cell>
          <cell r="H955" t="str">
            <v>CM-246:COVER VM SHNY SLV ALMOST PWD</v>
          </cell>
          <cell r="I955">
            <v>120120</v>
          </cell>
          <cell r="J955" t="str">
            <v>UN</v>
          </cell>
          <cell r="K955">
            <v>45667</v>
          </cell>
        </row>
        <row r="956">
          <cell r="A956" t="str">
            <v>50800511230</v>
          </cell>
          <cell r="B956" t="str">
            <v>ZMFD</v>
          </cell>
          <cell r="C956">
            <v>45450</v>
          </cell>
          <cell r="D956" t="str">
            <v>Not delivered</v>
          </cell>
          <cell r="E956">
            <v>508005112</v>
          </cell>
          <cell r="F956">
            <v>30</v>
          </cell>
          <cell r="G956">
            <v>1169658</v>
          </cell>
          <cell r="H956" t="str">
            <v>CM-156:NEW GREEN MRBL 6339010303 CLNQ EL</v>
          </cell>
          <cell r="I956">
            <v>22680</v>
          </cell>
          <cell r="J956" t="str">
            <v>UN</v>
          </cell>
          <cell r="K956">
            <v>45667</v>
          </cell>
        </row>
        <row r="957">
          <cell r="A957" t="str">
            <v>50800529630</v>
          </cell>
          <cell r="B957" t="str">
            <v>ZMFD</v>
          </cell>
          <cell r="C957">
            <v>45565</v>
          </cell>
          <cell r="D957" t="str">
            <v>Not delivered</v>
          </cell>
          <cell r="E957">
            <v>508005296</v>
          </cell>
          <cell r="F957">
            <v>30</v>
          </cell>
          <cell r="G957">
            <v>1378563</v>
          </cell>
          <cell r="H957" t="str">
            <v>CP-093:CAP D50 MT BLACK Ø.5 YASULOR 12A</v>
          </cell>
          <cell r="I957">
            <v>600000</v>
          </cell>
          <cell r="J957" t="str">
            <v>UN</v>
          </cell>
          <cell r="K957">
            <v>45671</v>
          </cell>
        </row>
        <row r="958">
          <cell r="A958" t="str">
            <v>50800529740</v>
          </cell>
          <cell r="B958" t="str">
            <v>ZMFD</v>
          </cell>
          <cell r="C958">
            <v>45565</v>
          </cell>
          <cell r="D958" t="str">
            <v>Not delivered</v>
          </cell>
          <cell r="E958">
            <v>508005297</v>
          </cell>
          <cell r="F958">
            <v>40</v>
          </cell>
          <cell r="G958">
            <v>1419488</v>
          </cell>
          <cell r="H958" t="str">
            <v>CP-063R:SPOUT CAP WHITE LOREAL 12A</v>
          </cell>
          <cell r="I958">
            <v>1890000</v>
          </cell>
          <cell r="J958" t="str">
            <v>UN</v>
          </cell>
          <cell r="K958">
            <v>45671</v>
          </cell>
        </row>
        <row r="959">
          <cell r="A959" t="str">
            <v>50714254010</v>
          </cell>
          <cell r="B959" t="str">
            <v>ZMTD</v>
          </cell>
          <cell r="C959">
            <v>45490</v>
          </cell>
          <cell r="D959" t="str">
            <v>Not delivered</v>
          </cell>
          <cell r="E959">
            <v>507142540</v>
          </cell>
          <cell r="F959">
            <v>10</v>
          </cell>
          <cell r="G959">
            <v>1160334</v>
          </cell>
          <cell r="H959" t="str">
            <v>CP-071:CP8364 RL RED 200ML MASS TINT 407</v>
          </cell>
          <cell r="I959">
            <v>43500</v>
          </cell>
          <cell r="J959" t="str">
            <v>UN</v>
          </cell>
          <cell r="K959">
            <v>45671</v>
          </cell>
        </row>
        <row r="960">
          <cell r="A960" t="str">
            <v>50800529750</v>
          </cell>
          <cell r="B960" t="str">
            <v>ZMFD</v>
          </cell>
          <cell r="C960">
            <v>45565</v>
          </cell>
          <cell r="D960" t="str">
            <v>Not delivered</v>
          </cell>
          <cell r="E960">
            <v>508005297</v>
          </cell>
          <cell r="F960">
            <v>50</v>
          </cell>
          <cell r="G960">
            <v>1419488</v>
          </cell>
          <cell r="H960" t="str">
            <v>CP-063R:SPOUT CAP WHITE LOREAL 12A</v>
          </cell>
          <cell r="I960">
            <v>1890000</v>
          </cell>
          <cell r="J960" t="str">
            <v>UN</v>
          </cell>
          <cell r="K960">
            <v>45674</v>
          </cell>
        </row>
        <row r="961">
          <cell r="A961" t="str">
            <v>50714276480</v>
          </cell>
          <cell r="B961" t="str">
            <v>ZMTD</v>
          </cell>
          <cell r="C961">
            <v>45552</v>
          </cell>
          <cell r="D961" t="str">
            <v>Not delivered</v>
          </cell>
          <cell r="E961">
            <v>507142764</v>
          </cell>
          <cell r="F961">
            <v>80</v>
          </cell>
          <cell r="G961">
            <v>1211756</v>
          </cell>
          <cell r="H961" t="str">
            <v>CM-246:COVER VM SHNY SLV ALMOST PWD</v>
          </cell>
          <cell r="I961">
            <v>71760</v>
          </cell>
          <cell r="J961" t="str">
            <v>UN</v>
          </cell>
          <cell r="K961">
            <v>45675</v>
          </cell>
        </row>
        <row r="962">
          <cell r="A962" t="str">
            <v>50800496470</v>
          </cell>
          <cell r="B962" t="str">
            <v>ZMFD</v>
          </cell>
          <cell r="C962">
            <v>45384</v>
          </cell>
          <cell r="D962" t="str">
            <v>Not delivered</v>
          </cell>
          <cell r="E962">
            <v>508004964</v>
          </cell>
          <cell r="F962">
            <v>70</v>
          </cell>
          <cell r="G962">
            <v>1406600</v>
          </cell>
          <cell r="H962" t="str">
            <v>CM-310:BLACK M086 CANNAGE S/SLV UV MT</v>
          </cell>
          <cell r="I962">
            <v>40000</v>
          </cell>
          <cell r="J962" t="str">
            <v>UN</v>
          </cell>
          <cell r="K962">
            <v>45677</v>
          </cell>
        </row>
        <row r="963">
          <cell r="A963" t="str">
            <v>50800529640</v>
          </cell>
          <cell r="B963" t="str">
            <v>ZMFD</v>
          </cell>
          <cell r="C963">
            <v>45565</v>
          </cell>
          <cell r="D963" t="str">
            <v>Not delivered</v>
          </cell>
          <cell r="E963">
            <v>508005296</v>
          </cell>
          <cell r="F963">
            <v>40</v>
          </cell>
          <cell r="G963">
            <v>1378563</v>
          </cell>
          <cell r="H963" t="str">
            <v>CP-093:CAP D50 MT BLACK Ø.5 YASULOR 12A</v>
          </cell>
          <cell r="I963">
            <v>600000</v>
          </cell>
          <cell r="J963" t="str">
            <v>UN</v>
          </cell>
          <cell r="K963">
            <v>45678</v>
          </cell>
        </row>
        <row r="964">
          <cell r="A964" t="str">
            <v>50800529760</v>
          </cell>
          <cell r="B964" t="str">
            <v>ZMFD</v>
          </cell>
          <cell r="C964">
            <v>45565</v>
          </cell>
          <cell r="D964" t="str">
            <v>Not delivered</v>
          </cell>
          <cell r="E964">
            <v>508005297</v>
          </cell>
          <cell r="F964">
            <v>60</v>
          </cell>
          <cell r="G964">
            <v>1419488</v>
          </cell>
          <cell r="H964" t="str">
            <v>CP-063R:SPOUT CAP WHITE LOREAL 12A</v>
          </cell>
          <cell r="I964">
            <v>1890000</v>
          </cell>
          <cell r="J964" t="str">
            <v>UN</v>
          </cell>
          <cell r="K964">
            <v>45678</v>
          </cell>
        </row>
        <row r="965">
          <cell r="A965" t="str">
            <v>50800526440</v>
          </cell>
          <cell r="B965" t="str">
            <v>ZMFD</v>
          </cell>
          <cell r="C965">
            <v>45525</v>
          </cell>
          <cell r="D965" t="str">
            <v>Not delivered</v>
          </cell>
          <cell r="E965">
            <v>508005264</v>
          </cell>
          <cell r="F965">
            <v>40</v>
          </cell>
          <cell r="G965">
            <v>1187758</v>
          </cell>
          <cell r="H965" t="str">
            <v>CM-105:VM RAINBOW P/ULTIMA II RUDYS 40C</v>
          </cell>
          <cell r="I965">
            <v>12500</v>
          </cell>
          <cell r="J965" t="str">
            <v>UN</v>
          </cell>
          <cell r="K965">
            <v>45679</v>
          </cell>
        </row>
        <row r="966">
          <cell r="A966" t="str">
            <v>50800529770</v>
          </cell>
          <cell r="B966" t="str">
            <v>ZMFD</v>
          </cell>
          <cell r="C966">
            <v>45565</v>
          </cell>
          <cell r="D966" t="str">
            <v>Not delivered</v>
          </cell>
          <cell r="E966">
            <v>508005297</v>
          </cell>
          <cell r="F966">
            <v>70</v>
          </cell>
          <cell r="G966">
            <v>1419488</v>
          </cell>
          <cell r="H966" t="str">
            <v>CP-063R:SPOUT CAP WHITE LOREAL 12A</v>
          </cell>
          <cell r="I966">
            <v>1890000</v>
          </cell>
          <cell r="J966" t="str">
            <v>UN</v>
          </cell>
          <cell r="K966">
            <v>45681</v>
          </cell>
        </row>
        <row r="967">
          <cell r="A967" t="str">
            <v>50800526410</v>
          </cell>
          <cell r="B967" t="str">
            <v>ZMFD</v>
          </cell>
          <cell r="C967">
            <v>45525</v>
          </cell>
          <cell r="D967" t="str">
            <v>Not delivered</v>
          </cell>
          <cell r="E967">
            <v>508005264</v>
          </cell>
          <cell r="F967">
            <v>10</v>
          </cell>
          <cell r="G967">
            <v>1187960</v>
          </cell>
          <cell r="H967" t="str">
            <v>FP-014:CVR VMRAINBOW P/ULTM II RUDYS 40C</v>
          </cell>
          <cell r="I967">
            <v>15000</v>
          </cell>
          <cell r="J967" t="str">
            <v>UN</v>
          </cell>
          <cell r="K967">
            <v>45681</v>
          </cell>
        </row>
        <row r="968">
          <cell r="A968" t="str">
            <v>50800526420</v>
          </cell>
          <cell r="B968" t="str">
            <v>ZMFD</v>
          </cell>
          <cell r="C968">
            <v>45525</v>
          </cell>
          <cell r="D968" t="str">
            <v>Not delivered</v>
          </cell>
          <cell r="E968">
            <v>508005264</v>
          </cell>
          <cell r="F968">
            <v>20</v>
          </cell>
          <cell r="G968">
            <v>1172318</v>
          </cell>
          <cell r="H968" t="str">
            <v>FP-014:BASE CLEAR NO DC ULTIMA II RUDY S</v>
          </cell>
          <cell r="I968">
            <v>15000</v>
          </cell>
          <cell r="J968" t="str">
            <v>UN</v>
          </cell>
          <cell r="K968">
            <v>45681</v>
          </cell>
        </row>
        <row r="969">
          <cell r="A969" t="str">
            <v>50800526430</v>
          </cell>
          <cell r="B969" t="str">
            <v>ZMFD</v>
          </cell>
          <cell r="C969">
            <v>45525</v>
          </cell>
          <cell r="D969" t="str">
            <v>Not delivered</v>
          </cell>
          <cell r="E969">
            <v>508005264</v>
          </cell>
          <cell r="F969">
            <v>30</v>
          </cell>
          <cell r="G969">
            <v>1170826</v>
          </cell>
          <cell r="H969" t="str">
            <v>FP-014:SIFTER NT W/LBL NO DECO ULTIMA II</v>
          </cell>
          <cell r="I969">
            <v>15000</v>
          </cell>
          <cell r="J969" t="str">
            <v>UN</v>
          </cell>
          <cell r="K969">
            <v>45681</v>
          </cell>
        </row>
        <row r="970">
          <cell r="A970" t="str">
            <v>50714150210</v>
          </cell>
          <cell r="B970" t="str">
            <v>ZMTD</v>
          </cell>
          <cell r="C970">
            <v>45282</v>
          </cell>
          <cell r="D970" t="str">
            <v>Not delivered</v>
          </cell>
          <cell r="E970">
            <v>507141502</v>
          </cell>
          <cell r="F970">
            <v>10</v>
          </cell>
          <cell r="G970">
            <v>1378529</v>
          </cell>
          <cell r="H970" t="str">
            <v>CP-093:CAP D50 MT BLACK Ø.3 YASULOR 12A</v>
          </cell>
          <cell r="I970">
            <v>50000</v>
          </cell>
          <cell r="J970" t="str">
            <v>UN</v>
          </cell>
          <cell r="K970">
            <v>45681</v>
          </cell>
        </row>
        <row r="971">
          <cell r="A971" t="str">
            <v>50800529780</v>
          </cell>
          <cell r="B971" t="str">
            <v>ZMFD</v>
          </cell>
          <cell r="C971">
            <v>45565</v>
          </cell>
          <cell r="D971" t="str">
            <v>Not delivered</v>
          </cell>
          <cell r="E971">
            <v>508005297</v>
          </cell>
          <cell r="F971">
            <v>80</v>
          </cell>
          <cell r="G971">
            <v>1419488</v>
          </cell>
          <cell r="H971" t="str">
            <v>CP-063R:SPOUT CAP WHITE LOREAL 12A</v>
          </cell>
          <cell r="I971">
            <v>1890000</v>
          </cell>
          <cell r="J971" t="str">
            <v>UN</v>
          </cell>
          <cell r="K971">
            <v>45685</v>
          </cell>
        </row>
        <row r="972">
          <cell r="A972" t="str">
            <v>50714243910</v>
          </cell>
          <cell r="B972" t="str">
            <v>ZMTD</v>
          </cell>
          <cell r="C972">
            <v>45475</v>
          </cell>
          <cell r="D972" t="str">
            <v>Not delivered</v>
          </cell>
          <cell r="E972">
            <v>507142439</v>
          </cell>
          <cell r="F972">
            <v>10</v>
          </cell>
          <cell r="G972">
            <v>1159364</v>
          </cell>
          <cell r="H972" t="str">
            <v>CP-071:PL8364 INSERT TNR 125-200ML REX</v>
          </cell>
          <cell r="I972">
            <v>111000</v>
          </cell>
          <cell r="J972" t="str">
            <v>UN</v>
          </cell>
          <cell r="K972">
            <v>45685</v>
          </cell>
        </row>
        <row r="973">
          <cell r="A973" t="str">
            <v>50714275910</v>
          </cell>
          <cell r="B973" t="str">
            <v>ZMTD</v>
          </cell>
          <cell r="C973">
            <v>45548</v>
          </cell>
          <cell r="D973" t="str">
            <v>Not delivered</v>
          </cell>
          <cell r="E973">
            <v>507142759</v>
          </cell>
          <cell r="F973">
            <v>10</v>
          </cell>
          <cell r="G973">
            <v>1432080</v>
          </cell>
          <cell r="H973" t="str">
            <v>CM-281:BS/CV TWC BLUE UV P/S/INEZ FTC30M</v>
          </cell>
          <cell r="I973">
            <v>25000</v>
          </cell>
          <cell r="J973" t="str">
            <v>UN</v>
          </cell>
          <cell r="K973">
            <v>45687</v>
          </cell>
        </row>
        <row r="974">
          <cell r="A974" t="str">
            <v>50800496480</v>
          </cell>
          <cell r="B974" t="str">
            <v>ZMFD</v>
          </cell>
          <cell r="C974">
            <v>45384</v>
          </cell>
          <cell r="D974" t="str">
            <v>Not delivered</v>
          </cell>
          <cell r="E974">
            <v>508004964</v>
          </cell>
          <cell r="F974">
            <v>80</v>
          </cell>
          <cell r="G974">
            <v>1406600</v>
          </cell>
          <cell r="H974" t="str">
            <v>CM-310:BLACK M086 CANNAGE S/SLV UV MT</v>
          </cell>
          <cell r="I974">
            <v>20000</v>
          </cell>
          <cell r="J974" t="str">
            <v>UN</v>
          </cell>
          <cell r="K974">
            <v>45687</v>
          </cell>
        </row>
        <row r="975">
          <cell r="A975" t="str">
            <v>50800528220</v>
          </cell>
          <cell r="B975" t="str">
            <v>ZMFD</v>
          </cell>
          <cell r="C975">
            <v>45554</v>
          </cell>
          <cell r="D975" t="str">
            <v>Not delivered</v>
          </cell>
          <cell r="E975">
            <v>508005282</v>
          </cell>
          <cell r="F975">
            <v>20</v>
          </cell>
          <cell r="G975">
            <v>1431860</v>
          </cell>
          <cell r="H975" t="str">
            <v>PT6029R CAP GARNIER 18ML WHITE PLZ (553)</v>
          </cell>
          <cell r="I975">
            <v>35280</v>
          </cell>
          <cell r="J975" t="str">
            <v>UN</v>
          </cell>
          <cell r="K975">
            <v>45688</v>
          </cell>
        </row>
        <row r="976">
          <cell r="A976" t="str">
            <v>50800528230</v>
          </cell>
          <cell r="B976" t="str">
            <v>ZMFD</v>
          </cell>
          <cell r="C976">
            <v>45554</v>
          </cell>
          <cell r="D976" t="str">
            <v>Not delivered</v>
          </cell>
          <cell r="E976">
            <v>508005282</v>
          </cell>
          <cell r="F976">
            <v>30</v>
          </cell>
          <cell r="G976">
            <v>1431860</v>
          </cell>
          <cell r="H976" t="str">
            <v>PT6029R CAP GARNIER 18ML WHITE PLZ (553)</v>
          </cell>
          <cell r="I976">
            <v>35280</v>
          </cell>
          <cell r="J976" t="str">
            <v>UN</v>
          </cell>
          <cell r="K976">
            <v>45719</v>
          </cell>
        </row>
        <row r="977">
          <cell r="A977" t="str">
            <v>50714260650</v>
          </cell>
          <cell r="B977" t="str">
            <v>ZMTD</v>
          </cell>
          <cell r="C977">
            <v>45509</v>
          </cell>
          <cell r="D977" t="str">
            <v>Not delivered</v>
          </cell>
          <cell r="E977">
            <v>507142606</v>
          </cell>
          <cell r="F977">
            <v>50</v>
          </cell>
          <cell r="G977">
            <v>1172020</v>
          </cell>
          <cell r="H977" t="str">
            <v>FP-028:SLEEVE EYELASHES 01SLMAC EL</v>
          </cell>
          <cell r="I977">
            <v>80256</v>
          </cell>
          <cell r="J977" t="str">
            <v>UN</v>
          </cell>
          <cell r="K977">
            <v>45722</v>
          </cell>
        </row>
        <row r="978">
          <cell r="A978" t="str">
            <v>50714260660</v>
          </cell>
          <cell r="B978" t="str">
            <v>ZMTD</v>
          </cell>
          <cell r="C978">
            <v>45509</v>
          </cell>
          <cell r="D978" t="str">
            <v>Not delivered</v>
          </cell>
          <cell r="E978">
            <v>507142606</v>
          </cell>
          <cell r="F978">
            <v>60</v>
          </cell>
          <cell r="G978">
            <v>1170605</v>
          </cell>
          <cell r="H978" t="str">
            <v>FP-028:WHITE TR EYLSHS P/ 01PLMAC EL</v>
          </cell>
          <cell r="I978">
            <v>80514</v>
          </cell>
          <cell r="J978" t="str">
            <v>UN</v>
          </cell>
          <cell r="K978">
            <v>45722</v>
          </cell>
        </row>
        <row r="979">
          <cell r="A979" t="str">
            <v>50800528240</v>
          </cell>
          <cell r="B979" t="str">
            <v>ZMFD</v>
          </cell>
          <cell r="C979">
            <v>45554</v>
          </cell>
          <cell r="D979" t="str">
            <v>Not delivered</v>
          </cell>
          <cell r="E979">
            <v>508005282</v>
          </cell>
          <cell r="F979">
            <v>40</v>
          </cell>
          <cell r="G979">
            <v>1431860</v>
          </cell>
          <cell r="H979" t="str">
            <v>PT6029R CAP GARNIER 18ML WHITE PLZ (553)</v>
          </cell>
          <cell r="I979">
            <v>70560</v>
          </cell>
          <cell r="J979" t="str">
            <v>UN</v>
          </cell>
          <cell r="K979">
            <v>45782</v>
          </cell>
        </row>
        <row r="980">
          <cell r="A980" t="str">
            <v>50800514920</v>
          </cell>
          <cell r="B980" t="str">
            <v>ZMFD</v>
          </cell>
          <cell r="C980">
            <v>45464</v>
          </cell>
          <cell r="D980" t="str">
            <v>Not delivered</v>
          </cell>
          <cell r="E980">
            <v>508005149</v>
          </cell>
          <cell r="F980">
            <v>20</v>
          </cell>
          <cell r="G980">
            <v>1378563</v>
          </cell>
          <cell r="H980" t="str">
            <v>CP-093:CAP D50 MT BLACK Ø.5 YASULOR 12A</v>
          </cell>
          <cell r="I980">
            <v>600000</v>
          </cell>
          <cell r="J980" t="str">
            <v>UN</v>
          </cell>
          <cell r="K980">
            <v>45988</v>
          </cell>
        </row>
        <row r="981">
          <cell r="A981" t="str">
            <v>50800514930</v>
          </cell>
          <cell r="B981" t="str">
            <v>ZMFD</v>
          </cell>
          <cell r="C981">
            <v>45464</v>
          </cell>
          <cell r="D981" t="str">
            <v>Not delivered</v>
          </cell>
          <cell r="E981">
            <v>508005149</v>
          </cell>
          <cell r="F981">
            <v>30</v>
          </cell>
          <cell r="G981">
            <v>1378563</v>
          </cell>
          <cell r="H981" t="str">
            <v>CP-093:CAP D50 MT BLACK Ø.5 YASULOR 12A</v>
          </cell>
          <cell r="I981">
            <v>600000</v>
          </cell>
          <cell r="J981" t="str">
            <v>UN</v>
          </cell>
          <cell r="K981">
            <v>45993</v>
          </cell>
        </row>
        <row r="982">
          <cell r="A982" t="str">
            <v>50800514940</v>
          </cell>
          <cell r="B982" t="str">
            <v>ZMFD</v>
          </cell>
          <cell r="C982">
            <v>45464</v>
          </cell>
          <cell r="D982" t="str">
            <v>Not delivered</v>
          </cell>
          <cell r="E982">
            <v>508005149</v>
          </cell>
          <cell r="F982">
            <v>40</v>
          </cell>
          <cell r="G982">
            <v>1378563</v>
          </cell>
          <cell r="H982" t="str">
            <v>CP-093:CAP D50 MT BLACK Ø.5 YASULOR 12A</v>
          </cell>
          <cell r="I982">
            <v>600000</v>
          </cell>
          <cell r="J982" t="str">
            <v>UN</v>
          </cell>
          <cell r="K982">
            <v>46000</v>
          </cell>
        </row>
        <row r="983">
          <cell r="A983" t="str">
            <v>50714150830</v>
          </cell>
          <cell r="B983" t="str">
            <v>ZMTD</v>
          </cell>
          <cell r="C983">
            <v>45282</v>
          </cell>
          <cell r="D983" t="str">
            <v>Not delivered</v>
          </cell>
          <cell r="E983">
            <v>507141508</v>
          </cell>
          <cell r="F983">
            <v>30</v>
          </cell>
          <cell r="G983">
            <v>1171684</v>
          </cell>
          <cell r="H983" t="str">
            <v>LS-091:CVR WHT HTF NATURAL ROHTO60C</v>
          </cell>
          <cell r="I983">
            <v>38532</v>
          </cell>
          <cell r="J983" t="str">
            <v>UN</v>
          </cell>
          <cell r="K983">
            <v>46015</v>
          </cell>
        </row>
        <row r="984">
          <cell r="A984" t="str">
            <v>50714150860</v>
          </cell>
          <cell r="B984" t="str">
            <v>ZMTD</v>
          </cell>
          <cell r="C984">
            <v>45282</v>
          </cell>
          <cell r="D984" t="str">
            <v>Not delivered</v>
          </cell>
          <cell r="E984">
            <v>507141508</v>
          </cell>
          <cell r="F984">
            <v>60</v>
          </cell>
          <cell r="G984">
            <v>1243794</v>
          </cell>
          <cell r="H984" t="str">
            <v>LS-091:BS PINK P/SHEER CLR NEW ROHTO 60B</v>
          </cell>
          <cell r="I984">
            <v>38856</v>
          </cell>
          <cell r="J984" t="str">
            <v>UN</v>
          </cell>
          <cell r="K984">
            <v>46015</v>
          </cell>
        </row>
        <row r="985">
          <cell r="A985" t="str">
            <v>50714150950</v>
          </cell>
          <cell r="B985" t="str">
            <v>ZMTD</v>
          </cell>
          <cell r="C985">
            <v>45282</v>
          </cell>
          <cell r="D985" t="str">
            <v>Not delivered</v>
          </cell>
          <cell r="E985">
            <v>507141509</v>
          </cell>
          <cell r="F985">
            <v>50</v>
          </cell>
          <cell r="G985">
            <v>1194708</v>
          </cell>
          <cell r="H985" t="str">
            <v>LS-091:CVR WHT HTF APPLE ROHTO 60C</v>
          </cell>
          <cell r="I985">
            <v>9880</v>
          </cell>
          <cell r="J985" t="str">
            <v>UN</v>
          </cell>
          <cell r="K985">
            <v>46015</v>
          </cell>
        </row>
        <row r="986">
          <cell r="A986" t="str">
            <v>50714150960</v>
          </cell>
          <cell r="B986" t="str">
            <v>ZMTD</v>
          </cell>
          <cell r="C986">
            <v>45282</v>
          </cell>
          <cell r="D986" t="str">
            <v>Not delivered</v>
          </cell>
          <cell r="E986">
            <v>507141509</v>
          </cell>
          <cell r="F986">
            <v>60</v>
          </cell>
          <cell r="G986">
            <v>1243794</v>
          </cell>
          <cell r="H986" t="str">
            <v>LS-091:BS PINK P/SHEER CLR NEW ROHTO 60B</v>
          </cell>
          <cell r="I986">
            <v>9880</v>
          </cell>
          <cell r="J986" t="str">
            <v>UN</v>
          </cell>
          <cell r="K986">
            <v>46015</v>
          </cell>
        </row>
        <row r="987">
          <cell r="A987" t="str">
            <v>50714150970</v>
          </cell>
          <cell r="B987" t="str">
            <v>ZMTD</v>
          </cell>
          <cell r="C987">
            <v>45282</v>
          </cell>
          <cell r="D987" t="str">
            <v>Not delivered</v>
          </cell>
          <cell r="E987">
            <v>507141509</v>
          </cell>
          <cell r="F987">
            <v>70</v>
          </cell>
          <cell r="G987">
            <v>1173392</v>
          </cell>
          <cell r="H987" t="str">
            <v>LS-091:CVR WHT HTF ORANGE ROHTO60C</v>
          </cell>
          <cell r="I987">
            <v>9880</v>
          </cell>
          <cell r="J987" t="str">
            <v>UN</v>
          </cell>
          <cell r="K987">
            <v>46015</v>
          </cell>
        </row>
        <row r="988">
          <cell r="A988" t="str">
            <v>50714150980</v>
          </cell>
          <cell r="B988" t="str">
            <v>ZMTD</v>
          </cell>
          <cell r="C988">
            <v>45282</v>
          </cell>
          <cell r="D988" t="str">
            <v>Not delivered</v>
          </cell>
          <cell r="E988">
            <v>507141509</v>
          </cell>
          <cell r="F988">
            <v>80</v>
          </cell>
          <cell r="G988">
            <v>1243794</v>
          </cell>
          <cell r="H988" t="str">
            <v>LS-091:BS PINK P/SHEER CLR NEW ROHTO 60B</v>
          </cell>
          <cell r="I988">
            <v>9880</v>
          </cell>
          <cell r="J988" t="str">
            <v>UN</v>
          </cell>
          <cell r="K988">
            <v>46015</v>
          </cell>
        </row>
        <row r="989">
          <cell r="A989" t="str">
            <v>50714150990</v>
          </cell>
          <cell r="B989" t="str">
            <v>ZMTD</v>
          </cell>
          <cell r="C989">
            <v>45282</v>
          </cell>
          <cell r="D989" t="str">
            <v>Not delivered</v>
          </cell>
          <cell r="E989">
            <v>507141509</v>
          </cell>
          <cell r="F989">
            <v>90</v>
          </cell>
          <cell r="G989">
            <v>1170054</v>
          </cell>
          <cell r="H989" t="str">
            <v>LS-091:CVR WHT HTF BUBLEGUM ROHTO 60C</v>
          </cell>
          <cell r="I989">
            <v>9880</v>
          </cell>
          <cell r="J989" t="str">
            <v>UN</v>
          </cell>
          <cell r="K989">
            <v>46015</v>
          </cell>
        </row>
        <row r="990">
          <cell r="A990" t="str">
            <v>507141509100</v>
          </cell>
          <cell r="B990" t="str">
            <v>ZMTD</v>
          </cell>
          <cell r="C990">
            <v>45282</v>
          </cell>
          <cell r="D990" t="str">
            <v>Not delivered</v>
          </cell>
          <cell r="E990">
            <v>507141509</v>
          </cell>
          <cell r="F990">
            <v>100</v>
          </cell>
          <cell r="G990">
            <v>1243794</v>
          </cell>
          <cell r="H990" t="str">
            <v>LS-091:BS PINK P/SHEER CLR NEW ROHTO 60B</v>
          </cell>
          <cell r="I990">
            <v>9880</v>
          </cell>
          <cell r="J990" t="str">
            <v>UN</v>
          </cell>
          <cell r="K990">
            <v>46015</v>
          </cell>
        </row>
        <row r="991">
          <cell r="A991" t="str">
            <v>50714150050</v>
          </cell>
          <cell r="B991" t="str">
            <v>ZMTD</v>
          </cell>
          <cell r="C991">
            <v>45281</v>
          </cell>
          <cell r="D991" t="str">
            <v>Not delivered</v>
          </cell>
          <cell r="E991">
            <v>507141500</v>
          </cell>
          <cell r="F991">
            <v>50</v>
          </cell>
          <cell r="G991">
            <v>1173392</v>
          </cell>
          <cell r="H991" t="str">
            <v>LS-091:CVR WHT HTF ORANGE ROHTO60C</v>
          </cell>
          <cell r="I991">
            <v>15808</v>
          </cell>
          <cell r="J991" t="str">
            <v>UN</v>
          </cell>
          <cell r="K991">
            <v>46015</v>
          </cell>
        </row>
        <row r="992">
          <cell r="A992" t="str">
            <v>507141500130</v>
          </cell>
          <cell r="B992" t="str">
            <v>ZMTD</v>
          </cell>
          <cell r="C992">
            <v>45281</v>
          </cell>
          <cell r="D992" t="str">
            <v>Not delivered</v>
          </cell>
          <cell r="E992">
            <v>507141500</v>
          </cell>
          <cell r="F992">
            <v>130</v>
          </cell>
          <cell r="G992">
            <v>1194708</v>
          </cell>
          <cell r="H992" t="str">
            <v>LS-091:CVR WHT HTF APPLE ROHTO 60C</v>
          </cell>
          <cell r="I992">
            <v>7408</v>
          </cell>
          <cell r="J992" t="str">
            <v>UN</v>
          </cell>
          <cell r="K992">
            <v>46015</v>
          </cell>
        </row>
        <row r="993">
          <cell r="A993" t="str">
            <v>507141500140</v>
          </cell>
          <cell r="B993" t="str">
            <v>ZMTD</v>
          </cell>
          <cell r="C993">
            <v>45281</v>
          </cell>
          <cell r="D993" t="str">
            <v>Not delivered</v>
          </cell>
          <cell r="E993">
            <v>507141500</v>
          </cell>
          <cell r="F993">
            <v>140</v>
          </cell>
          <cell r="G993">
            <v>1170054</v>
          </cell>
          <cell r="H993" t="str">
            <v>LS-091:CVR WHT HTF BUBLEGUM ROHTO 60C</v>
          </cell>
          <cell r="I993">
            <v>3908</v>
          </cell>
          <cell r="J993" t="str">
            <v>UN</v>
          </cell>
          <cell r="K993">
            <v>46015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PLPV"/>
      <sheetName val="Summary"/>
      <sheetName val="VA05"/>
      <sheetName val="OpenSOwDel"/>
      <sheetName val="MB52FG"/>
      <sheetName val="ZEPLSOALL"/>
      <sheetName val="Ref2"/>
      <sheetName val="REFERENCE"/>
      <sheetName val="Routing"/>
      <sheetName val="UAP"/>
      <sheetName val="LIST MN BM"/>
      <sheetName val="Plot"/>
      <sheetName val="Work Center"/>
    </sheetNames>
    <sheetDataSet>
      <sheetData sheetId="0"/>
      <sheetData sheetId="1"/>
      <sheetData sheetId="2">
        <row r="1">
          <cell r="A1" t="str">
            <v>SORef2</v>
          </cell>
          <cell r="B1" t="str">
            <v>SaTy</v>
          </cell>
          <cell r="C1" t="str">
            <v>Doc. Date</v>
          </cell>
          <cell r="D1" t="str">
            <v>Status</v>
          </cell>
          <cell r="E1" t="str">
            <v>Document</v>
          </cell>
          <cell r="F1" t="str">
            <v>Item</v>
          </cell>
          <cell r="G1" t="str">
            <v>Material</v>
          </cell>
          <cell r="H1" t="str">
            <v>Description</v>
          </cell>
          <cell r="I1" t="str">
            <v xml:space="preserve">     Order Qty</v>
          </cell>
          <cell r="J1" t="str">
            <v>BUn</v>
          </cell>
          <cell r="K1" t="str">
            <v>GI Date</v>
          </cell>
        </row>
        <row r="2">
          <cell r="A2" t="str">
            <v>50714131980</v>
          </cell>
          <cell r="B2" t="str">
            <v>ZMTD</v>
          </cell>
          <cell r="C2">
            <v>45247</v>
          </cell>
          <cell r="D2" t="str">
            <v>Not delivered</v>
          </cell>
          <cell r="E2">
            <v>507141319</v>
          </cell>
          <cell r="F2">
            <v>80</v>
          </cell>
          <cell r="G2">
            <v>1393667</v>
          </cell>
          <cell r="H2" t="str">
            <v>CM-105:BLACK NO DC GENERAL 10A</v>
          </cell>
          <cell r="I2">
            <v>960</v>
          </cell>
          <cell r="J2" t="str">
            <v>UN</v>
          </cell>
          <cell r="K2">
            <v>45294</v>
          </cell>
        </row>
        <row r="3">
          <cell r="A3" t="str">
            <v>507141319130</v>
          </cell>
          <cell r="B3" t="str">
            <v>ZMTD</v>
          </cell>
          <cell r="C3">
            <v>45247</v>
          </cell>
          <cell r="D3" t="str">
            <v>Not delivered</v>
          </cell>
          <cell r="E3">
            <v>507141319</v>
          </cell>
          <cell r="F3">
            <v>130</v>
          </cell>
          <cell r="G3">
            <v>1395395</v>
          </cell>
          <cell r="H3" t="str">
            <v>FP-014:BS CLEAR NO DC GENERAL 12A</v>
          </cell>
          <cell r="I3">
            <v>1530</v>
          </cell>
          <cell r="J3" t="str">
            <v>UN</v>
          </cell>
          <cell r="K3">
            <v>45301</v>
          </cell>
        </row>
        <row r="4">
          <cell r="A4" t="str">
            <v>507141319140</v>
          </cell>
          <cell r="B4" t="str">
            <v>ZMTD</v>
          </cell>
          <cell r="C4">
            <v>45247</v>
          </cell>
          <cell r="D4" t="str">
            <v>Not delivered</v>
          </cell>
          <cell r="E4">
            <v>507141319</v>
          </cell>
          <cell r="F4">
            <v>140</v>
          </cell>
          <cell r="G4">
            <v>1395396</v>
          </cell>
          <cell r="H4" t="str">
            <v>FP-014:CVR BLCK NO DC GENERAL 12A</v>
          </cell>
          <cell r="I4">
            <v>1530</v>
          </cell>
          <cell r="J4" t="str">
            <v>UN</v>
          </cell>
          <cell r="K4">
            <v>45301</v>
          </cell>
        </row>
        <row r="5">
          <cell r="A5" t="str">
            <v>507141319150</v>
          </cell>
          <cell r="B5" t="str">
            <v>ZMTD</v>
          </cell>
          <cell r="C5">
            <v>45247</v>
          </cell>
          <cell r="D5" t="str">
            <v>Not delivered</v>
          </cell>
          <cell r="E5">
            <v>507141319</v>
          </cell>
          <cell r="F5">
            <v>150</v>
          </cell>
          <cell r="G5">
            <v>1395397</v>
          </cell>
          <cell r="H5" t="str">
            <v>FP-014:SFTR NAT W/ LABEL NODC GENERAL12A</v>
          </cell>
          <cell r="I5">
            <v>1530</v>
          </cell>
          <cell r="J5" t="str">
            <v>UN</v>
          </cell>
          <cell r="K5">
            <v>45301</v>
          </cell>
        </row>
        <row r="6">
          <cell r="A6" t="str">
            <v>507141319240</v>
          </cell>
          <cell r="B6" t="str">
            <v>ZMTD</v>
          </cell>
          <cell r="C6">
            <v>45247</v>
          </cell>
          <cell r="D6" t="str">
            <v>Not delivered</v>
          </cell>
          <cell r="E6">
            <v>507141319</v>
          </cell>
          <cell r="F6">
            <v>240</v>
          </cell>
          <cell r="G6">
            <v>1394201</v>
          </cell>
          <cell r="H6" t="str">
            <v>PT-099:BS-CVR BEIGE INS WHT12.5G GNRL12A</v>
          </cell>
          <cell r="I6">
            <v>2400</v>
          </cell>
          <cell r="J6" t="str">
            <v>UN</v>
          </cell>
          <cell r="K6">
            <v>45318</v>
          </cell>
        </row>
        <row r="7">
          <cell r="A7" t="str">
            <v>507141319250</v>
          </cell>
          <cell r="B7" t="str">
            <v>ZMTD</v>
          </cell>
          <cell r="C7">
            <v>45247</v>
          </cell>
          <cell r="D7" t="str">
            <v>Not delivered</v>
          </cell>
          <cell r="E7">
            <v>507141319</v>
          </cell>
          <cell r="F7">
            <v>250</v>
          </cell>
          <cell r="G7">
            <v>1174578</v>
          </cell>
          <cell r="H7" t="str">
            <v>FP-008:CVR WHT S/SLV NO DC,BASE WHT IMM</v>
          </cell>
          <cell r="I7">
            <v>1600</v>
          </cell>
          <cell r="J7" t="str">
            <v>UN</v>
          </cell>
          <cell r="K7">
            <v>45320</v>
          </cell>
        </row>
        <row r="8">
          <cell r="A8" t="str">
            <v>507141319260</v>
          </cell>
          <cell r="B8" t="str">
            <v>ZMTD</v>
          </cell>
          <cell r="C8">
            <v>45247</v>
          </cell>
          <cell r="D8" t="str">
            <v>Not delivered</v>
          </cell>
          <cell r="E8">
            <v>507141319</v>
          </cell>
          <cell r="F8">
            <v>260</v>
          </cell>
          <cell r="G8">
            <v>1173473</v>
          </cell>
          <cell r="H8" t="str">
            <v>FP-008:SIFTER NAT LIVINGHINGE W/LBL IMM</v>
          </cell>
          <cell r="I8">
            <v>1600</v>
          </cell>
          <cell r="J8" t="str">
            <v>UN</v>
          </cell>
          <cell r="K8">
            <v>45320</v>
          </cell>
        </row>
        <row r="9">
          <cell r="A9" t="str">
            <v>50714085410</v>
          </cell>
          <cell r="B9" t="str">
            <v>ZMTD</v>
          </cell>
          <cell r="C9">
            <v>45120</v>
          </cell>
          <cell r="D9" t="str">
            <v>Not delivered</v>
          </cell>
          <cell r="E9">
            <v>507140854</v>
          </cell>
          <cell r="F9">
            <v>10</v>
          </cell>
          <cell r="G9">
            <v>1319568</v>
          </cell>
          <cell r="H9" t="str">
            <v>FP-041:CVR WHT BS CLR SFTR W/LBL NDC 12A</v>
          </cell>
          <cell r="I9">
            <v>1056</v>
          </cell>
          <cell r="J9" t="str">
            <v>UN</v>
          </cell>
          <cell r="K9">
            <v>45322</v>
          </cell>
        </row>
        <row r="10">
          <cell r="A10" t="str">
            <v>507141319270</v>
          </cell>
          <cell r="B10" t="str">
            <v>ZMTD</v>
          </cell>
          <cell r="C10">
            <v>45247</v>
          </cell>
          <cell r="D10" t="str">
            <v>Not delivered</v>
          </cell>
          <cell r="E10">
            <v>507141319</v>
          </cell>
          <cell r="F10">
            <v>270</v>
          </cell>
          <cell r="G10">
            <v>1395871</v>
          </cell>
          <cell r="H10" t="str">
            <v>CL-003:CAP BEIGE WIPNAT NODC GENERAL 12A</v>
          </cell>
          <cell r="I10">
            <v>2772</v>
          </cell>
          <cell r="J10" t="str">
            <v>UN</v>
          </cell>
          <cell r="K10">
            <v>45331</v>
          </cell>
        </row>
        <row r="11">
          <cell r="A11" t="str">
            <v>507141319280</v>
          </cell>
          <cell r="B11" t="str">
            <v>ZMTD</v>
          </cell>
          <cell r="C11">
            <v>45247</v>
          </cell>
          <cell r="D11" t="str">
            <v>Not delivered</v>
          </cell>
          <cell r="E11">
            <v>507141319</v>
          </cell>
          <cell r="F11">
            <v>280</v>
          </cell>
          <cell r="G11">
            <v>1395831</v>
          </cell>
          <cell r="H11" t="str">
            <v>CL-003:BTL CLR COL BEIGE NODC GENERAL12A</v>
          </cell>
          <cell r="I11">
            <v>2772</v>
          </cell>
          <cell r="J11" t="str">
            <v>UN</v>
          </cell>
          <cell r="K11">
            <v>45331</v>
          </cell>
        </row>
        <row r="12">
          <cell r="A12" t="str">
            <v>507141319290</v>
          </cell>
          <cell r="B12" t="str">
            <v>ZMTD</v>
          </cell>
          <cell r="C12">
            <v>45247</v>
          </cell>
          <cell r="D12" t="str">
            <v>Not delivered</v>
          </cell>
          <cell r="E12">
            <v>507141319</v>
          </cell>
          <cell r="F12">
            <v>290</v>
          </cell>
          <cell r="G12">
            <v>1394095</v>
          </cell>
          <cell r="H12" t="str">
            <v>CM-133:CVR/BS GREN NODC GENERAL 12A</v>
          </cell>
          <cell r="I12">
            <v>960</v>
          </cell>
          <cell r="J12" t="str">
            <v>UN</v>
          </cell>
          <cell r="K12">
            <v>45332</v>
          </cell>
        </row>
        <row r="13">
          <cell r="A13" t="str">
            <v>507141319300</v>
          </cell>
          <cell r="B13" t="str">
            <v>ZMTD</v>
          </cell>
          <cell r="C13">
            <v>45247</v>
          </cell>
          <cell r="D13" t="str">
            <v>Not delivered</v>
          </cell>
          <cell r="E13">
            <v>507141319</v>
          </cell>
          <cell r="F13">
            <v>300</v>
          </cell>
          <cell r="G13">
            <v>1394099</v>
          </cell>
          <cell r="H13" t="str">
            <v>CM-253:CV CLR BS PINK NODC GENERAL 12A</v>
          </cell>
          <cell r="I13">
            <v>1620</v>
          </cell>
          <cell r="J13" t="str">
            <v>UN</v>
          </cell>
          <cell r="K13">
            <v>45337</v>
          </cell>
        </row>
        <row r="14">
          <cell r="A14" t="str">
            <v>50714131910</v>
          </cell>
          <cell r="B14" t="str">
            <v>ZMTD</v>
          </cell>
          <cell r="C14">
            <v>45247</v>
          </cell>
          <cell r="D14" t="str">
            <v>Not delivered</v>
          </cell>
          <cell r="E14">
            <v>507141319</v>
          </cell>
          <cell r="F14">
            <v>10</v>
          </cell>
          <cell r="G14">
            <v>1393662</v>
          </cell>
          <cell r="H14" t="str">
            <v>CM-290:1PC CVR/BS BEIGE NODC GENERAL 12A</v>
          </cell>
          <cell r="I14">
            <v>840</v>
          </cell>
          <cell r="J14" t="str">
            <v>UN</v>
          </cell>
          <cell r="K14">
            <v>45387</v>
          </cell>
        </row>
        <row r="15">
          <cell r="A15" t="str">
            <v>50714131920</v>
          </cell>
          <cell r="B15" t="str">
            <v>ZMTD</v>
          </cell>
          <cell r="C15">
            <v>45247</v>
          </cell>
          <cell r="D15" t="str">
            <v>Not delivered</v>
          </cell>
          <cell r="E15">
            <v>507141319</v>
          </cell>
          <cell r="F15">
            <v>20</v>
          </cell>
          <cell r="G15">
            <v>1393665</v>
          </cell>
          <cell r="H15" t="str">
            <v>CM-290:ENGINE BEIGE GENERAL 12A</v>
          </cell>
          <cell r="I15">
            <v>840</v>
          </cell>
          <cell r="J15" t="str">
            <v>UN</v>
          </cell>
          <cell r="K15">
            <v>45387</v>
          </cell>
        </row>
        <row r="16">
          <cell r="A16" t="str">
            <v>50714131930</v>
          </cell>
          <cell r="B16" t="str">
            <v>ZMTD</v>
          </cell>
          <cell r="C16">
            <v>45247</v>
          </cell>
          <cell r="D16" t="str">
            <v>Not delivered</v>
          </cell>
          <cell r="E16">
            <v>507141319</v>
          </cell>
          <cell r="F16">
            <v>30</v>
          </cell>
          <cell r="G16">
            <v>1393666</v>
          </cell>
          <cell r="H16" t="str">
            <v>CM-290:RING BEIGE GENERAL 12A</v>
          </cell>
          <cell r="I16">
            <v>1080</v>
          </cell>
          <cell r="J16" t="str">
            <v>UN</v>
          </cell>
          <cell r="K16">
            <v>45387</v>
          </cell>
        </row>
        <row r="17">
          <cell r="A17" t="str">
            <v>50714131940</v>
          </cell>
          <cell r="B17" t="str">
            <v>ZMTD</v>
          </cell>
          <cell r="C17">
            <v>45247</v>
          </cell>
          <cell r="D17" t="str">
            <v>Not delivered</v>
          </cell>
          <cell r="E17">
            <v>507141319</v>
          </cell>
          <cell r="F17">
            <v>40</v>
          </cell>
          <cell r="G17">
            <v>1183641</v>
          </cell>
          <cell r="H17" t="str">
            <v>PT-073:CV BS GOLD PEARL S/LIST SLV JHONY</v>
          </cell>
          <cell r="I17">
            <v>1200</v>
          </cell>
          <cell r="J17" t="str">
            <v>UN</v>
          </cell>
          <cell r="K17">
            <v>45399</v>
          </cell>
        </row>
        <row r="18">
          <cell r="A18" t="str">
            <v>50714131950</v>
          </cell>
          <cell r="B18" t="str">
            <v>ZMTD</v>
          </cell>
          <cell r="C18">
            <v>45247</v>
          </cell>
          <cell r="D18" t="str">
            <v>Not delivered</v>
          </cell>
          <cell r="E18">
            <v>507141319</v>
          </cell>
          <cell r="F18">
            <v>50</v>
          </cell>
          <cell r="G18">
            <v>1307478</v>
          </cell>
          <cell r="H18" t="str">
            <v>LS-085:BS CVR WHT NODC CEC 12A</v>
          </cell>
          <cell r="I18">
            <v>1815</v>
          </cell>
          <cell r="J18" t="str">
            <v>UN</v>
          </cell>
          <cell r="K18">
            <v>45401</v>
          </cell>
        </row>
        <row r="19">
          <cell r="A19" t="str">
            <v>50714175210</v>
          </cell>
          <cell r="B19" t="str">
            <v>ZMTD</v>
          </cell>
          <cell r="C19">
            <v>45342</v>
          </cell>
          <cell r="D19" t="str">
            <v>Partially delivered</v>
          </cell>
          <cell r="E19">
            <v>507141752</v>
          </cell>
          <cell r="F19">
            <v>10</v>
          </cell>
          <cell r="G19">
            <v>1333155</v>
          </cell>
          <cell r="H19" t="str">
            <v>LC-003:CAP P7605C VMRSGLD ESNZA 20V</v>
          </cell>
          <cell r="I19">
            <v>51660</v>
          </cell>
          <cell r="J19" t="str">
            <v>UN</v>
          </cell>
          <cell r="K19">
            <v>45429</v>
          </cell>
        </row>
        <row r="20">
          <cell r="A20" t="str">
            <v>50714175220</v>
          </cell>
          <cell r="B20" t="str">
            <v>ZMTD</v>
          </cell>
          <cell r="C20">
            <v>45342</v>
          </cell>
          <cell r="D20" t="str">
            <v>Partially delivered</v>
          </cell>
          <cell r="E20">
            <v>507141752</v>
          </cell>
          <cell r="F20">
            <v>20</v>
          </cell>
          <cell r="G20">
            <v>1333156</v>
          </cell>
          <cell r="H20" t="str">
            <v>LC-003:BTL CLR COL VMRSGLD P/MAHATIC 20X</v>
          </cell>
          <cell r="I20">
            <v>51660</v>
          </cell>
          <cell r="J20" t="str">
            <v>UN</v>
          </cell>
          <cell r="K20">
            <v>45429</v>
          </cell>
        </row>
        <row r="21">
          <cell r="A21" t="str">
            <v>50714100170</v>
          </cell>
          <cell r="B21" t="str">
            <v>ZMTD</v>
          </cell>
          <cell r="C21">
            <v>45161</v>
          </cell>
          <cell r="D21" t="str">
            <v>Not delivered</v>
          </cell>
          <cell r="E21">
            <v>507141001</v>
          </cell>
          <cell r="F21">
            <v>70</v>
          </cell>
          <cell r="G21">
            <v>1179792</v>
          </cell>
          <cell r="H21" t="str">
            <v>LC-003:BTL CLR COL WHT NO DC GENERAL 12A</v>
          </cell>
          <cell r="I21">
            <v>3070</v>
          </cell>
          <cell r="J21" t="str">
            <v>UN</v>
          </cell>
          <cell r="K21">
            <v>45455</v>
          </cell>
        </row>
        <row r="22">
          <cell r="A22" t="str">
            <v>50714100180</v>
          </cell>
          <cell r="B22" t="str">
            <v>ZMTD</v>
          </cell>
          <cell r="C22">
            <v>45161</v>
          </cell>
          <cell r="D22" t="str">
            <v>Not delivered</v>
          </cell>
          <cell r="E22">
            <v>507141001</v>
          </cell>
          <cell r="F22">
            <v>80</v>
          </cell>
          <cell r="G22">
            <v>1179769</v>
          </cell>
          <cell r="H22" t="str">
            <v>LC-003:CVR WHT NO DC WIP NAT GENERAL 12A</v>
          </cell>
          <cell r="I22">
            <v>3070</v>
          </cell>
          <cell r="J22" t="str">
            <v>UN</v>
          </cell>
          <cell r="K22">
            <v>45455</v>
          </cell>
        </row>
        <row r="23">
          <cell r="A23" t="str">
            <v>50714108010</v>
          </cell>
          <cell r="B23" t="str">
            <v>ZMTD</v>
          </cell>
          <cell r="C23">
            <v>45187</v>
          </cell>
          <cell r="D23" t="str">
            <v>Not delivered</v>
          </cell>
          <cell r="E23">
            <v>507141080</v>
          </cell>
          <cell r="F23">
            <v>10</v>
          </cell>
          <cell r="G23">
            <v>1194582</v>
          </cell>
          <cell r="H23" t="str">
            <v>LC-002:BTL CLR COL WHT NO DC GENERAL</v>
          </cell>
          <cell r="I23">
            <v>1404</v>
          </cell>
          <cell r="J23" t="str">
            <v>UN</v>
          </cell>
          <cell r="K23">
            <v>45498</v>
          </cell>
        </row>
        <row r="24">
          <cell r="A24" t="str">
            <v>50714108020</v>
          </cell>
          <cell r="B24" t="str">
            <v>ZMTD</v>
          </cell>
          <cell r="C24">
            <v>45187</v>
          </cell>
          <cell r="D24" t="str">
            <v>Not delivered</v>
          </cell>
          <cell r="E24">
            <v>507141080</v>
          </cell>
          <cell r="F24">
            <v>20</v>
          </cell>
          <cell r="G24">
            <v>1194581</v>
          </cell>
          <cell r="H24" t="str">
            <v>LC-002:CAP WHT NO DC WIPER NAT GENERAL</v>
          </cell>
          <cell r="I24">
            <v>1404</v>
          </cell>
          <cell r="J24" t="str">
            <v>UN</v>
          </cell>
          <cell r="K24">
            <v>45498</v>
          </cell>
        </row>
        <row r="25">
          <cell r="A25" t="str">
            <v>50714253910</v>
          </cell>
          <cell r="B25" t="str">
            <v>ZMTD</v>
          </cell>
          <cell r="C25">
            <v>45490</v>
          </cell>
          <cell r="D25" t="str">
            <v>Not delivered</v>
          </cell>
          <cell r="E25">
            <v>507142539</v>
          </cell>
          <cell r="F25">
            <v>10</v>
          </cell>
          <cell r="G25">
            <v>1169047</v>
          </cell>
          <cell r="H25" t="str">
            <v>LS-285:B V/SL P/1PS SLEV H/SL BLM PTI20R</v>
          </cell>
          <cell r="I25">
            <v>25536</v>
          </cell>
          <cell r="J25" t="str">
            <v>UN</v>
          </cell>
          <cell r="K25">
            <v>45510</v>
          </cell>
        </row>
        <row r="26">
          <cell r="A26" t="str">
            <v>50714253920</v>
          </cell>
          <cell r="B26" t="str">
            <v>ZMTD</v>
          </cell>
          <cell r="C26">
            <v>45490</v>
          </cell>
          <cell r="D26" t="str">
            <v>Not delivered</v>
          </cell>
          <cell r="E26">
            <v>507142539</v>
          </cell>
          <cell r="F26">
            <v>20</v>
          </cell>
          <cell r="G26">
            <v>1171873</v>
          </cell>
          <cell r="H26" t="str">
            <v>LS-285:CV TRANS MATE 6 P/1PS VAR5 PTI40H</v>
          </cell>
          <cell r="I26">
            <v>25536</v>
          </cell>
          <cell r="J26" t="str">
            <v>UN</v>
          </cell>
          <cell r="K26">
            <v>45510</v>
          </cell>
        </row>
        <row r="27">
          <cell r="A27" t="str">
            <v>50714259110</v>
          </cell>
          <cell r="B27" t="str">
            <v>ZMTD</v>
          </cell>
          <cell r="C27">
            <v>45504</v>
          </cell>
          <cell r="D27" t="str">
            <v>Not delivered</v>
          </cell>
          <cell r="E27">
            <v>507142591</v>
          </cell>
          <cell r="F27">
            <v>10</v>
          </cell>
          <cell r="G27">
            <v>1414554</v>
          </cell>
          <cell r="H27" t="str">
            <v>SPIRAL SPRING MO SS304,11G,54.5MM PTI(T)</v>
          </cell>
          <cell r="I27">
            <v>200000</v>
          </cell>
          <cell r="J27" t="str">
            <v>UN</v>
          </cell>
          <cell r="K27">
            <v>45523</v>
          </cell>
        </row>
        <row r="28">
          <cell r="A28" t="str">
            <v>50714108030</v>
          </cell>
          <cell r="B28" t="str">
            <v>ZMTD</v>
          </cell>
          <cell r="C28">
            <v>45187</v>
          </cell>
          <cell r="D28" t="str">
            <v>Not delivered</v>
          </cell>
          <cell r="E28">
            <v>507141080</v>
          </cell>
          <cell r="F28">
            <v>30</v>
          </cell>
          <cell r="G28">
            <v>1181519</v>
          </cell>
          <cell r="H28" t="str">
            <v>LC-002:BTL CLR COL BLK NO DC GENERAL</v>
          </cell>
          <cell r="I28">
            <v>17904</v>
          </cell>
          <cell r="J28" t="str">
            <v>UN</v>
          </cell>
          <cell r="K28">
            <v>45523</v>
          </cell>
        </row>
        <row r="29">
          <cell r="A29" t="str">
            <v>50714108040</v>
          </cell>
          <cell r="B29" t="str">
            <v>ZMTD</v>
          </cell>
          <cell r="C29">
            <v>45187</v>
          </cell>
          <cell r="D29" t="str">
            <v>Not delivered</v>
          </cell>
          <cell r="E29">
            <v>507141080</v>
          </cell>
          <cell r="F29">
            <v>40</v>
          </cell>
          <cell r="G29">
            <v>1194673</v>
          </cell>
          <cell r="H29" t="str">
            <v>LC-002:CAP BLK NO DC WIPER NAT GENERAL</v>
          </cell>
          <cell r="I29">
            <v>17904</v>
          </cell>
          <cell r="J29" t="str">
            <v>UN</v>
          </cell>
          <cell r="K29">
            <v>45523</v>
          </cell>
        </row>
        <row r="30">
          <cell r="A30" t="str">
            <v>50900099710</v>
          </cell>
          <cell r="B30" t="str">
            <v>ZMRX</v>
          </cell>
          <cell r="C30">
            <v>45525</v>
          </cell>
          <cell r="D30" t="str">
            <v>Not delivered</v>
          </cell>
          <cell r="E30">
            <v>509000997</v>
          </cell>
          <cell r="F30">
            <v>10</v>
          </cell>
          <cell r="G30">
            <v>1279676</v>
          </cell>
          <cell r="H30" t="str">
            <v>CM-290:CVR/BS YELOW P/EMINA DAILY PTI60B</v>
          </cell>
          <cell r="I30">
            <v>2248</v>
          </cell>
          <cell r="J30" t="str">
            <v>UN</v>
          </cell>
          <cell r="K30">
            <v>45526</v>
          </cell>
        </row>
        <row r="31">
          <cell r="A31" t="str">
            <v>50900099810</v>
          </cell>
          <cell r="B31" t="str">
            <v>ZMRX</v>
          </cell>
          <cell r="C31">
            <v>45525</v>
          </cell>
          <cell r="D31" t="str">
            <v>Not delivered</v>
          </cell>
          <cell r="E31">
            <v>509000998</v>
          </cell>
          <cell r="F31">
            <v>10</v>
          </cell>
          <cell r="G31">
            <v>1279676</v>
          </cell>
          <cell r="H31" t="str">
            <v>CM-290:CVR/BS YELOW P/EMINA DAILY PTI60B</v>
          </cell>
          <cell r="I31">
            <v>3295</v>
          </cell>
          <cell r="J31" t="str">
            <v>UN</v>
          </cell>
          <cell r="K31">
            <v>45526</v>
          </cell>
        </row>
        <row r="32">
          <cell r="A32" t="str">
            <v>50714259120</v>
          </cell>
          <cell r="B32" t="str">
            <v>ZMTD</v>
          </cell>
          <cell r="C32">
            <v>45504</v>
          </cell>
          <cell r="D32" t="str">
            <v>Not delivered</v>
          </cell>
          <cell r="E32">
            <v>507142591</v>
          </cell>
          <cell r="F32">
            <v>20</v>
          </cell>
          <cell r="G32">
            <v>1414554</v>
          </cell>
          <cell r="H32" t="str">
            <v>SPIRAL SPRING MO SS304,11G,54.5MM PTI(T)</v>
          </cell>
          <cell r="I32">
            <v>100000</v>
          </cell>
          <cell r="J32" t="str">
            <v>UN</v>
          </cell>
          <cell r="K32">
            <v>45530</v>
          </cell>
        </row>
        <row r="33">
          <cell r="A33" t="str">
            <v>50714253310</v>
          </cell>
          <cell r="B33" t="str">
            <v>ZMTD</v>
          </cell>
          <cell r="C33">
            <v>45488</v>
          </cell>
          <cell r="D33" t="str">
            <v>Not delivered</v>
          </cell>
          <cell r="E33">
            <v>507142533</v>
          </cell>
          <cell r="F33">
            <v>10</v>
          </cell>
          <cell r="G33">
            <v>1425323</v>
          </cell>
          <cell r="H33" t="str">
            <v>CM-290:ENGINE BLACK RIDHA 12A</v>
          </cell>
          <cell r="I33">
            <v>10000</v>
          </cell>
          <cell r="J33" t="str">
            <v>UN</v>
          </cell>
          <cell r="K33">
            <v>45530</v>
          </cell>
        </row>
        <row r="34">
          <cell r="A34" t="str">
            <v>50714253320</v>
          </cell>
          <cell r="B34" t="str">
            <v>ZMTD</v>
          </cell>
          <cell r="C34">
            <v>45488</v>
          </cell>
          <cell r="D34" t="str">
            <v>Not delivered</v>
          </cell>
          <cell r="E34">
            <v>507142533</v>
          </cell>
          <cell r="F34">
            <v>20</v>
          </cell>
          <cell r="G34">
            <v>1425324</v>
          </cell>
          <cell r="H34" t="str">
            <v>CM-290:RING BLACK RIDHA 12A</v>
          </cell>
          <cell r="I34">
            <v>10000</v>
          </cell>
          <cell r="J34" t="str">
            <v>UN</v>
          </cell>
          <cell r="K34">
            <v>45530</v>
          </cell>
        </row>
        <row r="35">
          <cell r="A35" t="str">
            <v>50714253330</v>
          </cell>
          <cell r="B35" t="str">
            <v>ZMTD</v>
          </cell>
          <cell r="C35">
            <v>45488</v>
          </cell>
          <cell r="D35" t="str">
            <v>Not delivered</v>
          </cell>
          <cell r="E35">
            <v>507142533</v>
          </cell>
          <cell r="F35">
            <v>30</v>
          </cell>
          <cell r="G35">
            <v>1425325</v>
          </cell>
          <cell r="H35" t="str">
            <v>CM-290:1PC CV/BS BLCK P/FLAWLES RIDHA60B</v>
          </cell>
          <cell r="I35">
            <v>10000</v>
          </cell>
          <cell r="J35" t="str">
            <v>UN</v>
          </cell>
          <cell r="K35">
            <v>45530</v>
          </cell>
        </row>
        <row r="36">
          <cell r="A36" t="str">
            <v>50714253340</v>
          </cell>
          <cell r="B36" t="str">
            <v>ZMTD</v>
          </cell>
          <cell r="C36">
            <v>45488</v>
          </cell>
          <cell r="D36" t="str">
            <v>Not delivered</v>
          </cell>
          <cell r="E36">
            <v>507142533</v>
          </cell>
          <cell r="F36">
            <v>40</v>
          </cell>
          <cell r="G36">
            <v>1424308</v>
          </cell>
          <cell r="H36" t="str">
            <v>RUBICELL PUFF W/RIBBON P/RIDHA 60B (T)</v>
          </cell>
          <cell r="I36">
            <v>10000</v>
          </cell>
          <cell r="J36" t="str">
            <v>UN</v>
          </cell>
          <cell r="K36">
            <v>45530</v>
          </cell>
        </row>
        <row r="37">
          <cell r="A37" t="str">
            <v>50714253350</v>
          </cell>
          <cell r="B37" t="str">
            <v>ZMTD</v>
          </cell>
          <cell r="C37">
            <v>45488</v>
          </cell>
          <cell r="D37" t="str">
            <v>Not delivered</v>
          </cell>
          <cell r="E37">
            <v>507142533</v>
          </cell>
          <cell r="F37">
            <v>50</v>
          </cell>
          <cell r="G37">
            <v>1188806</v>
          </cell>
          <cell r="H37" t="str">
            <v>FILLER SPONGE DIA 50X11.5MM GNRL</v>
          </cell>
          <cell r="I37">
            <v>10000</v>
          </cell>
          <cell r="J37" t="str">
            <v>UN</v>
          </cell>
          <cell r="K37">
            <v>45530</v>
          </cell>
        </row>
        <row r="38">
          <cell r="A38" t="str">
            <v>50714221010</v>
          </cell>
          <cell r="B38" t="str">
            <v>ZMTD</v>
          </cell>
          <cell r="C38">
            <v>45434</v>
          </cell>
          <cell r="D38" t="str">
            <v>Partially delivered</v>
          </cell>
          <cell r="E38">
            <v>507142210</v>
          </cell>
          <cell r="F38">
            <v>10</v>
          </cell>
          <cell r="G38">
            <v>1383924</v>
          </cell>
          <cell r="H38" t="str">
            <v>LS-087:BS MTPEACH P/BLP L.BULET CSMAX40H</v>
          </cell>
          <cell r="I38">
            <v>25750</v>
          </cell>
          <cell r="J38" t="str">
            <v>UN</v>
          </cell>
          <cell r="K38">
            <v>45533</v>
          </cell>
        </row>
        <row r="39">
          <cell r="A39" t="str">
            <v>50714255610</v>
          </cell>
          <cell r="B39" t="str">
            <v>ZMTD</v>
          </cell>
          <cell r="C39">
            <v>45495</v>
          </cell>
          <cell r="D39" t="str">
            <v>Not delivered</v>
          </cell>
          <cell r="E39">
            <v>507142556</v>
          </cell>
          <cell r="F39">
            <v>10</v>
          </cell>
          <cell r="G39">
            <v>1429645</v>
          </cell>
          <cell r="H39" t="str">
            <v>PT-055:BD CV D.BLUE P/100-1080 INVBIO60B</v>
          </cell>
          <cell r="I39">
            <v>5000</v>
          </cell>
          <cell r="J39" t="str">
            <v>UN</v>
          </cell>
          <cell r="K39">
            <v>45538</v>
          </cell>
        </row>
        <row r="40">
          <cell r="A40" t="str">
            <v>50714255620</v>
          </cell>
          <cell r="B40" t="str">
            <v>ZMTD</v>
          </cell>
          <cell r="C40">
            <v>45495</v>
          </cell>
          <cell r="D40" t="str">
            <v>Not delivered</v>
          </cell>
          <cell r="E40">
            <v>507142556</v>
          </cell>
          <cell r="F40">
            <v>20</v>
          </cell>
          <cell r="G40">
            <v>1282199</v>
          </cell>
          <cell r="H40" t="str">
            <v>PT-055:PLUG D.BLUE NO DC INVBIOCARE</v>
          </cell>
          <cell r="I40">
            <v>5000</v>
          </cell>
          <cell r="J40" t="str">
            <v>UN</v>
          </cell>
          <cell r="K40">
            <v>45538</v>
          </cell>
        </row>
        <row r="41">
          <cell r="A41" t="str">
            <v>50714259130</v>
          </cell>
          <cell r="B41" t="str">
            <v>ZMTD</v>
          </cell>
          <cell r="C41">
            <v>45504</v>
          </cell>
          <cell r="D41" t="str">
            <v>Not delivered</v>
          </cell>
          <cell r="E41">
            <v>507142591</v>
          </cell>
          <cell r="F41">
            <v>30</v>
          </cell>
          <cell r="G41">
            <v>1414554</v>
          </cell>
          <cell r="H41" t="str">
            <v>SPIRAL SPRING MO SS304,11G,54.5MM PTI(T)</v>
          </cell>
          <cell r="I41">
            <v>100000</v>
          </cell>
          <cell r="J41" t="str">
            <v>UN</v>
          </cell>
          <cell r="K41">
            <v>45539</v>
          </cell>
        </row>
        <row r="42">
          <cell r="A42" t="str">
            <v>50714270410</v>
          </cell>
          <cell r="B42" t="str">
            <v>ZMTD</v>
          </cell>
          <cell r="C42">
            <v>45534</v>
          </cell>
          <cell r="D42" t="str">
            <v>Not delivered</v>
          </cell>
          <cell r="E42">
            <v>507142704</v>
          </cell>
          <cell r="F42">
            <v>10</v>
          </cell>
          <cell r="G42">
            <v>1255664</v>
          </cell>
          <cell r="H42" t="str">
            <v>LC-002:BTL MT VAR14 P/WRDH B.MARK PTI40H</v>
          </cell>
          <cell r="I42">
            <v>25200</v>
          </cell>
          <cell r="J42" t="str">
            <v>UN</v>
          </cell>
          <cell r="K42">
            <v>45540</v>
          </cell>
        </row>
        <row r="43">
          <cell r="A43" t="str">
            <v>50714270420</v>
          </cell>
          <cell r="B43" t="str">
            <v>ZMTD</v>
          </cell>
          <cell r="C43">
            <v>45534</v>
          </cell>
          <cell r="D43" t="str">
            <v>Not delivered</v>
          </cell>
          <cell r="E43">
            <v>507142704</v>
          </cell>
          <cell r="F43">
            <v>20</v>
          </cell>
          <cell r="G43">
            <v>1264032</v>
          </cell>
          <cell r="H43" t="str">
            <v>LC-002:CP S/MT VAR14 STM-WHT WNAT PTI40D</v>
          </cell>
          <cell r="I43">
            <v>25200</v>
          </cell>
          <cell r="J43" t="str">
            <v>UN</v>
          </cell>
          <cell r="K43">
            <v>45540</v>
          </cell>
        </row>
        <row r="44">
          <cell r="A44" t="str">
            <v>50800526510</v>
          </cell>
          <cell r="B44" t="str">
            <v>ZMFD</v>
          </cell>
          <cell r="C44">
            <v>45530</v>
          </cell>
          <cell r="D44" t="str">
            <v>Not delivered</v>
          </cell>
          <cell r="E44">
            <v>508005265</v>
          </cell>
          <cell r="F44">
            <v>10</v>
          </cell>
          <cell r="G44">
            <v>1413967</v>
          </cell>
          <cell r="H44" t="str">
            <v>CM-323:VM SILVER DIOR JUMBO M080</v>
          </cell>
          <cell r="I44">
            <v>6000</v>
          </cell>
          <cell r="J44" t="str">
            <v>UN</v>
          </cell>
          <cell r="K44">
            <v>45540</v>
          </cell>
        </row>
        <row r="45">
          <cell r="A45" t="str">
            <v>50714250210</v>
          </cell>
          <cell r="B45" t="str">
            <v>ZMTD</v>
          </cell>
          <cell r="C45">
            <v>45485</v>
          </cell>
          <cell r="D45" t="str">
            <v>Partially delivered</v>
          </cell>
          <cell r="E45">
            <v>507142502</v>
          </cell>
          <cell r="F45">
            <v>10</v>
          </cell>
          <cell r="G45">
            <v>1209355</v>
          </cell>
          <cell r="H45" t="str">
            <v>CP-092:VM SLVR WRDH TREAT ESSENCE PTI20F</v>
          </cell>
          <cell r="I45">
            <v>25200</v>
          </cell>
          <cell r="J45" t="str">
            <v>UN</v>
          </cell>
          <cell r="K45">
            <v>45540</v>
          </cell>
        </row>
        <row r="46">
          <cell r="A46" t="str">
            <v>50714226910</v>
          </cell>
          <cell r="B46" t="str">
            <v>ZMTD</v>
          </cell>
          <cell r="C46">
            <v>45443</v>
          </cell>
          <cell r="D46" t="str">
            <v>Partially delivered</v>
          </cell>
          <cell r="E46">
            <v>507142269</v>
          </cell>
          <cell r="F46">
            <v>10</v>
          </cell>
          <cell r="G46">
            <v>1187758</v>
          </cell>
          <cell r="H46" t="str">
            <v>CM-105:VM RAINBOW P/ULTIMA II RUDYS 40C</v>
          </cell>
          <cell r="I46">
            <v>22000</v>
          </cell>
          <cell r="J46" t="str">
            <v>UN</v>
          </cell>
          <cell r="K46">
            <v>45540</v>
          </cell>
        </row>
        <row r="47">
          <cell r="A47" t="str">
            <v>50714235110</v>
          </cell>
          <cell r="B47" t="str">
            <v>ZMTD</v>
          </cell>
          <cell r="C47">
            <v>45462</v>
          </cell>
          <cell r="D47" t="str">
            <v>Partially delivered</v>
          </cell>
          <cell r="E47">
            <v>507142351</v>
          </cell>
          <cell r="F47">
            <v>10</v>
          </cell>
          <cell r="G47">
            <v>1388326</v>
          </cell>
          <cell r="H47" t="str">
            <v>CM-253:CV BS MTPEACH P/C.BLSH RV1 PTI40H</v>
          </cell>
          <cell r="I47">
            <v>15120</v>
          </cell>
          <cell r="J47" t="str">
            <v>UN</v>
          </cell>
          <cell r="K47">
            <v>45545</v>
          </cell>
        </row>
        <row r="48">
          <cell r="A48" t="str">
            <v>50714159630</v>
          </cell>
          <cell r="B48" t="str">
            <v>ZMTD</v>
          </cell>
          <cell r="C48">
            <v>45308</v>
          </cell>
          <cell r="D48" t="str">
            <v>Not delivered</v>
          </cell>
          <cell r="E48">
            <v>507141596</v>
          </cell>
          <cell r="F48">
            <v>30</v>
          </cell>
          <cell r="G48">
            <v>1194713</v>
          </cell>
          <cell r="H48" t="str">
            <v>LC-003:BTL CLR COL BLK NO DC GENERAL 12A</v>
          </cell>
          <cell r="I48">
            <v>1180</v>
          </cell>
          <cell r="J48" t="str">
            <v>UN</v>
          </cell>
          <cell r="K48">
            <v>45546</v>
          </cell>
        </row>
        <row r="49">
          <cell r="A49" t="str">
            <v>50714159640</v>
          </cell>
          <cell r="B49" t="str">
            <v>ZMTD</v>
          </cell>
          <cell r="C49">
            <v>45308</v>
          </cell>
          <cell r="D49" t="str">
            <v>Not delivered</v>
          </cell>
          <cell r="E49">
            <v>507141596</v>
          </cell>
          <cell r="F49">
            <v>40</v>
          </cell>
          <cell r="G49">
            <v>1173440</v>
          </cell>
          <cell r="H49" t="str">
            <v>LC-003:CVR BLK NO DC WIP NAT GENERAL 12A</v>
          </cell>
          <cell r="I49">
            <v>1180</v>
          </cell>
          <cell r="J49" t="str">
            <v>UN</v>
          </cell>
          <cell r="K49">
            <v>45546</v>
          </cell>
        </row>
        <row r="50">
          <cell r="A50" t="str">
            <v>50714234410</v>
          </cell>
          <cell r="B50" t="str">
            <v>ZMTD</v>
          </cell>
          <cell r="C50">
            <v>45462</v>
          </cell>
          <cell r="D50" t="str">
            <v>Partially delivered</v>
          </cell>
          <cell r="E50">
            <v>507142344</v>
          </cell>
          <cell r="F50">
            <v>10</v>
          </cell>
          <cell r="G50">
            <v>1420605</v>
          </cell>
          <cell r="H50" t="str">
            <v>CM-253:CV BS MT BRICK 06 P/C.BLSH PTI40H</v>
          </cell>
          <cell r="I50">
            <v>50220</v>
          </cell>
          <cell r="J50" t="str">
            <v>UN</v>
          </cell>
          <cell r="K50">
            <v>45547</v>
          </cell>
        </row>
        <row r="51">
          <cell r="A51" t="str">
            <v>50714226620</v>
          </cell>
          <cell r="B51" t="str">
            <v>ZMTD</v>
          </cell>
          <cell r="C51">
            <v>45443</v>
          </cell>
          <cell r="D51" t="str">
            <v>Partially delivered</v>
          </cell>
          <cell r="E51">
            <v>507142266</v>
          </cell>
          <cell r="F51">
            <v>20</v>
          </cell>
          <cell r="G51">
            <v>1215637</v>
          </cell>
          <cell r="H51" t="str">
            <v>CM-105:UV DBRW P/P8022C WWGLAM RUDYS 40C</v>
          </cell>
          <cell r="I51">
            <v>10000</v>
          </cell>
          <cell r="J51" t="str">
            <v>UN</v>
          </cell>
          <cell r="K51">
            <v>45547</v>
          </cell>
        </row>
        <row r="52">
          <cell r="A52" t="str">
            <v>50714212010</v>
          </cell>
          <cell r="B52" t="str">
            <v>ZMTD</v>
          </cell>
          <cell r="C52">
            <v>45425</v>
          </cell>
          <cell r="D52" t="str">
            <v>Partially delivered</v>
          </cell>
          <cell r="E52">
            <v>507142120</v>
          </cell>
          <cell r="F52">
            <v>10</v>
          </cell>
          <cell r="G52">
            <v>1420101</v>
          </cell>
          <cell r="H52" t="str">
            <v>LS-091:BS RED P/RED FRTY CHERRY NEW 60B</v>
          </cell>
          <cell r="I52">
            <v>14820</v>
          </cell>
          <cell r="J52" t="str">
            <v>UN</v>
          </cell>
          <cell r="K52">
            <v>45548</v>
          </cell>
        </row>
        <row r="53">
          <cell r="A53" t="str">
            <v>50714180350</v>
          </cell>
          <cell r="B53" t="str">
            <v>ZMTD</v>
          </cell>
          <cell r="C53">
            <v>45349</v>
          </cell>
          <cell r="D53" t="str">
            <v>Not delivered</v>
          </cell>
          <cell r="E53">
            <v>507141803</v>
          </cell>
          <cell r="F53">
            <v>50</v>
          </cell>
          <cell r="G53">
            <v>1404888</v>
          </cell>
          <cell r="H53" t="str">
            <v>LS-091:BS MGNTA P/SHEER COLOR ROHTO 60B</v>
          </cell>
          <cell r="I53">
            <v>27664</v>
          </cell>
          <cell r="J53" t="str">
            <v>UN</v>
          </cell>
          <cell r="K53">
            <v>45548</v>
          </cell>
        </row>
        <row r="54">
          <cell r="A54" t="str">
            <v>50714180360</v>
          </cell>
          <cell r="B54" t="str">
            <v>ZMTD</v>
          </cell>
          <cell r="C54">
            <v>45349</v>
          </cell>
          <cell r="D54" t="str">
            <v>Not delivered</v>
          </cell>
          <cell r="E54">
            <v>507141803</v>
          </cell>
          <cell r="F54">
            <v>60</v>
          </cell>
          <cell r="G54">
            <v>1404885</v>
          </cell>
          <cell r="H54" t="str">
            <v>LS-091:CVR MGNTA GRAD UV P/NATURAL ROHTO</v>
          </cell>
          <cell r="I54">
            <v>27664</v>
          </cell>
          <cell r="J54" t="str">
            <v>UN</v>
          </cell>
          <cell r="K54">
            <v>45548</v>
          </cell>
        </row>
        <row r="55">
          <cell r="A55" t="str">
            <v>50714212020</v>
          </cell>
          <cell r="B55" t="str">
            <v>ZMTD</v>
          </cell>
          <cell r="C55">
            <v>45425</v>
          </cell>
          <cell r="D55" t="str">
            <v>Partially delivered</v>
          </cell>
          <cell r="E55">
            <v>507142120</v>
          </cell>
          <cell r="F55">
            <v>20</v>
          </cell>
          <cell r="G55">
            <v>1420102</v>
          </cell>
          <cell r="H55" t="str">
            <v>LS-091:CV WHT P/ICE FRUITY CHERRY 60B</v>
          </cell>
          <cell r="I55">
            <v>14820</v>
          </cell>
          <cell r="J55" t="str">
            <v>UN</v>
          </cell>
          <cell r="K55">
            <v>45551</v>
          </cell>
        </row>
        <row r="56">
          <cell r="A56" t="str">
            <v>50714271520</v>
          </cell>
          <cell r="B56" t="str">
            <v>ZMTD</v>
          </cell>
          <cell r="C56">
            <v>45538</v>
          </cell>
          <cell r="D56" t="str">
            <v>Not delivered</v>
          </cell>
          <cell r="E56">
            <v>507142715</v>
          </cell>
          <cell r="F56">
            <v>20</v>
          </cell>
          <cell r="G56">
            <v>1382368</v>
          </cell>
          <cell r="H56" t="str">
            <v>CP-067R:FT CAP35 SNAP BLK MATTE  Ø5 LRL</v>
          </cell>
          <cell r="I56">
            <v>300000</v>
          </cell>
          <cell r="J56" t="str">
            <v>UN</v>
          </cell>
          <cell r="K56">
            <v>45552</v>
          </cell>
        </row>
        <row r="57">
          <cell r="A57" t="str">
            <v>50714260110</v>
          </cell>
          <cell r="B57" t="str">
            <v>ZMTD</v>
          </cell>
          <cell r="C57">
            <v>45509</v>
          </cell>
          <cell r="D57" t="str">
            <v>Not delivered</v>
          </cell>
          <cell r="E57">
            <v>507142601</v>
          </cell>
          <cell r="F57">
            <v>10</v>
          </cell>
          <cell r="G57">
            <v>1158837</v>
          </cell>
          <cell r="H57" t="str">
            <v>SD-007:SM16 WH SLDR D40 SCREW ORI7.5</v>
          </cell>
          <cell r="I57">
            <v>252000</v>
          </cell>
          <cell r="J57" t="str">
            <v>UN</v>
          </cell>
          <cell r="K57">
            <v>45552</v>
          </cell>
        </row>
        <row r="58">
          <cell r="A58" t="str">
            <v>50714259410</v>
          </cell>
          <cell r="B58" t="str">
            <v>ZMTD</v>
          </cell>
          <cell r="C58">
            <v>45505</v>
          </cell>
          <cell r="D58" t="str">
            <v>Not delivered</v>
          </cell>
          <cell r="E58">
            <v>507142594</v>
          </cell>
          <cell r="F58">
            <v>10</v>
          </cell>
          <cell r="G58">
            <v>1307478</v>
          </cell>
          <cell r="H58" t="str">
            <v>LS-085:BS CVR WHT NODC CEC 12A</v>
          </cell>
          <cell r="I58">
            <v>5000</v>
          </cell>
          <cell r="J58" t="str">
            <v>UN</v>
          </cell>
          <cell r="K58">
            <v>45552</v>
          </cell>
        </row>
        <row r="59">
          <cell r="A59" t="str">
            <v>50714259420</v>
          </cell>
          <cell r="B59" t="str">
            <v>ZMTD</v>
          </cell>
          <cell r="C59">
            <v>45505</v>
          </cell>
          <cell r="D59" t="str">
            <v>Not delivered</v>
          </cell>
          <cell r="E59">
            <v>507142594</v>
          </cell>
          <cell r="F59">
            <v>20</v>
          </cell>
          <cell r="G59">
            <v>1307478</v>
          </cell>
          <cell r="H59" t="str">
            <v>LS-085:BS CVR WHT NODC CEC 12A</v>
          </cell>
          <cell r="I59">
            <v>5000</v>
          </cell>
          <cell r="J59" t="str">
            <v>UN</v>
          </cell>
          <cell r="K59">
            <v>45552</v>
          </cell>
        </row>
        <row r="60">
          <cell r="A60" t="str">
            <v>50714272210</v>
          </cell>
          <cell r="B60" t="str">
            <v>ZMTD</v>
          </cell>
          <cell r="C60">
            <v>45541</v>
          </cell>
          <cell r="D60" t="str">
            <v>Not delivered</v>
          </cell>
          <cell r="E60">
            <v>507142722</v>
          </cell>
          <cell r="F60">
            <v>10</v>
          </cell>
          <cell r="G60">
            <v>1361869</v>
          </cell>
          <cell r="H60" t="str">
            <v>CP-091:NATURAL BETTS</v>
          </cell>
          <cell r="I60">
            <v>51300</v>
          </cell>
          <cell r="J60" t="str">
            <v>UN</v>
          </cell>
          <cell r="K60">
            <v>45553</v>
          </cell>
        </row>
        <row r="61">
          <cell r="A61" t="str">
            <v>50714269810</v>
          </cell>
          <cell r="B61" t="str">
            <v>ZMTD</v>
          </cell>
          <cell r="C61">
            <v>45533</v>
          </cell>
          <cell r="D61" t="str">
            <v>Not delivered</v>
          </cell>
          <cell r="E61">
            <v>507142698</v>
          </cell>
          <cell r="F61">
            <v>10</v>
          </cell>
          <cell r="G61">
            <v>1408740</v>
          </cell>
          <cell r="H61" t="str">
            <v>PT-097B:BDSR.2 BLU HOUS WHT TRNS PTI12A</v>
          </cell>
          <cell r="I61">
            <v>110160</v>
          </cell>
          <cell r="J61" t="str">
            <v>UN</v>
          </cell>
          <cell r="K61">
            <v>45553</v>
          </cell>
        </row>
        <row r="62">
          <cell r="A62" t="str">
            <v>50714269820</v>
          </cell>
          <cell r="B62" t="str">
            <v>ZMTD</v>
          </cell>
          <cell r="C62">
            <v>45533</v>
          </cell>
          <cell r="D62" t="str">
            <v>Not delivered</v>
          </cell>
          <cell r="E62">
            <v>507142698</v>
          </cell>
          <cell r="F62">
            <v>20</v>
          </cell>
          <cell r="G62">
            <v>1408739</v>
          </cell>
          <cell r="H62" t="str">
            <v>PT-097B:CAP SR.2 BLUE TRANS PTI 12A</v>
          </cell>
          <cell r="I62">
            <v>110160</v>
          </cell>
          <cell r="J62" t="str">
            <v>UN</v>
          </cell>
          <cell r="K62">
            <v>45553</v>
          </cell>
        </row>
        <row r="63">
          <cell r="A63" t="str">
            <v>50714260910</v>
          </cell>
          <cell r="B63" t="str">
            <v>ZMTD</v>
          </cell>
          <cell r="C63">
            <v>45509</v>
          </cell>
          <cell r="D63" t="str">
            <v>Partially delivered</v>
          </cell>
          <cell r="E63">
            <v>507142609</v>
          </cell>
          <cell r="F63">
            <v>10</v>
          </cell>
          <cell r="G63">
            <v>1432505</v>
          </cell>
          <cell r="H63" t="str">
            <v>CP-091:CAP D40 BLACK GLOSSY 12A</v>
          </cell>
          <cell r="I63">
            <v>59400</v>
          </cell>
          <cell r="J63" t="str">
            <v>UN</v>
          </cell>
          <cell r="K63">
            <v>45553</v>
          </cell>
        </row>
        <row r="64">
          <cell r="A64" t="str">
            <v>50714159610</v>
          </cell>
          <cell r="B64" t="str">
            <v>ZMTD</v>
          </cell>
          <cell r="C64">
            <v>45308</v>
          </cell>
          <cell r="D64" t="str">
            <v>Not delivered</v>
          </cell>
          <cell r="E64">
            <v>507141596</v>
          </cell>
          <cell r="F64">
            <v>10</v>
          </cell>
          <cell r="G64">
            <v>1187151</v>
          </cell>
          <cell r="H64" t="str">
            <v>LC-004:BTL CLR COL BLK NO DC GENERAL 12A</v>
          </cell>
          <cell r="I64">
            <v>8966</v>
          </cell>
          <cell r="J64" t="str">
            <v>UN</v>
          </cell>
          <cell r="K64">
            <v>45554</v>
          </cell>
        </row>
        <row r="65">
          <cell r="A65" t="str">
            <v>50714159620</v>
          </cell>
          <cell r="B65" t="str">
            <v>ZMTD</v>
          </cell>
          <cell r="C65">
            <v>45308</v>
          </cell>
          <cell r="D65" t="str">
            <v>Not delivered</v>
          </cell>
          <cell r="E65">
            <v>507141596</v>
          </cell>
          <cell r="F65">
            <v>20</v>
          </cell>
          <cell r="G65">
            <v>1187152</v>
          </cell>
          <cell r="H65" t="str">
            <v>LC-004:CVR BLK NO DC WIP NAT GENERAL 12A</v>
          </cell>
          <cell r="I65">
            <v>8966</v>
          </cell>
          <cell r="J65" t="str">
            <v>UN</v>
          </cell>
          <cell r="K65">
            <v>45554</v>
          </cell>
        </row>
        <row r="66">
          <cell r="A66" t="str">
            <v>50714159650</v>
          </cell>
          <cell r="B66" t="str">
            <v>ZMTD</v>
          </cell>
          <cell r="C66">
            <v>45308</v>
          </cell>
          <cell r="D66" t="str">
            <v>Not delivered</v>
          </cell>
          <cell r="E66">
            <v>507141596</v>
          </cell>
          <cell r="F66">
            <v>50</v>
          </cell>
          <cell r="G66">
            <v>1173704</v>
          </cell>
          <cell r="H66" t="str">
            <v>LC-004:BTL CLR COL WHT NO DC GENERAL 12A</v>
          </cell>
          <cell r="I66">
            <v>8912</v>
          </cell>
          <cell r="J66" t="str">
            <v>UN</v>
          </cell>
          <cell r="K66">
            <v>45554</v>
          </cell>
        </row>
        <row r="67">
          <cell r="A67" t="str">
            <v>50714159660</v>
          </cell>
          <cell r="B67" t="str">
            <v>ZMTD</v>
          </cell>
          <cell r="C67">
            <v>45308</v>
          </cell>
          <cell r="D67" t="str">
            <v>Not delivered</v>
          </cell>
          <cell r="E67">
            <v>507141596</v>
          </cell>
          <cell r="F67">
            <v>60</v>
          </cell>
          <cell r="G67">
            <v>1173705</v>
          </cell>
          <cell r="H67" t="str">
            <v>LC-004:CAP WHT NO DC WIP NAT GENERAL 12A</v>
          </cell>
          <cell r="I67">
            <v>8912</v>
          </cell>
          <cell r="J67" t="str">
            <v>UN</v>
          </cell>
          <cell r="K67">
            <v>45554</v>
          </cell>
        </row>
        <row r="68">
          <cell r="A68" t="str">
            <v>50714241710</v>
          </cell>
          <cell r="B68" t="str">
            <v>ZMTD</v>
          </cell>
          <cell r="C68">
            <v>45474</v>
          </cell>
          <cell r="D68" t="str">
            <v>Not delivered</v>
          </cell>
          <cell r="E68">
            <v>507142417</v>
          </cell>
          <cell r="F68">
            <v>10</v>
          </cell>
          <cell r="G68">
            <v>1405657</v>
          </cell>
          <cell r="H68" t="str">
            <v>CM-273:CV UV BS BRONZE P/PIXYSLKY RV130L</v>
          </cell>
          <cell r="I68">
            <v>10000</v>
          </cell>
          <cell r="J68" t="str">
            <v>UN</v>
          </cell>
          <cell r="K68">
            <v>45556</v>
          </cell>
        </row>
        <row r="69">
          <cell r="A69" t="str">
            <v>50714271530</v>
          </cell>
          <cell r="B69" t="str">
            <v>ZMTD</v>
          </cell>
          <cell r="C69">
            <v>45538</v>
          </cell>
          <cell r="D69" t="str">
            <v>Not delivered</v>
          </cell>
          <cell r="E69">
            <v>507142715</v>
          </cell>
          <cell r="F69">
            <v>30</v>
          </cell>
          <cell r="G69">
            <v>1382368</v>
          </cell>
          <cell r="H69" t="str">
            <v>CP-067R:FT CAP35 SNAP BLK MATTE  Ø5 LRL</v>
          </cell>
          <cell r="I69">
            <v>400000</v>
          </cell>
          <cell r="J69" t="str">
            <v>UN</v>
          </cell>
          <cell r="K69">
            <v>45558</v>
          </cell>
        </row>
        <row r="70">
          <cell r="A70" t="str">
            <v>50714268910</v>
          </cell>
          <cell r="B70" t="str">
            <v>ZMTD</v>
          </cell>
          <cell r="C70">
            <v>45532</v>
          </cell>
          <cell r="D70" t="str">
            <v>Not delivered</v>
          </cell>
          <cell r="E70">
            <v>507142689</v>
          </cell>
          <cell r="F70">
            <v>10</v>
          </cell>
          <cell r="G70">
            <v>1168132</v>
          </cell>
          <cell r="H70" t="str">
            <v>LS-285:BS WHT NO DC WARDAH</v>
          </cell>
          <cell r="I70">
            <v>75544</v>
          </cell>
          <cell r="J70" t="str">
            <v>UN</v>
          </cell>
          <cell r="K70">
            <v>45558</v>
          </cell>
        </row>
        <row r="71">
          <cell r="A71" t="str">
            <v>50714268920</v>
          </cell>
          <cell r="B71" t="str">
            <v>ZMTD</v>
          </cell>
          <cell r="C71">
            <v>45532</v>
          </cell>
          <cell r="D71" t="str">
            <v>Not delivered</v>
          </cell>
          <cell r="E71">
            <v>507142689</v>
          </cell>
          <cell r="F71">
            <v>20</v>
          </cell>
          <cell r="G71">
            <v>1421418</v>
          </cell>
          <cell r="H71" t="str">
            <v>LS-285:CV RED P/WHT UV STRAWBERY PTI 30O</v>
          </cell>
          <cell r="I71">
            <v>75544</v>
          </cell>
          <cell r="J71" t="str">
            <v>UN</v>
          </cell>
          <cell r="K71">
            <v>45558</v>
          </cell>
        </row>
        <row r="72">
          <cell r="A72" t="str">
            <v>50714259950</v>
          </cell>
          <cell r="B72" t="str">
            <v>ZMTD</v>
          </cell>
          <cell r="C72">
            <v>45509</v>
          </cell>
          <cell r="D72" t="str">
            <v>Not delivered</v>
          </cell>
          <cell r="E72">
            <v>507142599</v>
          </cell>
          <cell r="F72">
            <v>50</v>
          </cell>
          <cell r="G72">
            <v>1154145</v>
          </cell>
          <cell r="H72" t="str">
            <v>LC-003:BTL MT PFBROWN P/PX MOU CSMAX 40H</v>
          </cell>
          <cell r="I72">
            <v>15800</v>
          </cell>
          <cell r="J72" t="str">
            <v>UN</v>
          </cell>
          <cell r="K72">
            <v>45558</v>
          </cell>
        </row>
        <row r="73">
          <cell r="A73" t="str">
            <v>50714244410</v>
          </cell>
          <cell r="B73" t="str">
            <v>ZMTD</v>
          </cell>
          <cell r="C73">
            <v>45476</v>
          </cell>
          <cell r="D73" t="str">
            <v>Partially delivered</v>
          </cell>
          <cell r="E73">
            <v>507142444</v>
          </cell>
          <cell r="F73">
            <v>10</v>
          </cell>
          <cell r="G73">
            <v>1430485</v>
          </cell>
          <cell r="H73" t="str">
            <v>LS-091:CVR GREEN P/BUTTER MATCHA 60C</v>
          </cell>
          <cell r="I73">
            <v>15808</v>
          </cell>
          <cell r="J73" t="str">
            <v>UN</v>
          </cell>
          <cell r="K73">
            <v>45558</v>
          </cell>
        </row>
        <row r="74">
          <cell r="A74" t="str">
            <v>50714244420</v>
          </cell>
          <cell r="B74" t="str">
            <v>ZMTD</v>
          </cell>
          <cell r="C74">
            <v>45476</v>
          </cell>
          <cell r="D74" t="str">
            <v>Partially delivered</v>
          </cell>
          <cell r="E74">
            <v>507142444</v>
          </cell>
          <cell r="F74">
            <v>20</v>
          </cell>
          <cell r="G74">
            <v>1430486</v>
          </cell>
          <cell r="H74" t="str">
            <v>LS-091:BS GREEN P/WHITE MATCHA ROHTO 12A</v>
          </cell>
          <cell r="I74">
            <v>15808</v>
          </cell>
          <cell r="J74" t="str">
            <v>UN</v>
          </cell>
          <cell r="K74">
            <v>45558</v>
          </cell>
        </row>
        <row r="75">
          <cell r="A75" t="str">
            <v>50714240410</v>
          </cell>
          <cell r="B75" t="str">
            <v>ZMTD</v>
          </cell>
          <cell r="C75">
            <v>45470</v>
          </cell>
          <cell r="D75" t="str">
            <v>Partially delivered</v>
          </cell>
          <cell r="E75">
            <v>507142404</v>
          </cell>
          <cell r="F75">
            <v>10</v>
          </cell>
          <cell r="G75">
            <v>1425748</v>
          </cell>
          <cell r="H75" t="str">
            <v>FP-011:COVER DG/HTF ACNEACT RV2 ERHA 40L</v>
          </cell>
          <cell r="I75">
            <v>30000</v>
          </cell>
          <cell r="J75" t="str">
            <v>UN</v>
          </cell>
          <cell r="K75">
            <v>45558</v>
          </cell>
        </row>
        <row r="76">
          <cell r="A76" t="str">
            <v>50714240420</v>
          </cell>
          <cell r="B76" t="str">
            <v>ZMTD</v>
          </cell>
          <cell r="C76">
            <v>45470</v>
          </cell>
          <cell r="D76" t="str">
            <v>Partially delivered</v>
          </cell>
          <cell r="E76">
            <v>507142404</v>
          </cell>
          <cell r="F76">
            <v>20</v>
          </cell>
          <cell r="G76">
            <v>1187674</v>
          </cell>
          <cell r="H76" t="str">
            <v>FP-011:BASE WHITE NO DECO ERHA DERMATO</v>
          </cell>
          <cell r="I76">
            <v>30000</v>
          </cell>
          <cell r="J76" t="str">
            <v>UN</v>
          </cell>
          <cell r="K76">
            <v>45558</v>
          </cell>
        </row>
        <row r="77">
          <cell r="A77" t="str">
            <v>50714240430</v>
          </cell>
          <cell r="B77" t="str">
            <v>ZMTD</v>
          </cell>
          <cell r="C77">
            <v>45470</v>
          </cell>
          <cell r="D77" t="str">
            <v>Partially delivered</v>
          </cell>
          <cell r="E77">
            <v>507142404</v>
          </cell>
          <cell r="F77">
            <v>30</v>
          </cell>
          <cell r="G77">
            <v>1187675</v>
          </cell>
          <cell r="H77" t="str">
            <v>FP-011:SIFTER NAT W/LABEL NO DECO ERHA D</v>
          </cell>
          <cell r="I77">
            <v>30000</v>
          </cell>
          <cell r="J77" t="str">
            <v>UN</v>
          </cell>
          <cell r="K77">
            <v>45558</v>
          </cell>
        </row>
        <row r="78">
          <cell r="A78" t="str">
            <v>50714270210</v>
          </cell>
          <cell r="B78" t="str">
            <v>ZMTD</v>
          </cell>
          <cell r="C78">
            <v>45534</v>
          </cell>
          <cell r="D78" t="str">
            <v>Not delivered</v>
          </cell>
          <cell r="E78">
            <v>507142702</v>
          </cell>
          <cell r="F78">
            <v>10</v>
          </cell>
          <cell r="G78">
            <v>1255656</v>
          </cell>
          <cell r="H78" t="str">
            <v>LC-002:BTL MT VAR6 P/WRDH B.MARK PTI40H</v>
          </cell>
          <cell r="I78">
            <v>25200</v>
          </cell>
          <cell r="J78" t="str">
            <v>UN</v>
          </cell>
          <cell r="K78">
            <v>45559</v>
          </cell>
        </row>
        <row r="79">
          <cell r="A79" t="str">
            <v>50714270220</v>
          </cell>
          <cell r="B79" t="str">
            <v>ZMTD</v>
          </cell>
          <cell r="C79">
            <v>45534</v>
          </cell>
          <cell r="D79" t="str">
            <v>Not delivered</v>
          </cell>
          <cell r="E79">
            <v>507142702</v>
          </cell>
          <cell r="F79">
            <v>20</v>
          </cell>
          <cell r="G79">
            <v>1264018</v>
          </cell>
          <cell r="H79" t="str">
            <v>LC-002:CAP S/MTVAR6 STM-WHT WPNAT PTI40D</v>
          </cell>
          <cell r="I79">
            <v>25200</v>
          </cell>
          <cell r="J79" t="str">
            <v>UN</v>
          </cell>
          <cell r="K79">
            <v>45559</v>
          </cell>
        </row>
        <row r="80">
          <cell r="A80" t="str">
            <v>50714265040</v>
          </cell>
          <cell r="B80" t="str">
            <v>ZMTD</v>
          </cell>
          <cell r="C80">
            <v>45523</v>
          </cell>
          <cell r="D80" t="str">
            <v>Partially delivered</v>
          </cell>
          <cell r="E80">
            <v>507142650</v>
          </cell>
          <cell r="F80">
            <v>40</v>
          </cell>
          <cell r="G80">
            <v>1430093</v>
          </cell>
          <cell r="H80" t="str">
            <v>LS-285:CV MT.TR BLUE P/SHERCLEAR PTI 40H</v>
          </cell>
          <cell r="I80">
            <v>93632</v>
          </cell>
          <cell r="J80" t="str">
            <v>UN</v>
          </cell>
          <cell r="K80">
            <v>45559</v>
          </cell>
        </row>
        <row r="81">
          <cell r="A81" t="str">
            <v>50714259960</v>
          </cell>
          <cell r="B81" t="str">
            <v>ZMTD</v>
          </cell>
          <cell r="C81">
            <v>45509</v>
          </cell>
          <cell r="D81" t="str">
            <v>Not delivered</v>
          </cell>
          <cell r="E81">
            <v>507142599</v>
          </cell>
          <cell r="F81">
            <v>60</v>
          </cell>
          <cell r="G81">
            <v>1154146</v>
          </cell>
          <cell r="H81" t="str">
            <v>LC-003:CAP MT PF BROWN PX MOU CSMAX 40D</v>
          </cell>
          <cell r="I81">
            <v>15800</v>
          </cell>
          <cell r="J81" t="str">
            <v>UN</v>
          </cell>
          <cell r="K81">
            <v>45559</v>
          </cell>
        </row>
        <row r="82">
          <cell r="A82" t="str">
            <v>50714222910</v>
          </cell>
          <cell r="B82" t="str">
            <v>ZMTD</v>
          </cell>
          <cell r="C82">
            <v>45436</v>
          </cell>
          <cell r="D82" t="str">
            <v>Partially delivered</v>
          </cell>
          <cell r="E82">
            <v>507142229</v>
          </cell>
          <cell r="F82">
            <v>10</v>
          </cell>
          <cell r="G82">
            <v>1331787</v>
          </cell>
          <cell r="H82" t="str">
            <v>CM-216:TRUE MATCH BLUSH W/O BRUSH LOR US</v>
          </cell>
          <cell r="I82">
            <v>159400</v>
          </cell>
          <cell r="J82" t="str">
            <v>UN</v>
          </cell>
          <cell r="K82">
            <v>45559</v>
          </cell>
        </row>
        <row r="83">
          <cell r="A83" t="str">
            <v>50714276510</v>
          </cell>
          <cell r="B83" t="str">
            <v>ZMTD</v>
          </cell>
          <cell r="C83">
            <v>45552</v>
          </cell>
          <cell r="D83" t="str">
            <v>Not delivered</v>
          </cell>
          <cell r="E83">
            <v>507142765</v>
          </cell>
          <cell r="F83">
            <v>10</v>
          </cell>
          <cell r="G83">
            <v>1398383</v>
          </cell>
          <cell r="H83" t="str">
            <v>CM-319:WHITE P/BLACK UV MATTE NARS</v>
          </cell>
          <cell r="I83">
            <v>10080</v>
          </cell>
          <cell r="J83" t="str">
            <v>UN</v>
          </cell>
          <cell r="K83">
            <v>45560</v>
          </cell>
        </row>
        <row r="84">
          <cell r="A84" t="str">
            <v>50714276610</v>
          </cell>
          <cell r="B84" t="str">
            <v>ZMTD</v>
          </cell>
          <cell r="C84">
            <v>45552</v>
          </cell>
          <cell r="D84" t="str">
            <v>Not delivered</v>
          </cell>
          <cell r="E84">
            <v>507142766</v>
          </cell>
          <cell r="F84">
            <v>10</v>
          </cell>
          <cell r="G84">
            <v>1398763</v>
          </cell>
          <cell r="H84" t="str">
            <v>CM-320:WHITE S/BLACK UV MATTE NARS</v>
          </cell>
          <cell r="I84">
            <v>10260</v>
          </cell>
          <cell r="J84" t="str">
            <v>UN</v>
          </cell>
          <cell r="K84">
            <v>45560</v>
          </cell>
        </row>
        <row r="85">
          <cell r="A85" t="str">
            <v>50714263850</v>
          </cell>
          <cell r="B85" t="str">
            <v>ZMTD</v>
          </cell>
          <cell r="C85">
            <v>45519</v>
          </cell>
          <cell r="D85" t="str">
            <v>Partially delivered</v>
          </cell>
          <cell r="E85">
            <v>507142638</v>
          </cell>
          <cell r="F85">
            <v>50</v>
          </cell>
          <cell r="G85">
            <v>1361170</v>
          </cell>
          <cell r="H85" t="str">
            <v>PT-097:BODY BLACK HOUSE WHT TRANS PTI12A</v>
          </cell>
          <cell r="I85">
            <v>109890</v>
          </cell>
          <cell r="J85" t="str">
            <v>UN</v>
          </cell>
          <cell r="K85">
            <v>45560</v>
          </cell>
        </row>
        <row r="86">
          <cell r="A86" t="str">
            <v>50714263860</v>
          </cell>
          <cell r="B86" t="str">
            <v>ZMTD</v>
          </cell>
          <cell r="C86">
            <v>45519</v>
          </cell>
          <cell r="D86" t="str">
            <v>Partially delivered</v>
          </cell>
          <cell r="E86">
            <v>507142638</v>
          </cell>
          <cell r="F86">
            <v>60</v>
          </cell>
          <cell r="G86">
            <v>1361175</v>
          </cell>
          <cell r="H86" t="str">
            <v>PT-097:CAP BLACK TRANS PTI 12A</v>
          </cell>
          <cell r="I86">
            <v>109890</v>
          </cell>
          <cell r="J86" t="str">
            <v>UN</v>
          </cell>
          <cell r="K86">
            <v>45560</v>
          </cell>
        </row>
        <row r="87">
          <cell r="A87" t="str">
            <v>50714250010</v>
          </cell>
          <cell r="B87" t="str">
            <v>ZMTD</v>
          </cell>
          <cell r="C87">
            <v>45485</v>
          </cell>
          <cell r="D87" t="str">
            <v>Not delivered</v>
          </cell>
          <cell r="E87">
            <v>507142500</v>
          </cell>
          <cell r="F87">
            <v>10</v>
          </cell>
          <cell r="G87">
            <v>1216572</v>
          </cell>
          <cell r="H87" t="str">
            <v>CM-216:TRUE MATCH CV PF S/SLV LOR (SEA)</v>
          </cell>
          <cell r="I87">
            <v>64800</v>
          </cell>
          <cell r="J87" t="str">
            <v>UN</v>
          </cell>
          <cell r="K87">
            <v>45560</v>
          </cell>
        </row>
        <row r="88">
          <cell r="A88" t="str">
            <v>50714241720</v>
          </cell>
          <cell r="B88" t="str">
            <v>ZMTD</v>
          </cell>
          <cell r="C88">
            <v>45474</v>
          </cell>
          <cell r="D88" t="str">
            <v>Not delivered</v>
          </cell>
          <cell r="E88">
            <v>507142417</v>
          </cell>
          <cell r="F88">
            <v>20</v>
          </cell>
          <cell r="G88">
            <v>1405657</v>
          </cell>
          <cell r="H88" t="str">
            <v>CM-273:CV UV BS BRONZE P/PIXYSLKY RV130L</v>
          </cell>
          <cell r="I88">
            <v>10000</v>
          </cell>
          <cell r="J88" t="str">
            <v>UN</v>
          </cell>
          <cell r="K88">
            <v>45560</v>
          </cell>
        </row>
        <row r="89">
          <cell r="A89" t="str">
            <v>50714262520</v>
          </cell>
          <cell r="B89" t="str">
            <v>ZMTD</v>
          </cell>
          <cell r="C89">
            <v>45513</v>
          </cell>
          <cell r="D89" t="str">
            <v>Not delivered</v>
          </cell>
          <cell r="E89">
            <v>507142625</v>
          </cell>
          <cell r="F89">
            <v>20</v>
          </cell>
          <cell r="G89">
            <v>1305089</v>
          </cell>
          <cell r="H89" t="str">
            <v>CM-207:VM SHY SLV P/MATTE ZGH6010038 EL</v>
          </cell>
          <cell r="I89">
            <v>25920</v>
          </cell>
          <cell r="J89" t="str">
            <v>UN</v>
          </cell>
          <cell r="K89">
            <v>45561</v>
          </cell>
        </row>
        <row r="90">
          <cell r="A90" t="str">
            <v>50714256530</v>
          </cell>
          <cell r="B90" t="str">
            <v>ZMTD</v>
          </cell>
          <cell r="C90">
            <v>45497</v>
          </cell>
          <cell r="D90" t="str">
            <v>Not delivered</v>
          </cell>
          <cell r="E90">
            <v>507142565</v>
          </cell>
          <cell r="F90">
            <v>30</v>
          </cell>
          <cell r="G90">
            <v>1313073</v>
          </cell>
          <cell r="H90" t="str">
            <v>PT-055:PLUG BEIGE CASHMERE INTERPARFUM</v>
          </cell>
          <cell r="I90">
            <v>78570</v>
          </cell>
          <cell r="J90" t="str">
            <v>UN</v>
          </cell>
          <cell r="K90">
            <v>45561</v>
          </cell>
        </row>
        <row r="91">
          <cell r="A91" t="str">
            <v>50714256610</v>
          </cell>
          <cell r="B91" t="str">
            <v>ZMTD</v>
          </cell>
          <cell r="C91">
            <v>45497</v>
          </cell>
          <cell r="D91" t="str">
            <v>Not delivered</v>
          </cell>
          <cell r="E91">
            <v>507142566</v>
          </cell>
          <cell r="F91">
            <v>10</v>
          </cell>
          <cell r="G91">
            <v>1428697</v>
          </cell>
          <cell r="H91" t="str">
            <v>PT-055:BD DK ANTI-PERS 94025-BS3 INTPRF</v>
          </cell>
          <cell r="I91">
            <v>20385</v>
          </cell>
          <cell r="J91" t="str">
            <v>UN</v>
          </cell>
          <cell r="K91">
            <v>45561</v>
          </cell>
        </row>
        <row r="92">
          <cell r="A92" t="str">
            <v>50714256720</v>
          </cell>
          <cell r="B92" t="str">
            <v>ZMTD</v>
          </cell>
          <cell r="C92">
            <v>45497</v>
          </cell>
          <cell r="D92" t="str">
            <v>Not delivered</v>
          </cell>
          <cell r="E92">
            <v>507142567</v>
          </cell>
          <cell r="F92">
            <v>20</v>
          </cell>
          <cell r="G92">
            <v>1313073</v>
          </cell>
          <cell r="H92" t="str">
            <v>PT-055:PLUG BEIGE CASHMERE INTERPARFUM</v>
          </cell>
          <cell r="I92">
            <v>16200</v>
          </cell>
          <cell r="J92" t="str">
            <v>UN</v>
          </cell>
          <cell r="K92">
            <v>45561</v>
          </cell>
        </row>
        <row r="93">
          <cell r="A93" t="str">
            <v>50714256730</v>
          </cell>
          <cell r="B93" t="str">
            <v>ZMTD</v>
          </cell>
          <cell r="C93">
            <v>45497</v>
          </cell>
          <cell r="D93" t="str">
            <v>Not delivered</v>
          </cell>
          <cell r="E93">
            <v>507142567</v>
          </cell>
          <cell r="F93">
            <v>30</v>
          </cell>
          <cell r="G93">
            <v>1432260</v>
          </cell>
          <cell r="H93" t="str">
            <v>PT-055:BD BEIGE 94440-BS INTERPARFUM</v>
          </cell>
          <cell r="I93">
            <v>15390</v>
          </cell>
          <cell r="J93" t="str">
            <v>UN</v>
          </cell>
          <cell r="K93">
            <v>45561</v>
          </cell>
        </row>
        <row r="94">
          <cell r="A94" t="str">
            <v>50714276620</v>
          </cell>
          <cell r="B94" t="str">
            <v>ZMTD</v>
          </cell>
          <cell r="C94">
            <v>45552</v>
          </cell>
          <cell r="D94" t="str">
            <v>Not delivered</v>
          </cell>
          <cell r="E94">
            <v>507142766</v>
          </cell>
          <cell r="F94">
            <v>20</v>
          </cell>
          <cell r="G94">
            <v>1398763</v>
          </cell>
          <cell r="H94" t="str">
            <v>CM-320:WHITE S/BLACK UV MATTE NARS</v>
          </cell>
          <cell r="I94">
            <v>20520</v>
          </cell>
          <cell r="J94" t="str">
            <v>UN</v>
          </cell>
          <cell r="K94">
            <v>45562</v>
          </cell>
        </row>
        <row r="95">
          <cell r="A95" t="str">
            <v>50714255810</v>
          </cell>
          <cell r="B95" t="str">
            <v>ZMTD</v>
          </cell>
          <cell r="C95">
            <v>45496</v>
          </cell>
          <cell r="D95" t="str">
            <v>Not delivered</v>
          </cell>
          <cell r="E95">
            <v>507142558</v>
          </cell>
          <cell r="F95">
            <v>10</v>
          </cell>
          <cell r="G95">
            <v>1209519</v>
          </cell>
          <cell r="H95" t="str">
            <v>LS-086:BS IVORY NO DC N.CUP MAYB BULK</v>
          </cell>
          <cell r="I95">
            <v>60000</v>
          </cell>
          <cell r="J95" t="str">
            <v>UN</v>
          </cell>
          <cell r="K95">
            <v>45562</v>
          </cell>
        </row>
        <row r="96">
          <cell r="A96" t="str">
            <v>50714255910</v>
          </cell>
          <cell r="B96" t="str">
            <v>ZMTD</v>
          </cell>
          <cell r="C96">
            <v>45496</v>
          </cell>
          <cell r="D96" t="str">
            <v>Not delivered</v>
          </cell>
          <cell r="E96">
            <v>507142559</v>
          </cell>
          <cell r="F96">
            <v>10</v>
          </cell>
          <cell r="G96">
            <v>1218709</v>
          </cell>
          <cell r="H96" t="str">
            <v>LS-086:CVR CLR CVRSTICK DC4 N.MOLD MAYB</v>
          </cell>
          <cell r="I96">
            <v>50400</v>
          </cell>
          <cell r="J96" t="str">
            <v>UN</v>
          </cell>
          <cell r="K96">
            <v>45562</v>
          </cell>
        </row>
        <row r="97">
          <cell r="A97" t="str">
            <v>50900099910</v>
          </cell>
          <cell r="B97" t="str">
            <v>ZMRX</v>
          </cell>
          <cell r="C97">
            <v>45560</v>
          </cell>
          <cell r="D97" t="str">
            <v>Not delivered</v>
          </cell>
          <cell r="E97">
            <v>509000999</v>
          </cell>
          <cell r="F97">
            <v>10</v>
          </cell>
          <cell r="G97">
            <v>1169047</v>
          </cell>
          <cell r="H97" t="str">
            <v>LS-285:B V/SL P/1PS SLEV H/SL BLM PTI20R</v>
          </cell>
          <cell r="I97">
            <v>11704</v>
          </cell>
          <cell r="J97" t="str">
            <v>UN</v>
          </cell>
          <cell r="K97">
            <v>45565</v>
          </cell>
        </row>
        <row r="98">
          <cell r="A98" t="str">
            <v>50900099920</v>
          </cell>
          <cell r="B98" t="str">
            <v>ZMRX</v>
          </cell>
          <cell r="C98">
            <v>45560</v>
          </cell>
          <cell r="D98" t="str">
            <v>Not delivered</v>
          </cell>
          <cell r="E98">
            <v>509000999</v>
          </cell>
          <cell r="F98">
            <v>20</v>
          </cell>
          <cell r="G98">
            <v>1171160</v>
          </cell>
          <cell r="H98" t="str">
            <v>LS-285:CV TRANS LONG 9 P/1PS VAR7 PTI40H</v>
          </cell>
          <cell r="I98">
            <v>11704</v>
          </cell>
          <cell r="J98" t="str">
            <v>UN</v>
          </cell>
          <cell r="K98">
            <v>45565</v>
          </cell>
        </row>
        <row r="99">
          <cell r="A99" t="str">
            <v>50900100010</v>
          </cell>
          <cell r="B99" t="str">
            <v>ZMRX</v>
          </cell>
          <cell r="C99">
            <v>45560</v>
          </cell>
          <cell r="D99" t="str">
            <v>Not delivered</v>
          </cell>
          <cell r="E99">
            <v>509001000</v>
          </cell>
          <cell r="F99">
            <v>10</v>
          </cell>
          <cell r="G99">
            <v>1375593</v>
          </cell>
          <cell r="H99" t="str">
            <v>LC-009:CAP REDTRANS WIP S/OMG PTIPT 60B</v>
          </cell>
          <cell r="I99">
            <v>630</v>
          </cell>
          <cell r="J99" t="str">
            <v>UN</v>
          </cell>
          <cell r="K99">
            <v>45565</v>
          </cell>
        </row>
        <row r="100">
          <cell r="A100" t="str">
            <v>50714271110</v>
          </cell>
          <cell r="B100" t="str">
            <v>ZMTD</v>
          </cell>
          <cell r="C100">
            <v>45534</v>
          </cell>
          <cell r="D100" t="str">
            <v>Not delivered</v>
          </cell>
          <cell r="E100">
            <v>507142711</v>
          </cell>
          <cell r="F100">
            <v>10</v>
          </cell>
          <cell r="G100">
            <v>1313402</v>
          </cell>
          <cell r="H100" t="str">
            <v>LC-004:BTL COL MTGRAD P/SWETBRWN MLA40H</v>
          </cell>
          <cell r="I100">
            <v>32700</v>
          </cell>
          <cell r="J100" t="str">
            <v>UN</v>
          </cell>
          <cell r="K100">
            <v>45565</v>
          </cell>
        </row>
        <row r="101">
          <cell r="A101" t="str">
            <v>50714271120</v>
          </cell>
          <cell r="B101" t="str">
            <v>ZMTD</v>
          </cell>
          <cell r="C101">
            <v>45534</v>
          </cell>
          <cell r="D101" t="str">
            <v>Not delivered</v>
          </cell>
          <cell r="E101">
            <v>507142711</v>
          </cell>
          <cell r="F101">
            <v>20</v>
          </cell>
          <cell r="G101">
            <v>1313403</v>
          </cell>
          <cell r="H101" t="str">
            <v>LC-004:CAP MTBRWN WIPNAT SWETBRWN MLA40D</v>
          </cell>
          <cell r="I101">
            <v>32700</v>
          </cell>
          <cell r="J101" t="str">
            <v>UN</v>
          </cell>
          <cell r="K101">
            <v>45565</v>
          </cell>
        </row>
        <row r="102">
          <cell r="A102" t="str">
            <v>50714264710</v>
          </cell>
          <cell r="B102" t="str">
            <v>ZMTD</v>
          </cell>
          <cell r="C102">
            <v>45523</v>
          </cell>
          <cell r="D102" t="str">
            <v>Partially delivered</v>
          </cell>
          <cell r="E102">
            <v>507142647</v>
          </cell>
          <cell r="F102">
            <v>10</v>
          </cell>
          <cell r="G102">
            <v>1168132</v>
          </cell>
          <cell r="H102" t="str">
            <v>LS-285:BS WHT NO DC WARDAH</v>
          </cell>
          <cell r="I102">
            <v>53200</v>
          </cell>
          <cell r="J102" t="str">
            <v>UN</v>
          </cell>
          <cell r="K102">
            <v>45565</v>
          </cell>
        </row>
        <row r="103">
          <cell r="A103" t="str">
            <v>50714264720</v>
          </cell>
          <cell r="B103" t="str">
            <v>ZMTD</v>
          </cell>
          <cell r="C103">
            <v>45523</v>
          </cell>
          <cell r="D103" t="str">
            <v>Partially delivered</v>
          </cell>
          <cell r="E103">
            <v>507142647</v>
          </cell>
          <cell r="F103">
            <v>20</v>
          </cell>
          <cell r="G103">
            <v>1421418</v>
          </cell>
          <cell r="H103" t="str">
            <v>LS-285:CV RED P/WHT UV STRAWBERY PTI 30O</v>
          </cell>
          <cell r="I103">
            <v>53200</v>
          </cell>
          <cell r="J103" t="str">
            <v>UN</v>
          </cell>
          <cell r="K103">
            <v>45565</v>
          </cell>
        </row>
        <row r="104">
          <cell r="A104" t="str">
            <v>50714264210</v>
          </cell>
          <cell r="B104" t="str">
            <v>ZMTD</v>
          </cell>
          <cell r="C104">
            <v>45520</v>
          </cell>
          <cell r="D104" t="str">
            <v>Not delivered</v>
          </cell>
          <cell r="E104">
            <v>507142642</v>
          </cell>
          <cell r="F104">
            <v>10</v>
          </cell>
          <cell r="G104">
            <v>1434087</v>
          </cell>
          <cell r="H104" t="str">
            <v>LC-002:CAP MT PINK NODC NACIFIC CSMX 40D</v>
          </cell>
          <cell r="I104">
            <v>15246</v>
          </cell>
          <cell r="J104" t="str">
            <v>UN</v>
          </cell>
          <cell r="K104">
            <v>45565</v>
          </cell>
        </row>
        <row r="105">
          <cell r="A105" t="str">
            <v>50714264220</v>
          </cell>
          <cell r="B105" t="str">
            <v>ZMTD</v>
          </cell>
          <cell r="C105">
            <v>45520</v>
          </cell>
          <cell r="D105" t="str">
            <v>Not delivered</v>
          </cell>
          <cell r="E105">
            <v>507142642</v>
          </cell>
          <cell r="F105">
            <v>20</v>
          </cell>
          <cell r="G105">
            <v>1434088</v>
          </cell>
          <cell r="H105" t="str">
            <v>LC-002:BTL/COL MTPINK P/NACIFIC CSMX 40H</v>
          </cell>
          <cell r="I105">
            <v>15246</v>
          </cell>
          <cell r="J105" t="str">
            <v>UN</v>
          </cell>
          <cell r="K105">
            <v>45565</v>
          </cell>
        </row>
        <row r="106">
          <cell r="A106" t="str">
            <v>50714241730</v>
          </cell>
          <cell r="B106" t="str">
            <v>ZMTD</v>
          </cell>
          <cell r="C106">
            <v>45474</v>
          </cell>
          <cell r="D106" t="str">
            <v>Not delivered</v>
          </cell>
          <cell r="E106">
            <v>507142417</v>
          </cell>
          <cell r="F106">
            <v>30</v>
          </cell>
          <cell r="G106">
            <v>1405657</v>
          </cell>
          <cell r="H106" t="str">
            <v>CM-273:CV UV BS BRONZE P/PIXYSLKY RV130L</v>
          </cell>
          <cell r="I106">
            <v>10000</v>
          </cell>
          <cell r="J106" t="str">
            <v>UN</v>
          </cell>
          <cell r="K106">
            <v>45565</v>
          </cell>
        </row>
        <row r="107">
          <cell r="A107" t="str">
            <v>50714241510</v>
          </cell>
          <cell r="B107" t="str">
            <v>ZMTD</v>
          </cell>
          <cell r="C107">
            <v>45471</v>
          </cell>
          <cell r="D107" t="str">
            <v>Partially delivered</v>
          </cell>
          <cell r="E107">
            <v>507142415</v>
          </cell>
          <cell r="F107">
            <v>10</v>
          </cell>
          <cell r="G107">
            <v>1333579</v>
          </cell>
          <cell r="H107" t="str">
            <v>CM-306:COTY BURBERRY COMPACT NEW VM GLD</v>
          </cell>
          <cell r="I107">
            <v>30096</v>
          </cell>
          <cell r="J107" t="str">
            <v>UN</v>
          </cell>
          <cell r="K107">
            <v>45565</v>
          </cell>
        </row>
        <row r="108">
          <cell r="A108" t="str">
            <v>50714227010</v>
          </cell>
          <cell r="B108" t="str">
            <v>ZMTD</v>
          </cell>
          <cell r="C108">
            <v>45443</v>
          </cell>
          <cell r="D108" t="str">
            <v>Not delivered</v>
          </cell>
          <cell r="E108">
            <v>507142270</v>
          </cell>
          <cell r="F108">
            <v>10</v>
          </cell>
          <cell r="G108">
            <v>1187758</v>
          </cell>
          <cell r="H108" t="str">
            <v>CM-105:VM RAINBOW P/ULTIMA II RUDYS 40C</v>
          </cell>
          <cell r="I108">
            <v>5000</v>
          </cell>
          <cell r="J108" t="str">
            <v>UN</v>
          </cell>
          <cell r="K108">
            <v>45565</v>
          </cell>
        </row>
        <row r="109">
          <cell r="A109" t="str">
            <v>50714227020</v>
          </cell>
          <cell r="B109" t="str">
            <v>ZMTD</v>
          </cell>
          <cell r="C109">
            <v>45443</v>
          </cell>
          <cell r="D109" t="str">
            <v>Not delivered</v>
          </cell>
          <cell r="E109">
            <v>507142270</v>
          </cell>
          <cell r="F109">
            <v>20</v>
          </cell>
          <cell r="G109">
            <v>1187758</v>
          </cell>
          <cell r="H109" t="str">
            <v>CM-105:VM RAINBOW P/ULTIMA II RUDYS 40C</v>
          </cell>
          <cell r="I109">
            <v>15000</v>
          </cell>
          <cell r="J109" t="str">
            <v>UN</v>
          </cell>
          <cell r="K109">
            <v>45565</v>
          </cell>
        </row>
        <row r="110">
          <cell r="A110" t="str">
            <v>50800529010</v>
          </cell>
          <cell r="B110" t="str">
            <v>ZMFD</v>
          </cell>
          <cell r="C110">
            <v>45559</v>
          </cell>
          <cell r="D110" t="str">
            <v>Not delivered</v>
          </cell>
          <cell r="E110">
            <v>508005290</v>
          </cell>
          <cell r="F110">
            <v>10</v>
          </cell>
          <cell r="G110">
            <v>1392670</v>
          </cell>
          <cell r="H110" t="str">
            <v>LC-011:CAP BLK NO DC WIPNAT NATURA 12A</v>
          </cell>
          <cell r="I110">
            <v>372</v>
          </cell>
          <cell r="J110" t="str">
            <v>UN</v>
          </cell>
          <cell r="K110">
            <v>45566</v>
          </cell>
        </row>
        <row r="111">
          <cell r="A111" t="str">
            <v>50800529020</v>
          </cell>
          <cell r="B111" t="str">
            <v>ZMFD</v>
          </cell>
          <cell r="C111">
            <v>45559</v>
          </cell>
          <cell r="D111" t="str">
            <v>Not delivered</v>
          </cell>
          <cell r="E111">
            <v>508005290</v>
          </cell>
          <cell r="F111">
            <v>20</v>
          </cell>
          <cell r="G111">
            <v>1392671</v>
          </cell>
          <cell r="H111" t="str">
            <v>LC-011:BTL CLR COL BLK S/SLV NATURA 50C</v>
          </cell>
          <cell r="I111">
            <v>372</v>
          </cell>
          <cell r="J111" t="str">
            <v>UN</v>
          </cell>
          <cell r="K111">
            <v>45566</v>
          </cell>
        </row>
        <row r="112">
          <cell r="A112" t="str">
            <v>50714275650</v>
          </cell>
          <cell r="B112" t="str">
            <v>ZMTD</v>
          </cell>
          <cell r="C112">
            <v>45547</v>
          </cell>
          <cell r="D112" t="str">
            <v>Not delivered</v>
          </cell>
          <cell r="E112">
            <v>507142756</v>
          </cell>
          <cell r="F112">
            <v>50</v>
          </cell>
          <cell r="G112">
            <v>1411899</v>
          </cell>
          <cell r="H112" t="str">
            <v>PT-100:BS/INS GREEN P/WHT KAHF PTI 60B</v>
          </cell>
          <cell r="I112">
            <v>20224</v>
          </cell>
          <cell r="J112" t="str">
            <v>UN</v>
          </cell>
          <cell r="K112">
            <v>45566</v>
          </cell>
        </row>
        <row r="113">
          <cell r="A113" t="str">
            <v>50714275660</v>
          </cell>
          <cell r="B113" t="str">
            <v>ZMTD</v>
          </cell>
          <cell r="C113">
            <v>45547</v>
          </cell>
          <cell r="D113" t="str">
            <v>Not delivered</v>
          </cell>
          <cell r="E113">
            <v>507142756</v>
          </cell>
          <cell r="F113">
            <v>60</v>
          </cell>
          <cell r="G113">
            <v>1411898</v>
          </cell>
          <cell r="H113" t="str">
            <v>PT-100:CVR MT.GREEN EMBOS KAHF PTI 40D</v>
          </cell>
          <cell r="I113">
            <v>20224</v>
          </cell>
          <cell r="J113" t="str">
            <v>UN</v>
          </cell>
          <cell r="K113">
            <v>45566</v>
          </cell>
        </row>
        <row r="114">
          <cell r="A114" t="str">
            <v>50714272180</v>
          </cell>
          <cell r="B114" t="str">
            <v>ZMTD</v>
          </cell>
          <cell r="C114">
            <v>45539</v>
          </cell>
          <cell r="D114" t="str">
            <v>Partially delivered</v>
          </cell>
          <cell r="E114">
            <v>507142721</v>
          </cell>
          <cell r="F114">
            <v>80</v>
          </cell>
          <cell r="G114">
            <v>1437140</v>
          </cell>
          <cell r="H114" t="str">
            <v>CM-290:ENGINE CV RED, BS BLK OMG PTI 12A</v>
          </cell>
          <cell r="I114">
            <v>21840</v>
          </cell>
          <cell r="J114" t="str">
            <v>UN</v>
          </cell>
          <cell r="K114">
            <v>45566</v>
          </cell>
        </row>
        <row r="115">
          <cell r="A115" t="str">
            <v>50714269620</v>
          </cell>
          <cell r="B115" t="str">
            <v>ZMTD</v>
          </cell>
          <cell r="C115">
            <v>45533</v>
          </cell>
          <cell r="D115" t="str">
            <v>Not delivered</v>
          </cell>
          <cell r="E115">
            <v>507142696</v>
          </cell>
          <cell r="F115">
            <v>20</v>
          </cell>
          <cell r="G115">
            <v>1340516</v>
          </cell>
          <cell r="H115" t="str">
            <v>CM-133:CVR BS MTLC GRN UV DP S/WARDH 30T</v>
          </cell>
          <cell r="I115">
            <v>10080</v>
          </cell>
          <cell r="J115" t="str">
            <v>UN</v>
          </cell>
          <cell r="K115">
            <v>45566</v>
          </cell>
        </row>
        <row r="116">
          <cell r="A116" t="str">
            <v>50714263610</v>
          </cell>
          <cell r="B116" t="str">
            <v>ZMTD</v>
          </cell>
          <cell r="C116">
            <v>45518</v>
          </cell>
          <cell r="D116" t="str">
            <v>Partially delivered</v>
          </cell>
          <cell r="E116">
            <v>507142636</v>
          </cell>
          <cell r="F116">
            <v>10</v>
          </cell>
          <cell r="G116">
            <v>1437046</v>
          </cell>
          <cell r="H116" t="str">
            <v>PT-085:BS MTGRN CV BRWNPLZ P/HNI HRBA40H</v>
          </cell>
          <cell r="I116">
            <v>50000</v>
          </cell>
          <cell r="J116" t="str">
            <v>UN</v>
          </cell>
          <cell r="K116">
            <v>45566</v>
          </cell>
        </row>
        <row r="117">
          <cell r="A117" t="str">
            <v>50714250810</v>
          </cell>
          <cell r="B117" t="str">
            <v>ZMTD</v>
          </cell>
          <cell r="C117">
            <v>45488</v>
          </cell>
          <cell r="D117" t="str">
            <v>Not delivered</v>
          </cell>
          <cell r="E117">
            <v>507142508</v>
          </cell>
          <cell r="F117">
            <v>10</v>
          </cell>
          <cell r="G117">
            <v>1255663</v>
          </cell>
          <cell r="H117" t="str">
            <v>LC-002:BTL MT VAR13 P/WRDH B.MARK PTI40H</v>
          </cell>
          <cell r="I117">
            <v>25200</v>
          </cell>
          <cell r="J117" t="str">
            <v>UN</v>
          </cell>
          <cell r="K117">
            <v>45566</v>
          </cell>
        </row>
        <row r="118">
          <cell r="A118" t="str">
            <v>50714250820</v>
          </cell>
          <cell r="B118" t="str">
            <v>ZMTD</v>
          </cell>
          <cell r="C118">
            <v>45488</v>
          </cell>
          <cell r="D118" t="str">
            <v>Not delivered</v>
          </cell>
          <cell r="E118">
            <v>507142508</v>
          </cell>
          <cell r="F118">
            <v>20</v>
          </cell>
          <cell r="G118">
            <v>1173170</v>
          </cell>
          <cell r="H118" t="str">
            <v>LC-002:CP S/MT VAR13 STM-WHT WNAT PTI40D</v>
          </cell>
          <cell r="I118">
            <v>25200</v>
          </cell>
          <cell r="J118" t="str">
            <v>UN</v>
          </cell>
          <cell r="K118">
            <v>45566</v>
          </cell>
        </row>
        <row r="119">
          <cell r="A119" t="str">
            <v>50714248610</v>
          </cell>
          <cell r="B119" t="str">
            <v>ZMTD</v>
          </cell>
          <cell r="C119">
            <v>45484</v>
          </cell>
          <cell r="D119" t="str">
            <v>Not delivered</v>
          </cell>
          <cell r="E119">
            <v>507142486</v>
          </cell>
          <cell r="F119">
            <v>10</v>
          </cell>
          <cell r="G119">
            <v>1225724</v>
          </cell>
          <cell r="H119" t="str">
            <v>CL-003:BTL CLR COL BEIGE P/EMINA PTI 60B</v>
          </cell>
          <cell r="I119">
            <v>25641</v>
          </cell>
          <cell r="J119" t="str">
            <v>UN</v>
          </cell>
          <cell r="K119">
            <v>45566</v>
          </cell>
        </row>
        <row r="120">
          <cell r="A120" t="str">
            <v>50714248620</v>
          </cell>
          <cell r="B120" t="str">
            <v>ZMTD</v>
          </cell>
          <cell r="C120">
            <v>45484</v>
          </cell>
          <cell r="D120" t="str">
            <v>Not delivered</v>
          </cell>
          <cell r="E120">
            <v>507142486</v>
          </cell>
          <cell r="F120">
            <v>20</v>
          </cell>
          <cell r="G120">
            <v>1225723</v>
          </cell>
          <cell r="H120" t="str">
            <v>CL-003:CAP BEIGE P/EMINA WIP NAT PTI 60B</v>
          </cell>
          <cell r="I120">
            <v>25641</v>
          </cell>
          <cell r="J120" t="str">
            <v>UN</v>
          </cell>
          <cell r="K120">
            <v>45566</v>
          </cell>
        </row>
        <row r="121">
          <cell r="A121" t="str">
            <v>50714234510</v>
          </cell>
          <cell r="B121" t="str">
            <v>ZMTD</v>
          </cell>
          <cell r="C121">
            <v>45462</v>
          </cell>
          <cell r="D121" t="str">
            <v>Not delivered</v>
          </cell>
          <cell r="E121">
            <v>507142345</v>
          </cell>
          <cell r="F121">
            <v>10</v>
          </cell>
          <cell r="G121">
            <v>1418416</v>
          </cell>
          <cell r="H121" t="str">
            <v>FP-010:WHITE BASE S/LIST SILVR NATASHA</v>
          </cell>
          <cell r="I121">
            <v>10000</v>
          </cell>
          <cell r="J121" t="str">
            <v>UN</v>
          </cell>
          <cell r="K121">
            <v>45566</v>
          </cell>
        </row>
        <row r="122">
          <cell r="A122" t="str">
            <v>50714232810</v>
          </cell>
          <cell r="B122" t="str">
            <v>ZMTD</v>
          </cell>
          <cell r="C122">
            <v>45457</v>
          </cell>
          <cell r="D122" t="str">
            <v>Partially delivered</v>
          </cell>
          <cell r="E122">
            <v>507142328</v>
          </cell>
          <cell r="F122">
            <v>10</v>
          </cell>
          <cell r="G122">
            <v>1212608</v>
          </cell>
          <cell r="H122" t="str">
            <v>FP-014:CVR BLUE S/LOGO INEZ GOLD KSI 50C</v>
          </cell>
          <cell r="I122">
            <v>25000</v>
          </cell>
          <cell r="J122" t="str">
            <v>UN</v>
          </cell>
          <cell r="K122">
            <v>45566</v>
          </cell>
        </row>
        <row r="123">
          <cell r="A123" t="str">
            <v>50714232820</v>
          </cell>
          <cell r="B123" t="str">
            <v>ZMTD</v>
          </cell>
          <cell r="C123">
            <v>45457</v>
          </cell>
          <cell r="D123" t="str">
            <v>Partially delivered</v>
          </cell>
          <cell r="E123">
            <v>507142328</v>
          </cell>
          <cell r="F123">
            <v>20</v>
          </cell>
          <cell r="G123">
            <v>1212609</v>
          </cell>
          <cell r="H123" t="str">
            <v>FP-014:SFTR NAT STICKER TRANS KSI 12A</v>
          </cell>
          <cell r="I123">
            <v>25000</v>
          </cell>
          <cell r="J123" t="str">
            <v>UN</v>
          </cell>
          <cell r="K123">
            <v>45566</v>
          </cell>
        </row>
        <row r="124">
          <cell r="A124" t="str">
            <v>50714232830</v>
          </cell>
          <cell r="B124" t="str">
            <v>ZMTD</v>
          </cell>
          <cell r="C124">
            <v>45457</v>
          </cell>
          <cell r="D124" t="str">
            <v>Partially delivered</v>
          </cell>
          <cell r="E124">
            <v>507142328</v>
          </cell>
          <cell r="F124">
            <v>30</v>
          </cell>
          <cell r="G124">
            <v>1212640</v>
          </cell>
          <cell r="H124" t="str">
            <v>FP-014:BS CLR SPRYGRDS S/INEZ GLD 40C</v>
          </cell>
          <cell r="I124">
            <v>25000</v>
          </cell>
          <cell r="J124" t="str">
            <v>UN</v>
          </cell>
          <cell r="K124">
            <v>45566</v>
          </cell>
        </row>
        <row r="125">
          <cell r="A125" t="str">
            <v>50714180710</v>
          </cell>
          <cell r="B125" t="str">
            <v>ZMTD</v>
          </cell>
          <cell r="C125">
            <v>45350</v>
          </cell>
          <cell r="D125" t="str">
            <v>Not delivered</v>
          </cell>
          <cell r="E125">
            <v>507141807</v>
          </cell>
          <cell r="F125">
            <v>10</v>
          </cell>
          <cell r="G125">
            <v>1404888</v>
          </cell>
          <cell r="H125" t="str">
            <v>LS-091:BS MGNTA P/SHEER COLOR ROHTO 60B</v>
          </cell>
          <cell r="I125">
            <v>27664</v>
          </cell>
          <cell r="J125" t="str">
            <v>UN</v>
          </cell>
          <cell r="K125">
            <v>45566</v>
          </cell>
        </row>
        <row r="126">
          <cell r="A126" t="str">
            <v>50714180720</v>
          </cell>
          <cell r="B126" t="str">
            <v>ZMTD</v>
          </cell>
          <cell r="C126">
            <v>45350</v>
          </cell>
          <cell r="D126" t="str">
            <v>Not delivered</v>
          </cell>
          <cell r="E126">
            <v>507141807</v>
          </cell>
          <cell r="F126">
            <v>20</v>
          </cell>
          <cell r="G126">
            <v>1407563</v>
          </cell>
          <cell r="H126" t="str">
            <v>LS-091:CVR MGNTA GRAD UV P/STRWBRY ROHTO</v>
          </cell>
          <cell r="I126">
            <v>27664</v>
          </cell>
          <cell r="J126" t="str">
            <v>UN</v>
          </cell>
          <cell r="K126">
            <v>45566</v>
          </cell>
        </row>
        <row r="127">
          <cell r="A127" t="str">
            <v>50714273710</v>
          </cell>
          <cell r="B127" t="str">
            <v>ZMTD</v>
          </cell>
          <cell r="C127">
            <v>45544</v>
          </cell>
          <cell r="D127" t="str">
            <v>Not delivered</v>
          </cell>
          <cell r="E127">
            <v>507142737</v>
          </cell>
          <cell r="F127">
            <v>10</v>
          </cell>
          <cell r="G127">
            <v>1264031</v>
          </cell>
          <cell r="H127" t="str">
            <v>LC-002:CP S/MT VAR9 STM-WHT WNAT PTI40D</v>
          </cell>
          <cell r="I127">
            <v>25200</v>
          </cell>
          <cell r="J127" t="str">
            <v>UN</v>
          </cell>
          <cell r="K127">
            <v>45567</v>
          </cell>
        </row>
        <row r="128">
          <cell r="A128" t="str">
            <v>50714273720</v>
          </cell>
          <cell r="B128" t="str">
            <v>ZMTD</v>
          </cell>
          <cell r="C128">
            <v>45544</v>
          </cell>
          <cell r="D128" t="str">
            <v>Not delivered</v>
          </cell>
          <cell r="E128">
            <v>507142737</v>
          </cell>
          <cell r="F128">
            <v>20</v>
          </cell>
          <cell r="G128">
            <v>1255659</v>
          </cell>
          <cell r="H128" t="str">
            <v>LC-002:BTL MT VAR9 P/WRDH B.MARK PTI40H</v>
          </cell>
          <cell r="I128">
            <v>25200</v>
          </cell>
          <cell r="J128" t="str">
            <v>UN</v>
          </cell>
          <cell r="K128">
            <v>45567</v>
          </cell>
        </row>
        <row r="129">
          <cell r="A129" t="str">
            <v>50714273810</v>
          </cell>
          <cell r="B129" t="str">
            <v>ZMTD</v>
          </cell>
          <cell r="C129">
            <v>45544</v>
          </cell>
          <cell r="D129" t="str">
            <v>Not delivered</v>
          </cell>
          <cell r="E129">
            <v>507142738</v>
          </cell>
          <cell r="F129">
            <v>10</v>
          </cell>
          <cell r="G129">
            <v>1361170</v>
          </cell>
          <cell r="H129" t="str">
            <v>PT-097:BODY BLACK HOUSE WHT TRANS PTI12A</v>
          </cell>
          <cell r="I129">
            <v>110160</v>
          </cell>
          <cell r="J129" t="str">
            <v>UN</v>
          </cell>
          <cell r="K129">
            <v>45567</v>
          </cell>
        </row>
        <row r="130">
          <cell r="A130" t="str">
            <v>50714273820</v>
          </cell>
          <cell r="B130" t="str">
            <v>ZMTD</v>
          </cell>
          <cell r="C130">
            <v>45544</v>
          </cell>
          <cell r="D130" t="str">
            <v>Not delivered</v>
          </cell>
          <cell r="E130">
            <v>507142738</v>
          </cell>
          <cell r="F130">
            <v>20</v>
          </cell>
          <cell r="G130">
            <v>1361175</v>
          </cell>
          <cell r="H130" t="str">
            <v>PT-097:CAP BLACK TRANS PTI 12A</v>
          </cell>
          <cell r="I130">
            <v>110160</v>
          </cell>
          <cell r="J130" t="str">
            <v>UN</v>
          </cell>
          <cell r="K130">
            <v>45567</v>
          </cell>
        </row>
        <row r="131">
          <cell r="A131" t="str">
            <v>50714272610</v>
          </cell>
          <cell r="B131" t="str">
            <v>ZMTD</v>
          </cell>
          <cell r="C131">
            <v>45541</v>
          </cell>
          <cell r="D131" t="str">
            <v>Not delivered</v>
          </cell>
          <cell r="E131">
            <v>507142726</v>
          </cell>
          <cell r="F131">
            <v>10</v>
          </cell>
          <cell r="G131">
            <v>1412602</v>
          </cell>
          <cell r="H131" t="str">
            <v>CM-105:CVR/BS MTBLK S/PWRSTAY RV1 PTI30C</v>
          </cell>
          <cell r="I131">
            <v>10080</v>
          </cell>
          <cell r="J131" t="str">
            <v>UN</v>
          </cell>
          <cell r="K131">
            <v>45567</v>
          </cell>
        </row>
        <row r="132">
          <cell r="A132" t="str">
            <v>50714270610</v>
          </cell>
          <cell r="B132" t="str">
            <v>ZMTD</v>
          </cell>
          <cell r="C132">
            <v>45534</v>
          </cell>
          <cell r="D132" t="str">
            <v>Not delivered</v>
          </cell>
          <cell r="E132">
            <v>507142706</v>
          </cell>
          <cell r="F132">
            <v>10</v>
          </cell>
          <cell r="G132">
            <v>1207621</v>
          </cell>
          <cell r="H132" t="str">
            <v>CP-090:CAP DELCATE MTPINK NOEMBOS PTI40D</v>
          </cell>
          <cell r="I132">
            <v>10044</v>
          </cell>
          <cell r="J132" t="str">
            <v>UN</v>
          </cell>
          <cell r="K132">
            <v>45567</v>
          </cell>
        </row>
        <row r="133">
          <cell r="A133" t="str">
            <v>50714269510</v>
          </cell>
          <cell r="B133" t="str">
            <v>ZMTD</v>
          </cell>
          <cell r="C133">
            <v>45533</v>
          </cell>
          <cell r="D133" t="str">
            <v>Partially delivered</v>
          </cell>
          <cell r="E133">
            <v>507142695</v>
          </cell>
          <cell r="F133">
            <v>10</v>
          </cell>
          <cell r="G133">
            <v>1420925</v>
          </cell>
          <cell r="H133" t="str">
            <v>CM-253:CV BS MT ROSE 04 P/C.BLSH PTI40H</v>
          </cell>
          <cell r="I133">
            <v>15120</v>
          </cell>
          <cell r="J133" t="str">
            <v>UN</v>
          </cell>
          <cell r="K133">
            <v>45567</v>
          </cell>
        </row>
        <row r="134">
          <cell r="A134" t="str">
            <v>50714269830</v>
          </cell>
          <cell r="B134" t="str">
            <v>ZMTD</v>
          </cell>
          <cell r="C134">
            <v>45533</v>
          </cell>
          <cell r="D134" t="str">
            <v>Not delivered</v>
          </cell>
          <cell r="E134">
            <v>507142698</v>
          </cell>
          <cell r="F134">
            <v>30</v>
          </cell>
          <cell r="G134">
            <v>1408740</v>
          </cell>
          <cell r="H134" t="str">
            <v>PT-097B:BDSR.2 BLU HOUS WHT TRNS PTI12A</v>
          </cell>
          <cell r="I134">
            <v>109890</v>
          </cell>
          <cell r="J134" t="str">
            <v>UN</v>
          </cell>
          <cell r="K134">
            <v>45567</v>
          </cell>
        </row>
        <row r="135">
          <cell r="A135" t="str">
            <v>50714269840</v>
          </cell>
          <cell r="B135" t="str">
            <v>ZMTD</v>
          </cell>
          <cell r="C135">
            <v>45533</v>
          </cell>
          <cell r="D135" t="str">
            <v>Not delivered</v>
          </cell>
          <cell r="E135">
            <v>507142698</v>
          </cell>
          <cell r="F135">
            <v>40</v>
          </cell>
          <cell r="G135">
            <v>1408739</v>
          </cell>
          <cell r="H135" t="str">
            <v>PT-097B:CAP SR.2 BLUE TRANS PTI 12A</v>
          </cell>
          <cell r="I135">
            <v>109890</v>
          </cell>
          <cell r="J135" t="str">
            <v>UN</v>
          </cell>
          <cell r="K135">
            <v>45567</v>
          </cell>
        </row>
        <row r="136">
          <cell r="A136" t="str">
            <v>50714268810</v>
          </cell>
          <cell r="B136" t="str">
            <v>ZMTD</v>
          </cell>
          <cell r="C136">
            <v>45532</v>
          </cell>
          <cell r="D136" t="str">
            <v>Not delivered</v>
          </cell>
          <cell r="E136">
            <v>507142688</v>
          </cell>
          <cell r="F136">
            <v>10</v>
          </cell>
          <cell r="G136">
            <v>1430094</v>
          </cell>
          <cell r="H136" t="str">
            <v>LS-285:BS BLUE NO DC WARDAH PTI 12A</v>
          </cell>
          <cell r="I136">
            <v>120232</v>
          </cell>
          <cell r="J136" t="str">
            <v>UN</v>
          </cell>
          <cell r="K136">
            <v>45567</v>
          </cell>
        </row>
        <row r="137">
          <cell r="A137" t="str">
            <v>50714268820</v>
          </cell>
          <cell r="B137" t="str">
            <v>ZMTD</v>
          </cell>
          <cell r="C137">
            <v>45532</v>
          </cell>
          <cell r="D137" t="str">
            <v>Not delivered</v>
          </cell>
          <cell r="E137">
            <v>507142688</v>
          </cell>
          <cell r="F137">
            <v>20</v>
          </cell>
          <cell r="G137">
            <v>1430093</v>
          </cell>
          <cell r="H137" t="str">
            <v>LS-285:CV MT.TR BLUE P/SHERCLEAR PTI 40H</v>
          </cell>
          <cell r="I137">
            <v>120232</v>
          </cell>
          <cell r="J137" t="str">
            <v>UN</v>
          </cell>
          <cell r="K137">
            <v>45567</v>
          </cell>
        </row>
        <row r="138">
          <cell r="A138" t="str">
            <v>50714269230</v>
          </cell>
          <cell r="B138" t="str">
            <v>ZMTD</v>
          </cell>
          <cell r="C138">
            <v>45532</v>
          </cell>
          <cell r="D138" t="str">
            <v>Not delivered</v>
          </cell>
          <cell r="E138">
            <v>507142692</v>
          </cell>
          <cell r="F138">
            <v>30</v>
          </cell>
          <cell r="G138">
            <v>1367372</v>
          </cell>
          <cell r="H138" t="str">
            <v>PT-097:BODY GREN HOUSE WHT TRANS PTI 12A</v>
          </cell>
          <cell r="I138">
            <v>99900</v>
          </cell>
          <cell r="J138" t="str">
            <v>UN</v>
          </cell>
          <cell r="K138">
            <v>45567</v>
          </cell>
        </row>
        <row r="139">
          <cell r="A139" t="str">
            <v>50714269240</v>
          </cell>
          <cell r="B139" t="str">
            <v>ZMTD</v>
          </cell>
          <cell r="C139">
            <v>45532</v>
          </cell>
          <cell r="D139" t="str">
            <v>Not delivered</v>
          </cell>
          <cell r="E139">
            <v>507142692</v>
          </cell>
          <cell r="F139">
            <v>40</v>
          </cell>
          <cell r="G139">
            <v>1367370</v>
          </cell>
          <cell r="H139" t="str">
            <v>PT-097:CAP GREN TRANS PTI 12A</v>
          </cell>
          <cell r="I139">
            <v>99900</v>
          </cell>
          <cell r="J139" t="str">
            <v>UN</v>
          </cell>
          <cell r="K139">
            <v>45567</v>
          </cell>
        </row>
        <row r="140">
          <cell r="A140" t="str">
            <v>50714265120</v>
          </cell>
          <cell r="B140" t="str">
            <v>ZMTD</v>
          </cell>
          <cell r="C140">
            <v>45523</v>
          </cell>
          <cell r="D140" t="str">
            <v>Partially delivered</v>
          </cell>
          <cell r="E140">
            <v>507142651</v>
          </cell>
          <cell r="F140">
            <v>20</v>
          </cell>
          <cell r="G140">
            <v>1304094</v>
          </cell>
          <cell r="H140" t="str">
            <v>CM-253:CV CLR BS M.PINK P/EMINA C.LIT40H</v>
          </cell>
          <cell r="I140">
            <v>27000</v>
          </cell>
          <cell r="J140" t="str">
            <v>UN</v>
          </cell>
          <cell r="K140">
            <v>45567</v>
          </cell>
        </row>
        <row r="141">
          <cell r="A141" t="str">
            <v>50714261910</v>
          </cell>
          <cell r="B141" t="str">
            <v>ZMTD</v>
          </cell>
          <cell r="C141">
            <v>45512</v>
          </cell>
          <cell r="D141" t="str">
            <v>Partially delivered</v>
          </cell>
          <cell r="E141">
            <v>507142619</v>
          </cell>
          <cell r="F141">
            <v>10</v>
          </cell>
          <cell r="G141">
            <v>1393997</v>
          </cell>
          <cell r="H141" t="str">
            <v>LC-003:BTL CLR CL BLUE P/DEWIT CSMAR 60B</v>
          </cell>
          <cell r="I141">
            <v>10020</v>
          </cell>
          <cell r="J141" t="str">
            <v>UN</v>
          </cell>
          <cell r="K141">
            <v>45567</v>
          </cell>
        </row>
        <row r="142">
          <cell r="A142" t="str">
            <v>50800525220</v>
          </cell>
          <cell r="B142" t="str">
            <v>ZMFD</v>
          </cell>
          <cell r="C142">
            <v>45512</v>
          </cell>
          <cell r="D142" t="str">
            <v>Not delivered</v>
          </cell>
          <cell r="E142">
            <v>508005252</v>
          </cell>
          <cell r="F142">
            <v>20</v>
          </cell>
          <cell r="G142">
            <v>1382368</v>
          </cell>
          <cell r="H142" t="str">
            <v>CP-067R:FT CAP35 SNAP BLK MATTE  Ø5 LRL</v>
          </cell>
          <cell r="I142">
            <v>300000</v>
          </cell>
          <cell r="J142" t="str">
            <v>UN</v>
          </cell>
          <cell r="K142">
            <v>45567</v>
          </cell>
        </row>
        <row r="143">
          <cell r="A143" t="str">
            <v>50714254630</v>
          </cell>
          <cell r="B143" t="str">
            <v>ZMTD</v>
          </cell>
          <cell r="C143">
            <v>45492</v>
          </cell>
          <cell r="D143" t="str">
            <v>Partially delivered</v>
          </cell>
          <cell r="E143">
            <v>507142546</v>
          </cell>
          <cell r="F143">
            <v>30</v>
          </cell>
          <cell r="G143">
            <v>1169703</v>
          </cell>
          <cell r="H143" t="str">
            <v>CP-064:CAP 25 SCREW WHITE MT TR L'OREAL</v>
          </cell>
          <cell r="I143">
            <v>324000</v>
          </cell>
          <cell r="J143" t="str">
            <v>UN</v>
          </cell>
          <cell r="K143">
            <v>45567</v>
          </cell>
        </row>
        <row r="144">
          <cell r="A144" t="str">
            <v>50714254640</v>
          </cell>
          <cell r="B144" t="str">
            <v>ZMTD</v>
          </cell>
          <cell r="C144">
            <v>45492</v>
          </cell>
          <cell r="D144" t="str">
            <v>Not delivered</v>
          </cell>
          <cell r="E144">
            <v>507142546</v>
          </cell>
          <cell r="F144">
            <v>40</v>
          </cell>
          <cell r="G144">
            <v>1169703</v>
          </cell>
          <cell r="H144" t="str">
            <v>CP-064:CAP 25 SCREW WHITE MT TR L'OREAL</v>
          </cell>
          <cell r="I144">
            <v>204000</v>
          </cell>
          <cell r="J144" t="str">
            <v>UN</v>
          </cell>
          <cell r="K144">
            <v>45567</v>
          </cell>
        </row>
        <row r="145">
          <cell r="A145" t="str">
            <v>50714250110</v>
          </cell>
          <cell r="B145" t="str">
            <v>ZMTD</v>
          </cell>
          <cell r="C145">
            <v>45485</v>
          </cell>
          <cell r="D145" t="str">
            <v>Not delivered</v>
          </cell>
          <cell r="E145">
            <v>507142501</v>
          </cell>
          <cell r="F145">
            <v>10</v>
          </cell>
          <cell r="G145">
            <v>1216572</v>
          </cell>
          <cell r="H145" t="str">
            <v>CM-216:TRUE MATCH CV PF S/SLV LOR (SEA)</v>
          </cell>
          <cell r="I145">
            <v>198400</v>
          </cell>
          <cell r="J145" t="str">
            <v>UN</v>
          </cell>
          <cell r="K145">
            <v>45567</v>
          </cell>
        </row>
        <row r="146">
          <cell r="A146" t="str">
            <v>50714246110</v>
          </cell>
          <cell r="B146" t="str">
            <v>ZMTD</v>
          </cell>
          <cell r="C146">
            <v>45481</v>
          </cell>
          <cell r="D146" t="str">
            <v>Partially delivered</v>
          </cell>
          <cell r="E146">
            <v>507142461</v>
          </cell>
          <cell r="F146">
            <v>10</v>
          </cell>
          <cell r="G146">
            <v>1169047</v>
          </cell>
          <cell r="H146" t="str">
            <v>LS-285:B V/SL P/1PS SLEV H/SL BLM PTI20R</v>
          </cell>
          <cell r="I146">
            <v>25536</v>
          </cell>
          <cell r="J146" t="str">
            <v>UN</v>
          </cell>
          <cell r="K146">
            <v>45567</v>
          </cell>
        </row>
        <row r="147">
          <cell r="A147" t="str">
            <v>50714246120</v>
          </cell>
          <cell r="B147" t="str">
            <v>ZMTD</v>
          </cell>
          <cell r="C147">
            <v>45481</v>
          </cell>
          <cell r="D147" t="str">
            <v>Partially delivered</v>
          </cell>
          <cell r="E147">
            <v>507142461</v>
          </cell>
          <cell r="F147">
            <v>20</v>
          </cell>
          <cell r="G147">
            <v>1171165</v>
          </cell>
          <cell r="H147" t="str">
            <v>LS-285:CV TRANS MATE 3 P/1PS VAR3 PTI40H</v>
          </cell>
          <cell r="I147">
            <v>25536</v>
          </cell>
          <cell r="J147" t="str">
            <v>UN</v>
          </cell>
          <cell r="K147">
            <v>45567</v>
          </cell>
        </row>
        <row r="148">
          <cell r="A148" t="str">
            <v>50714180330</v>
          </cell>
          <cell r="B148" t="str">
            <v>ZMTD</v>
          </cell>
          <cell r="C148">
            <v>45349</v>
          </cell>
          <cell r="D148" t="str">
            <v>Partially delivered</v>
          </cell>
          <cell r="E148">
            <v>507141803</v>
          </cell>
          <cell r="F148">
            <v>30</v>
          </cell>
          <cell r="G148">
            <v>1404888</v>
          </cell>
          <cell r="H148" t="str">
            <v>LS-091:BS MGNTA P/SHEER COLOR ROHTO 60B</v>
          </cell>
          <cell r="I148">
            <v>27664</v>
          </cell>
          <cell r="J148" t="str">
            <v>UN</v>
          </cell>
          <cell r="K148">
            <v>45567</v>
          </cell>
        </row>
        <row r="149">
          <cell r="A149" t="str">
            <v>50714180340</v>
          </cell>
          <cell r="B149" t="str">
            <v>ZMTD</v>
          </cell>
          <cell r="C149">
            <v>45349</v>
          </cell>
          <cell r="D149" t="str">
            <v>Partially delivered</v>
          </cell>
          <cell r="E149">
            <v>507141803</v>
          </cell>
          <cell r="F149">
            <v>40</v>
          </cell>
          <cell r="G149">
            <v>1407563</v>
          </cell>
          <cell r="H149" t="str">
            <v>LS-091:CVR MGNTA GRAD UV P/STRWBRY ROHTO</v>
          </cell>
          <cell r="I149">
            <v>27664</v>
          </cell>
          <cell r="J149" t="str">
            <v>UN</v>
          </cell>
          <cell r="K149">
            <v>45567</v>
          </cell>
        </row>
        <row r="150">
          <cell r="A150" t="str">
            <v>50714273910</v>
          </cell>
          <cell r="B150" t="str">
            <v>ZMTD</v>
          </cell>
          <cell r="C150">
            <v>45544</v>
          </cell>
          <cell r="D150" t="str">
            <v>Not delivered</v>
          </cell>
          <cell r="E150">
            <v>507142739</v>
          </cell>
          <cell r="F150">
            <v>10</v>
          </cell>
          <cell r="G150">
            <v>1409881</v>
          </cell>
          <cell r="H150" t="str">
            <v>CM-315:CVR/BS BLACK P/CVRLAST OMG RV160B</v>
          </cell>
          <cell r="I150">
            <v>21868</v>
          </cell>
          <cell r="J150" t="str">
            <v>UN</v>
          </cell>
          <cell r="K150">
            <v>45568</v>
          </cell>
        </row>
        <row r="151">
          <cell r="A151" t="str">
            <v>50714266310</v>
          </cell>
          <cell r="B151" t="str">
            <v>ZMTD</v>
          </cell>
          <cell r="C151">
            <v>45525</v>
          </cell>
          <cell r="D151" t="str">
            <v>Not delivered</v>
          </cell>
          <cell r="E151">
            <v>507142663</v>
          </cell>
          <cell r="F151">
            <v>10</v>
          </cell>
          <cell r="G151">
            <v>1216572</v>
          </cell>
          <cell r="H151" t="str">
            <v>CM-216:TRUE MATCH CV PF S/SLV LOR (SEA)</v>
          </cell>
          <cell r="I151">
            <v>57600</v>
          </cell>
          <cell r="J151" t="str">
            <v>UN</v>
          </cell>
          <cell r="K151">
            <v>45568</v>
          </cell>
        </row>
        <row r="152">
          <cell r="A152" t="str">
            <v>50714262530</v>
          </cell>
          <cell r="B152" t="str">
            <v>ZMTD</v>
          </cell>
          <cell r="C152">
            <v>45513</v>
          </cell>
          <cell r="D152" t="str">
            <v>Not delivered</v>
          </cell>
          <cell r="E152">
            <v>507142625</v>
          </cell>
          <cell r="F152">
            <v>30</v>
          </cell>
          <cell r="G152">
            <v>1305089</v>
          </cell>
          <cell r="H152" t="str">
            <v>CM-207:VM SHY SLV P/MATTE ZGH6010038 EL</v>
          </cell>
          <cell r="I152">
            <v>25920</v>
          </cell>
          <cell r="J152" t="str">
            <v>UN</v>
          </cell>
          <cell r="K152">
            <v>45568</v>
          </cell>
        </row>
        <row r="153">
          <cell r="A153" t="str">
            <v>50714180730</v>
          </cell>
          <cell r="B153" t="str">
            <v>ZMTD</v>
          </cell>
          <cell r="C153">
            <v>45350</v>
          </cell>
          <cell r="D153" t="str">
            <v>Not delivered</v>
          </cell>
          <cell r="E153">
            <v>507141807</v>
          </cell>
          <cell r="F153">
            <v>30</v>
          </cell>
          <cell r="G153">
            <v>1404888</v>
          </cell>
          <cell r="H153" t="str">
            <v>LS-091:BS MGNTA P/SHEER COLOR ROHTO 60B</v>
          </cell>
          <cell r="I153">
            <v>14820</v>
          </cell>
          <cell r="J153" t="str">
            <v>UN</v>
          </cell>
          <cell r="K153">
            <v>45568</v>
          </cell>
        </row>
        <row r="154">
          <cell r="A154" t="str">
            <v>50714180740</v>
          </cell>
          <cell r="B154" t="str">
            <v>ZMTD</v>
          </cell>
          <cell r="C154">
            <v>45350</v>
          </cell>
          <cell r="D154" t="str">
            <v>Not delivered</v>
          </cell>
          <cell r="E154">
            <v>507141807</v>
          </cell>
          <cell r="F154">
            <v>40</v>
          </cell>
          <cell r="G154">
            <v>1404887</v>
          </cell>
          <cell r="H154" t="str">
            <v>LS-091:CVR MGNTA GRAD UV P/APPLE ROHTO</v>
          </cell>
          <cell r="I154">
            <v>14820</v>
          </cell>
          <cell r="J154" t="str">
            <v>UN</v>
          </cell>
          <cell r="K154">
            <v>45568</v>
          </cell>
        </row>
        <row r="155">
          <cell r="A155" t="str">
            <v>50714276530</v>
          </cell>
          <cell r="B155" t="str">
            <v>ZMTD</v>
          </cell>
          <cell r="C155">
            <v>45552</v>
          </cell>
          <cell r="D155" t="str">
            <v>Not delivered</v>
          </cell>
          <cell r="E155">
            <v>507142765</v>
          </cell>
          <cell r="F155">
            <v>30</v>
          </cell>
          <cell r="G155">
            <v>1398383</v>
          </cell>
          <cell r="H155" t="str">
            <v>CM-319:WHITE P/BLACK UV MATTE NARS</v>
          </cell>
          <cell r="I155">
            <v>30720</v>
          </cell>
          <cell r="J155" t="str">
            <v>UN</v>
          </cell>
          <cell r="K155">
            <v>45569</v>
          </cell>
        </row>
        <row r="156">
          <cell r="A156" t="str">
            <v>50714273510</v>
          </cell>
          <cell r="B156" t="str">
            <v>ZMTD</v>
          </cell>
          <cell r="C156">
            <v>45544</v>
          </cell>
          <cell r="D156" t="str">
            <v>Not delivered</v>
          </cell>
          <cell r="E156">
            <v>507142735</v>
          </cell>
          <cell r="F156">
            <v>10</v>
          </cell>
          <cell r="G156">
            <v>1417990</v>
          </cell>
          <cell r="H156" t="str">
            <v>LC-009:BTL #2#3 INNER CLR P/OMG PTIPT60B</v>
          </cell>
          <cell r="I156">
            <v>400050</v>
          </cell>
          <cell r="J156" t="str">
            <v>UN</v>
          </cell>
          <cell r="K156">
            <v>45569</v>
          </cell>
        </row>
        <row r="157">
          <cell r="A157" t="str">
            <v>50714273520</v>
          </cell>
          <cell r="B157" t="str">
            <v>ZMTD</v>
          </cell>
          <cell r="C157">
            <v>45544</v>
          </cell>
          <cell r="D157" t="str">
            <v>Not delivered</v>
          </cell>
          <cell r="E157">
            <v>507142735</v>
          </cell>
          <cell r="F157">
            <v>20</v>
          </cell>
          <cell r="G157">
            <v>1417978</v>
          </cell>
          <cell r="H157" t="str">
            <v>LC-009:CAP #2#3 REDTR WIP S/OMG PTIPT60B</v>
          </cell>
          <cell r="I157">
            <v>400050</v>
          </cell>
          <cell r="J157" t="str">
            <v>UN</v>
          </cell>
          <cell r="K157">
            <v>45569</v>
          </cell>
        </row>
        <row r="158">
          <cell r="A158" t="str">
            <v>507142721100</v>
          </cell>
          <cell r="B158" t="str">
            <v>ZMTD</v>
          </cell>
          <cell r="C158">
            <v>45539</v>
          </cell>
          <cell r="D158" t="str">
            <v>Partially delivered</v>
          </cell>
          <cell r="E158">
            <v>507142721</v>
          </cell>
          <cell r="F158">
            <v>100</v>
          </cell>
          <cell r="G158">
            <v>1437039</v>
          </cell>
          <cell r="H158" t="str">
            <v>CM-290:1PC BS CV MT.BLK S/ EMBOS OMG 40C</v>
          </cell>
          <cell r="I158">
            <v>35112</v>
          </cell>
          <cell r="J158" t="str">
            <v>UN</v>
          </cell>
          <cell r="K158">
            <v>45569</v>
          </cell>
        </row>
        <row r="159">
          <cell r="A159" t="str">
            <v>50714271610</v>
          </cell>
          <cell r="B159" t="str">
            <v>ZMTD</v>
          </cell>
          <cell r="C159">
            <v>45538</v>
          </cell>
          <cell r="D159" t="str">
            <v>Not delivered</v>
          </cell>
          <cell r="E159">
            <v>507142716</v>
          </cell>
          <cell r="F159">
            <v>10</v>
          </cell>
          <cell r="G159">
            <v>1232979</v>
          </cell>
          <cell r="H159" t="str">
            <v>LC-004:CAP BLK WIP NAT NODC MLA 12A</v>
          </cell>
          <cell r="I159">
            <v>18000</v>
          </cell>
          <cell r="J159" t="str">
            <v>UN</v>
          </cell>
          <cell r="K159">
            <v>45569</v>
          </cell>
        </row>
        <row r="160">
          <cell r="A160" t="str">
            <v>50714271620</v>
          </cell>
          <cell r="B160" t="str">
            <v>ZMTD</v>
          </cell>
          <cell r="C160">
            <v>45538</v>
          </cell>
          <cell r="D160" t="str">
            <v>Not delivered</v>
          </cell>
          <cell r="E160">
            <v>507142716</v>
          </cell>
          <cell r="F160">
            <v>20</v>
          </cell>
          <cell r="G160">
            <v>1233020</v>
          </cell>
          <cell r="H160" t="str">
            <v>LC-004:BTL CLR CL BLK P/SR12MATTE MLA60B</v>
          </cell>
          <cell r="I160">
            <v>18000</v>
          </cell>
          <cell r="J160" t="str">
            <v>UN</v>
          </cell>
          <cell r="K160">
            <v>45569</v>
          </cell>
        </row>
        <row r="161">
          <cell r="A161" t="str">
            <v>50714270070</v>
          </cell>
          <cell r="B161" t="str">
            <v>ZMTD</v>
          </cell>
          <cell r="C161">
            <v>45533</v>
          </cell>
          <cell r="D161" t="str">
            <v>Not delivered</v>
          </cell>
          <cell r="E161">
            <v>507142700</v>
          </cell>
          <cell r="F161">
            <v>70</v>
          </cell>
          <cell r="G161">
            <v>1417990</v>
          </cell>
          <cell r="H161" t="str">
            <v>LC-009:BTL #2#3 INNER CLR P/OMG PTIPT60B</v>
          </cell>
          <cell r="I161">
            <v>200970</v>
          </cell>
          <cell r="J161" t="str">
            <v>UN</v>
          </cell>
          <cell r="K161">
            <v>45569</v>
          </cell>
        </row>
        <row r="162">
          <cell r="A162" t="str">
            <v>50714270080</v>
          </cell>
          <cell r="B162" t="str">
            <v>ZMTD</v>
          </cell>
          <cell r="C162">
            <v>45533</v>
          </cell>
          <cell r="D162" t="str">
            <v>Not delivered</v>
          </cell>
          <cell r="E162">
            <v>507142700</v>
          </cell>
          <cell r="F162">
            <v>80</v>
          </cell>
          <cell r="G162">
            <v>1417978</v>
          </cell>
          <cell r="H162" t="str">
            <v>LC-009:CAP #2#3 REDTR WIP S/OMG PTIPT60B</v>
          </cell>
          <cell r="I162">
            <v>200970</v>
          </cell>
          <cell r="J162" t="str">
            <v>UN</v>
          </cell>
          <cell r="K162">
            <v>45569</v>
          </cell>
        </row>
        <row r="163">
          <cell r="A163" t="str">
            <v>50714269010</v>
          </cell>
          <cell r="B163" t="str">
            <v>ZMTD</v>
          </cell>
          <cell r="C163">
            <v>45532</v>
          </cell>
          <cell r="D163" t="str">
            <v>Partially delivered</v>
          </cell>
          <cell r="E163">
            <v>507142690</v>
          </cell>
          <cell r="F163">
            <v>10</v>
          </cell>
          <cell r="G163">
            <v>1285116</v>
          </cell>
          <cell r="H163" t="str">
            <v>CM-292:CV/BS MTBLK LENS S/SLV MO PTI 40C</v>
          </cell>
          <cell r="I163">
            <v>49968</v>
          </cell>
          <cell r="J163" t="str">
            <v>UN</v>
          </cell>
          <cell r="K163">
            <v>45569</v>
          </cell>
        </row>
        <row r="164">
          <cell r="A164" t="str">
            <v>50714269110</v>
          </cell>
          <cell r="B164" t="str">
            <v>ZMTD</v>
          </cell>
          <cell r="C164">
            <v>45532</v>
          </cell>
          <cell r="D164" t="str">
            <v>Partially delivered</v>
          </cell>
          <cell r="E164">
            <v>507142691</v>
          </cell>
          <cell r="F164">
            <v>10</v>
          </cell>
          <cell r="G164">
            <v>1168132</v>
          </cell>
          <cell r="H164" t="str">
            <v>LS-285:BS WHT NO DC WARDAH</v>
          </cell>
          <cell r="I164">
            <v>50008</v>
          </cell>
          <cell r="J164" t="str">
            <v>UN</v>
          </cell>
          <cell r="K164">
            <v>45569</v>
          </cell>
        </row>
        <row r="165">
          <cell r="A165" t="str">
            <v>50714269120</v>
          </cell>
          <cell r="B165" t="str">
            <v>ZMTD</v>
          </cell>
          <cell r="C165">
            <v>45532</v>
          </cell>
          <cell r="D165" t="str">
            <v>Partially delivered</v>
          </cell>
          <cell r="E165">
            <v>507142691</v>
          </cell>
          <cell r="F165">
            <v>20</v>
          </cell>
          <cell r="G165">
            <v>1421510</v>
          </cell>
          <cell r="H165" t="str">
            <v>LS-285:CV PINK P/WHT UV P.BLOSOM PTI 30O</v>
          </cell>
          <cell r="I165">
            <v>50008</v>
          </cell>
          <cell r="J165" t="str">
            <v>UN</v>
          </cell>
          <cell r="K165">
            <v>45569</v>
          </cell>
        </row>
        <row r="166">
          <cell r="A166" t="str">
            <v>50714265030</v>
          </cell>
          <cell r="B166" t="str">
            <v>ZMTD</v>
          </cell>
          <cell r="C166">
            <v>45523</v>
          </cell>
          <cell r="D166" t="str">
            <v>Partially delivered</v>
          </cell>
          <cell r="E166">
            <v>507142650</v>
          </cell>
          <cell r="F166">
            <v>30</v>
          </cell>
          <cell r="G166">
            <v>1430094</v>
          </cell>
          <cell r="H166" t="str">
            <v>LS-285:BS BLUE NO DC WARDAH PTI 12A</v>
          </cell>
          <cell r="I166">
            <v>93632</v>
          </cell>
          <cell r="J166" t="str">
            <v>UN</v>
          </cell>
          <cell r="K166">
            <v>45569</v>
          </cell>
        </row>
        <row r="167">
          <cell r="A167" t="str">
            <v>50800525810</v>
          </cell>
          <cell r="B167" t="str">
            <v>ZMFD</v>
          </cell>
          <cell r="C167">
            <v>45523</v>
          </cell>
          <cell r="D167" t="str">
            <v>Not delivered</v>
          </cell>
          <cell r="E167">
            <v>508005258</v>
          </cell>
          <cell r="F167">
            <v>10</v>
          </cell>
          <cell r="G167">
            <v>1168132</v>
          </cell>
          <cell r="H167" t="str">
            <v>LS-285:BS WHT NO DC WARDAH</v>
          </cell>
          <cell r="I167">
            <v>115000</v>
          </cell>
          <cell r="J167" t="str">
            <v>UN</v>
          </cell>
          <cell r="K167">
            <v>45569</v>
          </cell>
        </row>
        <row r="168">
          <cell r="A168" t="str">
            <v>50800525820</v>
          </cell>
          <cell r="B168" t="str">
            <v>ZMFD</v>
          </cell>
          <cell r="C168">
            <v>45523</v>
          </cell>
          <cell r="D168" t="str">
            <v>Not delivered</v>
          </cell>
          <cell r="E168">
            <v>508005258</v>
          </cell>
          <cell r="F168">
            <v>20</v>
          </cell>
          <cell r="G168">
            <v>1421418</v>
          </cell>
          <cell r="H168" t="str">
            <v>LS-285:CV RED P/WHT UV STRAWBERY PTI 30O</v>
          </cell>
          <cell r="I168">
            <v>115000</v>
          </cell>
          <cell r="J168" t="str">
            <v>UN</v>
          </cell>
          <cell r="K168">
            <v>45569</v>
          </cell>
        </row>
        <row r="169">
          <cell r="A169" t="str">
            <v>50714259350</v>
          </cell>
          <cell r="B169" t="str">
            <v>ZMTD</v>
          </cell>
          <cell r="C169">
            <v>45505</v>
          </cell>
          <cell r="D169" t="str">
            <v>Partially delivered</v>
          </cell>
          <cell r="E169">
            <v>507142593</v>
          </cell>
          <cell r="F169">
            <v>50</v>
          </cell>
          <cell r="G169">
            <v>1392670</v>
          </cell>
          <cell r="H169" t="str">
            <v>LC-011:CAP BLK NO DC WIPNAT NATURA 12A</v>
          </cell>
          <cell r="I169">
            <v>119820</v>
          </cell>
          <cell r="J169" t="str">
            <v>UN</v>
          </cell>
          <cell r="K169">
            <v>45569</v>
          </cell>
        </row>
        <row r="170">
          <cell r="A170" t="str">
            <v>50714259360</v>
          </cell>
          <cell r="B170" t="str">
            <v>ZMTD</v>
          </cell>
          <cell r="C170">
            <v>45505</v>
          </cell>
          <cell r="D170" t="str">
            <v>Partially delivered</v>
          </cell>
          <cell r="E170">
            <v>507142593</v>
          </cell>
          <cell r="F170">
            <v>60</v>
          </cell>
          <cell r="G170">
            <v>1392671</v>
          </cell>
          <cell r="H170" t="str">
            <v>LC-011:BTL CLR COL BLK S/SLV NATURA 50C</v>
          </cell>
          <cell r="I170">
            <v>119820</v>
          </cell>
          <cell r="J170" t="str">
            <v>UN</v>
          </cell>
          <cell r="K170">
            <v>45569</v>
          </cell>
        </row>
        <row r="171">
          <cell r="A171" t="str">
            <v>50714227610</v>
          </cell>
          <cell r="B171" t="str">
            <v>ZMTD</v>
          </cell>
          <cell r="C171">
            <v>45447</v>
          </cell>
          <cell r="D171" t="str">
            <v>Not delivered</v>
          </cell>
          <cell r="E171">
            <v>507142276</v>
          </cell>
          <cell r="F171">
            <v>10</v>
          </cell>
          <cell r="G171">
            <v>1419488</v>
          </cell>
          <cell r="H171" t="str">
            <v>CP-063R:SPOUT CAP WHITE LOREAL 12A</v>
          </cell>
          <cell r="I171">
            <v>1890000</v>
          </cell>
          <cell r="J171" t="str">
            <v>UN</v>
          </cell>
          <cell r="K171">
            <v>45569</v>
          </cell>
        </row>
        <row r="172">
          <cell r="A172" t="str">
            <v>50714226710</v>
          </cell>
          <cell r="B172" t="str">
            <v>ZMTD</v>
          </cell>
          <cell r="C172">
            <v>45443</v>
          </cell>
          <cell r="D172" t="str">
            <v>Partially delivered</v>
          </cell>
          <cell r="E172">
            <v>507142267</v>
          </cell>
          <cell r="F172">
            <v>10</v>
          </cell>
          <cell r="G172">
            <v>1187961</v>
          </cell>
          <cell r="H172" t="str">
            <v>FP-029:CVR VMRAINBOW P/ULTM II RUDYS 40C</v>
          </cell>
          <cell r="I172">
            <v>25000</v>
          </cell>
          <cell r="J172" t="str">
            <v>UN</v>
          </cell>
          <cell r="K172">
            <v>45569</v>
          </cell>
        </row>
        <row r="173">
          <cell r="A173" t="str">
            <v>50714226720</v>
          </cell>
          <cell r="B173" t="str">
            <v>ZMTD</v>
          </cell>
          <cell r="C173">
            <v>45443</v>
          </cell>
          <cell r="D173" t="str">
            <v>Partially delivered</v>
          </cell>
          <cell r="E173">
            <v>507142267</v>
          </cell>
          <cell r="F173">
            <v>20</v>
          </cell>
          <cell r="G173">
            <v>1176240</v>
          </cell>
          <cell r="H173" t="str">
            <v>FP-029:BASE CLEAR NO DC ULTIMA II RUDY S</v>
          </cell>
          <cell r="I173">
            <v>25000</v>
          </cell>
          <cell r="J173" t="str">
            <v>UN</v>
          </cell>
          <cell r="K173">
            <v>45569</v>
          </cell>
        </row>
        <row r="174">
          <cell r="A174" t="str">
            <v>50714226730</v>
          </cell>
          <cell r="B174" t="str">
            <v>ZMTD</v>
          </cell>
          <cell r="C174">
            <v>45443</v>
          </cell>
          <cell r="D174" t="str">
            <v>Partially delivered</v>
          </cell>
          <cell r="E174">
            <v>507142267</v>
          </cell>
          <cell r="F174">
            <v>30</v>
          </cell>
          <cell r="G174">
            <v>1173507</v>
          </cell>
          <cell r="H174" t="str">
            <v>FP-029:SIFTER NT W/LBL NO DECO ULTIMA II</v>
          </cell>
          <cell r="I174">
            <v>25000</v>
          </cell>
          <cell r="J174" t="str">
            <v>UN</v>
          </cell>
          <cell r="K174">
            <v>45569</v>
          </cell>
        </row>
        <row r="175">
          <cell r="A175" t="str">
            <v>50714211020</v>
          </cell>
          <cell r="B175" t="str">
            <v>ZMTD</v>
          </cell>
          <cell r="C175">
            <v>45422</v>
          </cell>
          <cell r="D175" t="str">
            <v>Partially delivered</v>
          </cell>
          <cell r="E175">
            <v>507142110</v>
          </cell>
          <cell r="F175">
            <v>20</v>
          </cell>
          <cell r="G175">
            <v>1419205</v>
          </cell>
          <cell r="H175" t="str">
            <v>PT-099:CVR GREN BS PINK 12.5G CHARSM 12A</v>
          </cell>
          <cell r="I175">
            <v>26592</v>
          </cell>
          <cell r="J175" t="str">
            <v>UN</v>
          </cell>
          <cell r="K175">
            <v>45569</v>
          </cell>
        </row>
        <row r="176">
          <cell r="A176" t="str">
            <v>50714276210</v>
          </cell>
          <cell r="B176" t="str">
            <v>ZMTD</v>
          </cell>
          <cell r="C176">
            <v>45552</v>
          </cell>
          <cell r="D176" t="str">
            <v>Not delivered</v>
          </cell>
          <cell r="E176">
            <v>507142762</v>
          </cell>
          <cell r="F176">
            <v>10</v>
          </cell>
          <cell r="G176">
            <v>1191832</v>
          </cell>
          <cell r="H176" t="str">
            <v>PT-085:BS CP INS 15GR WHITE ND 12A</v>
          </cell>
          <cell r="I176">
            <v>40000</v>
          </cell>
          <cell r="J176" t="str">
            <v>UN</v>
          </cell>
          <cell r="K176">
            <v>45570</v>
          </cell>
        </row>
        <row r="177">
          <cell r="A177" t="str">
            <v>50714267810</v>
          </cell>
          <cell r="B177" t="str">
            <v>ZMTD</v>
          </cell>
          <cell r="C177">
            <v>45527</v>
          </cell>
          <cell r="D177" t="str">
            <v>Not delivered</v>
          </cell>
          <cell r="E177">
            <v>507142678</v>
          </cell>
          <cell r="F177">
            <v>10</v>
          </cell>
          <cell r="G177">
            <v>1378563</v>
          </cell>
          <cell r="H177" t="str">
            <v>CP-093:CAP D50 MT BLACK Ø.5 YASULOR 12A</v>
          </cell>
          <cell r="I177">
            <v>450000</v>
          </cell>
          <cell r="J177" t="str">
            <v>UN</v>
          </cell>
          <cell r="K177">
            <v>45570</v>
          </cell>
        </row>
        <row r="178">
          <cell r="A178" t="str">
            <v>50714263220</v>
          </cell>
          <cell r="B178" t="str">
            <v>ZMTD</v>
          </cell>
          <cell r="C178">
            <v>45517</v>
          </cell>
          <cell r="D178" t="str">
            <v>Not delivered</v>
          </cell>
          <cell r="E178">
            <v>507142632</v>
          </cell>
          <cell r="F178">
            <v>20</v>
          </cell>
          <cell r="G178">
            <v>1371896</v>
          </cell>
          <cell r="H178" t="str">
            <v>RX-056:CM-316 CVR BLUE P/WHT SP/MTCLR</v>
          </cell>
          <cell r="I178">
            <v>110016</v>
          </cell>
          <cell r="J178" t="str">
            <v>UN</v>
          </cell>
          <cell r="K178">
            <v>45570</v>
          </cell>
        </row>
        <row r="179">
          <cell r="A179" t="str">
            <v>50714280110</v>
          </cell>
          <cell r="B179" t="str">
            <v>ZMTD</v>
          </cell>
          <cell r="C179">
            <v>45559</v>
          </cell>
          <cell r="D179" t="str">
            <v>Not delivered</v>
          </cell>
          <cell r="E179">
            <v>507142801</v>
          </cell>
          <cell r="F179">
            <v>10</v>
          </cell>
          <cell r="G179">
            <v>1141323</v>
          </cell>
          <cell r="H179" t="str">
            <v>CP-063:SPOUT CAP LOREAL</v>
          </cell>
          <cell r="I179">
            <v>17500</v>
          </cell>
          <cell r="J179" t="str">
            <v>UN</v>
          </cell>
          <cell r="K179">
            <v>45572</v>
          </cell>
        </row>
        <row r="180">
          <cell r="A180" t="str">
            <v>50714275710</v>
          </cell>
          <cell r="B180" t="str">
            <v>ZMTD</v>
          </cell>
          <cell r="C180">
            <v>45547</v>
          </cell>
          <cell r="D180" t="str">
            <v>Partially delivered</v>
          </cell>
          <cell r="E180">
            <v>507142757</v>
          </cell>
          <cell r="F180">
            <v>10</v>
          </cell>
          <cell r="G180">
            <v>1411701</v>
          </cell>
          <cell r="H180" t="str">
            <v>PT-100:BS/INS BLUE P/WHT KAHF PTI 60B</v>
          </cell>
          <cell r="I180">
            <v>70144</v>
          </cell>
          <cell r="J180" t="str">
            <v>UN</v>
          </cell>
          <cell r="K180">
            <v>45572</v>
          </cell>
        </row>
        <row r="181">
          <cell r="A181" t="str">
            <v>50714275720</v>
          </cell>
          <cell r="B181" t="str">
            <v>ZMTD</v>
          </cell>
          <cell r="C181">
            <v>45547</v>
          </cell>
          <cell r="D181" t="str">
            <v>Partially delivered</v>
          </cell>
          <cell r="E181">
            <v>507142757</v>
          </cell>
          <cell r="F181">
            <v>20</v>
          </cell>
          <cell r="G181">
            <v>1411700</v>
          </cell>
          <cell r="H181" t="str">
            <v>PT-100:CVR MT.BLUE EMBOS KAHF PTI 40D</v>
          </cell>
          <cell r="I181">
            <v>70144</v>
          </cell>
          <cell r="J181" t="str">
            <v>UN</v>
          </cell>
          <cell r="K181">
            <v>45572</v>
          </cell>
        </row>
        <row r="182">
          <cell r="A182" t="str">
            <v>50714274710</v>
          </cell>
          <cell r="B182" t="str">
            <v>ZMTD</v>
          </cell>
          <cell r="C182">
            <v>45545</v>
          </cell>
          <cell r="D182" t="str">
            <v>Not delivered</v>
          </cell>
          <cell r="E182">
            <v>507142747</v>
          </cell>
          <cell r="F182">
            <v>10</v>
          </cell>
          <cell r="G182">
            <v>1141323</v>
          </cell>
          <cell r="H182" t="str">
            <v>CP-063:SPOUT CAP LOREAL</v>
          </cell>
          <cell r="I182">
            <v>1890000</v>
          </cell>
          <cell r="J182" t="str">
            <v>UN</v>
          </cell>
          <cell r="K182">
            <v>45572</v>
          </cell>
        </row>
        <row r="183">
          <cell r="A183" t="str">
            <v>50714274810</v>
          </cell>
          <cell r="B183" t="str">
            <v>ZMTD</v>
          </cell>
          <cell r="C183">
            <v>45545</v>
          </cell>
          <cell r="D183" t="str">
            <v>Not delivered</v>
          </cell>
          <cell r="E183">
            <v>507142748</v>
          </cell>
          <cell r="F183">
            <v>10</v>
          </cell>
          <cell r="G183">
            <v>1141323</v>
          </cell>
          <cell r="H183" t="str">
            <v>CP-063:SPOUT CAP LOREAL</v>
          </cell>
          <cell r="I183">
            <v>1890000</v>
          </cell>
          <cell r="J183" t="str">
            <v>UN</v>
          </cell>
          <cell r="K183">
            <v>45572</v>
          </cell>
        </row>
        <row r="184">
          <cell r="A184" t="str">
            <v>50714274910</v>
          </cell>
          <cell r="B184" t="str">
            <v>ZMTD</v>
          </cell>
          <cell r="C184">
            <v>45545</v>
          </cell>
          <cell r="D184" t="str">
            <v>Not delivered</v>
          </cell>
          <cell r="E184">
            <v>507142749</v>
          </cell>
          <cell r="F184">
            <v>10</v>
          </cell>
          <cell r="G184">
            <v>1141323</v>
          </cell>
          <cell r="H184" t="str">
            <v>CP-063:SPOUT CAP LOREAL</v>
          </cell>
          <cell r="I184">
            <v>1890000</v>
          </cell>
          <cell r="J184" t="str">
            <v>UN</v>
          </cell>
          <cell r="K184">
            <v>45572</v>
          </cell>
        </row>
        <row r="185">
          <cell r="A185" t="str">
            <v>50714275010</v>
          </cell>
          <cell r="B185" t="str">
            <v>ZMTD</v>
          </cell>
          <cell r="C185">
            <v>45545</v>
          </cell>
          <cell r="D185" t="str">
            <v>Not delivered</v>
          </cell>
          <cell r="E185">
            <v>507142750</v>
          </cell>
          <cell r="F185">
            <v>10</v>
          </cell>
          <cell r="G185">
            <v>1141323</v>
          </cell>
          <cell r="H185" t="str">
            <v>CP-063:SPOUT CAP LOREAL</v>
          </cell>
          <cell r="I185">
            <v>1890000</v>
          </cell>
          <cell r="J185" t="str">
            <v>UN</v>
          </cell>
          <cell r="K185">
            <v>45572</v>
          </cell>
        </row>
        <row r="186">
          <cell r="A186" t="str">
            <v>50714275110</v>
          </cell>
          <cell r="B186" t="str">
            <v>ZMTD</v>
          </cell>
          <cell r="C186">
            <v>45545</v>
          </cell>
          <cell r="D186" t="str">
            <v>Not delivered</v>
          </cell>
          <cell r="E186">
            <v>507142751</v>
          </cell>
          <cell r="F186">
            <v>10</v>
          </cell>
          <cell r="G186">
            <v>1141323</v>
          </cell>
          <cell r="H186" t="str">
            <v>CP-063:SPOUT CAP LOREAL</v>
          </cell>
          <cell r="I186">
            <v>840000</v>
          </cell>
          <cell r="J186" t="str">
            <v>UN</v>
          </cell>
          <cell r="K186">
            <v>45572</v>
          </cell>
        </row>
        <row r="187">
          <cell r="A187" t="str">
            <v>50714273410</v>
          </cell>
          <cell r="B187" t="str">
            <v>ZMTD</v>
          </cell>
          <cell r="C187">
            <v>45544</v>
          </cell>
          <cell r="D187" t="str">
            <v>Not delivered</v>
          </cell>
          <cell r="E187">
            <v>507142734</v>
          </cell>
          <cell r="F187">
            <v>10</v>
          </cell>
          <cell r="G187">
            <v>1388036</v>
          </cell>
          <cell r="H187" t="str">
            <v>CM-253:CV BS MTMAUVE P/C.BLSH RV1 PTI40H</v>
          </cell>
          <cell r="I187">
            <v>15120</v>
          </cell>
          <cell r="J187" t="str">
            <v>UN</v>
          </cell>
          <cell r="K187">
            <v>45572</v>
          </cell>
        </row>
        <row r="188">
          <cell r="A188" t="str">
            <v>50714271510</v>
          </cell>
          <cell r="B188" t="str">
            <v>ZMTD</v>
          </cell>
          <cell r="C188">
            <v>45538</v>
          </cell>
          <cell r="D188" t="str">
            <v>Partially delivered</v>
          </cell>
          <cell r="E188">
            <v>507142715</v>
          </cell>
          <cell r="F188">
            <v>10</v>
          </cell>
          <cell r="G188">
            <v>1382368</v>
          </cell>
          <cell r="H188" t="str">
            <v>CP-067R:FT CAP35 SNAP BLK MATTE  Ø5 LRL</v>
          </cell>
          <cell r="I188">
            <v>300000</v>
          </cell>
          <cell r="J188" t="str">
            <v>UN</v>
          </cell>
          <cell r="K188">
            <v>45572</v>
          </cell>
        </row>
        <row r="189">
          <cell r="A189" t="str">
            <v>50714269610</v>
          </cell>
          <cell r="B189" t="str">
            <v>ZMTD</v>
          </cell>
          <cell r="C189">
            <v>45533</v>
          </cell>
          <cell r="D189" t="str">
            <v>Partially delivered</v>
          </cell>
          <cell r="E189">
            <v>507142696</v>
          </cell>
          <cell r="F189">
            <v>10</v>
          </cell>
          <cell r="G189">
            <v>1340516</v>
          </cell>
          <cell r="H189" t="str">
            <v>CM-133:CVR BS MTLC GRN UV DP S/WARDH 30T</v>
          </cell>
          <cell r="I189">
            <v>10080</v>
          </cell>
          <cell r="J189" t="str">
            <v>UN</v>
          </cell>
          <cell r="K189">
            <v>45572</v>
          </cell>
        </row>
        <row r="190">
          <cell r="A190" t="str">
            <v>50714270050</v>
          </cell>
          <cell r="B190" t="str">
            <v>ZMTD</v>
          </cell>
          <cell r="C190">
            <v>45533</v>
          </cell>
          <cell r="D190" t="str">
            <v>Partially delivered</v>
          </cell>
          <cell r="E190">
            <v>507142700</v>
          </cell>
          <cell r="F190">
            <v>50</v>
          </cell>
          <cell r="G190">
            <v>1417990</v>
          </cell>
          <cell r="H190" t="str">
            <v>LC-009:BTL #2#3 INNER CLR P/OMG PTIPT60B</v>
          </cell>
          <cell r="I190">
            <v>400050</v>
          </cell>
          <cell r="J190" t="str">
            <v>UN</v>
          </cell>
          <cell r="K190">
            <v>45572</v>
          </cell>
        </row>
        <row r="191">
          <cell r="A191" t="str">
            <v>50714270060</v>
          </cell>
          <cell r="B191" t="str">
            <v>ZMTD</v>
          </cell>
          <cell r="C191">
            <v>45533</v>
          </cell>
          <cell r="D191" t="str">
            <v>Partially delivered</v>
          </cell>
          <cell r="E191">
            <v>507142700</v>
          </cell>
          <cell r="F191">
            <v>60</v>
          </cell>
          <cell r="G191">
            <v>1417978</v>
          </cell>
          <cell r="H191" t="str">
            <v>LC-009:CAP #2#3 REDTR WIP S/OMG PTIPT60B</v>
          </cell>
          <cell r="I191">
            <v>400050</v>
          </cell>
          <cell r="J191" t="str">
            <v>UN</v>
          </cell>
          <cell r="K191">
            <v>45572</v>
          </cell>
        </row>
        <row r="192">
          <cell r="A192" t="str">
            <v>50714268510</v>
          </cell>
          <cell r="B192" t="str">
            <v>ZMTD</v>
          </cell>
          <cell r="C192">
            <v>45532</v>
          </cell>
          <cell r="D192" t="str">
            <v>Partially delivered</v>
          </cell>
          <cell r="E192">
            <v>507142685</v>
          </cell>
          <cell r="F192">
            <v>10</v>
          </cell>
          <cell r="G192">
            <v>1167571</v>
          </cell>
          <cell r="H192" t="str">
            <v>FP-014:BS CLEAR NO DC PTI</v>
          </cell>
          <cell r="I192">
            <v>30240</v>
          </cell>
          <cell r="J192" t="str">
            <v>UN</v>
          </cell>
          <cell r="K192">
            <v>45572</v>
          </cell>
        </row>
        <row r="193">
          <cell r="A193" t="str">
            <v>50714268520</v>
          </cell>
          <cell r="B193" t="str">
            <v>ZMTD</v>
          </cell>
          <cell r="C193">
            <v>45532</v>
          </cell>
          <cell r="D193" t="str">
            <v>Partially delivered</v>
          </cell>
          <cell r="E193">
            <v>507142685</v>
          </cell>
          <cell r="F193">
            <v>20</v>
          </cell>
          <cell r="G193">
            <v>1174020</v>
          </cell>
          <cell r="H193" t="str">
            <v>FP-014:CVR BLCK COAT P/DC MAKE OVER  PTI</v>
          </cell>
          <cell r="I193">
            <v>30240</v>
          </cell>
          <cell r="J193" t="str">
            <v>UN</v>
          </cell>
          <cell r="K193">
            <v>45572</v>
          </cell>
        </row>
        <row r="194">
          <cell r="A194" t="str">
            <v>50714268530</v>
          </cell>
          <cell r="B194" t="str">
            <v>ZMTD</v>
          </cell>
          <cell r="C194">
            <v>45532</v>
          </cell>
          <cell r="D194" t="str">
            <v>Partially delivered</v>
          </cell>
          <cell r="E194">
            <v>507142685</v>
          </cell>
          <cell r="F194">
            <v>30</v>
          </cell>
          <cell r="G194">
            <v>1167434</v>
          </cell>
          <cell r="H194" t="str">
            <v>FP-014:SFTR NATURAL W/ LABEL POLOS PTI</v>
          </cell>
          <cell r="I194">
            <v>30240</v>
          </cell>
          <cell r="J194" t="str">
            <v>UN</v>
          </cell>
          <cell r="K194">
            <v>45572</v>
          </cell>
        </row>
        <row r="195">
          <cell r="A195" t="str">
            <v>50714269210</v>
          </cell>
          <cell r="B195" t="str">
            <v>ZMTD</v>
          </cell>
          <cell r="C195">
            <v>45532</v>
          </cell>
          <cell r="D195" t="str">
            <v>Partially delivered</v>
          </cell>
          <cell r="E195">
            <v>507142692</v>
          </cell>
          <cell r="F195">
            <v>10</v>
          </cell>
          <cell r="G195">
            <v>1367372</v>
          </cell>
          <cell r="H195" t="str">
            <v>PT-097:BODY GREN HOUSE WHT TRANS PTI 12A</v>
          </cell>
          <cell r="I195">
            <v>110160</v>
          </cell>
          <cell r="J195" t="str">
            <v>UN</v>
          </cell>
          <cell r="K195">
            <v>45572</v>
          </cell>
        </row>
        <row r="196">
          <cell r="A196" t="str">
            <v>50714269220</v>
          </cell>
          <cell r="B196" t="str">
            <v>ZMTD</v>
          </cell>
          <cell r="C196">
            <v>45532</v>
          </cell>
          <cell r="D196" t="str">
            <v>Partially delivered</v>
          </cell>
          <cell r="E196">
            <v>507142692</v>
          </cell>
          <cell r="F196">
            <v>20</v>
          </cell>
          <cell r="G196">
            <v>1367370</v>
          </cell>
          <cell r="H196" t="str">
            <v>PT-097:CAP GREN TRANS PTI 12A</v>
          </cell>
          <cell r="I196">
            <v>110160</v>
          </cell>
          <cell r="J196" t="str">
            <v>UN</v>
          </cell>
          <cell r="K196">
            <v>45572</v>
          </cell>
        </row>
        <row r="197">
          <cell r="A197" t="str">
            <v>50714269330</v>
          </cell>
          <cell r="B197" t="str">
            <v>ZMTD</v>
          </cell>
          <cell r="C197">
            <v>45532</v>
          </cell>
          <cell r="D197" t="str">
            <v>Partially delivered</v>
          </cell>
          <cell r="E197">
            <v>507142693</v>
          </cell>
          <cell r="F197">
            <v>30</v>
          </cell>
          <cell r="G197">
            <v>1375595</v>
          </cell>
          <cell r="H197" t="str">
            <v>LC-009:BTL/INNER CLEAR P/OMG PTIPT 60B</v>
          </cell>
          <cell r="I197">
            <v>150570</v>
          </cell>
          <cell r="J197" t="str">
            <v>UN</v>
          </cell>
          <cell r="K197">
            <v>45572</v>
          </cell>
        </row>
        <row r="198">
          <cell r="A198" t="str">
            <v>50714269340</v>
          </cell>
          <cell r="B198" t="str">
            <v>ZMTD</v>
          </cell>
          <cell r="C198">
            <v>45532</v>
          </cell>
          <cell r="D198" t="str">
            <v>Partially delivered</v>
          </cell>
          <cell r="E198">
            <v>507142693</v>
          </cell>
          <cell r="F198">
            <v>40</v>
          </cell>
          <cell r="G198">
            <v>1375593</v>
          </cell>
          <cell r="H198" t="str">
            <v>LC-009:CAP REDTRANS WIP S/OMG PTIPT 60B</v>
          </cell>
          <cell r="I198">
            <v>150570</v>
          </cell>
          <cell r="J198" t="str">
            <v>UN</v>
          </cell>
          <cell r="K198">
            <v>45572</v>
          </cell>
        </row>
        <row r="199">
          <cell r="A199" t="str">
            <v>50714268030</v>
          </cell>
          <cell r="B199" t="str">
            <v>ZMTD</v>
          </cell>
          <cell r="C199">
            <v>45530</v>
          </cell>
          <cell r="D199" t="str">
            <v>Partially delivered</v>
          </cell>
          <cell r="E199">
            <v>507142680</v>
          </cell>
          <cell r="F199">
            <v>30</v>
          </cell>
          <cell r="G199">
            <v>1209411</v>
          </cell>
          <cell r="H199" t="str">
            <v>FP-014:CV BLK SLV/QUEEN BS M.CLR VTPR</v>
          </cell>
          <cell r="I199">
            <v>24960</v>
          </cell>
          <cell r="J199" t="str">
            <v>UN</v>
          </cell>
          <cell r="K199">
            <v>45572</v>
          </cell>
        </row>
        <row r="200">
          <cell r="A200" t="str">
            <v>50714268040</v>
          </cell>
          <cell r="B200" t="str">
            <v>ZMTD</v>
          </cell>
          <cell r="C200">
            <v>45530</v>
          </cell>
          <cell r="D200" t="str">
            <v>Partially delivered</v>
          </cell>
          <cell r="E200">
            <v>507142680</v>
          </cell>
          <cell r="F200">
            <v>40</v>
          </cell>
          <cell r="G200">
            <v>1209412</v>
          </cell>
          <cell r="H200" t="str">
            <v>FP-014:SFTR W/ WHITE LABEL VTPHARM</v>
          </cell>
          <cell r="I200">
            <v>24960</v>
          </cell>
          <cell r="J200" t="str">
            <v>UN</v>
          </cell>
          <cell r="K200">
            <v>45572</v>
          </cell>
        </row>
        <row r="201">
          <cell r="A201" t="str">
            <v>50714267710</v>
          </cell>
          <cell r="B201" t="str">
            <v>ZMTD</v>
          </cell>
          <cell r="C201">
            <v>45527</v>
          </cell>
          <cell r="D201" t="str">
            <v>Partially delivered</v>
          </cell>
          <cell r="E201">
            <v>507142677</v>
          </cell>
          <cell r="F201">
            <v>10</v>
          </cell>
          <cell r="G201">
            <v>1378563</v>
          </cell>
          <cell r="H201" t="str">
            <v>CP-093:CAP D50 MT BLACK Ø.5 YASULOR 12A</v>
          </cell>
          <cell r="I201">
            <v>800000</v>
          </cell>
          <cell r="J201" t="str">
            <v>UN</v>
          </cell>
          <cell r="K201">
            <v>45572</v>
          </cell>
        </row>
        <row r="202">
          <cell r="A202" t="str">
            <v>50714266710</v>
          </cell>
          <cell r="B202" t="str">
            <v>ZMTD</v>
          </cell>
          <cell r="C202">
            <v>45525</v>
          </cell>
          <cell r="D202" t="str">
            <v>Not delivered</v>
          </cell>
          <cell r="E202">
            <v>507142667</v>
          </cell>
          <cell r="F202">
            <v>10</v>
          </cell>
          <cell r="G202">
            <v>1141323</v>
          </cell>
          <cell r="H202" t="str">
            <v>CP-063:SPOUT CAP LOREAL</v>
          </cell>
          <cell r="I202">
            <v>210000</v>
          </cell>
          <cell r="J202" t="str">
            <v>UN</v>
          </cell>
          <cell r="K202">
            <v>45572</v>
          </cell>
        </row>
        <row r="203">
          <cell r="A203" t="str">
            <v>50714265710</v>
          </cell>
          <cell r="B203" t="str">
            <v>ZMTD</v>
          </cell>
          <cell r="C203">
            <v>45524</v>
          </cell>
          <cell r="D203" t="str">
            <v>Not delivered</v>
          </cell>
          <cell r="E203">
            <v>507142657</v>
          </cell>
          <cell r="F203">
            <v>10</v>
          </cell>
          <cell r="G203">
            <v>1163327</v>
          </cell>
          <cell r="H203" t="str">
            <v>CM-246:CVR S.SLV PAN WHITE 6MPY 01 0034</v>
          </cell>
          <cell r="I203">
            <v>25056</v>
          </cell>
          <cell r="J203" t="str">
            <v>UN</v>
          </cell>
          <cell r="K203">
            <v>45572</v>
          </cell>
        </row>
        <row r="204">
          <cell r="A204" t="str">
            <v>50714263750</v>
          </cell>
          <cell r="B204" t="str">
            <v>ZMTD</v>
          </cell>
          <cell r="C204">
            <v>45519</v>
          </cell>
          <cell r="D204" t="str">
            <v>Partially delivered</v>
          </cell>
          <cell r="E204">
            <v>507142637</v>
          </cell>
          <cell r="F204">
            <v>50</v>
          </cell>
          <cell r="G204">
            <v>1408740</v>
          </cell>
          <cell r="H204" t="str">
            <v>PT-097B:BDSR.2 BLU HOUS WHT TRNS PTI12A</v>
          </cell>
          <cell r="I204">
            <v>109890</v>
          </cell>
          <cell r="J204" t="str">
            <v>UN</v>
          </cell>
          <cell r="K204">
            <v>45572</v>
          </cell>
        </row>
        <row r="205">
          <cell r="A205" t="str">
            <v>50714263760</v>
          </cell>
          <cell r="B205" t="str">
            <v>ZMTD</v>
          </cell>
          <cell r="C205">
            <v>45519</v>
          </cell>
          <cell r="D205" t="str">
            <v>Partially delivered</v>
          </cell>
          <cell r="E205">
            <v>507142637</v>
          </cell>
          <cell r="F205">
            <v>60</v>
          </cell>
          <cell r="G205">
            <v>1408739</v>
          </cell>
          <cell r="H205" t="str">
            <v>PT-097B:CAP SR.2 BLUE TRANS PTI 12A</v>
          </cell>
          <cell r="I205">
            <v>109890</v>
          </cell>
          <cell r="J205" t="str">
            <v>UN</v>
          </cell>
          <cell r="K205">
            <v>45572</v>
          </cell>
        </row>
        <row r="206">
          <cell r="A206" t="str">
            <v>50714263210</v>
          </cell>
          <cell r="B206" t="str">
            <v>ZMTD</v>
          </cell>
          <cell r="C206">
            <v>45517</v>
          </cell>
          <cell r="D206" t="str">
            <v>Partially delivered</v>
          </cell>
          <cell r="E206">
            <v>507142632</v>
          </cell>
          <cell r="F206">
            <v>10</v>
          </cell>
          <cell r="G206">
            <v>1371896</v>
          </cell>
          <cell r="H206" t="str">
            <v>RX-056:CM-316 CVR BLUE P/WHT SP/MTCLR</v>
          </cell>
          <cell r="I206">
            <v>110016</v>
          </cell>
          <cell r="J206" t="str">
            <v>UN</v>
          </cell>
          <cell r="K206">
            <v>45572</v>
          </cell>
        </row>
        <row r="207">
          <cell r="A207" t="str">
            <v>50714261920</v>
          </cell>
          <cell r="B207" t="str">
            <v>ZMTD</v>
          </cell>
          <cell r="C207">
            <v>45512</v>
          </cell>
          <cell r="D207" t="str">
            <v>Partially delivered</v>
          </cell>
          <cell r="E207">
            <v>507142619</v>
          </cell>
          <cell r="F207">
            <v>20</v>
          </cell>
          <cell r="G207">
            <v>1393998</v>
          </cell>
          <cell r="H207" t="str">
            <v>LC-003:CAP BLUE P290C P/DEW IT CSMAR 60B</v>
          </cell>
          <cell r="I207">
            <v>10020</v>
          </cell>
          <cell r="J207" t="str">
            <v>UN</v>
          </cell>
          <cell r="K207">
            <v>45572</v>
          </cell>
        </row>
        <row r="208">
          <cell r="A208" t="str">
            <v>50714261610</v>
          </cell>
          <cell r="B208" t="str">
            <v>ZMTD</v>
          </cell>
          <cell r="C208">
            <v>45511</v>
          </cell>
          <cell r="D208" t="str">
            <v>Not delivered</v>
          </cell>
          <cell r="E208">
            <v>507142616</v>
          </cell>
          <cell r="F208">
            <v>10</v>
          </cell>
          <cell r="G208">
            <v>1229927</v>
          </cell>
          <cell r="H208" t="str">
            <v>CM-273:INJ WHT 1PHS PURP PRSNAL COLCTION</v>
          </cell>
          <cell r="I208">
            <v>50000</v>
          </cell>
          <cell r="J208" t="str">
            <v>UN</v>
          </cell>
          <cell r="K208">
            <v>45572</v>
          </cell>
        </row>
        <row r="209">
          <cell r="A209" t="str">
            <v>50714259810</v>
          </cell>
          <cell r="B209" t="str">
            <v>ZMTD</v>
          </cell>
          <cell r="C209">
            <v>45509</v>
          </cell>
          <cell r="D209" t="str">
            <v>Partially delivered</v>
          </cell>
          <cell r="E209">
            <v>507142598</v>
          </cell>
          <cell r="F209">
            <v>10</v>
          </cell>
          <cell r="G209">
            <v>1233451</v>
          </cell>
          <cell r="H209" t="str">
            <v>CM-260:EYSHDW CVR BLKSPRY S/GLD VIVA 40C</v>
          </cell>
          <cell r="I209">
            <v>15120</v>
          </cell>
          <cell r="J209" t="str">
            <v>UN</v>
          </cell>
          <cell r="K209">
            <v>45572</v>
          </cell>
        </row>
        <row r="210">
          <cell r="A210" t="str">
            <v>50714259930</v>
          </cell>
          <cell r="B210" t="str">
            <v>ZMTD</v>
          </cell>
          <cell r="C210">
            <v>45509</v>
          </cell>
          <cell r="D210" t="str">
            <v>Partially delivered</v>
          </cell>
          <cell r="E210">
            <v>507142599</v>
          </cell>
          <cell r="F210">
            <v>30</v>
          </cell>
          <cell r="G210">
            <v>1153884</v>
          </cell>
          <cell r="H210" t="str">
            <v>LC-003:BTL MT B MARON P/PX MOU CSMAX 40H</v>
          </cell>
          <cell r="I210">
            <v>14380</v>
          </cell>
          <cell r="J210" t="str">
            <v>UN</v>
          </cell>
          <cell r="K210">
            <v>45572</v>
          </cell>
        </row>
        <row r="211">
          <cell r="A211" t="str">
            <v>50714258410</v>
          </cell>
          <cell r="B211" t="str">
            <v>ZMTD</v>
          </cell>
          <cell r="C211">
            <v>45502</v>
          </cell>
          <cell r="D211" t="str">
            <v>Partially delivered</v>
          </cell>
          <cell r="E211">
            <v>507142584</v>
          </cell>
          <cell r="F211">
            <v>10</v>
          </cell>
          <cell r="G211">
            <v>1388034</v>
          </cell>
          <cell r="H211" t="str">
            <v>CM-253:CV BS MTCORL P/C.BLSH RV1 PTI40H</v>
          </cell>
          <cell r="I211">
            <v>27000</v>
          </cell>
          <cell r="J211" t="str">
            <v>UN</v>
          </cell>
          <cell r="K211">
            <v>45572</v>
          </cell>
        </row>
        <row r="212">
          <cell r="A212" t="str">
            <v>50714256810</v>
          </cell>
          <cell r="B212" t="str">
            <v>ZMTD</v>
          </cell>
          <cell r="C212">
            <v>45497</v>
          </cell>
          <cell r="D212" t="str">
            <v>Partially delivered</v>
          </cell>
          <cell r="E212">
            <v>507142568</v>
          </cell>
          <cell r="F212">
            <v>10</v>
          </cell>
          <cell r="G212">
            <v>1172316</v>
          </cell>
          <cell r="H212" t="str">
            <v>CM-273:BS/CV WHITE NO DC W/LBL  MLT ELOK</v>
          </cell>
          <cell r="I212">
            <v>30000</v>
          </cell>
          <cell r="J212" t="str">
            <v>UN</v>
          </cell>
          <cell r="K212">
            <v>45572</v>
          </cell>
        </row>
        <row r="213">
          <cell r="A213" t="str">
            <v>50714254710</v>
          </cell>
          <cell r="B213" t="str">
            <v>ZMTD</v>
          </cell>
          <cell r="C213">
            <v>45492</v>
          </cell>
          <cell r="D213" t="str">
            <v>Not delivered</v>
          </cell>
          <cell r="E213">
            <v>507142547</v>
          </cell>
          <cell r="F213">
            <v>10</v>
          </cell>
          <cell r="G213">
            <v>1159912</v>
          </cell>
          <cell r="H213" t="str">
            <v>CP-064:CAP 25 SCREW BLK MT L'OREAL</v>
          </cell>
          <cell r="I213">
            <v>102000</v>
          </cell>
          <cell r="J213" t="str">
            <v>UN</v>
          </cell>
          <cell r="K213">
            <v>45572</v>
          </cell>
        </row>
        <row r="214">
          <cell r="A214" t="str">
            <v>50714254140</v>
          </cell>
          <cell r="B214" t="str">
            <v>ZMTD</v>
          </cell>
          <cell r="C214">
            <v>45490</v>
          </cell>
          <cell r="D214" t="str">
            <v>Partially delivered</v>
          </cell>
          <cell r="E214">
            <v>507142541</v>
          </cell>
          <cell r="F214">
            <v>40</v>
          </cell>
          <cell r="G214">
            <v>1409881</v>
          </cell>
          <cell r="H214" t="str">
            <v>CM-315:CVR/BS BLACK P/CVRLAST OMG RV160B</v>
          </cell>
          <cell r="I214">
            <v>28336</v>
          </cell>
          <cell r="J214" t="str">
            <v>UN</v>
          </cell>
          <cell r="K214">
            <v>45572</v>
          </cell>
        </row>
        <row r="215">
          <cell r="A215" t="str">
            <v>50714241410</v>
          </cell>
          <cell r="B215" t="str">
            <v>ZMTD</v>
          </cell>
          <cell r="C215">
            <v>45471</v>
          </cell>
          <cell r="D215" t="str">
            <v>Partially delivered</v>
          </cell>
          <cell r="E215">
            <v>507142414</v>
          </cell>
          <cell r="F215">
            <v>10</v>
          </cell>
          <cell r="G215">
            <v>1379003</v>
          </cell>
          <cell r="H215" t="str">
            <v>PT-096:CVR WHITE INEZ 12A</v>
          </cell>
          <cell r="I215">
            <v>25000</v>
          </cell>
          <cell r="J215" t="str">
            <v>UN</v>
          </cell>
          <cell r="K215">
            <v>45572</v>
          </cell>
        </row>
        <row r="216">
          <cell r="A216" t="str">
            <v>50714241420</v>
          </cell>
          <cell r="B216" t="str">
            <v>ZMTD</v>
          </cell>
          <cell r="C216">
            <v>45471</v>
          </cell>
          <cell r="D216" t="str">
            <v>Partially delivered</v>
          </cell>
          <cell r="E216">
            <v>507142414</v>
          </cell>
          <cell r="F216">
            <v>20</v>
          </cell>
          <cell r="G216">
            <v>1379004</v>
          </cell>
          <cell r="H216" t="str">
            <v>PT-096:BS MT BLUETRANS P/WHT BEAUTY INEZ</v>
          </cell>
          <cell r="I216">
            <v>25000</v>
          </cell>
          <cell r="J216" t="str">
            <v>UN</v>
          </cell>
          <cell r="K216">
            <v>45572</v>
          </cell>
        </row>
        <row r="217">
          <cell r="A217" t="str">
            <v>50714180630</v>
          </cell>
          <cell r="B217" t="str">
            <v>ZMTD</v>
          </cell>
          <cell r="C217">
            <v>45350</v>
          </cell>
          <cell r="D217" t="str">
            <v>Partially delivered</v>
          </cell>
          <cell r="E217">
            <v>507141806</v>
          </cell>
          <cell r="F217">
            <v>30</v>
          </cell>
          <cell r="G217">
            <v>1404888</v>
          </cell>
          <cell r="H217" t="str">
            <v>LS-091:BS MGNTA P/SHEER COLOR ROHTO 60B</v>
          </cell>
          <cell r="I217">
            <v>14820</v>
          </cell>
          <cell r="J217" t="str">
            <v>UN</v>
          </cell>
          <cell r="K217">
            <v>45572</v>
          </cell>
        </row>
        <row r="218">
          <cell r="A218" t="str">
            <v>50714180640</v>
          </cell>
          <cell r="B218" t="str">
            <v>ZMTD</v>
          </cell>
          <cell r="C218">
            <v>45350</v>
          </cell>
          <cell r="D218" t="str">
            <v>Partially delivered</v>
          </cell>
          <cell r="E218">
            <v>507141806</v>
          </cell>
          <cell r="F218">
            <v>40</v>
          </cell>
          <cell r="G218">
            <v>1407562</v>
          </cell>
          <cell r="H218" t="str">
            <v>LS-091:CVR MGNTA GRAD UV P/MIXBRIE ROHTO</v>
          </cell>
          <cell r="I218">
            <v>14820</v>
          </cell>
          <cell r="J218" t="str">
            <v>UN</v>
          </cell>
          <cell r="K218">
            <v>45572</v>
          </cell>
        </row>
        <row r="219">
          <cell r="A219" t="str">
            <v>50714180810</v>
          </cell>
          <cell r="B219" t="str">
            <v>ZMTD</v>
          </cell>
          <cell r="C219">
            <v>45350</v>
          </cell>
          <cell r="D219" t="str">
            <v>Not delivered</v>
          </cell>
          <cell r="E219">
            <v>507141808</v>
          </cell>
          <cell r="F219">
            <v>10</v>
          </cell>
          <cell r="G219">
            <v>1404888</v>
          </cell>
          <cell r="H219" t="str">
            <v>LS-091:BS MGNTA P/SHEER COLOR ROHTO 60B</v>
          </cell>
          <cell r="I219">
            <v>14820</v>
          </cell>
          <cell r="J219" t="str">
            <v>UN</v>
          </cell>
          <cell r="K219">
            <v>45572</v>
          </cell>
        </row>
        <row r="220">
          <cell r="A220" t="str">
            <v>50714180820</v>
          </cell>
          <cell r="B220" t="str">
            <v>ZMTD</v>
          </cell>
          <cell r="C220">
            <v>45350</v>
          </cell>
          <cell r="D220" t="str">
            <v>Not delivered</v>
          </cell>
          <cell r="E220">
            <v>507141808</v>
          </cell>
          <cell r="F220">
            <v>20</v>
          </cell>
          <cell r="G220">
            <v>1404886</v>
          </cell>
          <cell r="H220" t="str">
            <v>LS-091:CVR MGNTA GRAD UV P/CHERRY ROHTO</v>
          </cell>
          <cell r="I220">
            <v>14820</v>
          </cell>
          <cell r="J220" t="str">
            <v>UN</v>
          </cell>
          <cell r="K220">
            <v>45572</v>
          </cell>
        </row>
        <row r="221">
          <cell r="A221" t="str">
            <v>50714273610</v>
          </cell>
          <cell r="B221" t="str">
            <v>ZMTD</v>
          </cell>
          <cell r="C221">
            <v>45544</v>
          </cell>
          <cell r="D221" t="str">
            <v>Not delivered</v>
          </cell>
          <cell r="E221">
            <v>507142736</v>
          </cell>
          <cell r="F221">
            <v>10</v>
          </cell>
          <cell r="G221">
            <v>1408740</v>
          </cell>
          <cell r="H221" t="str">
            <v>PT-097B:BDSR.2 BLU HOUS WHT TRNS PTI12A</v>
          </cell>
          <cell r="I221">
            <v>110160</v>
          </cell>
          <cell r="J221" t="str">
            <v>UN</v>
          </cell>
          <cell r="K221">
            <v>45573</v>
          </cell>
        </row>
        <row r="222">
          <cell r="A222" t="str">
            <v>50714273620</v>
          </cell>
          <cell r="B222" t="str">
            <v>ZMTD</v>
          </cell>
          <cell r="C222">
            <v>45544</v>
          </cell>
          <cell r="D222" t="str">
            <v>Not delivered</v>
          </cell>
          <cell r="E222">
            <v>507142736</v>
          </cell>
          <cell r="F222">
            <v>20</v>
          </cell>
          <cell r="G222">
            <v>1408739</v>
          </cell>
          <cell r="H222" t="str">
            <v>PT-097B:CAP SR.2 BLUE TRANS PTI 12A</v>
          </cell>
          <cell r="I222">
            <v>110160</v>
          </cell>
          <cell r="J222" t="str">
            <v>UN</v>
          </cell>
          <cell r="K222">
            <v>45573</v>
          </cell>
        </row>
        <row r="223">
          <cell r="A223" t="str">
            <v>50714273920</v>
          </cell>
          <cell r="B223" t="str">
            <v>ZMTD</v>
          </cell>
          <cell r="C223">
            <v>45544</v>
          </cell>
          <cell r="D223" t="str">
            <v>Not delivered</v>
          </cell>
          <cell r="E223">
            <v>507142739</v>
          </cell>
          <cell r="F223">
            <v>20</v>
          </cell>
          <cell r="G223">
            <v>1409881</v>
          </cell>
          <cell r="H223" t="str">
            <v>CM-315:CVR/BS BLACK P/CVRLAST OMG RV160B</v>
          </cell>
          <cell r="I223">
            <v>50204</v>
          </cell>
          <cell r="J223" t="str">
            <v>UN</v>
          </cell>
          <cell r="K223">
            <v>45573</v>
          </cell>
        </row>
        <row r="224">
          <cell r="A224" t="str">
            <v>50714274010</v>
          </cell>
          <cell r="B224" t="str">
            <v>ZMTD</v>
          </cell>
          <cell r="C224">
            <v>45544</v>
          </cell>
          <cell r="D224" t="str">
            <v>Not delivered</v>
          </cell>
          <cell r="E224">
            <v>507142740</v>
          </cell>
          <cell r="F224">
            <v>10</v>
          </cell>
          <cell r="G224">
            <v>1340516</v>
          </cell>
          <cell r="H224" t="str">
            <v>CM-133:CVR BS MTLC GRN UV DP S/WARDH 30T</v>
          </cell>
          <cell r="I224">
            <v>10080</v>
          </cell>
          <cell r="J224" t="str">
            <v>UN</v>
          </cell>
          <cell r="K224">
            <v>45573</v>
          </cell>
        </row>
        <row r="225">
          <cell r="A225" t="str">
            <v>50714272510</v>
          </cell>
          <cell r="B225" t="str">
            <v>ZMTD</v>
          </cell>
          <cell r="C225">
            <v>45541</v>
          </cell>
          <cell r="D225" t="str">
            <v>Not delivered</v>
          </cell>
          <cell r="E225">
            <v>507142725</v>
          </cell>
          <cell r="F225">
            <v>10</v>
          </cell>
          <cell r="G225">
            <v>1420605</v>
          </cell>
          <cell r="H225" t="str">
            <v>CM-253:CV BS MT BRICK 06 P/C.BLSH PTI40H</v>
          </cell>
          <cell r="I225">
            <v>15120</v>
          </cell>
          <cell r="J225" t="str">
            <v>UN</v>
          </cell>
          <cell r="K225">
            <v>45573</v>
          </cell>
        </row>
        <row r="226">
          <cell r="A226" t="str">
            <v>50714268110</v>
          </cell>
          <cell r="B226" t="str">
            <v>ZMTD</v>
          </cell>
          <cell r="C226">
            <v>45532</v>
          </cell>
          <cell r="D226" t="str">
            <v>Partially delivered</v>
          </cell>
          <cell r="E226">
            <v>507142681</v>
          </cell>
          <cell r="F226">
            <v>10</v>
          </cell>
          <cell r="G226">
            <v>1141323</v>
          </cell>
          <cell r="H226" t="str">
            <v>CP-063:SPOUT CAP LOREAL</v>
          </cell>
          <cell r="I226">
            <v>1890000</v>
          </cell>
          <cell r="J226" t="str">
            <v>UN</v>
          </cell>
          <cell r="K226">
            <v>45573</v>
          </cell>
        </row>
        <row r="227">
          <cell r="A227" t="str">
            <v>50714268610</v>
          </cell>
          <cell r="B227" t="str">
            <v>ZMTD</v>
          </cell>
          <cell r="C227">
            <v>45532</v>
          </cell>
          <cell r="D227" t="str">
            <v>Partially delivered</v>
          </cell>
          <cell r="E227">
            <v>507142686</v>
          </cell>
          <cell r="F227">
            <v>10</v>
          </cell>
          <cell r="G227">
            <v>1420861</v>
          </cell>
          <cell r="H227" t="str">
            <v>CM-253:CV BS MT PLUM 05  P/C.BLSH PTI40H</v>
          </cell>
          <cell r="I227">
            <v>15120</v>
          </cell>
          <cell r="J227" t="str">
            <v>UN</v>
          </cell>
          <cell r="K227">
            <v>45573</v>
          </cell>
        </row>
        <row r="228">
          <cell r="A228" t="str">
            <v>50800525230</v>
          </cell>
          <cell r="B228" t="str">
            <v>ZMFD</v>
          </cell>
          <cell r="C228">
            <v>45512</v>
          </cell>
          <cell r="D228" t="str">
            <v>Not delivered</v>
          </cell>
          <cell r="E228">
            <v>508005252</v>
          </cell>
          <cell r="F228">
            <v>30</v>
          </cell>
          <cell r="G228">
            <v>1382368</v>
          </cell>
          <cell r="H228" t="str">
            <v>CP-067R:FT CAP35 SNAP BLK MATTE  Ø5 LRL</v>
          </cell>
          <cell r="I228">
            <v>400000</v>
          </cell>
          <cell r="J228" t="str">
            <v>UN</v>
          </cell>
          <cell r="K228">
            <v>45573</v>
          </cell>
        </row>
        <row r="229">
          <cell r="A229" t="str">
            <v>50714257810</v>
          </cell>
          <cell r="B229" t="str">
            <v>ZMTD</v>
          </cell>
          <cell r="C229">
            <v>45502</v>
          </cell>
          <cell r="D229" t="str">
            <v>Partially delivered</v>
          </cell>
          <cell r="E229">
            <v>507142578</v>
          </cell>
          <cell r="F229">
            <v>10</v>
          </cell>
          <cell r="G229">
            <v>1432954</v>
          </cell>
          <cell r="H229" t="str">
            <v>LC-002:CAP RED P/SPICYCHARM RAMA 60B</v>
          </cell>
          <cell r="I229">
            <v>31000</v>
          </cell>
          <cell r="J229" t="str">
            <v>UN</v>
          </cell>
          <cell r="K229">
            <v>45573</v>
          </cell>
        </row>
        <row r="230">
          <cell r="A230" t="str">
            <v>50714257820</v>
          </cell>
          <cell r="B230" t="str">
            <v>ZMTD</v>
          </cell>
          <cell r="C230">
            <v>45502</v>
          </cell>
          <cell r="D230" t="str">
            <v>Partially delivered</v>
          </cell>
          <cell r="E230">
            <v>507142578</v>
          </cell>
          <cell r="F230">
            <v>20</v>
          </cell>
          <cell r="G230">
            <v>1433095</v>
          </cell>
          <cell r="H230" t="str">
            <v>LC-002:BTL CLR HTF/SPICY CHRM CHILI RAMA</v>
          </cell>
          <cell r="I230">
            <v>31000</v>
          </cell>
          <cell r="J230" t="str">
            <v>UN</v>
          </cell>
          <cell r="K230">
            <v>45573</v>
          </cell>
        </row>
        <row r="231">
          <cell r="A231" t="str">
            <v>50714257830</v>
          </cell>
          <cell r="B231" t="str">
            <v>ZMTD</v>
          </cell>
          <cell r="C231">
            <v>45502</v>
          </cell>
          <cell r="D231" t="str">
            <v>Partially delivered</v>
          </cell>
          <cell r="E231">
            <v>507142578</v>
          </cell>
          <cell r="F231">
            <v>30</v>
          </cell>
          <cell r="G231">
            <v>1433092</v>
          </cell>
          <cell r="H231" t="str">
            <v>LC-002:CAP PINK P/BLUSH BLSOM RAMA 60B</v>
          </cell>
          <cell r="I231">
            <v>31000</v>
          </cell>
          <cell r="J231" t="str">
            <v>UN</v>
          </cell>
          <cell r="K231">
            <v>45573</v>
          </cell>
        </row>
        <row r="232">
          <cell r="A232" t="str">
            <v>50714257840</v>
          </cell>
          <cell r="B232" t="str">
            <v>ZMTD</v>
          </cell>
          <cell r="C232">
            <v>45502</v>
          </cell>
          <cell r="D232" t="str">
            <v>Partially delivered</v>
          </cell>
          <cell r="E232">
            <v>507142578</v>
          </cell>
          <cell r="F232">
            <v>40</v>
          </cell>
          <cell r="G232">
            <v>1432953</v>
          </cell>
          <cell r="H232" t="str">
            <v>LC-002:BTL CLR HTF/BLUSH BLSOMCHILI RAMA</v>
          </cell>
          <cell r="I232">
            <v>31000</v>
          </cell>
          <cell r="J232" t="str">
            <v>UN</v>
          </cell>
          <cell r="K232">
            <v>45573</v>
          </cell>
        </row>
        <row r="233">
          <cell r="A233" t="str">
            <v>50714257850</v>
          </cell>
          <cell r="B233" t="str">
            <v>ZMTD</v>
          </cell>
          <cell r="C233">
            <v>45502</v>
          </cell>
          <cell r="D233" t="str">
            <v>Partially delivered</v>
          </cell>
          <cell r="E233">
            <v>507142578</v>
          </cell>
          <cell r="F233">
            <v>50</v>
          </cell>
          <cell r="G233">
            <v>1433012</v>
          </cell>
          <cell r="H233" t="str">
            <v>LC-002:CAP ORANGE P/SUNKISTOMATO RAMA60B</v>
          </cell>
          <cell r="I233">
            <v>31000</v>
          </cell>
          <cell r="J233" t="str">
            <v>UN</v>
          </cell>
          <cell r="K233">
            <v>45573</v>
          </cell>
        </row>
        <row r="234">
          <cell r="A234" t="str">
            <v>50714257860</v>
          </cell>
          <cell r="B234" t="str">
            <v>ZMTD</v>
          </cell>
          <cell r="C234">
            <v>45502</v>
          </cell>
          <cell r="D234" t="str">
            <v>Partially delivered</v>
          </cell>
          <cell r="E234">
            <v>507142578</v>
          </cell>
          <cell r="F234">
            <v>60</v>
          </cell>
          <cell r="G234">
            <v>1433011</v>
          </cell>
          <cell r="H234" t="str">
            <v>LC-002:BTL CLR HTF/SUNKISSEDTOMATO RAMA</v>
          </cell>
          <cell r="I234">
            <v>31000</v>
          </cell>
          <cell r="J234" t="str">
            <v>UN</v>
          </cell>
          <cell r="K234">
            <v>45573</v>
          </cell>
        </row>
        <row r="235">
          <cell r="A235" t="str">
            <v>50714256230</v>
          </cell>
          <cell r="B235" t="str">
            <v>ZMTD</v>
          </cell>
          <cell r="C235">
            <v>45496</v>
          </cell>
          <cell r="D235" t="str">
            <v>Not delivered</v>
          </cell>
          <cell r="E235">
            <v>507142562</v>
          </cell>
          <cell r="F235">
            <v>30</v>
          </cell>
          <cell r="G235">
            <v>1428696</v>
          </cell>
          <cell r="H235" t="str">
            <v>PT-055:BD ANTI-PERS 94006-BS2 INERPARFUM</v>
          </cell>
          <cell r="I235">
            <v>81675</v>
          </cell>
          <cell r="J235" t="str">
            <v>UN</v>
          </cell>
          <cell r="K235">
            <v>45573</v>
          </cell>
        </row>
        <row r="236">
          <cell r="A236" t="str">
            <v>50714256240</v>
          </cell>
          <cell r="B236" t="str">
            <v>ZMTD</v>
          </cell>
          <cell r="C236">
            <v>45496</v>
          </cell>
          <cell r="D236" t="str">
            <v>Not delivered</v>
          </cell>
          <cell r="E236">
            <v>507142562</v>
          </cell>
          <cell r="F236">
            <v>40</v>
          </cell>
          <cell r="G236">
            <v>1313073</v>
          </cell>
          <cell r="H236" t="str">
            <v>PT-055:PLUG BEIGE CASHMERE INTERPARFUM</v>
          </cell>
          <cell r="I236">
            <v>83430</v>
          </cell>
          <cell r="J236" t="str">
            <v>UN</v>
          </cell>
          <cell r="K236">
            <v>45573</v>
          </cell>
        </row>
        <row r="237">
          <cell r="A237" t="str">
            <v>50714241630</v>
          </cell>
          <cell r="B237" t="str">
            <v>ZMTD</v>
          </cell>
          <cell r="C237">
            <v>45474</v>
          </cell>
          <cell r="D237" t="str">
            <v>Not delivered</v>
          </cell>
          <cell r="E237">
            <v>507142416</v>
          </cell>
          <cell r="F237">
            <v>30</v>
          </cell>
          <cell r="G237">
            <v>1376248</v>
          </cell>
          <cell r="H237" t="str">
            <v>FP-008:CVR L.PINK P/BLK MANDOM RV1 12A</v>
          </cell>
          <cell r="I237">
            <v>10000</v>
          </cell>
          <cell r="J237" t="str">
            <v>UN</v>
          </cell>
          <cell r="K237">
            <v>45573</v>
          </cell>
        </row>
        <row r="238">
          <cell r="A238" t="str">
            <v>50714241640</v>
          </cell>
          <cell r="B238" t="str">
            <v>ZMTD</v>
          </cell>
          <cell r="C238">
            <v>45474</v>
          </cell>
          <cell r="D238" t="str">
            <v>Not delivered</v>
          </cell>
          <cell r="E238">
            <v>507142416</v>
          </cell>
          <cell r="F238">
            <v>40</v>
          </cell>
          <cell r="G238">
            <v>1171179</v>
          </cell>
          <cell r="H238" t="str">
            <v>FP-008:BS INJ BLK NO DC MANDOM</v>
          </cell>
          <cell r="I238">
            <v>10000</v>
          </cell>
          <cell r="J238" t="str">
            <v>UN</v>
          </cell>
          <cell r="K238">
            <v>45573</v>
          </cell>
        </row>
        <row r="239">
          <cell r="A239" t="str">
            <v>50714241650</v>
          </cell>
          <cell r="B239" t="str">
            <v>ZMTD</v>
          </cell>
          <cell r="C239">
            <v>45474</v>
          </cell>
          <cell r="D239" t="str">
            <v>Not delivered</v>
          </cell>
          <cell r="E239">
            <v>507142416</v>
          </cell>
          <cell r="F239">
            <v>50</v>
          </cell>
          <cell r="G239">
            <v>1172027</v>
          </cell>
          <cell r="H239" t="str">
            <v>FP-008:SFT NAT L.HINGE W/LBL NO DC MDM</v>
          </cell>
          <cell r="I239">
            <v>10000</v>
          </cell>
          <cell r="J239" t="str">
            <v>UN</v>
          </cell>
          <cell r="K239">
            <v>45573</v>
          </cell>
        </row>
        <row r="240">
          <cell r="A240" t="str">
            <v>507142416120</v>
          </cell>
          <cell r="B240" t="str">
            <v>ZMTD</v>
          </cell>
          <cell r="C240">
            <v>45474</v>
          </cell>
          <cell r="D240" t="str">
            <v>Not delivered</v>
          </cell>
          <cell r="E240">
            <v>507142416</v>
          </cell>
          <cell r="F240">
            <v>120</v>
          </cell>
          <cell r="G240">
            <v>1255971</v>
          </cell>
          <cell r="H240" t="str">
            <v>LS-285:COVER PINK PX LCC NO DC MNDOM 12A</v>
          </cell>
          <cell r="I240">
            <v>10000</v>
          </cell>
          <cell r="J240" t="str">
            <v>UN</v>
          </cell>
          <cell r="K240">
            <v>45573</v>
          </cell>
        </row>
        <row r="241">
          <cell r="A241" t="str">
            <v>507142416130</v>
          </cell>
          <cell r="B241" t="str">
            <v>ZMTD</v>
          </cell>
          <cell r="C241">
            <v>45474</v>
          </cell>
          <cell r="D241" t="str">
            <v>Not delivered</v>
          </cell>
          <cell r="E241">
            <v>507142416</v>
          </cell>
          <cell r="F241">
            <v>130</v>
          </cell>
          <cell r="G241">
            <v>1393255</v>
          </cell>
          <cell r="H241" t="str">
            <v>LS-285:BS PINK PX LCC P/BLK MNDOM RV160B</v>
          </cell>
          <cell r="I241">
            <v>10000</v>
          </cell>
          <cell r="J241" t="str">
            <v>UN</v>
          </cell>
          <cell r="K241">
            <v>45573</v>
          </cell>
        </row>
        <row r="242">
          <cell r="A242" t="str">
            <v>50714227710</v>
          </cell>
          <cell r="B242" t="str">
            <v>ZMTD</v>
          </cell>
          <cell r="C242">
            <v>45447</v>
          </cell>
          <cell r="D242" t="str">
            <v>Not delivered</v>
          </cell>
          <cell r="E242">
            <v>507142277</v>
          </cell>
          <cell r="F242">
            <v>10</v>
          </cell>
          <cell r="G242">
            <v>1419488</v>
          </cell>
          <cell r="H242" t="str">
            <v>CP-063R:SPOUT CAP WHITE LOREAL 12A</v>
          </cell>
          <cell r="I242">
            <v>1890000</v>
          </cell>
          <cell r="J242" t="str">
            <v>UN</v>
          </cell>
          <cell r="K242">
            <v>45573</v>
          </cell>
        </row>
        <row r="243">
          <cell r="A243" t="str">
            <v>50714275730</v>
          </cell>
          <cell r="B243" t="str">
            <v>ZMTD</v>
          </cell>
          <cell r="C243">
            <v>45547</v>
          </cell>
          <cell r="D243" t="str">
            <v>Not delivered</v>
          </cell>
          <cell r="E243">
            <v>507142757</v>
          </cell>
          <cell r="F243">
            <v>30</v>
          </cell>
          <cell r="G243">
            <v>1411701</v>
          </cell>
          <cell r="H243" t="str">
            <v>PT-100:BS/INS BLUE P/WHT KAHF PTI 60B</v>
          </cell>
          <cell r="I243">
            <v>120064</v>
          </cell>
          <cell r="J243" t="str">
            <v>UN</v>
          </cell>
          <cell r="K243">
            <v>45574</v>
          </cell>
        </row>
        <row r="244">
          <cell r="A244" t="str">
            <v>50714275740</v>
          </cell>
          <cell r="B244" t="str">
            <v>ZMTD</v>
          </cell>
          <cell r="C244">
            <v>45547</v>
          </cell>
          <cell r="D244" t="str">
            <v>Not delivered</v>
          </cell>
          <cell r="E244">
            <v>507142757</v>
          </cell>
          <cell r="F244">
            <v>40</v>
          </cell>
          <cell r="G244">
            <v>1411700</v>
          </cell>
          <cell r="H244" t="str">
            <v>PT-100:CVR MT.BLUE EMBOS KAHF PTI 40D</v>
          </cell>
          <cell r="I244">
            <v>120064</v>
          </cell>
          <cell r="J244" t="str">
            <v>UN</v>
          </cell>
          <cell r="K244">
            <v>45574</v>
          </cell>
        </row>
        <row r="245">
          <cell r="A245" t="str">
            <v>50714273210</v>
          </cell>
          <cell r="B245" t="str">
            <v>ZMTD</v>
          </cell>
          <cell r="C245">
            <v>45544</v>
          </cell>
          <cell r="D245" t="str">
            <v>Partially delivered</v>
          </cell>
          <cell r="E245">
            <v>507142732</v>
          </cell>
          <cell r="F245">
            <v>10</v>
          </cell>
          <cell r="G245">
            <v>1411213</v>
          </cell>
          <cell r="H245" t="str">
            <v>CM-105:BLCK COAT P/MAKE OVER PTI RV1 40H</v>
          </cell>
          <cell r="I245">
            <v>20160</v>
          </cell>
          <cell r="J245" t="str">
            <v>UN</v>
          </cell>
          <cell r="K245">
            <v>45574</v>
          </cell>
        </row>
        <row r="246">
          <cell r="A246" t="str">
            <v>50714269350</v>
          </cell>
          <cell r="B246" t="str">
            <v>ZMTD</v>
          </cell>
          <cell r="C246">
            <v>45532</v>
          </cell>
          <cell r="D246" t="str">
            <v>Not delivered</v>
          </cell>
          <cell r="E246">
            <v>507142693</v>
          </cell>
          <cell r="F246">
            <v>50</v>
          </cell>
          <cell r="G246">
            <v>1375595</v>
          </cell>
          <cell r="H246" t="str">
            <v>LC-009:BTL/INNER CLEAR P/OMG PTIPT 60B</v>
          </cell>
          <cell r="I246">
            <v>149310</v>
          </cell>
          <cell r="J246" t="str">
            <v>UN</v>
          </cell>
          <cell r="K246">
            <v>45574</v>
          </cell>
        </row>
        <row r="247">
          <cell r="A247" t="str">
            <v>50714269360</v>
          </cell>
          <cell r="B247" t="str">
            <v>ZMTD</v>
          </cell>
          <cell r="C247">
            <v>45532</v>
          </cell>
          <cell r="D247" t="str">
            <v>Not delivered</v>
          </cell>
          <cell r="E247">
            <v>507142693</v>
          </cell>
          <cell r="F247">
            <v>60</v>
          </cell>
          <cell r="G247">
            <v>1375593</v>
          </cell>
          <cell r="H247" t="str">
            <v>LC-009:CAP REDTRANS WIP S/OMG PTIPT 60B</v>
          </cell>
          <cell r="I247">
            <v>149310</v>
          </cell>
          <cell r="J247" t="str">
            <v>UN</v>
          </cell>
          <cell r="K247">
            <v>45574</v>
          </cell>
        </row>
        <row r="248">
          <cell r="A248" t="str">
            <v>50714260310</v>
          </cell>
          <cell r="B248" t="str">
            <v>ZMTD</v>
          </cell>
          <cell r="C248">
            <v>45509</v>
          </cell>
          <cell r="D248" t="str">
            <v>Not delivered</v>
          </cell>
          <cell r="E248">
            <v>507142603</v>
          </cell>
          <cell r="F248">
            <v>10</v>
          </cell>
          <cell r="G248">
            <v>1217479</v>
          </cell>
          <cell r="H248" t="str">
            <v>CM-172:8W UV SLV P/ S.CLNQ 6P40010031 EL</v>
          </cell>
          <cell r="I248">
            <v>25080</v>
          </cell>
          <cell r="J248" t="str">
            <v>UN</v>
          </cell>
          <cell r="K248">
            <v>45574</v>
          </cell>
        </row>
        <row r="249">
          <cell r="A249" t="str">
            <v>50714257910</v>
          </cell>
          <cell r="B249" t="str">
            <v>ZMTD</v>
          </cell>
          <cell r="C249">
            <v>45502</v>
          </cell>
          <cell r="D249" t="str">
            <v>Not delivered</v>
          </cell>
          <cell r="E249">
            <v>507142579</v>
          </cell>
          <cell r="F249">
            <v>10</v>
          </cell>
          <cell r="G249">
            <v>1159912</v>
          </cell>
          <cell r="H249" t="str">
            <v>CP-064:CAP 25 SCREW BLK MT L'OREAL</v>
          </cell>
          <cell r="I249">
            <v>48000</v>
          </cell>
          <cell r="J249" t="str">
            <v>UN</v>
          </cell>
          <cell r="K249">
            <v>45574</v>
          </cell>
        </row>
        <row r="250">
          <cell r="A250" t="str">
            <v>50714250620</v>
          </cell>
          <cell r="B250" t="str">
            <v>ZMTD</v>
          </cell>
          <cell r="C250">
            <v>45488</v>
          </cell>
          <cell r="D250" t="str">
            <v>Partially delivered</v>
          </cell>
          <cell r="E250">
            <v>507142506</v>
          </cell>
          <cell r="F250">
            <v>20</v>
          </cell>
          <cell r="G250">
            <v>1276491</v>
          </cell>
          <cell r="H250" t="str">
            <v>CM-105:CV VM RSGLD BS MT P/INSTA PTI 20X</v>
          </cell>
          <cell r="I250">
            <v>24960</v>
          </cell>
          <cell r="J250" t="str">
            <v>UN</v>
          </cell>
          <cell r="K250">
            <v>45574</v>
          </cell>
        </row>
        <row r="251">
          <cell r="A251" t="str">
            <v>50714277010</v>
          </cell>
          <cell r="B251" t="str">
            <v>ZMTD</v>
          </cell>
          <cell r="C251">
            <v>45554</v>
          </cell>
          <cell r="D251" t="str">
            <v>Not delivered</v>
          </cell>
          <cell r="E251">
            <v>507142770</v>
          </cell>
          <cell r="F251">
            <v>10</v>
          </cell>
          <cell r="G251">
            <v>1378563</v>
          </cell>
          <cell r="H251" t="str">
            <v>CP-093:CAP D50 MT BLACK Ø.5 YASULOR 12A</v>
          </cell>
          <cell r="I251">
            <v>600000</v>
          </cell>
          <cell r="J251" t="str">
            <v>UN</v>
          </cell>
          <cell r="K251">
            <v>45575</v>
          </cell>
        </row>
        <row r="252">
          <cell r="A252" t="str">
            <v>50714276910</v>
          </cell>
          <cell r="B252" t="str">
            <v>ZMTD</v>
          </cell>
          <cell r="C252">
            <v>45553</v>
          </cell>
          <cell r="D252" t="str">
            <v>Not delivered</v>
          </cell>
          <cell r="E252">
            <v>507142769</v>
          </cell>
          <cell r="F252">
            <v>10</v>
          </cell>
          <cell r="G252">
            <v>1167571</v>
          </cell>
          <cell r="H252" t="str">
            <v>FP-014:BS CLEAR NO DC PTI</v>
          </cell>
          <cell r="I252">
            <v>30096</v>
          </cell>
          <cell r="J252" t="str">
            <v>UN</v>
          </cell>
          <cell r="K252">
            <v>45575</v>
          </cell>
        </row>
        <row r="253">
          <cell r="A253" t="str">
            <v>50714276920</v>
          </cell>
          <cell r="B253" t="str">
            <v>ZMTD</v>
          </cell>
          <cell r="C253">
            <v>45553</v>
          </cell>
          <cell r="D253" t="str">
            <v>Not delivered</v>
          </cell>
          <cell r="E253">
            <v>507142769</v>
          </cell>
          <cell r="F253">
            <v>20</v>
          </cell>
          <cell r="G253">
            <v>1174020</v>
          </cell>
          <cell r="H253" t="str">
            <v>FP-014:CVR BLCK COAT P/DC MAKE OVER  PTI</v>
          </cell>
          <cell r="I253">
            <v>30096</v>
          </cell>
          <cell r="J253" t="str">
            <v>UN</v>
          </cell>
          <cell r="K253">
            <v>45575</v>
          </cell>
        </row>
        <row r="254">
          <cell r="A254" t="str">
            <v>50714276930</v>
          </cell>
          <cell r="B254" t="str">
            <v>ZMTD</v>
          </cell>
          <cell r="C254">
            <v>45553</v>
          </cell>
          <cell r="D254" t="str">
            <v>Not delivered</v>
          </cell>
          <cell r="E254">
            <v>507142769</v>
          </cell>
          <cell r="F254">
            <v>30</v>
          </cell>
          <cell r="G254">
            <v>1167434</v>
          </cell>
          <cell r="H254" t="str">
            <v>FP-014:SFTR NATURAL W/ LABEL POLOS PTI</v>
          </cell>
          <cell r="I254">
            <v>30096</v>
          </cell>
          <cell r="J254" t="str">
            <v>UN</v>
          </cell>
          <cell r="K254">
            <v>45575</v>
          </cell>
        </row>
        <row r="255">
          <cell r="A255" t="str">
            <v>50714274210</v>
          </cell>
          <cell r="B255" t="str">
            <v>ZMTD</v>
          </cell>
          <cell r="C255">
            <v>45544</v>
          </cell>
          <cell r="D255" t="str">
            <v>Not delivered</v>
          </cell>
          <cell r="E255">
            <v>507142742</v>
          </cell>
          <cell r="F255">
            <v>10</v>
          </cell>
          <cell r="G255">
            <v>1437039</v>
          </cell>
          <cell r="H255" t="str">
            <v>CM-290:1PC BS CV MT.BLK S/ EMBOS OMG 40C</v>
          </cell>
          <cell r="I255">
            <v>28560</v>
          </cell>
          <cell r="J255" t="str">
            <v>UN</v>
          </cell>
          <cell r="K255">
            <v>45575</v>
          </cell>
        </row>
        <row r="256">
          <cell r="A256" t="str">
            <v>50714274220</v>
          </cell>
          <cell r="B256" t="str">
            <v>ZMTD</v>
          </cell>
          <cell r="C256">
            <v>45544</v>
          </cell>
          <cell r="D256" t="str">
            <v>Not delivered</v>
          </cell>
          <cell r="E256">
            <v>507142742</v>
          </cell>
          <cell r="F256">
            <v>20</v>
          </cell>
          <cell r="G256">
            <v>1437140</v>
          </cell>
          <cell r="H256" t="str">
            <v>CM-290:ENGINE CV RED, BS BLK OMG PTI 12A</v>
          </cell>
          <cell r="I256">
            <v>35112</v>
          </cell>
          <cell r="J256" t="str">
            <v>UN</v>
          </cell>
          <cell r="K256">
            <v>45575</v>
          </cell>
        </row>
        <row r="257">
          <cell r="A257" t="str">
            <v>50714274230</v>
          </cell>
          <cell r="B257" t="str">
            <v>ZMTD</v>
          </cell>
          <cell r="C257">
            <v>45544</v>
          </cell>
          <cell r="D257" t="str">
            <v>Not delivered</v>
          </cell>
          <cell r="E257">
            <v>507142742</v>
          </cell>
          <cell r="F257">
            <v>30</v>
          </cell>
          <cell r="G257">
            <v>1437141</v>
          </cell>
          <cell r="H257" t="str">
            <v>CM-290:RING BLACK OMG PTI 12A</v>
          </cell>
          <cell r="I257">
            <v>35112</v>
          </cell>
          <cell r="J257" t="str">
            <v>UN</v>
          </cell>
          <cell r="K257">
            <v>45575</v>
          </cell>
        </row>
        <row r="258">
          <cell r="A258" t="str">
            <v>50714274310</v>
          </cell>
          <cell r="B258" t="str">
            <v>ZMTD</v>
          </cell>
          <cell r="C258">
            <v>45544</v>
          </cell>
          <cell r="D258" t="str">
            <v>Not delivered</v>
          </cell>
          <cell r="E258">
            <v>507142743</v>
          </cell>
          <cell r="F258">
            <v>10</v>
          </cell>
          <cell r="G258">
            <v>1388036</v>
          </cell>
          <cell r="H258" t="str">
            <v>CM-253:CV BS MTMAUVE P/C.BLSH RV1 PTI40H</v>
          </cell>
          <cell r="I258">
            <v>15120</v>
          </cell>
          <cell r="J258" t="str">
            <v>UN</v>
          </cell>
          <cell r="K258">
            <v>45575</v>
          </cell>
        </row>
        <row r="259">
          <cell r="A259" t="str">
            <v>50714272710</v>
          </cell>
          <cell r="B259" t="str">
            <v>ZMTD</v>
          </cell>
          <cell r="C259">
            <v>45541</v>
          </cell>
          <cell r="D259" t="str">
            <v>Not delivered</v>
          </cell>
          <cell r="E259">
            <v>507142727</v>
          </cell>
          <cell r="F259">
            <v>10</v>
          </cell>
          <cell r="G259">
            <v>1285453</v>
          </cell>
          <cell r="H259" t="str">
            <v>CM-216:TRUE MATCH PP CV PF S/SLV LOR US</v>
          </cell>
          <cell r="I259">
            <v>125400</v>
          </cell>
          <cell r="J259" t="str">
            <v>UN</v>
          </cell>
          <cell r="K259">
            <v>45575</v>
          </cell>
        </row>
        <row r="260">
          <cell r="A260" t="str">
            <v>50714257410</v>
          </cell>
          <cell r="B260" t="str">
            <v>ZMTD</v>
          </cell>
          <cell r="C260">
            <v>45499</v>
          </cell>
          <cell r="D260" t="str">
            <v>Not delivered</v>
          </cell>
          <cell r="E260">
            <v>507142574</v>
          </cell>
          <cell r="F260">
            <v>10</v>
          </cell>
          <cell r="G260">
            <v>1431860</v>
          </cell>
          <cell r="H260" t="str">
            <v>PT6029R CAP GARNIER 18ML WHITE PLZ (553)</v>
          </cell>
          <cell r="I260">
            <v>52080</v>
          </cell>
          <cell r="J260" t="str">
            <v>UN</v>
          </cell>
          <cell r="K260">
            <v>45575</v>
          </cell>
        </row>
        <row r="261">
          <cell r="A261" t="str">
            <v>50714256110</v>
          </cell>
          <cell r="B261" t="str">
            <v>ZMTD</v>
          </cell>
          <cell r="C261">
            <v>45496</v>
          </cell>
          <cell r="D261" t="str">
            <v>Not delivered</v>
          </cell>
          <cell r="E261">
            <v>507142561</v>
          </cell>
          <cell r="F261">
            <v>10</v>
          </cell>
          <cell r="G261">
            <v>1279282</v>
          </cell>
          <cell r="H261" t="str">
            <v>VT:TG-001 IXPE 560X357X2 MM US</v>
          </cell>
          <cell r="I261">
            <v>22260</v>
          </cell>
          <cell r="J261" t="str">
            <v>UN</v>
          </cell>
          <cell r="K261">
            <v>45575</v>
          </cell>
        </row>
        <row r="262">
          <cell r="A262" t="str">
            <v>50800516730</v>
          </cell>
          <cell r="B262" t="str">
            <v>ZMFD</v>
          </cell>
          <cell r="C262">
            <v>45476</v>
          </cell>
          <cell r="D262" t="str">
            <v>Not delivered</v>
          </cell>
          <cell r="E262">
            <v>508005167</v>
          </cell>
          <cell r="F262">
            <v>30</v>
          </cell>
          <cell r="G262">
            <v>1361170</v>
          </cell>
          <cell r="H262" t="str">
            <v>PT-097:BODY BLACK HOUSE WHT TRANS PTI12A</v>
          </cell>
          <cell r="I262">
            <v>220000</v>
          </cell>
          <cell r="J262" t="str">
            <v>UN</v>
          </cell>
          <cell r="K262">
            <v>45575</v>
          </cell>
        </row>
        <row r="263">
          <cell r="A263" t="str">
            <v>50800516740</v>
          </cell>
          <cell r="B263" t="str">
            <v>ZMFD</v>
          </cell>
          <cell r="C263">
            <v>45476</v>
          </cell>
          <cell r="D263" t="str">
            <v>Not delivered</v>
          </cell>
          <cell r="E263">
            <v>508005167</v>
          </cell>
          <cell r="F263">
            <v>40</v>
          </cell>
          <cell r="G263">
            <v>1361175</v>
          </cell>
          <cell r="H263" t="str">
            <v>PT-097:CAP BLACK TRANS PTI 12A</v>
          </cell>
          <cell r="I263">
            <v>220000</v>
          </cell>
          <cell r="J263" t="str">
            <v>UN</v>
          </cell>
          <cell r="K263">
            <v>45575</v>
          </cell>
        </row>
        <row r="264">
          <cell r="A264" t="str">
            <v>50714276540</v>
          </cell>
          <cell r="B264" t="str">
            <v>ZMTD</v>
          </cell>
          <cell r="C264">
            <v>45552</v>
          </cell>
          <cell r="D264" t="str">
            <v>Not delivered</v>
          </cell>
          <cell r="E264">
            <v>507142765</v>
          </cell>
          <cell r="F264">
            <v>40</v>
          </cell>
          <cell r="G264">
            <v>1398383</v>
          </cell>
          <cell r="H264" t="str">
            <v>CM-319:WHITE P/BLACK UV MATTE NARS</v>
          </cell>
          <cell r="I264">
            <v>30960</v>
          </cell>
          <cell r="J264" t="str">
            <v>UN</v>
          </cell>
          <cell r="K264">
            <v>45576</v>
          </cell>
        </row>
        <row r="265">
          <cell r="A265" t="str">
            <v>507142721110</v>
          </cell>
          <cell r="B265" t="str">
            <v>ZMTD</v>
          </cell>
          <cell r="C265">
            <v>45539</v>
          </cell>
          <cell r="D265" t="str">
            <v>Not delivered</v>
          </cell>
          <cell r="E265">
            <v>507142721</v>
          </cell>
          <cell r="F265">
            <v>110</v>
          </cell>
          <cell r="G265">
            <v>1437039</v>
          </cell>
          <cell r="H265" t="str">
            <v>CM-290:1PC BS CV MT.BLK S/ EMBOS OMG 40C</v>
          </cell>
          <cell r="I265">
            <v>6552</v>
          </cell>
          <cell r="J265" t="str">
            <v>UN</v>
          </cell>
          <cell r="K265">
            <v>45576</v>
          </cell>
        </row>
        <row r="266">
          <cell r="A266" t="str">
            <v>50714255410</v>
          </cell>
          <cell r="B266" t="str">
            <v>ZMTD</v>
          </cell>
          <cell r="C266">
            <v>45495</v>
          </cell>
          <cell r="D266" t="str">
            <v>Not delivered</v>
          </cell>
          <cell r="E266">
            <v>507142554</v>
          </cell>
          <cell r="F266">
            <v>10</v>
          </cell>
          <cell r="G266">
            <v>1432356</v>
          </cell>
          <cell r="H266" t="str">
            <v>CM-280:BS/CV BO BLUE UV P/S/INEZ FTC 30M</v>
          </cell>
          <cell r="I266">
            <v>30000</v>
          </cell>
          <cell r="J266" t="str">
            <v>UN</v>
          </cell>
          <cell r="K266">
            <v>45576</v>
          </cell>
        </row>
        <row r="267">
          <cell r="A267" t="str">
            <v>50714254310</v>
          </cell>
          <cell r="B267" t="str">
            <v>ZMTD</v>
          </cell>
          <cell r="C267">
            <v>45491</v>
          </cell>
          <cell r="D267" t="str">
            <v>Not delivered</v>
          </cell>
          <cell r="E267">
            <v>507142543</v>
          </cell>
          <cell r="F267">
            <v>10</v>
          </cell>
          <cell r="G267">
            <v>1278860</v>
          </cell>
          <cell r="H267" t="str">
            <v>CM-296:WHT P/L.AGELES W/O HOLE COTY TAOR</v>
          </cell>
          <cell r="I267">
            <v>72000</v>
          </cell>
          <cell r="J267" t="str">
            <v>UN</v>
          </cell>
          <cell r="K267">
            <v>45576</v>
          </cell>
        </row>
        <row r="268">
          <cell r="A268" t="str">
            <v>50714241660</v>
          </cell>
          <cell r="B268" t="str">
            <v>ZMTD</v>
          </cell>
          <cell r="C268">
            <v>45474</v>
          </cell>
          <cell r="D268" t="str">
            <v>Not delivered</v>
          </cell>
          <cell r="E268">
            <v>507142416</v>
          </cell>
          <cell r="F268">
            <v>60</v>
          </cell>
          <cell r="G268">
            <v>1376248</v>
          </cell>
          <cell r="H268" t="str">
            <v>FP-008:CVR L.PINK P/BLK MANDOM RV1 12A</v>
          </cell>
          <cell r="I268">
            <v>10000</v>
          </cell>
          <cell r="J268" t="str">
            <v>UN</v>
          </cell>
          <cell r="K268">
            <v>45576</v>
          </cell>
        </row>
        <row r="269">
          <cell r="A269" t="str">
            <v>50714241670</v>
          </cell>
          <cell r="B269" t="str">
            <v>ZMTD</v>
          </cell>
          <cell r="C269">
            <v>45474</v>
          </cell>
          <cell r="D269" t="str">
            <v>Not delivered</v>
          </cell>
          <cell r="E269">
            <v>507142416</v>
          </cell>
          <cell r="F269">
            <v>70</v>
          </cell>
          <cell r="G269">
            <v>1171179</v>
          </cell>
          <cell r="H269" t="str">
            <v>FP-008:BS INJ BLK NO DC MANDOM</v>
          </cell>
          <cell r="I269">
            <v>10000</v>
          </cell>
          <cell r="J269" t="str">
            <v>UN</v>
          </cell>
          <cell r="K269">
            <v>45576</v>
          </cell>
        </row>
        <row r="270">
          <cell r="A270" t="str">
            <v>50714241680</v>
          </cell>
          <cell r="B270" t="str">
            <v>ZMTD</v>
          </cell>
          <cell r="C270">
            <v>45474</v>
          </cell>
          <cell r="D270" t="str">
            <v>Not delivered</v>
          </cell>
          <cell r="E270">
            <v>507142416</v>
          </cell>
          <cell r="F270">
            <v>80</v>
          </cell>
          <cell r="G270">
            <v>1172027</v>
          </cell>
          <cell r="H270" t="str">
            <v>FP-008:SFT NAT L.HINGE W/LBL NO DC MDM</v>
          </cell>
          <cell r="I270">
            <v>10000</v>
          </cell>
          <cell r="J270" t="str">
            <v>UN</v>
          </cell>
          <cell r="K270">
            <v>45576</v>
          </cell>
        </row>
        <row r="271">
          <cell r="A271" t="str">
            <v>507142416140</v>
          </cell>
          <cell r="B271" t="str">
            <v>ZMTD</v>
          </cell>
          <cell r="C271">
            <v>45474</v>
          </cell>
          <cell r="D271" t="str">
            <v>Not delivered</v>
          </cell>
          <cell r="E271">
            <v>507142416</v>
          </cell>
          <cell r="F271">
            <v>140</v>
          </cell>
          <cell r="G271">
            <v>1269316</v>
          </cell>
          <cell r="H271" t="str">
            <v>LS-285:COVER PX LIP COND NO DC MNDOM 12A</v>
          </cell>
          <cell r="I271">
            <v>10000</v>
          </cell>
          <cell r="J271" t="str">
            <v>UN</v>
          </cell>
          <cell r="K271">
            <v>45576</v>
          </cell>
        </row>
        <row r="272">
          <cell r="A272" t="str">
            <v>507142416150</v>
          </cell>
          <cell r="B272" t="str">
            <v>ZMTD</v>
          </cell>
          <cell r="C272">
            <v>45474</v>
          </cell>
          <cell r="D272" t="str">
            <v>Not delivered</v>
          </cell>
          <cell r="E272">
            <v>507142416</v>
          </cell>
          <cell r="F272">
            <v>150</v>
          </cell>
          <cell r="G272">
            <v>1393258</v>
          </cell>
          <cell r="H272" t="str">
            <v>LS-285:BS PX LIP COND P/BLK MNDOM RV160B</v>
          </cell>
          <cell r="I272">
            <v>10000</v>
          </cell>
          <cell r="J272" t="str">
            <v>UN</v>
          </cell>
          <cell r="K272">
            <v>45576</v>
          </cell>
        </row>
        <row r="273">
          <cell r="A273" t="str">
            <v>50714226510</v>
          </cell>
          <cell r="B273" t="str">
            <v>ZMTD</v>
          </cell>
          <cell r="C273">
            <v>45442</v>
          </cell>
          <cell r="D273" t="str">
            <v>Not delivered</v>
          </cell>
          <cell r="E273">
            <v>507142265</v>
          </cell>
          <cell r="F273">
            <v>10</v>
          </cell>
          <cell r="G273">
            <v>1187960</v>
          </cell>
          <cell r="H273" t="str">
            <v>FP-014:CVR VMRAINBOW P/ULTM II RUDYS 40C</v>
          </cell>
          <cell r="I273">
            <v>40000</v>
          </cell>
          <cell r="J273" t="str">
            <v>UN</v>
          </cell>
          <cell r="K273">
            <v>45576</v>
          </cell>
        </row>
        <row r="274">
          <cell r="A274" t="str">
            <v>50714226520</v>
          </cell>
          <cell r="B274" t="str">
            <v>ZMTD</v>
          </cell>
          <cell r="C274">
            <v>45442</v>
          </cell>
          <cell r="D274" t="str">
            <v>Not delivered</v>
          </cell>
          <cell r="E274">
            <v>507142265</v>
          </cell>
          <cell r="F274">
            <v>20</v>
          </cell>
          <cell r="G274">
            <v>1172318</v>
          </cell>
          <cell r="H274" t="str">
            <v>FP-014:BASE CLEAR NO DC ULTIMA II RUDY S</v>
          </cell>
          <cell r="I274">
            <v>40000</v>
          </cell>
          <cell r="J274" t="str">
            <v>UN</v>
          </cell>
          <cell r="K274">
            <v>45576</v>
          </cell>
        </row>
        <row r="275">
          <cell r="A275" t="str">
            <v>50714226530</v>
          </cell>
          <cell r="B275" t="str">
            <v>ZMTD</v>
          </cell>
          <cell r="C275">
            <v>45442</v>
          </cell>
          <cell r="D275" t="str">
            <v>Not delivered</v>
          </cell>
          <cell r="E275">
            <v>507142265</v>
          </cell>
          <cell r="F275">
            <v>30</v>
          </cell>
          <cell r="G275">
            <v>1170826</v>
          </cell>
          <cell r="H275" t="str">
            <v>FP-014:SIFTER NT W/LBL NO DECO ULTIMA II</v>
          </cell>
          <cell r="I275">
            <v>40000</v>
          </cell>
          <cell r="J275" t="str">
            <v>UN</v>
          </cell>
          <cell r="K275">
            <v>45576</v>
          </cell>
        </row>
        <row r="276">
          <cell r="A276" t="str">
            <v>50714277710</v>
          </cell>
          <cell r="B276" t="str">
            <v>ZMTD</v>
          </cell>
          <cell r="C276">
            <v>45554</v>
          </cell>
          <cell r="D276" t="str">
            <v>Not delivered</v>
          </cell>
          <cell r="E276">
            <v>507142777</v>
          </cell>
          <cell r="F276">
            <v>10</v>
          </cell>
          <cell r="G276">
            <v>1435311</v>
          </cell>
          <cell r="H276" t="str">
            <v>LC-002:BTL/COL MTGRAD SLV AZURA LION 40D</v>
          </cell>
          <cell r="I276">
            <v>50589</v>
          </cell>
          <cell r="J276" t="str">
            <v>UN</v>
          </cell>
          <cell r="K276">
            <v>45577</v>
          </cell>
        </row>
        <row r="277">
          <cell r="A277" t="str">
            <v>50714277720</v>
          </cell>
          <cell r="B277" t="str">
            <v>ZMTD</v>
          </cell>
          <cell r="C277">
            <v>45554</v>
          </cell>
          <cell r="D277" t="str">
            <v>Not delivered</v>
          </cell>
          <cell r="E277">
            <v>507142777</v>
          </cell>
          <cell r="F277">
            <v>20</v>
          </cell>
          <cell r="G277">
            <v>1435313</v>
          </cell>
          <cell r="H277" t="str">
            <v>LC-002:CAP MTSLV WIPNAT S/AZURA LION 40C</v>
          </cell>
          <cell r="I277">
            <v>50589</v>
          </cell>
          <cell r="J277" t="str">
            <v>UN</v>
          </cell>
          <cell r="K277">
            <v>45577</v>
          </cell>
        </row>
        <row r="278">
          <cell r="A278" t="str">
            <v>50714274510</v>
          </cell>
          <cell r="B278" t="str">
            <v>ZMTD</v>
          </cell>
          <cell r="C278">
            <v>45545</v>
          </cell>
          <cell r="D278" t="str">
            <v>Not delivered</v>
          </cell>
          <cell r="E278">
            <v>507142745</v>
          </cell>
          <cell r="F278">
            <v>10</v>
          </cell>
          <cell r="G278">
            <v>1141319</v>
          </cell>
          <cell r="H278" t="str">
            <v>CP-089:FTCAP D40 OVAL PONDS FC WH UNIL</v>
          </cell>
          <cell r="I278">
            <v>801000</v>
          </cell>
          <cell r="J278" t="str">
            <v>UN</v>
          </cell>
          <cell r="K278">
            <v>45577</v>
          </cell>
        </row>
        <row r="279">
          <cell r="A279" t="str">
            <v>50714263230</v>
          </cell>
          <cell r="B279" t="str">
            <v>ZMTD</v>
          </cell>
          <cell r="C279">
            <v>45517</v>
          </cell>
          <cell r="D279" t="str">
            <v>Not delivered</v>
          </cell>
          <cell r="E279">
            <v>507142632</v>
          </cell>
          <cell r="F279">
            <v>30</v>
          </cell>
          <cell r="G279">
            <v>1371896</v>
          </cell>
          <cell r="H279" t="str">
            <v>RX-056:CM-316 CVR BLUE P/WHT SP/MTCLR</v>
          </cell>
          <cell r="I279">
            <v>109968</v>
          </cell>
          <cell r="J279" t="str">
            <v>UN</v>
          </cell>
          <cell r="K279">
            <v>45577</v>
          </cell>
        </row>
        <row r="280">
          <cell r="A280" t="str">
            <v>50714283910</v>
          </cell>
          <cell r="B280" t="str">
            <v>ZMTD</v>
          </cell>
          <cell r="C280">
            <v>45562</v>
          </cell>
          <cell r="D280" t="str">
            <v>Not delivered</v>
          </cell>
          <cell r="E280">
            <v>507142839</v>
          </cell>
          <cell r="F280">
            <v>10</v>
          </cell>
          <cell r="G280">
            <v>1424980</v>
          </cell>
          <cell r="H280" t="str">
            <v>CP-093R:CAP D50 MT.YELOW Ø.5 YASULOR 12A</v>
          </cell>
          <cell r="I280">
            <v>110000</v>
          </cell>
          <cell r="J280" t="str">
            <v>UN</v>
          </cell>
          <cell r="K280">
            <v>45579</v>
          </cell>
        </row>
        <row r="281">
          <cell r="A281" t="str">
            <v>50714280810</v>
          </cell>
          <cell r="B281" t="str">
            <v>ZMTD</v>
          </cell>
          <cell r="C281">
            <v>45559</v>
          </cell>
          <cell r="D281" t="str">
            <v>Not delivered</v>
          </cell>
          <cell r="E281">
            <v>507142808</v>
          </cell>
          <cell r="F281">
            <v>10</v>
          </cell>
          <cell r="G281">
            <v>1169703</v>
          </cell>
          <cell r="H281" t="str">
            <v>CP-064:CAP 25 SCREW WHITE MT TR L'OREAL</v>
          </cell>
          <cell r="I281">
            <v>204000</v>
          </cell>
          <cell r="J281" t="str">
            <v>UN</v>
          </cell>
          <cell r="K281">
            <v>45579</v>
          </cell>
        </row>
        <row r="282">
          <cell r="A282" t="str">
            <v>50714280910</v>
          </cell>
          <cell r="B282" t="str">
            <v>ZMTD</v>
          </cell>
          <cell r="C282">
            <v>45559</v>
          </cell>
          <cell r="D282" t="str">
            <v>Not delivered</v>
          </cell>
          <cell r="E282">
            <v>507142809</v>
          </cell>
          <cell r="F282">
            <v>10</v>
          </cell>
          <cell r="G282">
            <v>1159912</v>
          </cell>
          <cell r="H282" t="str">
            <v>CP-064:CAP 25 SCREW BLK MT L'OREAL</v>
          </cell>
          <cell r="I282">
            <v>150000</v>
          </cell>
          <cell r="J282" t="str">
            <v>UN</v>
          </cell>
          <cell r="K282">
            <v>45579</v>
          </cell>
        </row>
        <row r="283">
          <cell r="A283" t="str">
            <v>50714279610</v>
          </cell>
          <cell r="B283" t="str">
            <v>ZMTD</v>
          </cell>
          <cell r="C283">
            <v>45558</v>
          </cell>
          <cell r="D283" t="str">
            <v>Not delivered</v>
          </cell>
          <cell r="E283">
            <v>507142796</v>
          </cell>
          <cell r="F283">
            <v>10</v>
          </cell>
          <cell r="G283">
            <v>1170578</v>
          </cell>
          <cell r="H283" t="str">
            <v>FP-029:CAP VM GOLD S/MATTE REEY010073</v>
          </cell>
          <cell r="I283">
            <v>25080</v>
          </cell>
          <cell r="J283" t="str">
            <v>UN</v>
          </cell>
          <cell r="K283">
            <v>45579</v>
          </cell>
        </row>
        <row r="284">
          <cell r="A284" t="str">
            <v>50714265810</v>
          </cell>
          <cell r="B284" t="str">
            <v>ZMTD</v>
          </cell>
          <cell r="C284">
            <v>45524</v>
          </cell>
          <cell r="D284" t="str">
            <v>Not delivered</v>
          </cell>
          <cell r="E284">
            <v>507142658</v>
          </cell>
          <cell r="F284">
            <v>10</v>
          </cell>
          <cell r="G284">
            <v>1331630</v>
          </cell>
          <cell r="H284" t="str">
            <v>CM-216:INFAILLIBLE HIGHLIGHTER L'OREAL</v>
          </cell>
          <cell r="I284">
            <v>100000</v>
          </cell>
          <cell r="J284" t="str">
            <v>UN</v>
          </cell>
          <cell r="K284">
            <v>45579</v>
          </cell>
        </row>
        <row r="285">
          <cell r="A285" t="str">
            <v>50714261710</v>
          </cell>
          <cell r="B285" t="str">
            <v>ZMTD</v>
          </cell>
          <cell r="C285">
            <v>45511</v>
          </cell>
          <cell r="D285" t="str">
            <v>Not delivered</v>
          </cell>
          <cell r="E285">
            <v>507142617</v>
          </cell>
          <cell r="F285">
            <v>10</v>
          </cell>
          <cell r="G285">
            <v>1181524</v>
          </cell>
          <cell r="H285" t="str">
            <v>CM-297:WHITE PERFECT LIGHT PP BOOTS</v>
          </cell>
          <cell r="I285">
            <v>25032</v>
          </cell>
          <cell r="J285" t="str">
            <v>UN</v>
          </cell>
          <cell r="K285">
            <v>45579</v>
          </cell>
        </row>
        <row r="286">
          <cell r="A286" t="str">
            <v>50714254510</v>
          </cell>
          <cell r="B286" t="str">
            <v>ZMTD</v>
          </cell>
          <cell r="C286">
            <v>45491</v>
          </cell>
          <cell r="D286" t="str">
            <v>Not delivered</v>
          </cell>
          <cell r="E286">
            <v>507142545</v>
          </cell>
          <cell r="F286">
            <v>10</v>
          </cell>
          <cell r="G286">
            <v>1338042</v>
          </cell>
          <cell r="H286" t="str">
            <v>CM-301:COTY LANCASTER BROWN SP PRL UV</v>
          </cell>
          <cell r="I286">
            <v>51840</v>
          </cell>
          <cell r="J286" t="str">
            <v>UN</v>
          </cell>
          <cell r="K286">
            <v>45579</v>
          </cell>
        </row>
        <row r="287">
          <cell r="A287" t="str">
            <v>50714246810</v>
          </cell>
          <cell r="B287" t="str">
            <v>ZMTD</v>
          </cell>
          <cell r="C287">
            <v>45482</v>
          </cell>
          <cell r="D287" t="str">
            <v>Not delivered</v>
          </cell>
          <cell r="E287">
            <v>507142468</v>
          </cell>
          <cell r="F287">
            <v>10</v>
          </cell>
          <cell r="G287">
            <v>1388326</v>
          </cell>
          <cell r="H287" t="str">
            <v>CM-253:CV BS MTPEACH P/C.BLSH RV1 PTI40H</v>
          </cell>
          <cell r="I287">
            <v>15120</v>
          </cell>
          <cell r="J287" t="str">
            <v>UN</v>
          </cell>
          <cell r="K287">
            <v>45579</v>
          </cell>
        </row>
        <row r="288">
          <cell r="A288" t="str">
            <v>507142416160</v>
          </cell>
          <cell r="B288" t="str">
            <v>ZMTD</v>
          </cell>
          <cell r="C288">
            <v>45474</v>
          </cell>
          <cell r="D288" t="str">
            <v>Partially delivered</v>
          </cell>
          <cell r="E288">
            <v>507142416</v>
          </cell>
          <cell r="F288">
            <v>160</v>
          </cell>
          <cell r="G288">
            <v>1267279</v>
          </cell>
          <cell r="H288" t="str">
            <v>LS-285:CVR ORANGE PX LCC NO DC MNDOM 12A</v>
          </cell>
          <cell r="I288">
            <v>10000</v>
          </cell>
          <cell r="J288" t="str">
            <v>UN</v>
          </cell>
          <cell r="K288">
            <v>45579</v>
          </cell>
        </row>
        <row r="289">
          <cell r="A289" t="str">
            <v>507142416170</v>
          </cell>
          <cell r="B289" t="str">
            <v>ZMTD</v>
          </cell>
          <cell r="C289">
            <v>45474</v>
          </cell>
          <cell r="D289" t="str">
            <v>Partially delivered</v>
          </cell>
          <cell r="E289">
            <v>507142416</v>
          </cell>
          <cell r="F289">
            <v>170</v>
          </cell>
          <cell r="G289">
            <v>1393254</v>
          </cell>
          <cell r="H289" t="str">
            <v>LS-285:BS ORNG PX LCC P/BLK MNDOM RV160B</v>
          </cell>
          <cell r="I289">
            <v>10000</v>
          </cell>
          <cell r="J289" t="str">
            <v>UN</v>
          </cell>
          <cell r="K289">
            <v>45579</v>
          </cell>
        </row>
        <row r="290">
          <cell r="A290" t="str">
            <v>50714239710</v>
          </cell>
          <cell r="B290" t="str">
            <v>ZMTD</v>
          </cell>
          <cell r="C290">
            <v>45468</v>
          </cell>
          <cell r="D290" t="str">
            <v>Not delivered</v>
          </cell>
          <cell r="E290">
            <v>507142397</v>
          </cell>
          <cell r="F290">
            <v>10</v>
          </cell>
          <cell r="G290">
            <v>1195535</v>
          </cell>
          <cell r="H290" t="str">
            <v>FP-039:BASE SAN CLEAR HS KIKO PREMIER</v>
          </cell>
          <cell r="I290">
            <v>60480</v>
          </cell>
          <cell r="J290" t="str">
            <v>UN</v>
          </cell>
          <cell r="K290">
            <v>45579</v>
          </cell>
        </row>
        <row r="291">
          <cell r="A291" t="str">
            <v>50714239810</v>
          </cell>
          <cell r="B291" t="str">
            <v>ZMTD</v>
          </cell>
          <cell r="C291">
            <v>45468</v>
          </cell>
          <cell r="D291" t="str">
            <v>Not delivered</v>
          </cell>
          <cell r="E291">
            <v>507142398</v>
          </cell>
          <cell r="F291">
            <v>10</v>
          </cell>
          <cell r="G291">
            <v>1191869</v>
          </cell>
          <cell r="H291" t="str">
            <v>FP-039:CVR WHITE VM DARK SILVER  KIKO</v>
          </cell>
          <cell r="I291">
            <v>61440</v>
          </cell>
          <cell r="J291" t="str">
            <v>UN</v>
          </cell>
          <cell r="K291">
            <v>45579</v>
          </cell>
        </row>
        <row r="292">
          <cell r="A292" t="str">
            <v>50714227810</v>
          </cell>
          <cell r="B292" t="str">
            <v>ZMTD</v>
          </cell>
          <cell r="C292">
            <v>45447</v>
          </cell>
          <cell r="D292" t="str">
            <v>Not delivered</v>
          </cell>
          <cell r="E292">
            <v>507142278</v>
          </cell>
          <cell r="F292">
            <v>10</v>
          </cell>
          <cell r="G292">
            <v>1419488</v>
          </cell>
          <cell r="H292" t="str">
            <v>CP-063R:SPOUT CAP WHITE LOREAL 12A</v>
          </cell>
          <cell r="I292">
            <v>1890000</v>
          </cell>
          <cell r="J292" t="str">
            <v>UN</v>
          </cell>
          <cell r="K292">
            <v>45579</v>
          </cell>
        </row>
        <row r="293">
          <cell r="A293" t="str">
            <v>50714277610</v>
          </cell>
          <cell r="B293" t="str">
            <v>ZMTD</v>
          </cell>
          <cell r="C293">
            <v>45554</v>
          </cell>
          <cell r="D293" t="str">
            <v>Not delivered</v>
          </cell>
          <cell r="E293">
            <v>507142776</v>
          </cell>
          <cell r="F293">
            <v>10</v>
          </cell>
          <cell r="G293">
            <v>1331787</v>
          </cell>
          <cell r="H293" t="str">
            <v>CM-216:TRUE MATCH BLUSH W/O BRUSH LOR US</v>
          </cell>
          <cell r="I293">
            <v>75800</v>
          </cell>
          <cell r="J293" t="str">
            <v>UN</v>
          </cell>
          <cell r="K293">
            <v>45580</v>
          </cell>
        </row>
        <row r="294">
          <cell r="A294" t="str">
            <v>50714277910</v>
          </cell>
          <cell r="B294" t="str">
            <v>ZMTD</v>
          </cell>
          <cell r="C294">
            <v>45554</v>
          </cell>
          <cell r="D294" t="str">
            <v>Not delivered</v>
          </cell>
          <cell r="E294">
            <v>507142779</v>
          </cell>
          <cell r="F294">
            <v>10</v>
          </cell>
          <cell r="G294">
            <v>1174001</v>
          </cell>
          <cell r="H294" t="str">
            <v>CM-133:CVR/BS MTLC GREN UV S/SLV WRDH30C</v>
          </cell>
          <cell r="I294">
            <v>10080</v>
          </cell>
          <cell r="J294" t="str">
            <v>UN</v>
          </cell>
          <cell r="K294">
            <v>45580</v>
          </cell>
        </row>
        <row r="295">
          <cell r="A295" t="str">
            <v>50714278010</v>
          </cell>
          <cell r="B295" t="str">
            <v>ZMTD</v>
          </cell>
          <cell r="C295">
            <v>45554</v>
          </cell>
          <cell r="D295" t="str">
            <v>Not delivered</v>
          </cell>
          <cell r="E295">
            <v>507142780</v>
          </cell>
          <cell r="F295">
            <v>10</v>
          </cell>
          <cell r="G295">
            <v>1409881</v>
          </cell>
          <cell r="H295" t="str">
            <v>CM-315:CVR/BS BLACK P/CVRLAST OMG RV160B</v>
          </cell>
          <cell r="I295">
            <v>31724</v>
          </cell>
          <cell r="J295" t="str">
            <v>UN</v>
          </cell>
          <cell r="K295">
            <v>45580</v>
          </cell>
        </row>
        <row r="296">
          <cell r="A296" t="str">
            <v>50714278410</v>
          </cell>
          <cell r="B296" t="str">
            <v>ZMTD</v>
          </cell>
          <cell r="C296">
            <v>45554</v>
          </cell>
          <cell r="D296" t="str">
            <v>Not delivered</v>
          </cell>
          <cell r="E296">
            <v>507142784</v>
          </cell>
          <cell r="F296">
            <v>10</v>
          </cell>
          <cell r="G296">
            <v>1340516</v>
          </cell>
          <cell r="H296" t="str">
            <v>CM-133:CVR BS MTLC GRN UV DP S/WARDH 30T</v>
          </cell>
          <cell r="I296">
            <v>10080</v>
          </cell>
          <cell r="J296" t="str">
            <v>UN</v>
          </cell>
          <cell r="K296">
            <v>45580</v>
          </cell>
        </row>
        <row r="297">
          <cell r="A297" t="str">
            <v>50714273930</v>
          </cell>
          <cell r="B297" t="str">
            <v>ZMTD</v>
          </cell>
          <cell r="C297">
            <v>45544</v>
          </cell>
          <cell r="D297" t="str">
            <v>Not delivered</v>
          </cell>
          <cell r="E297">
            <v>507142739</v>
          </cell>
          <cell r="F297">
            <v>30</v>
          </cell>
          <cell r="G297">
            <v>1409881</v>
          </cell>
          <cell r="H297" t="str">
            <v>CM-315:CVR/BS BLACK P/CVRLAST OMG RV160B</v>
          </cell>
          <cell r="I297">
            <v>28028</v>
          </cell>
          <cell r="J297" t="str">
            <v>UN</v>
          </cell>
          <cell r="K297">
            <v>45580</v>
          </cell>
        </row>
        <row r="298">
          <cell r="A298" t="str">
            <v>50714274240</v>
          </cell>
          <cell r="B298" t="str">
            <v>ZMTD</v>
          </cell>
          <cell r="C298">
            <v>45544</v>
          </cell>
          <cell r="D298" t="str">
            <v>Not delivered</v>
          </cell>
          <cell r="E298">
            <v>507142742</v>
          </cell>
          <cell r="F298">
            <v>40</v>
          </cell>
          <cell r="G298">
            <v>1437039</v>
          </cell>
          <cell r="H298" t="str">
            <v>CM-290:1PC BS CV MT.BLK S/ EMBOS OMG 40C</v>
          </cell>
          <cell r="I298">
            <v>35112</v>
          </cell>
          <cell r="J298" t="str">
            <v>UN</v>
          </cell>
          <cell r="K298">
            <v>45580</v>
          </cell>
        </row>
        <row r="299">
          <cell r="A299" t="str">
            <v>50714274250</v>
          </cell>
          <cell r="B299" t="str">
            <v>ZMTD</v>
          </cell>
          <cell r="C299">
            <v>45544</v>
          </cell>
          <cell r="D299" t="str">
            <v>Not delivered</v>
          </cell>
          <cell r="E299">
            <v>507142742</v>
          </cell>
          <cell r="F299">
            <v>50</v>
          </cell>
          <cell r="G299">
            <v>1437140</v>
          </cell>
          <cell r="H299" t="str">
            <v>CM-290:ENGINE CV RED, BS BLK OMG PTI 12A</v>
          </cell>
          <cell r="I299">
            <v>35112</v>
          </cell>
          <cell r="J299" t="str">
            <v>UN</v>
          </cell>
          <cell r="K299">
            <v>45580</v>
          </cell>
        </row>
        <row r="300">
          <cell r="A300" t="str">
            <v>50714274260</v>
          </cell>
          <cell r="B300" t="str">
            <v>ZMTD</v>
          </cell>
          <cell r="C300">
            <v>45544</v>
          </cell>
          <cell r="D300" t="str">
            <v>Not delivered</v>
          </cell>
          <cell r="E300">
            <v>507142742</v>
          </cell>
          <cell r="F300">
            <v>60</v>
          </cell>
          <cell r="G300">
            <v>1437141</v>
          </cell>
          <cell r="H300" t="str">
            <v>CM-290:RING BLACK OMG PTI 12A</v>
          </cell>
          <cell r="I300">
            <v>35112</v>
          </cell>
          <cell r="J300" t="str">
            <v>UN</v>
          </cell>
          <cell r="K300">
            <v>45580</v>
          </cell>
        </row>
        <row r="301">
          <cell r="A301" t="str">
            <v>50714273010</v>
          </cell>
          <cell r="B301" t="str">
            <v>ZMTD</v>
          </cell>
          <cell r="C301">
            <v>45541</v>
          </cell>
          <cell r="D301" t="str">
            <v>Not delivered</v>
          </cell>
          <cell r="E301">
            <v>507142730</v>
          </cell>
          <cell r="F301">
            <v>10</v>
          </cell>
          <cell r="G301">
            <v>1371896</v>
          </cell>
          <cell r="H301" t="str">
            <v>RX-056:CM-316 CVR BLUE P/WHT SP/MTCLR</v>
          </cell>
          <cell r="I301">
            <v>110016</v>
          </cell>
          <cell r="J301" t="str">
            <v>UN</v>
          </cell>
          <cell r="K301">
            <v>45580</v>
          </cell>
        </row>
        <row r="302">
          <cell r="A302" t="str">
            <v>50714256520</v>
          </cell>
          <cell r="B302" t="str">
            <v>ZMTD</v>
          </cell>
          <cell r="C302">
            <v>45497</v>
          </cell>
          <cell r="D302" t="str">
            <v>Not delivered</v>
          </cell>
          <cell r="E302">
            <v>507142565</v>
          </cell>
          <cell r="F302">
            <v>20</v>
          </cell>
          <cell r="G302">
            <v>1428516</v>
          </cell>
          <cell r="H302" t="str">
            <v>PT-055:BD BEIGE 94101-BS2 INTERPARFUM</v>
          </cell>
          <cell r="I302">
            <v>76545</v>
          </cell>
          <cell r="J302" t="str">
            <v>UN</v>
          </cell>
          <cell r="K302">
            <v>45580</v>
          </cell>
        </row>
        <row r="303">
          <cell r="A303" t="str">
            <v>50714255420</v>
          </cell>
          <cell r="B303" t="str">
            <v>ZMTD</v>
          </cell>
          <cell r="C303">
            <v>45495</v>
          </cell>
          <cell r="D303" t="str">
            <v>Not delivered</v>
          </cell>
          <cell r="E303">
            <v>507142554</v>
          </cell>
          <cell r="F303">
            <v>20</v>
          </cell>
          <cell r="G303">
            <v>1432080</v>
          </cell>
          <cell r="H303" t="str">
            <v>CM-281:BS/CV TWC BLUE UV P/S/INEZ FTC30M</v>
          </cell>
          <cell r="I303">
            <v>25000</v>
          </cell>
          <cell r="J303" t="str">
            <v>UN</v>
          </cell>
          <cell r="K303">
            <v>45580</v>
          </cell>
        </row>
        <row r="304">
          <cell r="A304" t="str">
            <v>50714241690</v>
          </cell>
          <cell r="B304" t="str">
            <v>ZMTD</v>
          </cell>
          <cell r="C304">
            <v>45474</v>
          </cell>
          <cell r="D304" t="str">
            <v>Not delivered</v>
          </cell>
          <cell r="E304">
            <v>507142416</v>
          </cell>
          <cell r="F304">
            <v>90</v>
          </cell>
          <cell r="G304">
            <v>1376248</v>
          </cell>
          <cell r="H304" t="str">
            <v>FP-008:CVR L.PINK P/BLK MANDOM RV1 12A</v>
          </cell>
          <cell r="I304">
            <v>10000</v>
          </cell>
          <cell r="J304" t="str">
            <v>UN</v>
          </cell>
          <cell r="K304">
            <v>45580</v>
          </cell>
        </row>
        <row r="305">
          <cell r="A305" t="str">
            <v>507142416100</v>
          </cell>
          <cell r="B305" t="str">
            <v>ZMTD</v>
          </cell>
          <cell r="C305">
            <v>45474</v>
          </cell>
          <cell r="D305" t="str">
            <v>Not delivered</v>
          </cell>
          <cell r="E305">
            <v>507142416</v>
          </cell>
          <cell r="F305">
            <v>100</v>
          </cell>
          <cell r="G305">
            <v>1171179</v>
          </cell>
          <cell r="H305" t="str">
            <v>FP-008:BS INJ BLK NO DC MANDOM</v>
          </cell>
          <cell r="I305">
            <v>10000</v>
          </cell>
          <cell r="J305" t="str">
            <v>UN</v>
          </cell>
          <cell r="K305">
            <v>45580</v>
          </cell>
        </row>
        <row r="306">
          <cell r="A306" t="str">
            <v>507142416110</v>
          </cell>
          <cell r="B306" t="str">
            <v>ZMTD</v>
          </cell>
          <cell r="C306">
            <v>45474</v>
          </cell>
          <cell r="D306" t="str">
            <v>Not delivered</v>
          </cell>
          <cell r="E306">
            <v>507142416</v>
          </cell>
          <cell r="F306">
            <v>110</v>
          </cell>
          <cell r="G306">
            <v>1172027</v>
          </cell>
          <cell r="H306" t="str">
            <v>FP-008:SFT NAT L.HINGE W/LBL NO DC MDM</v>
          </cell>
          <cell r="I306">
            <v>10000</v>
          </cell>
          <cell r="J306" t="str">
            <v>UN</v>
          </cell>
          <cell r="K306">
            <v>45580</v>
          </cell>
        </row>
        <row r="307">
          <cell r="A307" t="str">
            <v>50800515530</v>
          </cell>
          <cell r="B307" t="str">
            <v>ZMFD</v>
          </cell>
          <cell r="C307">
            <v>45470</v>
          </cell>
          <cell r="D307" t="str">
            <v>Not delivered</v>
          </cell>
          <cell r="E307">
            <v>508005155</v>
          </cell>
          <cell r="F307">
            <v>30</v>
          </cell>
          <cell r="G307">
            <v>1420925</v>
          </cell>
          <cell r="H307" t="str">
            <v>CM-253:CV BS MT ROSE 04 P/C.BLSH PTI40H</v>
          </cell>
          <cell r="I307">
            <v>15000</v>
          </cell>
          <cell r="J307" t="str">
            <v>UN</v>
          </cell>
          <cell r="K307">
            <v>45580</v>
          </cell>
        </row>
        <row r="308">
          <cell r="A308" t="str">
            <v>50714281910</v>
          </cell>
          <cell r="B308" t="str">
            <v>ZMTD</v>
          </cell>
          <cell r="C308">
            <v>45560</v>
          </cell>
          <cell r="D308" t="str">
            <v>Not delivered</v>
          </cell>
          <cell r="E308">
            <v>507142819</v>
          </cell>
          <cell r="F308">
            <v>10</v>
          </cell>
          <cell r="G308">
            <v>1402678</v>
          </cell>
          <cell r="H308" t="str">
            <v>LS-285:BS GREEN NO DC WARDAH 12A</v>
          </cell>
          <cell r="I308">
            <v>10640</v>
          </cell>
          <cell r="J308" t="str">
            <v>UN</v>
          </cell>
          <cell r="K308">
            <v>45581</v>
          </cell>
        </row>
        <row r="309">
          <cell r="A309" t="str">
            <v>50714281920</v>
          </cell>
          <cell r="B309" t="str">
            <v>ZMTD</v>
          </cell>
          <cell r="C309">
            <v>45560</v>
          </cell>
          <cell r="D309" t="str">
            <v>Not delivered</v>
          </cell>
          <cell r="E309">
            <v>507142819</v>
          </cell>
          <cell r="F309">
            <v>20</v>
          </cell>
          <cell r="G309">
            <v>1402740</v>
          </cell>
          <cell r="H309" t="str">
            <v>LS-285:CV MTWHT P/WRDH LIPBLMHAJJ PTI40H</v>
          </cell>
          <cell r="I309">
            <v>10640</v>
          </cell>
          <cell r="J309" t="str">
            <v>UN</v>
          </cell>
          <cell r="K309">
            <v>45581</v>
          </cell>
        </row>
        <row r="310">
          <cell r="A310" t="str">
            <v>50714277810</v>
          </cell>
          <cell r="B310" t="str">
            <v>ZMTD</v>
          </cell>
          <cell r="C310">
            <v>45554</v>
          </cell>
          <cell r="D310" t="str">
            <v>Not delivered</v>
          </cell>
          <cell r="E310">
            <v>507142778</v>
          </cell>
          <cell r="F310">
            <v>10</v>
          </cell>
          <cell r="G310">
            <v>1417990</v>
          </cell>
          <cell r="H310" t="str">
            <v>LC-009:BTL #2#3 INNER CLR P/OMG PTIPT60B</v>
          </cell>
          <cell r="I310">
            <v>400050</v>
          </cell>
          <cell r="J310" t="str">
            <v>UN</v>
          </cell>
          <cell r="K310">
            <v>45581</v>
          </cell>
        </row>
        <row r="311">
          <cell r="A311" t="str">
            <v>50714277820</v>
          </cell>
          <cell r="B311" t="str">
            <v>ZMTD</v>
          </cell>
          <cell r="C311">
            <v>45554</v>
          </cell>
          <cell r="D311" t="str">
            <v>Not delivered</v>
          </cell>
          <cell r="E311">
            <v>507142778</v>
          </cell>
          <cell r="F311">
            <v>20</v>
          </cell>
          <cell r="G311">
            <v>1417978</v>
          </cell>
          <cell r="H311" t="str">
            <v>LC-009:CAP #2#3 REDTR WIP S/OMG PTIPT60B</v>
          </cell>
          <cell r="I311">
            <v>400050</v>
          </cell>
          <cell r="J311" t="str">
            <v>UN</v>
          </cell>
          <cell r="K311">
            <v>45581</v>
          </cell>
        </row>
        <row r="312">
          <cell r="A312" t="str">
            <v>50714278610</v>
          </cell>
          <cell r="B312" t="str">
            <v>ZMTD</v>
          </cell>
          <cell r="C312">
            <v>45554</v>
          </cell>
          <cell r="D312" t="str">
            <v>Not delivered</v>
          </cell>
          <cell r="E312">
            <v>507142786</v>
          </cell>
          <cell r="F312">
            <v>10</v>
          </cell>
          <cell r="G312">
            <v>1304094</v>
          </cell>
          <cell r="H312" t="str">
            <v>CM-253:CV CLR BS M.PINK P/EMINA C.LIT40H</v>
          </cell>
          <cell r="I312">
            <v>25380</v>
          </cell>
          <cell r="J312" t="str">
            <v>UN</v>
          </cell>
          <cell r="K312">
            <v>45581</v>
          </cell>
        </row>
        <row r="313">
          <cell r="A313" t="str">
            <v>50714273310</v>
          </cell>
          <cell r="B313" t="str">
            <v>ZMTD</v>
          </cell>
          <cell r="C313">
            <v>45544</v>
          </cell>
          <cell r="D313" t="str">
            <v>Not delivered</v>
          </cell>
          <cell r="E313">
            <v>507142733</v>
          </cell>
          <cell r="F313">
            <v>10</v>
          </cell>
          <cell r="G313">
            <v>1375595</v>
          </cell>
          <cell r="H313" t="str">
            <v>LC-009:BTL/INNER CLEAR P/OMG PTIPT 60B</v>
          </cell>
          <cell r="I313">
            <v>150570</v>
          </cell>
          <cell r="J313" t="str">
            <v>UN</v>
          </cell>
          <cell r="K313">
            <v>45581</v>
          </cell>
        </row>
        <row r="314">
          <cell r="A314" t="str">
            <v>50714273320</v>
          </cell>
          <cell r="B314" t="str">
            <v>ZMTD</v>
          </cell>
          <cell r="C314">
            <v>45544</v>
          </cell>
          <cell r="D314" t="str">
            <v>Not delivered</v>
          </cell>
          <cell r="E314">
            <v>507142733</v>
          </cell>
          <cell r="F314">
            <v>20</v>
          </cell>
          <cell r="G314">
            <v>1375593</v>
          </cell>
          <cell r="H314" t="str">
            <v>LC-009:CAP REDTRANS WIP S/OMG PTIPT 60B</v>
          </cell>
          <cell r="I314">
            <v>150570</v>
          </cell>
          <cell r="J314" t="str">
            <v>UN</v>
          </cell>
          <cell r="K314">
            <v>45581</v>
          </cell>
        </row>
        <row r="315">
          <cell r="A315" t="str">
            <v>50714272310</v>
          </cell>
          <cell r="B315" t="str">
            <v>ZMTD</v>
          </cell>
          <cell r="C315">
            <v>45541</v>
          </cell>
          <cell r="D315" t="str">
            <v>Not delivered</v>
          </cell>
          <cell r="E315">
            <v>507142723</v>
          </cell>
          <cell r="F315">
            <v>10</v>
          </cell>
          <cell r="G315">
            <v>1409850</v>
          </cell>
          <cell r="H315" t="str">
            <v>RX-068:BT8445 VENUS 60ML MATCLR 40D</v>
          </cell>
          <cell r="I315">
            <v>33000</v>
          </cell>
          <cell r="J315" t="str">
            <v>UN</v>
          </cell>
          <cell r="K315">
            <v>45581</v>
          </cell>
        </row>
        <row r="316">
          <cell r="A316" t="str">
            <v>50714264830</v>
          </cell>
          <cell r="B316" t="str">
            <v>ZMTD</v>
          </cell>
          <cell r="C316">
            <v>45523</v>
          </cell>
          <cell r="D316" t="str">
            <v>Partially delivered</v>
          </cell>
          <cell r="E316">
            <v>507142648</v>
          </cell>
          <cell r="F316">
            <v>30</v>
          </cell>
          <cell r="G316">
            <v>1168132</v>
          </cell>
          <cell r="H316" t="str">
            <v>LS-285:BS WHT NO DC WARDAH</v>
          </cell>
          <cell r="I316">
            <v>70224</v>
          </cell>
          <cell r="J316" t="str">
            <v>UN</v>
          </cell>
          <cell r="K316">
            <v>45581</v>
          </cell>
        </row>
        <row r="317">
          <cell r="A317" t="str">
            <v>50714264840</v>
          </cell>
          <cell r="B317" t="str">
            <v>ZMTD</v>
          </cell>
          <cell r="C317">
            <v>45523</v>
          </cell>
          <cell r="D317" t="str">
            <v>Partially delivered</v>
          </cell>
          <cell r="E317">
            <v>507142648</v>
          </cell>
          <cell r="F317">
            <v>40</v>
          </cell>
          <cell r="G317">
            <v>1421509</v>
          </cell>
          <cell r="H317" t="str">
            <v>LS-285:CV ORNG P/WHT UV ORGSQUEZE PTI30O</v>
          </cell>
          <cell r="I317">
            <v>70224</v>
          </cell>
          <cell r="J317" t="str">
            <v>UN</v>
          </cell>
          <cell r="K317">
            <v>45581</v>
          </cell>
        </row>
        <row r="318">
          <cell r="A318" t="str">
            <v>50714260410</v>
          </cell>
          <cell r="B318" t="str">
            <v>ZMTD</v>
          </cell>
          <cell r="C318">
            <v>45509</v>
          </cell>
          <cell r="D318" t="str">
            <v>Not delivered</v>
          </cell>
          <cell r="E318">
            <v>507142604</v>
          </cell>
          <cell r="F318">
            <v>10</v>
          </cell>
          <cell r="G318">
            <v>1171241</v>
          </cell>
          <cell r="H318" t="str">
            <v>CP-059:60ML UV GOLD WHT LN 7712010071 EL</v>
          </cell>
          <cell r="I318">
            <v>25080</v>
          </cell>
          <cell r="J318" t="str">
            <v>UN</v>
          </cell>
          <cell r="K318">
            <v>45581</v>
          </cell>
        </row>
        <row r="319">
          <cell r="A319" t="str">
            <v>50714227910</v>
          </cell>
          <cell r="B319" t="str">
            <v>ZMTD</v>
          </cell>
          <cell r="C319">
            <v>45447</v>
          </cell>
          <cell r="D319" t="str">
            <v>Not delivered</v>
          </cell>
          <cell r="E319">
            <v>507142279</v>
          </cell>
          <cell r="F319">
            <v>10</v>
          </cell>
          <cell r="G319">
            <v>1419488</v>
          </cell>
          <cell r="H319" t="str">
            <v>CP-063R:SPOUT CAP WHITE LOREAL 12A</v>
          </cell>
          <cell r="I319">
            <v>1890000</v>
          </cell>
          <cell r="J319" t="str">
            <v>UN</v>
          </cell>
          <cell r="K319">
            <v>45581</v>
          </cell>
        </row>
        <row r="320">
          <cell r="A320" t="str">
            <v>50714282610</v>
          </cell>
          <cell r="B320" t="str">
            <v>ZMTD</v>
          </cell>
          <cell r="C320">
            <v>45560</v>
          </cell>
          <cell r="D320" t="str">
            <v>Not delivered</v>
          </cell>
          <cell r="E320">
            <v>507142826</v>
          </cell>
          <cell r="F320">
            <v>10</v>
          </cell>
          <cell r="G320">
            <v>1442332</v>
          </cell>
          <cell r="H320" t="str">
            <v>CM-256:BS CV PF TRNS BRWN MTCLR P/KUSUMA</v>
          </cell>
          <cell r="I320">
            <v>10000</v>
          </cell>
          <cell r="J320" t="str">
            <v>UN</v>
          </cell>
          <cell r="K320">
            <v>45582</v>
          </cell>
        </row>
        <row r="321">
          <cell r="A321" t="str">
            <v>50714282910</v>
          </cell>
          <cell r="B321" t="str">
            <v>ZMTD</v>
          </cell>
          <cell r="C321">
            <v>45560</v>
          </cell>
          <cell r="D321" t="str">
            <v>Not delivered</v>
          </cell>
          <cell r="E321">
            <v>507142829</v>
          </cell>
          <cell r="F321">
            <v>10</v>
          </cell>
          <cell r="G321">
            <v>1340516</v>
          </cell>
          <cell r="H321" t="str">
            <v>CM-133:CVR BS MTLC GRN UV DP S/WARDH 30T</v>
          </cell>
          <cell r="I321">
            <v>10080</v>
          </cell>
          <cell r="J321" t="str">
            <v>UN</v>
          </cell>
          <cell r="K321">
            <v>45582</v>
          </cell>
        </row>
        <row r="322">
          <cell r="A322" t="str">
            <v>50714278310</v>
          </cell>
          <cell r="B322" t="str">
            <v>ZMTD</v>
          </cell>
          <cell r="C322">
            <v>45554</v>
          </cell>
          <cell r="D322" t="str">
            <v>Not delivered</v>
          </cell>
          <cell r="E322">
            <v>507142783</v>
          </cell>
          <cell r="F322">
            <v>10</v>
          </cell>
          <cell r="G322">
            <v>1255658</v>
          </cell>
          <cell r="H322" t="str">
            <v>LC-002:BTL MT VAR8 P/WRDH B.MARK PTI40H</v>
          </cell>
          <cell r="I322">
            <v>25200</v>
          </cell>
          <cell r="J322" t="str">
            <v>UN</v>
          </cell>
          <cell r="K322">
            <v>45582</v>
          </cell>
        </row>
        <row r="323">
          <cell r="A323" t="str">
            <v>50714278320</v>
          </cell>
          <cell r="B323" t="str">
            <v>ZMTD</v>
          </cell>
          <cell r="C323">
            <v>45554</v>
          </cell>
          <cell r="D323" t="str">
            <v>Not delivered</v>
          </cell>
          <cell r="E323">
            <v>507142783</v>
          </cell>
          <cell r="F323">
            <v>20</v>
          </cell>
          <cell r="G323">
            <v>1264030</v>
          </cell>
          <cell r="H323" t="str">
            <v>LC-002:CAP S/MTVAR8 STM-WHT WPNAT PTI40D</v>
          </cell>
          <cell r="I323">
            <v>25200</v>
          </cell>
          <cell r="J323" t="str">
            <v>UN</v>
          </cell>
          <cell r="K323">
            <v>45582</v>
          </cell>
        </row>
        <row r="324">
          <cell r="A324" t="str">
            <v>50714278710</v>
          </cell>
          <cell r="B324" t="str">
            <v>ZMTD</v>
          </cell>
          <cell r="C324">
            <v>45554</v>
          </cell>
          <cell r="D324" t="str">
            <v>Not delivered</v>
          </cell>
          <cell r="E324">
            <v>507142787</v>
          </cell>
          <cell r="F324">
            <v>10</v>
          </cell>
          <cell r="G324">
            <v>1336783</v>
          </cell>
          <cell r="H324" t="str">
            <v>LC-003:BTL CLR CLVM P/S/INSTSUEDE PTI20Y</v>
          </cell>
          <cell r="I324">
            <v>25200</v>
          </cell>
          <cell r="J324" t="str">
            <v>UN</v>
          </cell>
          <cell r="K324">
            <v>45582</v>
          </cell>
        </row>
        <row r="325">
          <cell r="A325" t="str">
            <v>50714278720</v>
          </cell>
          <cell r="B325" t="str">
            <v>ZMTD</v>
          </cell>
          <cell r="C325">
            <v>45554</v>
          </cell>
          <cell r="D325" t="str">
            <v>Not delivered</v>
          </cell>
          <cell r="E325">
            <v>507142787</v>
          </cell>
          <cell r="F325">
            <v>20</v>
          </cell>
          <cell r="G325">
            <v>1378266</v>
          </cell>
          <cell r="H325" t="str">
            <v>LC-003:CAP VM RS PINK INSTASUEDE PTI 20F</v>
          </cell>
          <cell r="I325">
            <v>25200</v>
          </cell>
          <cell r="J325" t="str">
            <v>UN</v>
          </cell>
          <cell r="K325">
            <v>45582</v>
          </cell>
        </row>
        <row r="326">
          <cell r="A326" t="str">
            <v>50714278810</v>
          </cell>
          <cell r="B326" t="str">
            <v>ZMTD</v>
          </cell>
          <cell r="C326">
            <v>45554</v>
          </cell>
          <cell r="D326" t="str">
            <v>Not delivered</v>
          </cell>
          <cell r="E326">
            <v>507142788</v>
          </cell>
          <cell r="F326">
            <v>10</v>
          </cell>
          <cell r="G326">
            <v>1168132</v>
          </cell>
          <cell r="H326" t="str">
            <v>LS-285:BS WHT NO DC WARDAH</v>
          </cell>
          <cell r="I326">
            <v>55328</v>
          </cell>
          <cell r="J326" t="str">
            <v>UN</v>
          </cell>
          <cell r="K326">
            <v>45582</v>
          </cell>
        </row>
        <row r="327">
          <cell r="A327" t="str">
            <v>50714278820</v>
          </cell>
          <cell r="B327" t="str">
            <v>ZMTD</v>
          </cell>
          <cell r="C327">
            <v>45554</v>
          </cell>
          <cell r="D327" t="str">
            <v>Not delivered</v>
          </cell>
          <cell r="E327">
            <v>507142788</v>
          </cell>
          <cell r="F327">
            <v>20</v>
          </cell>
          <cell r="G327">
            <v>1421418</v>
          </cell>
          <cell r="H327" t="str">
            <v>LS-285:CV RED P/WHT UV STRAWBERY PTI 30O</v>
          </cell>
          <cell r="I327">
            <v>55328</v>
          </cell>
          <cell r="J327" t="str">
            <v>UN</v>
          </cell>
          <cell r="K327">
            <v>45582</v>
          </cell>
        </row>
        <row r="328">
          <cell r="A328" t="str">
            <v>50714275670</v>
          </cell>
          <cell r="B328" t="str">
            <v>ZMTD</v>
          </cell>
          <cell r="C328">
            <v>45547</v>
          </cell>
          <cell r="D328" t="str">
            <v>Not delivered</v>
          </cell>
          <cell r="E328">
            <v>507142756</v>
          </cell>
          <cell r="F328">
            <v>70</v>
          </cell>
          <cell r="G328">
            <v>1411899</v>
          </cell>
          <cell r="H328" t="str">
            <v>PT-100:BS/INS GREEN P/WHT KAHF PTI 60B</v>
          </cell>
          <cell r="I328">
            <v>120064</v>
          </cell>
          <cell r="J328" t="str">
            <v>UN</v>
          </cell>
          <cell r="K328">
            <v>45582</v>
          </cell>
        </row>
        <row r="329">
          <cell r="A329" t="str">
            <v>50714275680</v>
          </cell>
          <cell r="B329" t="str">
            <v>ZMTD</v>
          </cell>
          <cell r="C329">
            <v>45547</v>
          </cell>
          <cell r="D329" t="str">
            <v>Not delivered</v>
          </cell>
          <cell r="E329">
            <v>507142756</v>
          </cell>
          <cell r="F329">
            <v>80</v>
          </cell>
          <cell r="G329">
            <v>1411898</v>
          </cell>
          <cell r="H329" t="str">
            <v>PT-100:CVR MT.GREEN EMBOS KAHF PTI 40D</v>
          </cell>
          <cell r="I329">
            <v>120064</v>
          </cell>
          <cell r="J329" t="str">
            <v>UN</v>
          </cell>
          <cell r="K329">
            <v>45582</v>
          </cell>
        </row>
        <row r="330">
          <cell r="A330" t="str">
            <v>50714266410</v>
          </cell>
          <cell r="B330" t="str">
            <v>ZMTD</v>
          </cell>
          <cell r="C330">
            <v>45525</v>
          </cell>
          <cell r="D330" t="str">
            <v>Not delivered</v>
          </cell>
          <cell r="E330">
            <v>507142664</v>
          </cell>
          <cell r="F330">
            <v>10</v>
          </cell>
          <cell r="G330">
            <v>1216572</v>
          </cell>
          <cell r="H330" t="str">
            <v>CM-216:TRUE MATCH CV PF S/SLV LOR (SEA)</v>
          </cell>
          <cell r="I330">
            <v>230400</v>
          </cell>
          <cell r="J330" t="str">
            <v>UN</v>
          </cell>
          <cell r="K330">
            <v>45582</v>
          </cell>
        </row>
        <row r="331">
          <cell r="A331" t="str">
            <v>507142416200</v>
          </cell>
          <cell r="B331" t="str">
            <v>ZMTD</v>
          </cell>
          <cell r="C331">
            <v>45474</v>
          </cell>
          <cell r="D331" t="str">
            <v>Not delivered</v>
          </cell>
          <cell r="E331">
            <v>507142416</v>
          </cell>
          <cell r="F331">
            <v>200</v>
          </cell>
          <cell r="G331">
            <v>1172027</v>
          </cell>
          <cell r="H331" t="str">
            <v>FP-008:SFT NAT L.HINGE W/LBL NO DC MDM</v>
          </cell>
          <cell r="I331">
            <v>10000</v>
          </cell>
          <cell r="J331" t="str">
            <v>UN</v>
          </cell>
          <cell r="K331">
            <v>45582</v>
          </cell>
        </row>
        <row r="332">
          <cell r="A332" t="str">
            <v>50714277110</v>
          </cell>
          <cell r="B332" t="str">
            <v>ZMTD</v>
          </cell>
          <cell r="C332">
            <v>45554</v>
          </cell>
          <cell r="D332" t="str">
            <v>Not delivered</v>
          </cell>
          <cell r="E332">
            <v>507142771</v>
          </cell>
          <cell r="F332">
            <v>10</v>
          </cell>
          <cell r="G332">
            <v>1378563</v>
          </cell>
          <cell r="H332" t="str">
            <v>CP-093:CAP D50 MT BLACK Ø.5 YASULOR 12A</v>
          </cell>
          <cell r="I332">
            <v>400000</v>
          </cell>
          <cell r="J332" t="str">
            <v>UN</v>
          </cell>
          <cell r="K332">
            <v>45583</v>
          </cell>
        </row>
        <row r="333">
          <cell r="A333" t="str">
            <v>50714278220</v>
          </cell>
          <cell r="B333" t="str">
            <v>ZMTD</v>
          </cell>
          <cell r="C333">
            <v>45554</v>
          </cell>
          <cell r="D333" t="str">
            <v>Not delivered</v>
          </cell>
          <cell r="E333">
            <v>507142782</v>
          </cell>
          <cell r="F333">
            <v>20</v>
          </cell>
          <cell r="G333">
            <v>1420102</v>
          </cell>
          <cell r="H333" t="str">
            <v>LS-091:CV WHT P/ICE FRUITY CHERRY 60B</v>
          </cell>
          <cell r="I333">
            <v>25688</v>
          </cell>
          <cell r="J333" t="str">
            <v>UN</v>
          </cell>
          <cell r="K333">
            <v>45583</v>
          </cell>
        </row>
        <row r="334">
          <cell r="A334" t="str">
            <v>50714278910</v>
          </cell>
          <cell r="B334" t="str">
            <v>ZMTD</v>
          </cell>
          <cell r="C334">
            <v>45554</v>
          </cell>
          <cell r="D334" t="str">
            <v>Not delivered</v>
          </cell>
          <cell r="E334">
            <v>507142789</v>
          </cell>
          <cell r="F334">
            <v>10</v>
          </cell>
          <cell r="G334">
            <v>1411213</v>
          </cell>
          <cell r="H334" t="str">
            <v>CM-105:BLCK COAT P/MAKE OVER PTI RV1 40H</v>
          </cell>
          <cell r="I334">
            <v>10080</v>
          </cell>
          <cell r="J334" t="str">
            <v>UN</v>
          </cell>
          <cell r="K334">
            <v>45583</v>
          </cell>
        </row>
        <row r="335">
          <cell r="A335" t="str">
            <v>50714279010</v>
          </cell>
          <cell r="B335" t="str">
            <v>ZMTD</v>
          </cell>
          <cell r="C335">
            <v>45554</v>
          </cell>
          <cell r="D335" t="str">
            <v>Not delivered</v>
          </cell>
          <cell r="E335">
            <v>507142790</v>
          </cell>
          <cell r="F335">
            <v>10</v>
          </cell>
          <cell r="G335">
            <v>1361170</v>
          </cell>
          <cell r="H335" t="str">
            <v>PT-097:BODY BLACK HOUSE WHT TRANS PTI12A</v>
          </cell>
          <cell r="I335">
            <v>110160</v>
          </cell>
          <cell r="J335" t="str">
            <v>UN</v>
          </cell>
          <cell r="K335">
            <v>45583</v>
          </cell>
        </row>
        <row r="336">
          <cell r="A336" t="str">
            <v>50714279020</v>
          </cell>
          <cell r="B336" t="str">
            <v>ZMTD</v>
          </cell>
          <cell r="C336">
            <v>45554</v>
          </cell>
          <cell r="D336" t="str">
            <v>Not delivered</v>
          </cell>
          <cell r="E336">
            <v>507142790</v>
          </cell>
          <cell r="F336">
            <v>20</v>
          </cell>
          <cell r="G336">
            <v>1361175</v>
          </cell>
          <cell r="H336" t="str">
            <v>PT-097:CAP BLACK TRANS PTI 12A</v>
          </cell>
          <cell r="I336">
            <v>110160</v>
          </cell>
          <cell r="J336" t="str">
            <v>UN</v>
          </cell>
          <cell r="K336">
            <v>45583</v>
          </cell>
        </row>
        <row r="337">
          <cell r="A337" t="str">
            <v>50714276550</v>
          </cell>
          <cell r="B337" t="str">
            <v>ZMTD</v>
          </cell>
          <cell r="C337">
            <v>45552</v>
          </cell>
          <cell r="D337" t="str">
            <v>Not delivered</v>
          </cell>
          <cell r="E337">
            <v>507142765</v>
          </cell>
          <cell r="F337">
            <v>50</v>
          </cell>
          <cell r="G337">
            <v>1398383</v>
          </cell>
          <cell r="H337" t="str">
            <v>CM-319:WHITE P/BLACK UV MATTE NARS</v>
          </cell>
          <cell r="I337">
            <v>40080</v>
          </cell>
          <cell r="J337" t="str">
            <v>UN</v>
          </cell>
          <cell r="K337">
            <v>45583</v>
          </cell>
        </row>
        <row r="338">
          <cell r="A338" t="str">
            <v>50714270910</v>
          </cell>
          <cell r="B338" t="str">
            <v>ZMTD</v>
          </cell>
          <cell r="C338">
            <v>45534</v>
          </cell>
          <cell r="D338" t="str">
            <v>Not delivered</v>
          </cell>
          <cell r="E338">
            <v>507142709</v>
          </cell>
          <cell r="F338">
            <v>10</v>
          </cell>
          <cell r="G338">
            <v>1187960</v>
          </cell>
          <cell r="H338" t="str">
            <v>FP-014:CVR VMRAINBOW P/ULTM II RUDYS 40C</v>
          </cell>
          <cell r="I338">
            <v>30000</v>
          </cell>
          <cell r="J338" t="str">
            <v>UN</v>
          </cell>
          <cell r="K338">
            <v>45583</v>
          </cell>
        </row>
        <row r="339">
          <cell r="A339" t="str">
            <v>50714270920</v>
          </cell>
          <cell r="B339" t="str">
            <v>ZMTD</v>
          </cell>
          <cell r="C339">
            <v>45534</v>
          </cell>
          <cell r="D339" t="str">
            <v>Not delivered</v>
          </cell>
          <cell r="E339">
            <v>507142709</v>
          </cell>
          <cell r="F339">
            <v>20</v>
          </cell>
          <cell r="G339">
            <v>1172318</v>
          </cell>
          <cell r="H339" t="str">
            <v>FP-014:BASE CLEAR NO DC ULTIMA II RUDY S</v>
          </cell>
          <cell r="I339">
            <v>30000</v>
          </cell>
          <cell r="J339" t="str">
            <v>UN</v>
          </cell>
          <cell r="K339">
            <v>45583</v>
          </cell>
        </row>
        <row r="340">
          <cell r="A340" t="str">
            <v>50714270930</v>
          </cell>
          <cell r="B340" t="str">
            <v>ZMTD</v>
          </cell>
          <cell r="C340">
            <v>45534</v>
          </cell>
          <cell r="D340" t="str">
            <v>Not delivered</v>
          </cell>
          <cell r="E340">
            <v>507142709</v>
          </cell>
          <cell r="F340">
            <v>30</v>
          </cell>
          <cell r="G340">
            <v>1170826</v>
          </cell>
          <cell r="H340" t="str">
            <v>FP-014:SIFTER NT W/LBL NO DECO ULTIMA II</v>
          </cell>
          <cell r="I340">
            <v>30000</v>
          </cell>
          <cell r="J340" t="str">
            <v>UN</v>
          </cell>
          <cell r="K340">
            <v>45583</v>
          </cell>
        </row>
        <row r="341">
          <cell r="A341" t="str">
            <v>50714261810</v>
          </cell>
          <cell r="B341" t="str">
            <v>ZMTD</v>
          </cell>
          <cell r="C341">
            <v>45512</v>
          </cell>
          <cell r="D341" t="str">
            <v>Not delivered</v>
          </cell>
          <cell r="E341">
            <v>507142618</v>
          </cell>
          <cell r="F341">
            <v>10</v>
          </cell>
          <cell r="G341">
            <v>1409850</v>
          </cell>
          <cell r="H341" t="str">
            <v>RX-068:BT8445 VENUS 60ML MATCLR 40D</v>
          </cell>
          <cell r="I341">
            <v>11500</v>
          </cell>
          <cell r="J341" t="str">
            <v>UN</v>
          </cell>
          <cell r="K341">
            <v>45583</v>
          </cell>
        </row>
        <row r="342">
          <cell r="A342" t="str">
            <v>50714260010</v>
          </cell>
          <cell r="B342" t="str">
            <v>ZMTD</v>
          </cell>
          <cell r="C342">
            <v>45509</v>
          </cell>
          <cell r="D342" t="str">
            <v>Not delivered</v>
          </cell>
          <cell r="E342">
            <v>507142600</v>
          </cell>
          <cell r="F342">
            <v>10</v>
          </cell>
          <cell r="G342">
            <v>1414413</v>
          </cell>
          <cell r="H342" t="str">
            <v>CM-216:S/RED INFAILLIBLE  L'OREAL US</v>
          </cell>
          <cell r="I342">
            <v>70000</v>
          </cell>
          <cell r="J342" t="str">
            <v>UN</v>
          </cell>
          <cell r="K342">
            <v>45583</v>
          </cell>
        </row>
        <row r="343">
          <cell r="A343" t="str">
            <v>50714254320</v>
          </cell>
          <cell r="B343" t="str">
            <v>ZMTD</v>
          </cell>
          <cell r="C343">
            <v>45491</v>
          </cell>
          <cell r="D343" t="str">
            <v>Not delivered</v>
          </cell>
          <cell r="E343">
            <v>507142543</v>
          </cell>
          <cell r="F343">
            <v>20</v>
          </cell>
          <cell r="G343">
            <v>1278860</v>
          </cell>
          <cell r="H343" t="str">
            <v>CM-296:WHT P/L.AGELES W/O HOLE COTY TAOR</v>
          </cell>
          <cell r="I343">
            <v>72000</v>
          </cell>
          <cell r="J343" t="str">
            <v>UN</v>
          </cell>
          <cell r="K343">
            <v>45583</v>
          </cell>
        </row>
        <row r="344">
          <cell r="A344" t="str">
            <v>507142416180</v>
          </cell>
          <cell r="B344" t="str">
            <v>ZMTD</v>
          </cell>
          <cell r="C344">
            <v>45474</v>
          </cell>
          <cell r="D344" t="str">
            <v>Not delivered</v>
          </cell>
          <cell r="E344">
            <v>507142416</v>
          </cell>
          <cell r="F344">
            <v>180</v>
          </cell>
          <cell r="G344">
            <v>1376248</v>
          </cell>
          <cell r="H344" t="str">
            <v>FP-008:CVR L.PINK P/BLK MANDOM RV1 12A</v>
          </cell>
          <cell r="I344">
            <v>10000</v>
          </cell>
          <cell r="J344" t="str">
            <v>UN</v>
          </cell>
          <cell r="K344">
            <v>45583</v>
          </cell>
        </row>
        <row r="345">
          <cell r="A345" t="str">
            <v>507142416190</v>
          </cell>
          <cell r="B345" t="str">
            <v>ZMTD</v>
          </cell>
          <cell r="C345">
            <v>45474</v>
          </cell>
          <cell r="D345" t="str">
            <v>Not delivered</v>
          </cell>
          <cell r="E345">
            <v>507142416</v>
          </cell>
          <cell r="F345">
            <v>190</v>
          </cell>
          <cell r="G345">
            <v>1171179</v>
          </cell>
          <cell r="H345" t="str">
            <v>FP-008:BS INJ BLK NO DC MANDOM</v>
          </cell>
          <cell r="I345">
            <v>10000</v>
          </cell>
          <cell r="J345" t="str">
            <v>UN</v>
          </cell>
          <cell r="K345">
            <v>45583</v>
          </cell>
        </row>
        <row r="346">
          <cell r="A346" t="str">
            <v>50714228010</v>
          </cell>
          <cell r="B346" t="str">
            <v>ZMTD</v>
          </cell>
          <cell r="C346">
            <v>45447</v>
          </cell>
          <cell r="D346" t="str">
            <v>Not delivered</v>
          </cell>
          <cell r="E346">
            <v>507142280</v>
          </cell>
          <cell r="F346">
            <v>10</v>
          </cell>
          <cell r="G346">
            <v>1419488</v>
          </cell>
          <cell r="H346" t="str">
            <v>CP-063R:SPOUT CAP WHITE LOREAL 12A</v>
          </cell>
          <cell r="I346">
            <v>1890000</v>
          </cell>
          <cell r="J346" t="str">
            <v>UN</v>
          </cell>
          <cell r="K346">
            <v>45584</v>
          </cell>
        </row>
        <row r="347">
          <cell r="A347" t="str">
            <v>50714275210</v>
          </cell>
          <cell r="B347" t="str">
            <v>ZMTD</v>
          </cell>
          <cell r="C347">
            <v>45545</v>
          </cell>
          <cell r="D347" t="str">
            <v>Not delivered</v>
          </cell>
          <cell r="E347">
            <v>507142752</v>
          </cell>
          <cell r="F347">
            <v>10</v>
          </cell>
          <cell r="G347">
            <v>1169286</v>
          </cell>
          <cell r="H347" t="str">
            <v>CM-294:RECTANGULAR WITH GODET PKTJ010032</v>
          </cell>
          <cell r="I347">
            <v>43280</v>
          </cell>
          <cell r="J347" t="str">
            <v>UN</v>
          </cell>
          <cell r="K347">
            <v>45585</v>
          </cell>
        </row>
        <row r="348">
          <cell r="A348" t="str">
            <v>50714284010</v>
          </cell>
          <cell r="B348" t="str">
            <v>ZMTD</v>
          </cell>
          <cell r="C348">
            <v>45562</v>
          </cell>
          <cell r="D348" t="str">
            <v>Not delivered</v>
          </cell>
          <cell r="E348">
            <v>507142840</v>
          </cell>
          <cell r="F348">
            <v>10</v>
          </cell>
          <cell r="G348">
            <v>1225388</v>
          </cell>
          <cell r="H348" t="str">
            <v>RX-039 PT-024 CVR WHT SP/MAT CLR</v>
          </cell>
          <cell r="I348">
            <v>27000</v>
          </cell>
          <cell r="J348" t="str">
            <v>UN</v>
          </cell>
          <cell r="K348">
            <v>45586</v>
          </cell>
        </row>
        <row r="349">
          <cell r="A349" t="str">
            <v>50714278210</v>
          </cell>
          <cell r="B349" t="str">
            <v>ZMTD</v>
          </cell>
          <cell r="C349">
            <v>45554</v>
          </cell>
          <cell r="D349" t="str">
            <v>Not delivered</v>
          </cell>
          <cell r="E349">
            <v>507142782</v>
          </cell>
          <cell r="F349">
            <v>10</v>
          </cell>
          <cell r="G349">
            <v>1420101</v>
          </cell>
          <cell r="H349" t="str">
            <v>LS-091:BS RED P/RED FRTY CHERRY NEW 60B</v>
          </cell>
          <cell r="I349">
            <v>25688</v>
          </cell>
          <cell r="J349" t="str">
            <v>UN</v>
          </cell>
          <cell r="K349">
            <v>45586</v>
          </cell>
        </row>
        <row r="350">
          <cell r="A350" t="str">
            <v>50714273330</v>
          </cell>
          <cell r="B350" t="str">
            <v>ZMTD</v>
          </cell>
          <cell r="C350">
            <v>45544</v>
          </cell>
          <cell r="D350" t="str">
            <v>Not delivered</v>
          </cell>
          <cell r="E350">
            <v>507142733</v>
          </cell>
          <cell r="F350">
            <v>30</v>
          </cell>
          <cell r="G350">
            <v>1375595</v>
          </cell>
          <cell r="H350" t="str">
            <v>LC-009:BTL/INNER CLEAR P/OMG PTIPT 60B</v>
          </cell>
          <cell r="I350">
            <v>49770</v>
          </cell>
          <cell r="J350" t="str">
            <v>UN</v>
          </cell>
          <cell r="K350">
            <v>45586</v>
          </cell>
        </row>
        <row r="351">
          <cell r="A351" t="str">
            <v>50714273340</v>
          </cell>
          <cell r="B351" t="str">
            <v>ZMTD</v>
          </cell>
          <cell r="C351">
            <v>45544</v>
          </cell>
          <cell r="D351" t="str">
            <v>Not delivered</v>
          </cell>
          <cell r="E351">
            <v>507142733</v>
          </cell>
          <cell r="F351">
            <v>40</v>
          </cell>
          <cell r="G351">
            <v>1375593</v>
          </cell>
          <cell r="H351" t="str">
            <v>LC-009:CAP REDTRANS WIP S/OMG PTIPT 60B</v>
          </cell>
          <cell r="I351">
            <v>49770</v>
          </cell>
          <cell r="J351" t="str">
            <v>UN</v>
          </cell>
          <cell r="K351">
            <v>45586</v>
          </cell>
        </row>
        <row r="352">
          <cell r="A352" t="str">
            <v>50714271910</v>
          </cell>
          <cell r="B352" t="str">
            <v>ZMTD</v>
          </cell>
          <cell r="C352">
            <v>45539</v>
          </cell>
          <cell r="D352" t="str">
            <v>Not delivered</v>
          </cell>
          <cell r="E352">
            <v>507142719</v>
          </cell>
          <cell r="F352">
            <v>10</v>
          </cell>
          <cell r="G352">
            <v>1431862</v>
          </cell>
          <cell r="H352" t="str">
            <v>PT6029R JAR GARNIER 18ML YUZU SPF30(635)</v>
          </cell>
          <cell r="I352">
            <v>42336</v>
          </cell>
          <cell r="J352" t="str">
            <v>UN</v>
          </cell>
          <cell r="K352">
            <v>45586</v>
          </cell>
        </row>
        <row r="353">
          <cell r="A353" t="str">
            <v>50714269910</v>
          </cell>
          <cell r="B353" t="str">
            <v>ZMTD</v>
          </cell>
          <cell r="C353">
            <v>45533</v>
          </cell>
          <cell r="D353" t="str">
            <v>Not delivered</v>
          </cell>
          <cell r="E353">
            <v>507142699</v>
          </cell>
          <cell r="F353">
            <v>10</v>
          </cell>
          <cell r="G353">
            <v>1315622</v>
          </cell>
          <cell r="H353" t="str">
            <v>CM-306:COTY BURBERRY PLATFORM QUAD</v>
          </cell>
          <cell r="I353">
            <v>32400</v>
          </cell>
          <cell r="J353" t="str">
            <v>UN</v>
          </cell>
          <cell r="K353">
            <v>45586</v>
          </cell>
        </row>
        <row r="354">
          <cell r="A354" t="str">
            <v>50800525110</v>
          </cell>
          <cell r="B354" t="str">
            <v>ZMFD</v>
          </cell>
          <cell r="C354">
            <v>45511</v>
          </cell>
          <cell r="D354" t="str">
            <v>Not delivered</v>
          </cell>
          <cell r="E354">
            <v>508005251</v>
          </cell>
          <cell r="F354">
            <v>10</v>
          </cell>
          <cell r="G354">
            <v>1168132</v>
          </cell>
          <cell r="H354" t="str">
            <v>LS-285:BS WHT NO DC WARDAH</v>
          </cell>
          <cell r="I354">
            <v>3000</v>
          </cell>
          <cell r="J354" t="str">
            <v>UN</v>
          </cell>
          <cell r="K354">
            <v>45586</v>
          </cell>
        </row>
        <row r="355">
          <cell r="A355" t="str">
            <v>50800525120</v>
          </cell>
          <cell r="B355" t="str">
            <v>ZMFD</v>
          </cell>
          <cell r="C355">
            <v>45511</v>
          </cell>
          <cell r="D355" t="str">
            <v>Not delivered</v>
          </cell>
          <cell r="E355">
            <v>508005251</v>
          </cell>
          <cell r="F355">
            <v>20</v>
          </cell>
          <cell r="G355">
            <v>1421510</v>
          </cell>
          <cell r="H355" t="str">
            <v>LS-285:CV PINK P/WHT UV P.BLOSOM PTI 30O</v>
          </cell>
          <cell r="I355">
            <v>3000</v>
          </cell>
          <cell r="J355" t="str">
            <v>UN</v>
          </cell>
          <cell r="K355">
            <v>45586</v>
          </cell>
        </row>
        <row r="356">
          <cell r="A356" t="str">
            <v>50714260630</v>
          </cell>
          <cell r="B356" t="str">
            <v>ZMTD</v>
          </cell>
          <cell r="C356">
            <v>45509</v>
          </cell>
          <cell r="D356" t="str">
            <v>Not delivered</v>
          </cell>
          <cell r="E356">
            <v>507142606</v>
          </cell>
          <cell r="F356">
            <v>30</v>
          </cell>
          <cell r="G356">
            <v>1172020</v>
          </cell>
          <cell r="H356" t="str">
            <v>FP-028:SLEEVE EYELASHES 01SLMAC EL</v>
          </cell>
          <cell r="I356">
            <v>80256</v>
          </cell>
          <cell r="J356" t="str">
            <v>UN</v>
          </cell>
          <cell r="K356">
            <v>45586</v>
          </cell>
        </row>
        <row r="357">
          <cell r="A357" t="str">
            <v>50714260640</v>
          </cell>
          <cell r="B357" t="str">
            <v>ZMTD</v>
          </cell>
          <cell r="C357">
            <v>45509</v>
          </cell>
          <cell r="D357" t="str">
            <v>Not delivered</v>
          </cell>
          <cell r="E357">
            <v>507142606</v>
          </cell>
          <cell r="F357">
            <v>40</v>
          </cell>
          <cell r="G357">
            <v>1170605</v>
          </cell>
          <cell r="H357" t="str">
            <v>FP-028:WHITE TR EYLSHS P/ 01PLMAC EL</v>
          </cell>
          <cell r="I357">
            <v>80514</v>
          </cell>
          <cell r="J357" t="str">
            <v>UN</v>
          </cell>
          <cell r="K357">
            <v>45586</v>
          </cell>
        </row>
        <row r="358">
          <cell r="A358" t="str">
            <v>50714243310</v>
          </cell>
          <cell r="B358" t="str">
            <v>ZMTD</v>
          </cell>
          <cell r="C358">
            <v>45475</v>
          </cell>
          <cell r="D358" t="str">
            <v>Not delivered</v>
          </cell>
          <cell r="E358">
            <v>507142433</v>
          </cell>
          <cell r="F358">
            <v>10</v>
          </cell>
          <cell r="G358">
            <v>1406600</v>
          </cell>
          <cell r="H358" t="str">
            <v>CM-310:BLACK M086 CANNAGE S/SLV UV MT</v>
          </cell>
          <cell r="I358">
            <v>39000</v>
          </cell>
          <cell r="J358" t="str">
            <v>UN</v>
          </cell>
          <cell r="K358">
            <v>45586</v>
          </cell>
        </row>
        <row r="359">
          <cell r="A359" t="str">
            <v>50714228110</v>
          </cell>
          <cell r="B359" t="str">
            <v>ZMTD</v>
          </cell>
          <cell r="C359">
            <v>45447</v>
          </cell>
          <cell r="D359" t="str">
            <v>Not delivered</v>
          </cell>
          <cell r="E359">
            <v>507142281</v>
          </cell>
          <cell r="F359">
            <v>10</v>
          </cell>
          <cell r="G359">
            <v>1419488</v>
          </cell>
          <cell r="H359" t="str">
            <v>CP-063R:SPOUT CAP WHITE LOREAL 12A</v>
          </cell>
          <cell r="I359">
            <v>1890000</v>
          </cell>
          <cell r="J359" t="str">
            <v>UN</v>
          </cell>
          <cell r="K359">
            <v>45586</v>
          </cell>
        </row>
        <row r="360">
          <cell r="A360" t="str">
            <v>50714283110</v>
          </cell>
          <cell r="B360" t="str">
            <v>ZMTD</v>
          </cell>
          <cell r="C360">
            <v>45561</v>
          </cell>
          <cell r="D360" t="str">
            <v>Not delivered</v>
          </cell>
          <cell r="E360">
            <v>507142831</v>
          </cell>
          <cell r="F360">
            <v>10</v>
          </cell>
          <cell r="G360">
            <v>1367372</v>
          </cell>
          <cell r="H360" t="str">
            <v>PT-097:BODY GREN HOUSE WHT TRANS PTI 12A</v>
          </cell>
          <cell r="I360">
            <v>50220</v>
          </cell>
          <cell r="J360" t="str">
            <v>UN</v>
          </cell>
          <cell r="K360">
            <v>45587</v>
          </cell>
        </row>
        <row r="361">
          <cell r="A361" t="str">
            <v>50714283120</v>
          </cell>
          <cell r="B361" t="str">
            <v>ZMTD</v>
          </cell>
          <cell r="C361">
            <v>45561</v>
          </cell>
          <cell r="D361" t="str">
            <v>Not delivered</v>
          </cell>
          <cell r="E361">
            <v>507142831</v>
          </cell>
          <cell r="F361">
            <v>20</v>
          </cell>
          <cell r="G361">
            <v>1367370</v>
          </cell>
          <cell r="H361" t="str">
            <v>PT-097:CAP GREN TRANS PTI 12A</v>
          </cell>
          <cell r="I361">
            <v>50220</v>
          </cell>
          <cell r="J361" t="str">
            <v>UN</v>
          </cell>
          <cell r="K361">
            <v>45587</v>
          </cell>
        </row>
        <row r="362">
          <cell r="A362" t="str">
            <v>50714283410</v>
          </cell>
          <cell r="B362" t="str">
            <v>ZMTD</v>
          </cell>
          <cell r="C362">
            <v>45561</v>
          </cell>
          <cell r="D362" t="str">
            <v>Not delivered</v>
          </cell>
          <cell r="E362">
            <v>507142834</v>
          </cell>
          <cell r="F362">
            <v>10</v>
          </cell>
          <cell r="G362">
            <v>1209355</v>
          </cell>
          <cell r="H362" t="str">
            <v>CP-092:VM SLVR WRDH TREAT ESSENCE PTI20F</v>
          </cell>
          <cell r="I362">
            <v>25200</v>
          </cell>
          <cell r="J362" t="str">
            <v>UN</v>
          </cell>
          <cell r="K362">
            <v>45587</v>
          </cell>
        </row>
        <row r="363">
          <cell r="A363" t="str">
            <v>50714283510</v>
          </cell>
          <cell r="B363" t="str">
            <v>ZMTD</v>
          </cell>
          <cell r="C363">
            <v>45561</v>
          </cell>
          <cell r="D363" t="str">
            <v>Not delivered</v>
          </cell>
          <cell r="E363">
            <v>507142835</v>
          </cell>
          <cell r="F363">
            <v>10</v>
          </cell>
          <cell r="G363">
            <v>1167571</v>
          </cell>
          <cell r="H363" t="str">
            <v>FP-014:BS CLEAR NO DC PTI</v>
          </cell>
          <cell r="I363">
            <v>10080</v>
          </cell>
          <cell r="J363" t="str">
            <v>UN</v>
          </cell>
          <cell r="K363">
            <v>45587</v>
          </cell>
        </row>
        <row r="364">
          <cell r="A364" t="str">
            <v>50714283520</v>
          </cell>
          <cell r="B364" t="str">
            <v>ZMTD</v>
          </cell>
          <cell r="C364">
            <v>45561</v>
          </cell>
          <cell r="D364" t="str">
            <v>Not delivered</v>
          </cell>
          <cell r="E364">
            <v>507142835</v>
          </cell>
          <cell r="F364">
            <v>20</v>
          </cell>
          <cell r="G364">
            <v>1174020</v>
          </cell>
          <cell r="H364" t="str">
            <v>FP-014:CVR BLCK COAT P/DC MAKE OVER  PTI</v>
          </cell>
          <cell r="I364">
            <v>10080</v>
          </cell>
          <cell r="J364" t="str">
            <v>UN</v>
          </cell>
          <cell r="K364">
            <v>45587</v>
          </cell>
        </row>
        <row r="365">
          <cell r="A365" t="str">
            <v>50714283530</v>
          </cell>
          <cell r="B365" t="str">
            <v>ZMTD</v>
          </cell>
          <cell r="C365">
            <v>45561</v>
          </cell>
          <cell r="D365" t="str">
            <v>Not delivered</v>
          </cell>
          <cell r="E365">
            <v>507142835</v>
          </cell>
          <cell r="F365">
            <v>30</v>
          </cell>
          <cell r="G365">
            <v>1167434</v>
          </cell>
          <cell r="H365" t="str">
            <v>FP-014:SFTR NATURAL W/ LABEL POLOS PTI</v>
          </cell>
          <cell r="I365">
            <v>10080</v>
          </cell>
          <cell r="J365" t="str">
            <v>UN</v>
          </cell>
          <cell r="K365">
            <v>45587</v>
          </cell>
        </row>
        <row r="366">
          <cell r="A366" t="str">
            <v>50714283710</v>
          </cell>
          <cell r="B366" t="str">
            <v>ZMTD</v>
          </cell>
          <cell r="C366">
            <v>45561</v>
          </cell>
          <cell r="D366" t="str">
            <v>Not delivered</v>
          </cell>
          <cell r="E366">
            <v>507142837</v>
          </cell>
          <cell r="F366">
            <v>10</v>
          </cell>
          <cell r="G366">
            <v>1408740</v>
          </cell>
          <cell r="H366" t="str">
            <v>PT-097B:BDSR.2 BLU HOUS WHT TRNS PTI12A</v>
          </cell>
          <cell r="I366">
            <v>110160</v>
          </cell>
          <cell r="J366" t="str">
            <v>UN</v>
          </cell>
          <cell r="K366">
            <v>45587</v>
          </cell>
        </row>
        <row r="367">
          <cell r="A367" t="str">
            <v>50714283720</v>
          </cell>
          <cell r="B367" t="str">
            <v>ZMTD</v>
          </cell>
          <cell r="C367">
            <v>45561</v>
          </cell>
          <cell r="D367" t="str">
            <v>Not delivered</v>
          </cell>
          <cell r="E367">
            <v>507142837</v>
          </cell>
          <cell r="F367">
            <v>20</v>
          </cell>
          <cell r="G367">
            <v>1408739</v>
          </cell>
          <cell r="H367" t="str">
            <v>PT-097B:CAP SR.2 BLUE TRANS PTI 12A</v>
          </cell>
          <cell r="I367">
            <v>110160</v>
          </cell>
          <cell r="J367" t="str">
            <v>UN</v>
          </cell>
          <cell r="K367">
            <v>45587</v>
          </cell>
        </row>
        <row r="368">
          <cell r="A368" t="str">
            <v>50714282010</v>
          </cell>
          <cell r="B368" t="str">
            <v>ZMTD</v>
          </cell>
          <cell r="C368">
            <v>45560</v>
          </cell>
          <cell r="D368" t="str">
            <v>Not delivered</v>
          </cell>
          <cell r="E368">
            <v>507142820</v>
          </cell>
          <cell r="F368">
            <v>10</v>
          </cell>
          <cell r="G368">
            <v>1169047</v>
          </cell>
          <cell r="H368" t="str">
            <v>LS-285:B V/SL P/1PS SLEV H/SL BLM PTI20R</v>
          </cell>
          <cell r="I368">
            <v>25536</v>
          </cell>
          <cell r="J368" t="str">
            <v>UN</v>
          </cell>
          <cell r="K368">
            <v>45587</v>
          </cell>
        </row>
        <row r="369">
          <cell r="A369" t="str">
            <v>50714282020</v>
          </cell>
          <cell r="B369" t="str">
            <v>ZMTD</v>
          </cell>
          <cell r="C369">
            <v>45560</v>
          </cell>
          <cell r="D369" t="str">
            <v>Not delivered</v>
          </cell>
          <cell r="E369">
            <v>507142820</v>
          </cell>
          <cell r="F369">
            <v>20</v>
          </cell>
          <cell r="G369">
            <v>1169062</v>
          </cell>
          <cell r="H369" t="str">
            <v>LS-285:CV TRANS MATE 1 P/1PS VAR2 PTI40H</v>
          </cell>
          <cell r="I369">
            <v>25536</v>
          </cell>
          <cell r="J369" t="str">
            <v>UN</v>
          </cell>
          <cell r="K369">
            <v>45587</v>
          </cell>
        </row>
        <row r="370">
          <cell r="A370" t="str">
            <v>50714278020</v>
          </cell>
          <cell r="B370" t="str">
            <v>ZMTD</v>
          </cell>
          <cell r="C370">
            <v>45554</v>
          </cell>
          <cell r="D370" t="str">
            <v>Not delivered</v>
          </cell>
          <cell r="E370">
            <v>507142780</v>
          </cell>
          <cell r="F370">
            <v>20</v>
          </cell>
          <cell r="G370">
            <v>1409881</v>
          </cell>
          <cell r="H370" t="str">
            <v>CM-315:CVR/BS BLACK P/CVRLAST OMG RV160B</v>
          </cell>
          <cell r="I370">
            <v>50204</v>
          </cell>
          <cell r="J370" t="str">
            <v>UN</v>
          </cell>
          <cell r="K370">
            <v>45587</v>
          </cell>
        </row>
        <row r="371">
          <cell r="A371" t="str">
            <v>50714275750</v>
          </cell>
          <cell r="B371" t="str">
            <v>ZMTD</v>
          </cell>
          <cell r="C371">
            <v>45547</v>
          </cell>
          <cell r="D371" t="str">
            <v>Not delivered</v>
          </cell>
          <cell r="E371">
            <v>507142757</v>
          </cell>
          <cell r="F371">
            <v>50</v>
          </cell>
          <cell r="G371">
            <v>1411701</v>
          </cell>
          <cell r="H371" t="str">
            <v>PT-100:BS/INS BLUE P/WHT KAHF PTI 60B</v>
          </cell>
          <cell r="I371">
            <v>60160</v>
          </cell>
          <cell r="J371" t="str">
            <v>UN</v>
          </cell>
          <cell r="K371">
            <v>45587</v>
          </cell>
        </row>
        <row r="372">
          <cell r="A372" t="str">
            <v>50714275760</v>
          </cell>
          <cell r="B372" t="str">
            <v>ZMTD</v>
          </cell>
          <cell r="C372">
            <v>45547</v>
          </cell>
          <cell r="D372" t="str">
            <v>Not delivered</v>
          </cell>
          <cell r="E372">
            <v>507142757</v>
          </cell>
          <cell r="F372">
            <v>60</v>
          </cell>
          <cell r="G372">
            <v>1411700</v>
          </cell>
          <cell r="H372" t="str">
            <v>PT-100:CVR MT.BLUE EMBOS KAHF PTI 40D</v>
          </cell>
          <cell r="I372">
            <v>60160</v>
          </cell>
          <cell r="J372" t="str">
            <v>UN</v>
          </cell>
          <cell r="K372">
            <v>45587</v>
          </cell>
        </row>
        <row r="373">
          <cell r="A373" t="str">
            <v>50714274270</v>
          </cell>
          <cell r="B373" t="str">
            <v>ZMTD</v>
          </cell>
          <cell r="C373">
            <v>45544</v>
          </cell>
          <cell r="D373" t="str">
            <v>Not delivered</v>
          </cell>
          <cell r="E373">
            <v>507142742</v>
          </cell>
          <cell r="F373">
            <v>70</v>
          </cell>
          <cell r="G373">
            <v>1437039</v>
          </cell>
          <cell r="H373" t="str">
            <v>CM-290:1PC BS CV MT.BLK S/ EMBOS OMG 40C</v>
          </cell>
          <cell r="I373">
            <v>36456</v>
          </cell>
          <cell r="J373" t="str">
            <v>UN</v>
          </cell>
          <cell r="K373">
            <v>45587</v>
          </cell>
        </row>
        <row r="374">
          <cell r="A374" t="str">
            <v>50714274280</v>
          </cell>
          <cell r="B374" t="str">
            <v>ZMTD</v>
          </cell>
          <cell r="C374">
            <v>45544</v>
          </cell>
          <cell r="D374" t="str">
            <v>Not delivered</v>
          </cell>
          <cell r="E374">
            <v>507142742</v>
          </cell>
          <cell r="F374">
            <v>80</v>
          </cell>
          <cell r="G374">
            <v>1437140</v>
          </cell>
          <cell r="H374" t="str">
            <v>CM-290:ENGINE CV RED, BS BLK OMG PTI 12A</v>
          </cell>
          <cell r="I374">
            <v>29904</v>
          </cell>
          <cell r="J374" t="str">
            <v>UN</v>
          </cell>
          <cell r="K374">
            <v>45587</v>
          </cell>
        </row>
        <row r="375">
          <cell r="A375" t="str">
            <v>50714274290</v>
          </cell>
          <cell r="B375" t="str">
            <v>ZMTD</v>
          </cell>
          <cell r="C375">
            <v>45544</v>
          </cell>
          <cell r="D375" t="str">
            <v>Not delivered</v>
          </cell>
          <cell r="E375">
            <v>507142742</v>
          </cell>
          <cell r="F375">
            <v>90</v>
          </cell>
          <cell r="G375">
            <v>1437141</v>
          </cell>
          <cell r="H375" t="str">
            <v>CM-290:RING BLACK OMG PTI 12A</v>
          </cell>
          <cell r="I375">
            <v>29904</v>
          </cell>
          <cell r="J375" t="str">
            <v>UN</v>
          </cell>
          <cell r="K375">
            <v>45587</v>
          </cell>
        </row>
        <row r="376">
          <cell r="A376" t="str">
            <v>50714273020</v>
          </cell>
          <cell r="B376" t="str">
            <v>ZMTD</v>
          </cell>
          <cell r="C376">
            <v>45541</v>
          </cell>
          <cell r="D376" t="str">
            <v>Not delivered</v>
          </cell>
          <cell r="E376">
            <v>507142730</v>
          </cell>
          <cell r="F376">
            <v>20</v>
          </cell>
          <cell r="G376">
            <v>1371896</v>
          </cell>
          <cell r="H376" t="str">
            <v>RX-056:CM-316 CVR BLUE P/WHT SP/MTCLR</v>
          </cell>
          <cell r="I376">
            <v>110016</v>
          </cell>
          <cell r="J376" t="str">
            <v>UN</v>
          </cell>
          <cell r="K376">
            <v>45587</v>
          </cell>
        </row>
        <row r="377">
          <cell r="A377" t="str">
            <v>50714262410</v>
          </cell>
          <cell r="B377" t="str">
            <v>ZMTD</v>
          </cell>
          <cell r="C377">
            <v>45513</v>
          </cell>
          <cell r="D377" t="str">
            <v>Not delivered</v>
          </cell>
          <cell r="E377">
            <v>507142624</v>
          </cell>
          <cell r="F377">
            <v>10</v>
          </cell>
          <cell r="G377">
            <v>1195860</v>
          </cell>
          <cell r="H377" t="str">
            <v>CM-248:WHITE  ZRPJ010031 S/CLINIQUE</v>
          </cell>
          <cell r="I377">
            <v>12600</v>
          </cell>
          <cell r="J377" t="str">
            <v>UN</v>
          </cell>
          <cell r="K377">
            <v>45587</v>
          </cell>
        </row>
        <row r="378">
          <cell r="A378" t="str">
            <v>50714252910</v>
          </cell>
          <cell r="B378" t="str">
            <v>ZMTD</v>
          </cell>
          <cell r="C378">
            <v>45488</v>
          </cell>
          <cell r="D378" t="str">
            <v>Not delivered</v>
          </cell>
          <cell r="E378">
            <v>507142529</v>
          </cell>
          <cell r="F378">
            <v>10</v>
          </cell>
          <cell r="G378">
            <v>1255662</v>
          </cell>
          <cell r="H378" t="str">
            <v>LC-002:BTL MT VAR12 P/WRDH B.MARK PTI40H</v>
          </cell>
          <cell r="I378">
            <v>31500</v>
          </cell>
          <cell r="J378" t="str">
            <v>UN</v>
          </cell>
          <cell r="K378">
            <v>45587</v>
          </cell>
        </row>
        <row r="379">
          <cell r="A379" t="str">
            <v>50714252920</v>
          </cell>
          <cell r="B379" t="str">
            <v>ZMTD</v>
          </cell>
          <cell r="C379">
            <v>45488</v>
          </cell>
          <cell r="D379" t="str">
            <v>Not delivered</v>
          </cell>
          <cell r="E379">
            <v>507142529</v>
          </cell>
          <cell r="F379">
            <v>20</v>
          </cell>
          <cell r="G379">
            <v>1174820</v>
          </cell>
          <cell r="H379" t="str">
            <v>LC-002:CP S/MT VAR12 STM-WHT WNAT PTI40D</v>
          </cell>
          <cell r="I379">
            <v>31500</v>
          </cell>
          <cell r="J379" t="str">
            <v>UN</v>
          </cell>
          <cell r="K379">
            <v>45587</v>
          </cell>
        </row>
        <row r="380">
          <cell r="A380" t="str">
            <v>50714247910</v>
          </cell>
          <cell r="B380" t="str">
            <v>ZMTD</v>
          </cell>
          <cell r="C380">
            <v>45483</v>
          </cell>
          <cell r="D380" t="str">
            <v>Not delivered</v>
          </cell>
          <cell r="E380">
            <v>507142479</v>
          </cell>
          <cell r="F380">
            <v>10</v>
          </cell>
          <cell r="G380">
            <v>1195535</v>
          </cell>
          <cell r="H380" t="str">
            <v>FP-039:BASE SAN CLEAR HS KIKO PREMIER</v>
          </cell>
          <cell r="I380">
            <v>51408</v>
          </cell>
          <cell r="J380" t="str">
            <v>UN</v>
          </cell>
          <cell r="K380">
            <v>45587</v>
          </cell>
        </row>
        <row r="381">
          <cell r="A381" t="str">
            <v>50714248010</v>
          </cell>
          <cell r="B381" t="str">
            <v>ZMTD</v>
          </cell>
          <cell r="C381">
            <v>45483</v>
          </cell>
          <cell r="D381" t="str">
            <v>Not delivered</v>
          </cell>
          <cell r="E381">
            <v>507142480</v>
          </cell>
          <cell r="F381">
            <v>10</v>
          </cell>
          <cell r="G381">
            <v>1191869</v>
          </cell>
          <cell r="H381" t="str">
            <v>FP-039:CVR WHITE VM DARK SILVER  KIKO</v>
          </cell>
          <cell r="I381">
            <v>50688</v>
          </cell>
          <cell r="J381" t="str">
            <v>UN</v>
          </cell>
          <cell r="K381">
            <v>45587</v>
          </cell>
        </row>
        <row r="382">
          <cell r="A382" t="str">
            <v>507142416210</v>
          </cell>
          <cell r="B382" t="str">
            <v>ZMTD</v>
          </cell>
          <cell r="C382">
            <v>45474</v>
          </cell>
          <cell r="D382" t="str">
            <v>Not delivered</v>
          </cell>
          <cell r="E382">
            <v>507142416</v>
          </cell>
          <cell r="F382">
            <v>210</v>
          </cell>
          <cell r="G382">
            <v>1376248</v>
          </cell>
          <cell r="H382" t="str">
            <v>FP-008:CVR L.PINK P/BLK MANDOM RV1 12A</v>
          </cell>
          <cell r="I382">
            <v>10000</v>
          </cell>
          <cell r="J382" t="str">
            <v>UN</v>
          </cell>
          <cell r="K382">
            <v>45587</v>
          </cell>
        </row>
        <row r="383">
          <cell r="A383" t="str">
            <v>507142416220</v>
          </cell>
          <cell r="B383" t="str">
            <v>ZMTD</v>
          </cell>
          <cell r="C383">
            <v>45474</v>
          </cell>
          <cell r="D383" t="str">
            <v>Not delivered</v>
          </cell>
          <cell r="E383">
            <v>507142416</v>
          </cell>
          <cell r="F383">
            <v>220</v>
          </cell>
          <cell r="G383">
            <v>1171179</v>
          </cell>
          <cell r="H383" t="str">
            <v>FP-008:BS INJ BLK NO DC MANDOM</v>
          </cell>
          <cell r="I383">
            <v>10000</v>
          </cell>
          <cell r="J383" t="str">
            <v>UN</v>
          </cell>
          <cell r="K383">
            <v>45587</v>
          </cell>
        </row>
        <row r="384">
          <cell r="A384" t="str">
            <v>507142416230</v>
          </cell>
          <cell r="B384" t="str">
            <v>ZMTD</v>
          </cell>
          <cell r="C384">
            <v>45474</v>
          </cell>
          <cell r="D384" t="str">
            <v>Not delivered</v>
          </cell>
          <cell r="E384">
            <v>507142416</v>
          </cell>
          <cell r="F384">
            <v>230</v>
          </cell>
          <cell r="G384">
            <v>1172027</v>
          </cell>
          <cell r="H384" t="str">
            <v>FP-008:SFT NAT L.HINGE W/LBL NO DC MDM</v>
          </cell>
          <cell r="I384">
            <v>10000</v>
          </cell>
          <cell r="J384" t="str">
            <v>UN</v>
          </cell>
          <cell r="K384">
            <v>45587</v>
          </cell>
        </row>
        <row r="385">
          <cell r="A385" t="str">
            <v>50714228210</v>
          </cell>
          <cell r="B385" t="str">
            <v>ZMTD</v>
          </cell>
          <cell r="C385">
            <v>45447</v>
          </cell>
          <cell r="D385" t="str">
            <v>Not delivered</v>
          </cell>
          <cell r="E385">
            <v>507142282</v>
          </cell>
          <cell r="F385">
            <v>10</v>
          </cell>
          <cell r="G385">
            <v>1419488</v>
          </cell>
          <cell r="H385" t="str">
            <v>CP-063R:SPOUT CAP WHITE LOREAL 12A</v>
          </cell>
          <cell r="I385">
            <v>1890000</v>
          </cell>
          <cell r="J385" t="str">
            <v>UN</v>
          </cell>
          <cell r="K385">
            <v>45587</v>
          </cell>
        </row>
        <row r="386">
          <cell r="A386" t="str">
            <v>50714283610</v>
          </cell>
          <cell r="B386" t="str">
            <v>ZMTD</v>
          </cell>
          <cell r="C386">
            <v>45561</v>
          </cell>
          <cell r="D386" t="str">
            <v>Not delivered</v>
          </cell>
          <cell r="E386">
            <v>507142836</v>
          </cell>
          <cell r="F386">
            <v>10</v>
          </cell>
          <cell r="G386">
            <v>1261370</v>
          </cell>
          <cell r="H386" t="str">
            <v>CP-090:CAP ADORE VMPURPLE NOEMBOS PTI20F</v>
          </cell>
          <cell r="I386">
            <v>25272</v>
          </cell>
          <cell r="J386" t="str">
            <v>UN</v>
          </cell>
          <cell r="K386">
            <v>45588</v>
          </cell>
        </row>
        <row r="387">
          <cell r="A387" t="str">
            <v>50714282710</v>
          </cell>
          <cell r="B387" t="str">
            <v>ZMTD</v>
          </cell>
          <cell r="C387">
            <v>45560</v>
          </cell>
          <cell r="D387" t="str">
            <v>Not delivered</v>
          </cell>
          <cell r="E387">
            <v>507142827</v>
          </cell>
          <cell r="F387">
            <v>10</v>
          </cell>
          <cell r="G387">
            <v>1411213</v>
          </cell>
          <cell r="H387" t="str">
            <v>CM-105:BLCK COAT P/MAKE OVER PTI RV1 40H</v>
          </cell>
          <cell r="I387">
            <v>20160</v>
          </cell>
          <cell r="J387" t="str">
            <v>UN</v>
          </cell>
          <cell r="K387">
            <v>45588</v>
          </cell>
        </row>
        <row r="388">
          <cell r="A388" t="str">
            <v>50714282810</v>
          </cell>
          <cell r="B388" t="str">
            <v>ZMTD</v>
          </cell>
          <cell r="C388">
            <v>45560</v>
          </cell>
          <cell r="D388" t="str">
            <v>Not delivered</v>
          </cell>
          <cell r="E388">
            <v>507142828</v>
          </cell>
          <cell r="F388">
            <v>10</v>
          </cell>
          <cell r="G388">
            <v>1168132</v>
          </cell>
          <cell r="H388" t="str">
            <v>LS-285:BS WHT NO DC WARDAH</v>
          </cell>
          <cell r="I388">
            <v>120232</v>
          </cell>
          <cell r="J388" t="str">
            <v>UN</v>
          </cell>
          <cell r="K388">
            <v>45588</v>
          </cell>
        </row>
        <row r="389">
          <cell r="A389" t="str">
            <v>50714282820</v>
          </cell>
          <cell r="B389" t="str">
            <v>ZMTD</v>
          </cell>
          <cell r="C389">
            <v>45560</v>
          </cell>
          <cell r="D389" t="str">
            <v>Not delivered</v>
          </cell>
          <cell r="E389">
            <v>507142828</v>
          </cell>
          <cell r="F389">
            <v>20</v>
          </cell>
          <cell r="G389">
            <v>1421509</v>
          </cell>
          <cell r="H389" t="str">
            <v>LS-285:CV ORNG P/WHT UV ORGSQUEZE PTI30O</v>
          </cell>
          <cell r="I389">
            <v>120232</v>
          </cell>
          <cell r="J389" t="str">
            <v>UN</v>
          </cell>
          <cell r="K389">
            <v>45588</v>
          </cell>
        </row>
        <row r="390">
          <cell r="A390" t="str">
            <v>50714279710</v>
          </cell>
          <cell r="B390" t="str">
            <v>ZMTD</v>
          </cell>
          <cell r="C390">
            <v>45558</v>
          </cell>
          <cell r="D390" t="str">
            <v>Not delivered</v>
          </cell>
          <cell r="E390">
            <v>507142797</v>
          </cell>
          <cell r="F390">
            <v>10</v>
          </cell>
          <cell r="G390">
            <v>1383131</v>
          </cell>
          <cell r="H390" t="str">
            <v>LC-004:CAP PINK P2037C WIP HANUM MLA 40D</v>
          </cell>
          <cell r="I390">
            <v>25000</v>
          </cell>
          <cell r="J390" t="str">
            <v>UN</v>
          </cell>
          <cell r="K390">
            <v>45588</v>
          </cell>
        </row>
        <row r="391">
          <cell r="A391" t="str">
            <v>50714279720</v>
          </cell>
          <cell r="B391" t="str">
            <v>ZMTD</v>
          </cell>
          <cell r="C391">
            <v>45558</v>
          </cell>
          <cell r="D391" t="str">
            <v>Not delivered</v>
          </cell>
          <cell r="E391">
            <v>507142797</v>
          </cell>
          <cell r="F391">
            <v>20</v>
          </cell>
          <cell r="G391">
            <v>1383133</v>
          </cell>
          <cell r="H391" t="str">
            <v>LC-004:BTLCLR CLPINK2037C P/HANUM MLA40H</v>
          </cell>
          <cell r="I391">
            <v>25000</v>
          </cell>
          <cell r="J391" t="str">
            <v>UN</v>
          </cell>
          <cell r="K391">
            <v>45588</v>
          </cell>
        </row>
        <row r="392">
          <cell r="A392" t="str">
            <v>50714275690</v>
          </cell>
          <cell r="B392" t="str">
            <v>ZMTD</v>
          </cell>
          <cell r="C392">
            <v>45547</v>
          </cell>
          <cell r="D392" t="str">
            <v>Not delivered</v>
          </cell>
          <cell r="E392">
            <v>507142756</v>
          </cell>
          <cell r="F392">
            <v>90</v>
          </cell>
          <cell r="G392">
            <v>1411899</v>
          </cell>
          <cell r="H392" t="str">
            <v>PT-100:BS/INS GREEN P/WHT KAHF PTI 60B</v>
          </cell>
          <cell r="I392">
            <v>65280</v>
          </cell>
          <cell r="J392" t="str">
            <v>UN</v>
          </cell>
          <cell r="K392">
            <v>45588</v>
          </cell>
        </row>
        <row r="393">
          <cell r="A393" t="str">
            <v>507142756100</v>
          </cell>
          <cell r="B393" t="str">
            <v>ZMTD</v>
          </cell>
          <cell r="C393">
            <v>45547</v>
          </cell>
          <cell r="D393" t="str">
            <v>Not delivered</v>
          </cell>
          <cell r="E393">
            <v>507142756</v>
          </cell>
          <cell r="F393">
            <v>100</v>
          </cell>
          <cell r="G393">
            <v>1411898</v>
          </cell>
          <cell r="H393" t="str">
            <v>PT-100:CVR MT.GREEN EMBOS KAHF PTI 40D</v>
          </cell>
          <cell r="I393">
            <v>65280</v>
          </cell>
          <cell r="J393" t="str">
            <v>UN</v>
          </cell>
          <cell r="K393">
            <v>45588</v>
          </cell>
        </row>
        <row r="394">
          <cell r="A394" t="str">
            <v>50714270530</v>
          </cell>
          <cell r="B394" t="str">
            <v>ZMTD</v>
          </cell>
          <cell r="C394">
            <v>45534</v>
          </cell>
          <cell r="D394" t="str">
            <v>Partially delivered</v>
          </cell>
          <cell r="E394">
            <v>507142705</v>
          </cell>
          <cell r="F394">
            <v>30</v>
          </cell>
          <cell r="G394">
            <v>1342220</v>
          </cell>
          <cell r="H394" t="str">
            <v>LC-010:BTL CLR HTF COLBEIGE CFIT PTI 60C</v>
          </cell>
          <cell r="I394">
            <v>100170</v>
          </cell>
          <cell r="J394" t="str">
            <v>UN</v>
          </cell>
          <cell r="K394">
            <v>45588</v>
          </cell>
        </row>
        <row r="395">
          <cell r="A395" t="str">
            <v>50714270540</v>
          </cell>
          <cell r="B395" t="str">
            <v>ZMTD</v>
          </cell>
          <cell r="C395">
            <v>45534</v>
          </cell>
          <cell r="D395" t="str">
            <v>Partially delivered</v>
          </cell>
          <cell r="E395">
            <v>507142705</v>
          </cell>
          <cell r="F395">
            <v>40</v>
          </cell>
          <cell r="G395">
            <v>1342221</v>
          </cell>
          <cell r="H395" t="str">
            <v>LC-010:CAP BEIGE WIP NAT PTI 12A</v>
          </cell>
          <cell r="I395">
            <v>100170</v>
          </cell>
          <cell r="J395" t="str">
            <v>UN</v>
          </cell>
          <cell r="K395">
            <v>45588</v>
          </cell>
        </row>
        <row r="396">
          <cell r="A396" t="str">
            <v>50714270810</v>
          </cell>
          <cell r="B396" t="str">
            <v>ZMTD</v>
          </cell>
          <cell r="C396">
            <v>45534</v>
          </cell>
          <cell r="D396" t="str">
            <v>Not delivered</v>
          </cell>
          <cell r="E396">
            <v>507142708</v>
          </cell>
          <cell r="F396">
            <v>10</v>
          </cell>
          <cell r="G396">
            <v>1215637</v>
          </cell>
          <cell r="H396" t="str">
            <v>CM-105:UV DBRW P/P8022C WWGLAM RUDYS 40C</v>
          </cell>
          <cell r="I396">
            <v>10000</v>
          </cell>
          <cell r="J396" t="str">
            <v>UN</v>
          </cell>
          <cell r="K396">
            <v>45588</v>
          </cell>
        </row>
        <row r="397">
          <cell r="A397" t="str">
            <v>50714263010</v>
          </cell>
          <cell r="B397" t="str">
            <v>ZMTD</v>
          </cell>
          <cell r="C397">
            <v>45516</v>
          </cell>
          <cell r="D397" t="str">
            <v>Not delivered</v>
          </cell>
          <cell r="E397">
            <v>507142630</v>
          </cell>
          <cell r="F397">
            <v>10</v>
          </cell>
          <cell r="G397">
            <v>1436641</v>
          </cell>
          <cell r="H397" t="str">
            <v>CM-310:BLUE UV S/SILVER DIOR PEPSPE+IXPE</v>
          </cell>
          <cell r="I397">
            <v>64800</v>
          </cell>
          <cell r="J397" t="str">
            <v>UN</v>
          </cell>
          <cell r="K397">
            <v>45588</v>
          </cell>
        </row>
        <row r="398">
          <cell r="A398" t="str">
            <v>50714262110</v>
          </cell>
          <cell r="B398" t="str">
            <v>ZMTD</v>
          </cell>
          <cell r="C398">
            <v>45512</v>
          </cell>
          <cell r="D398" t="str">
            <v>Not delivered</v>
          </cell>
          <cell r="E398">
            <v>507142621</v>
          </cell>
          <cell r="F398">
            <v>10</v>
          </cell>
          <cell r="G398">
            <v>1198670</v>
          </cell>
          <cell r="H398" t="str">
            <v>BRUSH HALFMOON ULT CRMY PWDRBL</v>
          </cell>
          <cell r="I398">
            <v>20000</v>
          </cell>
          <cell r="J398" t="str">
            <v>UN</v>
          </cell>
          <cell r="K398">
            <v>45588</v>
          </cell>
        </row>
        <row r="399">
          <cell r="A399" t="str">
            <v>50800517910</v>
          </cell>
          <cell r="B399" t="str">
            <v>ZMFD</v>
          </cell>
          <cell r="C399">
            <v>45484</v>
          </cell>
          <cell r="D399" t="str">
            <v>Not delivered</v>
          </cell>
          <cell r="E399">
            <v>508005179</v>
          </cell>
          <cell r="F399">
            <v>10</v>
          </cell>
          <cell r="G399">
            <v>1167571</v>
          </cell>
          <cell r="H399" t="str">
            <v>FP-014:BS CLEAR NO DC PTI</v>
          </cell>
          <cell r="I399">
            <v>20160</v>
          </cell>
          <cell r="J399" t="str">
            <v>UN</v>
          </cell>
          <cell r="K399">
            <v>45588</v>
          </cell>
        </row>
        <row r="400">
          <cell r="A400" t="str">
            <v>50800517920</v>
          </cell>
          <cell r="B400" t="str">
            <v>ZMFD</v>
          </cell>
          <cell r="C400">
            <v>45484</v>
          </cell>
          <cell r="D400" t="str">
            <v>Not delivered</v>
          </cell>
          <cell r="E400">
            <v>508005179</v>
          </cell>
          <cell r="F400">
            <v>20</v>
          </cell>
          <cell r="G400">
            <v>1174020</v>
          </cell>
          <cell r="H400" t="str">
            <v>FP-014:CVR BLCK COAT P/DC MAKE OVER  PTI</v>
          </cell>
          <cell r="I400">
            <v>20160</v>
          </cell>
          <cell r="J400" t="str">
            <v>UN</v>
          </cell>
          <cell r="K400">
            <v>45588</v>
          </cell>
        </row>
        <row r="401">
          <cell r="A401" t="str">
            <v>50800517930</v>
          </cell>
          <cell r="B401" t="str">
            <v>ZMFD</v>
          </cell>
          <cell r="C401">
            <v>45484</v>
          </cell>
          <cell r="D401" t="str">
            <v>Not delivered</v>
          </cell>
          <cell r="E401">
            <v>508005179</v>
          </cell>
          <cell r="F401">
            <v>30</v>
          </cell>
          <cell r="G401">
            <v>1167434</v>
          </cell>
          <cell r="H401" t="str">
            <v>FP-014:SFTR NATURAL W/ LABEL POLOS PTI</v>
          </cell>
          <cell r="I401">
            <v>20160</v>
          </cell>
          <cell r="J401" t="str">
            <v>UN</v>
          </cell>
          <cell r="K401">
            <v>45588</v>
          </cell>
        </row>
        <row r="402">
          <cell r="A402" t="str">
            <v>50714282110</v>
          </cell>
          <cell r="B402" t="str">
            <v>ZMTD</v>
          </cell>
          <cell r="C402">
            <v>45560</v>
          </cell>
          <cell r="D402" t="str">
            <v>Not delivered</v>
          </cell>
          <cell r="E402">
            <v>507142821</v>
          </cell>
          <cell r="F402">
            <v>10</v>
          </cell>
          <cell r="G402">
            <v>1153319</v>
          </cell>
          <cell r="H402" t="str">
            <v>LS-285:BS/SPRL BEIGE P/WRDH PTI 40H</v>
          </cell>
          <cell r="I402">
            <v>25536</v>
          </cell>
          <cell r="J402" t="str">
            <v>UN</v>
          </cell>
          <cell r="K402">
            <v>45589</v>
          </cell>
        </row>
        <row r="403">
          <cell r="A403" t="str">
            <v>50714282120</v>
          </cell>
          <cell r="B403" t="str">
            <v>ZMTD</v>
          </cell>
          <cell r="C403">
            <v>45560</v>
          </cell>
          <cell r="D403" t="str">
            <v>Not delivered</v>
          </cell>
          <cell r="E403">
            <v>507142821</v>
          </cell>
          <cell r="F403">
            <v>20</v>
          </cell>
          <cell r="G403">
            <v>1153467</v>
          </cell>
          <cell r="H403" t="str">
            <v>LS-285:CVR MT BEIGE P/S.SEOUL PTI40H</v>
          </cell>
          <cell r="I403">
            <v>25536</v>
          </cell>
          <cell r="J403" t="str">
            <v>UN</v>
          </cell>
          <cell r="K403">
            <v>45589</v>
          </cell>
        </row>
        <row r="404">
          <cell r="A404" t="str">
            <v>50714282210</v>
          </cell>
          <cell r="B404" t="str">
            <v>ZMTD</v>
          </cell>
          <cell r="C404">
            <v>45560</v>
          </cell>
          <cell r="D404" t="str">
            <v>Not delivered</v>
          </cell>
          <cell r="E404">
            <v>507142822</v>
          </cell>
          <cell r="F404">
            <v>10</v>
          </cell>
          <cell r="G404">
            <v>1153319</v>
          </cell>
          <cell r="H404" t="str">
            <v>LS-285:BS/SPRL BEIGE P/WRDH PTI 40H</v>
          </cell>
          <cell r="I404">
            <v>25536</v>
          </cell>
          <cell r="J404" t="str">
            <v>UN</v>
          </cell>
          <cell r="K404">
            <v>45589</v>
          </cell>
        </row>
        <row r="405">
          <cell r="A405" t="str">
            <v>50714282220</v>
          </cell>
          <cell r="B405" t="str">
            <v>ZMTD</v>
          </cell>
          <cell r="C405">
            <v>45560</v>
          </cell>
          <cell r="D405" t="str">
            <v>Not delivered</v>
          </cell>
          <cell r="E405">
            <v>507142822</v>
          </cell>
          <cell r="F405">
            <v>20</v>
          </cell>
          <cell r="G405">
            <v>1153469</v>
          </cell>
          <cell r="H405" t="str">
            <v>LS-285:CVR MT BEIGE P/HONGDAE PTI40H</v>
          </cell>
          <cell r="I405">
            <v>25536</v>
          </cell>
          <cell r="J405" t="str">
            <v>UN</v>
          </cell>
          <cell r="K405">
            <v>45589</v>
          </cell>
        </row>
        <row r="406">
          <cell r="A406" t="str">
            <v>50714282310</v>
          </cell>
          <cell r="B406" t="str">
            <v>ZMTD</v>
          </cell>
          <cell r="C406">
            <v>45560</v>
          </cell>
          <cell r="D406" t="str">
            <v>Not delivered</v>
          </cell>
          <cell r="E406">
            <v>507142823</v>
          </cell>
          <cell r="F406">
            <v>10</v>
          </cell>
          <cell r="G406">
            <v>1169047</v>
          </cell>
          <cell r="H406" t="str">
            <v>LS-285:B V/SL P/1PS SLEV H/SL BLM PTI20R</v>
          </cell>
          <cell r="I406">
            <v>25536</v>
          </cell>
          <cell r="J406" t="str">
            <v>UN</v>
          </cell>
          <cell r="K406">
            <v>45589</v>
          </cell>
        </row>
        <row r="407">
          <cell r="A407" t="str">
            <v>50714282320</v>
          </cell>
          <cell r="B407" t="str">
            <v>ZMTD</v>
          </cell>
          <cell r="C407">
            <v>45560</v>
          </cell>
          <cell r="D407" t="str">
            <v>Not delivered</v>
          </cell>
          <cell r="E407">
            <v>507142823</v>
          </cell>
          <cell r="F407">
            <v>20</v>
          </cell>
          <cell r="G407">
            <v>1171889</v>
          </cell>
          <cell r="H407" t="str">
            <v>LS-285:CV TRANS MATE 7 P/1PS VAR6 PTI40H</v>
          </cell>
          <cell r="I407">
            <v>25536</v>
          </cell>
          <cell r="J407" t="str">
            <v>UN</v>
          </cell>
          <cell r="K407">
            <v>45589</v>
          </cell>
        </row>
        <row r="408">
          <cell r="A408" t="str">
            <v>50714282410</v>
          </cell>
          <cell r="B408" t="str">
            <v>ZMTD</v>
          </cell>
          <cell r="C408">
            <v>45560</v>
          </cell>
          <cell r="D408" t="str">
            <v>Not delivered</v>
          </cell>
          <cell r="E408">
            <v>507142824</v>
          </cell>
          <cell r="F408">
            <v>10</v>
          </cell>
          <cell r="G408">
            <v>1386990</v>
          </cell>
          <cell r="H408" t="str">
            <v>CM-099:CVR BS MTBEIGE P/QUAD RV1 PTI 40H</v>
          </cell>
          <cell r="I408">
            <v>20160</v>
          </cell>
          <cell r="J408" t="str">
            <v>UN</v>
          </cell>
          <cell r="K408">
            <v>45589</v>
          </cell>
        </row>
        <row r="409">
          <cell r="A409" t="str">
            <v>50714282510</v>
          </cell>
          <cell r="B409" t="str">
            <v>ZMTD</v>
          </cell>
          <cell r="C409">
            <v>45560</v>
          </cell>
          <cell r="D409" t="str">
            <v>Not delivered</v>
          </cell>
          <cell r="E409">
            <v>507142825</v>
          </cell>
          <cell r="F409">
            <v>10</v>
          </cell>
          <cell r="G409">
            <v>1174001</v>
          </cell>
          <cell r="H409" t="str">
            <v>CM-133:CVR/BS MTLC GREN UV S/SLV WRDH30C</v>
          </cell>
          <cell r="I409">
            <v>20160</v>
          </cell>
          <cell r="J409" t="str">
            <v>UN</v>
          </cell>
          <cell r="K409">
            <v>45589</v>
          </cell>
        </row>
        <row r="410">
          <cell r="A410" t="str">
            <v>50714254330</v>
          </cell>
          <cell r="B410" t="str">
            <v>ZMTD</v>
          </cell>
          <cell r="C410">
            <v>45491</v>
          </cell>
          <cell r="D410" t="str">
            <v>Not delivered</v>
          </cell>
          <cell r="E410">
            <v>507142543</v>
          </cell>
          <cell r="F410">
            <v>30</v>
          </cell>
          <cell r="G410">
            <v>1278860</v>
          </cell>
          <cell r="H410" t="str">
            <v>CM-296:WHT P/L.AGELES W/O HOLE COTY TAOR</v>
          </cell>
          <cell r="I410">
            <v>57600</v>
          </cell>
          <cell r="J410" t="str">
            <v>UN</v>
          </cell>
          <cell r="K410">
            <v>45589</v>
          </cell>
        </row>
        <row r="411">
          <cell r="A411" t="str">
            <v>50714241740</v>
          </cell>
          <cell r="B411" t="str">
            <v>ZMTD</v>
          </cell>
          <cell r="C411">
            <v>45474</v>
          </cell>
          <cell r="D411" t="str">
            <v>Not delivered</v>
          </cell>
          <cell r="E411">
            <v>507142417</v>
          </cell>
          <cell r="F411">
            <v>40</v>
          </cell>
          <cell r="G411">
            <v>1405657</v>
          </cell>
          <cell r="H411" t="str">
            <v>CM-273:CV UV BS BRONZE P/PIXYSLKY RV130L</v>
          </cell>
          <cell r="I411">
            <v>10000</v>
          </cell>
          <cell r="J411" t="str">
            <v>UN</v>
          </cell>
          <cell r="K411">
            <v>45589</v>
          </cell>
        </row>
        <row r="412">
          <cell r="A412" t="str">
            <v>50714279310</v>
          </cell>
          <cell r="B412" t="str">
            <v>ZMTD</v>
          </cell>
          <cell r="C412">
            <v>45555</v>
          </cell>
          <cell r="D412" t="str">
            <v>Not delivered</v>
          </cell>
          <cell r="E412">
            <v>507142793</v>
          </cell>
          <cell r="F412">
            <v>10</v>
          </cell>
          <cell r="G412">
            <v>1243914</v>
          </cell>
          <cell r="H412" t="str">
            <v>TR-007:PLUG PET LULUR100GR CLR HRTA CSMO</v>
          </cell>
          <cell r="I412">
            <v>10000</v>
          </cell>
          <cell r="J412" t="str">
            <v>UN</v>
          </cell>
          <cell r="K412">
            <v>45590</v>
          </cell>
        </row>
        <row r="413">
          <cell r="A413" t="str">
            <v>50714278230</v>
          </cell>
          <cell r="B413" t="str">
            <v>ZMTD</v>
          </cell>
          <cell r="C413">
            <v>45554</v>
          </cell>
          <cell r="D413" t="str">
            <v>Not delivered</v>
          </cell>
          <cell r="E413">
            <v>507142782</v>
          </cell>
          <cell r="F413">
            <v>30</v>
          </cell>
          <cell r="G413">
            <v>1420082</v>
          </cell>
          <cell r="H413" t="str">
            <v>LS-091:BS PEACH P/REDFRTY STRAWBR NEW60B</v>
          </cell>
          <cell r="I413">
            <v>27664</v>
          </cell>
          <cell r="J413" t="str">
            <v>UN</v>
          </cell>
          <cell r="K413">
            <v>45590</v>
          </cell>
        </row>
        <row r="414">
          <cell r="A414" t="str">
            <v>50714278240</v>
          </cell>
          <cell r="B414" t="str">
            <v>ZMTD</v>
          </cell>
          <cell r="C414">
            <v>45554</v>
          </cell>
          <cell r="D414" t="str">
            <v>Not delivered</v>
          </cell>
          <cell r="E414">
            <v>507142782</v>
          </cell>
          <cell r="F414">
            <v>40</v>
          </cell>
          <cell r="G414">
            <v>1420083</v>
          </cell>
          <cell r="H414" t="str">
            <v>LS-091:CV WHT P/ICE FRUITY STRAWBERY 60B</v>
          </cell>
          <cell r="I414">
            <v>27664</v>
          </cell>
          <cell r="J414" t="str">
            <v>UN</v>
          </cell>
          <cell r="K414">
            <v>45590</v>
          </cell>
        </row>
        <row r="415">
          <cell r="A415" t="str">
            <v>50714276560</v>
          </cell>
          <cell r="B415" t="str">
            <v>ZMTD</v>
          </cell>
          <cell r="C415">
            <v>45552</v>
          </cell>
          <cell r="D415" t="str">
            <v>Not delivered</v>
          </cell>
          <cell r="E415">
            <v>507142765</v>
          </cell>
          <cell r="F415">
            <v>60</v>
          </cell>
          <cell r="G415">
            <v>1398383</v>
          </cell>
          <cell r="H415" t="str">
            <v>CM-319:WHITE P/BLACK UV MATTE NARS</v>
          </cell>
          <cell r="I415">
            <v>40080</v>
          </cell>
          <cell r="J415" t="str">
            <v>UN</v>
          </cell>
          <cell r="K415">
            <v>45590</v>
          </cell>
        </row>
        <row r="416">
          <cell r="A416" t="str">
            <v>50714262610</v>
          </cell>
          <cell r="B416" t="str">
            <v>ZMTD</v>
          </cell>
          <cell r="C416">
            <v>45516</v>
          </cell>
          <cell r="D416" t="str">
            <v>Not delivered</v>
          </cell>
          <cell r="E416">
            <v>507142626</v>
          </cell>
          <cell r="F416">
            <v>10</v>
          </cell>
          <cell r="G416">
            <v>1212608</v>
          </cell>
          <cell r="H416" t="str">
            <v>FP-014:CVR BLUE S/LOGO INEZ GOLD KSI 50C</v>
          </cell>
          <cell r="I416">
            <v>25000</v>
          </cell>
          <cell r="J416" t="str">
            <v>UN</v>
          </cell>
          <cell r="K416">
            <v>45590</v>
          </cell>
        </row>
        <row r="417">
          <cell r="A417" t="str">
            <v>50714262620</v>
          </cell>
          <cell r="B417" t="str">
            <v>ZMTD</v>
          </cell>
          <cell r="C417">
            <v>45516</v>
          </cell>
          <cell r="D417" t="str">
            <v>Not delivered</v>
          </cell>
          <cell r="E417">
            <v>507142626</v>
          </cell>
          <cell r="F417">
            <v>20</v>
          </cell>
          <cell r="G417">
            <v>1212609</v>
          </cell>
          <cell r="H417" t="str">
            <v>FP-014:SFTR NAT STICKER TRANS KSI 12A</v>
          </cell>
          <cell r="I417">
            <v>25000</v>
          </cell>
          <cell r="J417" t="str">
            <v>UN</v>
          </cell>
          <cell r="K417">
            <v>45590</v>
          </cell>
        </row>
        <row r="418">
          <cell r="A418" t="str">
            <v>50714262630</v>
          </cell>
          <cell r="B418" t="str">
            <v>ZMTD</v>
          </cell>
          <cell r="C418">
            <v>45516</v>
          </cell>
          <cell r="D418" t="str">
            <v>Not delivered</v>
          </cell>
          <cell r="E418">
            <v>507142626</v>
          </cell>
          <cell r="F418">
            <v>30</v>
          </cell>
          <cell r="G418">
            <v>1212640</v>
          </cell>
          <cell r="H418" t="str">
            <v>FP-014:BS CLR SPRYGRDS S/INEZ GLD 40C</v>
          </cell>
          <cell r="I418">
            <v>25000</v>
          </cell>
          <cell r="J418" t="str">
            <v>UN</v>
          </cell>
          <cell r="K418">
            <v>45590</v>
          </cell>
        </row>
        <row r="419">
          <cell r="A419" t="str">
            <v>50714271310</v>
          </cell>
          <cell r="B419" t="str">
            <v>ZMTD</v>
          </cell>
          <cell r="C419">
            <v>45538</v>
          </cell>
          <cell r="D419" t="str">
            <v>Not delivered</v>
          </cell>
          <cell r="E419">
            <v>507142713</v>
          </cell>
          <cell r="F419">
            <v>10</v>
          </cell>
          <cell r="G419">
            <v>1376248</v>
          </cell>
          <cell r="H419" t="str">
            <v>FP-008:CVR L.PINK P/BLK MANDOM RV1 12A</v>
          </cell>
          <cell r="I419">
            <v>10000</v>
          </cell>
          <cell r="J419" t="str">
            <v>UN</v>
          </cell>
          <cell r="K419">
            <v>45591</v>
          </cell>
        </row>
        <row r="420">
          <cell r="A420" t="str">
            <v>50714271320</v>
          </cell>
          <cell r="B420" t="str">
            <v>ZMTD</v>
          </cell>
          <cell r="C420">
            <v>45538</v>
          </cell>
          <cell r="D420" t="str">
            <v>Not delivered</v>
          </cell>
          <cell r="E420">
            <v>507142713</v>
          </cell>
          <cell r="F420">
            <v>20</v>
          </cell>
          <cell r="G420">
            <v>1171179</v>
          </cell>
          <cell r="H420" t="str">
            <v>FP-008:BS INJ BLK NO DC MANDOM</v>
          </cell>
          <cell r="I420">
            <v>10000</v>
          </cell>
          <cell r="J420" t="str">
            <v>UN</v>
          </cell>
          <cell r="K420">
            <v>45591</v>
          </cell>
        </row>
        <row r="421">
          <cell r="A421" t="str">
            <v>50714271330</v>
          </cell>
          <cell r="B421" t="str">
            <v>ZMTD</v>
          </cell>
          <cell r="C421">
            <v>45538</v>
          </cell>
          <cell r="D421" t="str">
            <v>Not delivered</v>
          </cell>
          <cell r="E421">
            <v>507142713</v>
          </cell>
          <cell r="F421">
            <v>30</v>
          </cell>
          <cell r="G421">
            <v>1172027</v>
          </cell>
          <cell r="H421" t="str">
            <v>FP-008:SFT NAT L.HINGE W/LBL NO DC MDM</v>
          </cell>
          <cell r="I421">
            <v>10000</v>
          </cell>
          <cell r="J421" t="str">
            <v>UN</v>
          </cell>
          <cell r="K421">
            <v>45591</v>
          </cell>
        </row>
        <row r="422">
          <cell r="A422" t="str">
            <v>50714271340</v>
          </cell>
          <cell r="B422" t="str">
            <v>ZMTD</v>
          </cell>
          <cell r="C422">
            <v>45538</v>
          </cell>
          <cell r="D422" t="str">
            <v>Not delivered</v>
          </cell>
          <cell r="E422">
            <v>507142713</v>
          </cell>
          <cell r="F422">
            <v>40</v>
          </cell>
          <cell r="G422">
            <v>1376248</v>
          </cell>
          <cell r="H422" t="str">
            <v>FP-008:CVR L.PINK P/BLK MANDOM RV1 12A</v>
          </cell>
          <cell r="I422">
            <v>10000</v>
          </cell>
          <cell r="J422" t="str">
            <v>UN</v>
          </cell>
          <cell r="K422">
            <v>45591</v>
          </cell>
        </row>
        <row r="423">
          <cell r="A423" t="str">
            <v>50714271350</v>
          </cell>
          <cell r="B423" t="str">
            <v>ZMTD</v>
          </cell>
          <cell r="C423">
            <v>45538</v>
          </cell>
          <cell r="D423" t="str">
            <v>Not delivered</v>
          </cell>
          <cell r="E423">
            <v>507142713</v>
          </cell>
          <cell r="F423">
            <v>50</v>
          </cell>
          <cell r="G423">
            <v>1171179</v>
          </cell>
          <cell r="H423" t="str">
            <v>FP-008:BS INJ BLK NO DC MANDOM</v>
          </cell>
          <cell r="I423">
            <v>10000</v>
          </cell>
          <cell r="J423" t="str">
            <v>UN</v>
          </cell>
          <cell r="K423">
            <v>45591</v>
          </cell>
        </row>
        <row r="424">
          <cell r="A424" t="str">
            <v>50714271360</v>
          </cell>
          <cell r="B424" t="str">
            <v>ZMTD</v>
          </cell>
          <cell r="C424">
            <v>45538</v>
          </cell>
          <cell r="D424" t="str">
            <v>Not delivered</v>
          </cell>
          <cell r="E424">
            <v>507142713</v>
          </cell>
          <cell r="F424">
            <v>60</v>
          </cell>
          <cell r="G424">
            <v>1172027</v>
          </cell>
          <cell r="H424" t="str">
            <v>FP-008:SFT NAT L.HINGE W/LBL NO DC MDM</v>
          </cell>
          <cell r="I424">
            <v>10000</v>
          </cell>
          <cell r="J424" t="str">
            <v>UN</v>
          </cell>
          <cell r="K424">
            <v>45591</v>
          </cell>
        </row>
        <row r="425">
          <cell r="A425" t="str">
            <v>50714271370</v>
          </cell>
          <cell r="B425" t="str">
            <v>ZMTD</v>
          </cell>
          <cell r="C425">
            <v>45538</v>
          </cell>
          <cell r="D425" t="str">
            <v>Not delivered</v>
          </cell>
          <cell r="E425">
            <v>507142713</v>
          </cell>
          <cell r="F425">
            <v>70</v>
          </cell>
          <cell r="G425">
            <v>1256191</v>
          </cell>
          <cell r="H425" t="str">
            <v>LS-285:COVER RED PX LCC NO DC MNDOM 12A</v>
          </cell>
          <cell r="I425">
            <v>10000</v>
          </cell>
          <cell r="J425" t="str">
            <v>UN</v>
          </cell>
          <cell r="K425">
            <v>45591</v>
          </cell>
        </row>
        <row r="426">
          <cell r="A426" t="str">
            <v>50714271380</v>
          </cell>
          <cell r="B426" t="str">
            <v>ZMTD</v>
          </cell>
          <cell r="C426">
            <v>45538</v>
          </cell>
          <cell r="D426" t="str">
            <v>Not delivered</v>
          </cell>
          <cell r="E426">
            <v>507142713</v>
          </cell>
          <cell r="F426">
            <v>80</v>
          </cell>
          <cell r="G426">
            <v>1393259</v>
          </cell>
          <cell r="H426" t="str">
            <v>LS-285:BS RED PX LCC P/BLK MNDOM RV1 60B</v>
          </cell>
          <cell r="I426">
            <v>10000</v>
          </cell>
          <cell r="J426" t="str">
            <v>UN</v>
          </cell>
          <cell r="K426">
            <v>45591</v>
          </cell>
        </row>
        <row r="427">
          <cell r="A427" t="str">
            <v>50714241750</v>
          </cell>
          <cell r="B427" t="str">
            <v>ZMTD</v>
          </cell>
          <cell r="C427">
            <v>45474</v>
          </cell>
          <cell r="D427" t="str">
            <v>Not delivered</v>
          </cell>
          <cell r="E427">
            <v>507142417</v>
          </cell>
          <cell r="F427">
            <v>50</v>
          </cell>
          <cell r="G427">
            <v>1405657</v>
          </cell>
          <cell r="H427" t="str">
            <v>CM-273:CV UV BS BRONZE P/PIXYSLKY RV130L</v>
          </cell>
          <cell r="I427">
            <v>10000</v>
          </cell>
          <cell r="J427" t="str">
            <v>UN</v>
          </cell>
          <cell r="K427">
            <v>45591</v>
          </cell>
        </row>
        <row r="428">
          <cell r="A428" t="str">
            <v>50714285110</v>
          </cell>
          <cell r="B428" t="str">
            <v>ZMTD</v>
          </cell>
          <cell r="C428">
            <v>45568</v>
          </cell>
          <cell r="D428" t="str">
            <v>Not delivered</v>
          </cell>
          <cell r="E428">
            <v>507142851</v>
          </cell>
          <cell r="F428">
            <v>10</v>
          </cell>
          <cell r="G428">
            <v>1437039</v>
          </cell>
          <cell r="H428" t="str">
            <v>CM-290:1PC BS CV MT.BLK S/ EMBOS OMG 40C</v>
          </cell>
          <cell r="I428">
            <v>35112</v>
          </cell>
          <cell r="J428" t="str">
            <v>UN</v>
          </cell>
          <cell r="K428">
            <v>45593</v>
          </cell>
        </row>
        <row r="429">
          <cell r="A429" t="str">
            <v>50714285120</v>
          </cell>
          <cell r="B429" t="str">
            <v>ZMTD</v>
          </cell>
          <cell r="C429">
            <v>45568</v>
          </cell>
          <cell r="D429" t="str">
            <v>Not delivered</v>
          </cell>
          <cell r="E429">
            <v>507142851</v>
          </cell>
          <cell r="F429">
            <v>20</v>
          </cell>
          <cell r="G429">
            <v>1437140</v>
          </cell>
          <cell r="H429" t="str">
            <v>CM-290:ENGINE CV RED, BS BLK OMG PTI 12A</v>
          </cell>
          <cell r="I429">
            <v>35112</v>
          </cell>
          <cell r="J429" t="str">
            <v>UN</v>
          </cell>
          <cell r="K429">
            <v>45593</v>
          </cell>
        </row>
        <row r="430">
          <cell r="A430" t="str">
            <v>50714285130</v>
          </cell>
          <cell r="B430" t="str">
            <v>ZMTD</v>
          </cell>
          <cell r="C430">
            <v>45568</v>
          </cell>
          <cell r="D430" t="str">
            <v>Not delivered</v>
          </cell>
          <cell r="E430">
            <v>507142851</v>
          </cell>
          <cell r="F430">
            <v>30</v>
          </cell>
          <cell r="G430">
            <v>1437141</v>
          </cell>
          <cell r="H430" t="str">
            <v>CM-290:RING BLACK OMG PTI 12A</v>
          </cell>
          <cell r="I430">
            <v>35112</v>
          </cell>
          <cell r="J430" t="str">
            <v>UN</v>
          </cell>
          <cell r="K430">
            <v>45593</v>
          </cell>
        </row>
        <row r="431">
          <cell r="A431" t="str">
            <v>50714283810</v>
          </cell>
          <cell r="B431" t="str">
            <v>ZMTD</v>
          </cell>
          <cell r="C431">
            <v>45561</v>
          </cell>
          <cell r="D431" t="str">
            <v>Not delivered</v>
          </cell>
          <cell r="E431">
            <v>507142838</v>
          </cell>
          <cell r="F431">
            <v>10</v>
          </cell>
          <cell r="G431">
            <v>1276491</v>
          </cell>
          <cell r="H431" t="str">
            <v>CM-105:CV VM RSGLD BS MT P/INSTA PTI 20X</v>
          </cell>
          <cell r="I431">
            <v>25200</v>
          </cell>
          <cell r="J431" t="str">
            <v>UN</v>
          </cell>
          <cell r="K431">
            <v>45593</v>
          </cell>
        </row>
        <row r="432">
          <cell r="A432" t="str">
            <v>50714271810</v>
          </cell>
          <cell r="B432" t="str">
            <v>ZMTD</v>
          </cell>
          <cell r="C432">
            <v>45539</v>
          </cell>
          <cell r="D432" t="str">
            <v>Not delivered</v>
          </cell>
          <cell r="E432">
            <v>507142718</v>
          </cell>
          <cell r="F432">
            <v>10</v>
          </cell>
          <cell r="G432">
            <v>1175678</v>
          </cell>
          <cell r="H432" t="str">
            <v>CM-073:MATTE SLV TWO WAY CAKE NO DC IMM</v>
          </cell>
          <cell r="I432">
            <v>10000</v>
          </cell>
          <cell r="J432" t="str">
            <v>UN</v>
          </cell>
          <cell r="K432">
            <v>45593</v>
          </cell>
        </row>
        <row r="433">
          <cell r="A433" t="str">
            <v>50714242610</v>
          </cell>
          <cell r="B433" t="str">
            <v>ZMTD</v>
          </cell>
          <cell r="C433">
            <v>45475</v>
          </cell>
          <cell r="D433" t="str">
            <v>Partially delivered</v>
          </cell>
          <cell r="E433">
            <v>507142426</v>
          </cell>
          <cell r="F433">
            <v>10</v>
          </cell>
          <cell r="G433">
            <v>1160336</v>
          </cell>
          <cell r="H433" t="str">
            <v>CP-071:CP8364 TNR WPRL 200 REX IS 763</v>
          </cell>
          <cell r="I433">
            <v>43500</v>
          </cell>
          <cell r="J433" t="str">
            <v>UN</v>
          </cell>
          <cell r="K433">
            <v>45593</v>
          </cell>
        </row>
        <row r="434">
          <cell r="A434" t="str">
            <v>50714243320</v>
          </cell>
          <cell r="B434" t="str">
            <v>ZMTD</v>
          </cell>
          <cell r="C434">
            <v>45475</v>
          </cell>
          <cell r="D434" t="str">
            <v>Not delivered</v>
          </cell>
          <cell r="E434">
            <v>507142433</v>
          </cell>
          <cell r="F434">
            <v>20</v>
          </cell>
          <cell r="G434">
            <v>1406600</v>
          </cell>
          <cell r="H434" t="str">
            <v>CM-310:BLACK M086 CANNAGE S/SLV UV MT</v>
          </cell>
          <cell r="I434">
            <v>39000</v>
          </cell>
          <cell r="J434" t="str">
            <v>UN</v>
          </cell>
          <cell r="K434">
            <v>45593</v>
          </cell>
        </row>
        <row r="435">
          <cell r="A435" t="str">
            <v>50714228310</v>
          </cell>
          <cell r="B435" t="str">
            <v>ZMTD</v>
          </cell>
          <cell r="C435">
            <v>45447</v>
          </cell>
          <cell r="D435" t="str">
            <v>Not delivered</v>
          </cell>
          <cell r="E435">
            <v>507142283</v>
          </cell>
          <cell r="F435">
            <v>10</v>
          </cell>
          <cell r="G435">
            <v>1419488</v>
          </cell>
          <cell r="H435" t="str">
            <v>CP-063R:SPOUT CAP WHITE LOREAL 12A</v>
          </cell>
          <cell r="I435">
            <v>1890000</v>
          </cell>
          <cell r="J435" t="str">
            <v>UN</v>
          </cell>
          <cell r="K435">
            <v>45593</v>
          </cell>
        </row>
        <row r="436">
          <cell r="A436" t="str">
            <v>50714282720</v>
          </cell>
          <cell r="B436" t="str">
            <v>ZMTD</v>
          </cell>
          <cell r="C436">
            <v>45560</v>
          </cell>
          <cell r="D436" t="str">
            <v>Not delivered</v>
          </cell>
          <cell r="E436">
            <v>507142827</v>
          </cell>
          <cell r="F436">
            <v>20</v>
          </cell>
          <cell r="G436">
            <v>1411213</v>
          </cell>
          <cell r="H436" t="str">
            <v>CM-105:BLCK COAT P/MAKE OVER PTI RV1 40H</v>
          </cell>
          <cell r="I436">
            <v>9840</v>
          </cell>
          <cell r="J436" t="str">
            <v>UN</v>
          </cell>
          <cell r="K436">
            <v>45594</v>
          </cell>
        </row>
        <row r="437">
          <cell r="A437" t="str">
            <v>50714277210</v>
          </cell>
          <cell r="B437" t="str">
            <v>ZMTD</v>
          </cell>
          <cell r="C437">
            <v>45554</v>
          </cell>
          <cell r="D437" t="str">
            <v>Not delivered</v>
          </cell>
          <cell r="E437">
            <v>507142772</v>
          </cell>
          <cell r="F437">
            <v>10</v>
          </cell>
          <cell r="G437">
            <v>1378563</v>
          </cell>
          <cell r="H437" t="str">
            <v>CP-093:CAP D50 MT BLACK Ø.5 YASULOR 12A</v>
          </cell>
          <cell r="I437">
            <v>600000</v>
          </cell>
          <cell r="J437" t="str">
            <v>UN</v>
          </cell>
          <cell r="K437">
            <v>45594</v>
          </cell>
        </row>
        <row r="438">
          <cell r="A438" t="str">
            <v>50714278030</v>
          </cell>
          <cell r="B438" t="str">
            <v>ZMTD</v>
          </cell>
          <cell r="C438">
            <v>45554</v>
          </cell>
          <cell r="D438" t="str">
            <v>Not delivered</v>
          </cell>
          <cell r="E438">
            <v>507142780</v>
          </cell>
          <cell r="F438">
            <v>30</v>
          </cell>
          <cell r="G438">
            <v>1409881</v>
          </cell>
          <cell r="H438" t="str">
            <v>CM-315:CVR/BS BLACK P/CVRLAST OMG RV160B</v>
          </cell>
          <cell r="I438">
            <v>18172</v>
          </cell>
          <cell r="J438" t="str">
            <v>UN</v>
          </cell>
          <cell r="K438">
            <v>45594</v>
          </cell>
        </row>
        <row r="439">
          <cell r="A439" t="str">
            <v>50714275770</v>
          </cell>
          <cell r="B439" t="str">
            <v>ZMTD</v>
          </cell>
          <cell r="C439">
            <v>45547</v>
          </cell>
          <cell r="D439" t="str">
            <v>Not delivered</v>
          </cell>
          <cell r="E439">
            <v>507142757</v>
          </cell>
          <cell r="F439">
            <v>70</v>
          </cell>
          <cell r="G439">
            <v>1411701</v>
          </cell>
          <cell r="H439" t="str">
            <v>PT-100:BS/INS BLUE P/WHT KAHF PTI 60B</v>
          </cell>
          <cell r="I439">
            <v>21504</v>
          </cell>
          <cell r="J439" t="str">
            <v>UN</v>
          </cell>
          <cell r="K439">
            <v>45594</v>
          </cell>
        </row>
        <row r="440">
          <cell r="A440" t="str">
            <v>50714275780</v>
          </cell>
          <cell r="B440" t="str">
            <v>ZMTD</v>
          </cell>
          <cell r="C440">
            <v>45547</v>
          </cell>
          <cell r="D440" t="str">
            <v>Not delivered</v>
          </cell>
          <cell r="E440">
            <v>507142757</v>
          </cell>
          <cell r="F440">
            <v>80</v>
          </cell>
          <cell r="G440">
            <v>1411700</v>
          </cell>
          <cell r="H440" t="str">
            <v>PT-100:CVR MT.BLUE EMBOS KAHF PTI 40D</v>
          </cell>
          <cell r="I440">
            <v>21504</v>
          </cell>
          <cell r="J440" t="str">
            <v>UN</v>
          </cell>
          <cell r="K440">
            <v>45594</v>
          </cell>
        </row>
        <row r="441">
          <cell r="A441" t="str">
            <v>50714272410</v>
          </cell>
          <cell r="B441" t="str">
            <v>ZMTD</v>
          </cell>
          <cell r="C441">
            <v>45541</v>
          </cell>
          <cell r="D441" t="str">
            <v>Not delivered</v>
          </cell>
          <cell r="E441">
            <v>507142724</v>
          </cell>
          <cell r="F441">
            <v>10</v>
          </cell>
          <cell r="G441">
            <v>1233451</v>
          </cell>
          <cell r="H441" t="str">
            <v>CM-260:EYSHDW CVR BLKSPRY S/GLD VIVA 40C</v>
          </cell>
          <cell r="I441">
            <v>10080</v>
          </cell>
          <cell r="J441" t="str">
            <v>UN</v>
          </cell>
          <cell r="K441">
            <v>45594</v>
          </cell>
        </row>
        <row r="442">
          <cell r="A442" t="str">
            <v>50714273030</v>
          </cell>
          <cell r="B442" t="str">
            <v>ZMTD</v>
          </cell>
          <cell r="C442">
            <v>45541</v>
          </cell>
          <cell r="D442" t="str">
            <v>Not delivered</v>
          </cell>
          <cell r="E442">
            <v>507142730</v>
          </cell>
          <cell r="F442">
            <v>30</v>
          </cell>
          <cell r="G442">
            <v>1371896</v>
          </cell>
          <cell r="H442" t="str">
            <v>RX-056:CM-316 CVR BLUE P/WHT SP/MTCLR</v>
          </cell>
          <cell r="I442">
            <v>110016</v>
          </cell>
          <cell r="J442" t="str">
            <v>UN</v>
          </cell>
          <cell r="K442">
            <v>45594</v>
          </cell>
        </row>
        <row r="443">
          <cell r="A443" t="str">
            <v>50714270310</v>
          </cell>
          <cell r="B443" t="str">
            <v>ZMTD</v>
          </cell>
          <cell r="C443">
            <v>45534</v>
          </cell>
          <cell r="D443" t="str">
            <v>Not delivered</v>
          </cell>
          <cell r="E443">
            <v>507142703</v>
          </cell>
          <cell r="F443">
            <v>10</v>
          </cell>
          <cell r="G443">
            <v>1268053</v>
          </cell>
          <cell r="H443" t="str">
            <v>CM-117:CVR BS BLACK S/CLRSTA'22 SAS 50C</v>
          </cell>
          <cell r="I443">
            <v>10000</v>
          </cell>
          <cell r="J443" t="str">
            <v>UN</v>
          </cell>
          <cell r="K443">
            <v>45594</v>
          </cell>
        </row>
        <row r="444">
          <cell r="A444" t="str">
            <v>50714241760</v>
          </cell>
          <cell r="B444" t="str">
            <v>ZMTD</v>
          </cell>
          <cell r="C444">
            <v>45474</v>
          </cell>
          <cell r="D444" t="str">
            <v>Not delivered</v>
          </cell>
          <cell r="E444">
            <v>507142417</v>
          </cell>
          <cell r="F444">
            <v>60</v>
          </cell>
          <cell r="G444">
            <v>1405657</v>
          </cell>
          <cell r="H444" t="str">
            <v>CM-273:CV UV BS BRONZE P/PIXYSLKY RV130L</v>
          </cell>
          <cell r="I444">
            <v>10000</v>
          </cell>
          <cell r="J444" t="str">
            <v>UN</v>
          </cell>
          <cell r="K444">
            <v>45594</v>
          </cell>
        </row>
        <row r="445">
          <cell r="A445" t="str">
            <v>50714283210</v>
          </cell>
          <cell r="B445" t="str">
            <v>ZMTD</v>
          </cell>
          <cell r="C445">
            <v>45561</v>
          </cell>
          <cell r="D445" t="str">
            <v>Not delivered</v>
          </cell>
          <cell r="E445">
            <v>507142832</v>
          </cell>
          <cell r="F445">
            <v>10</v>
          </cell>
          <cell r="G445">
            <v>1409881</v>
          </cell>
          <cell r="H445" t="str">
            <v>CM-315:CVR/BS BLACK P/CVRLAST OMG RV160B</v>
          </cell>
          <cell r="I445">
            <v>50204</v>
          </cell>
          <cell r="J445" t="str">
            <v>UN</v>
          </cell>
          <cell r="K445">
            <v>45595</v>
          </cell>
        </row>
        <row r="446">
          <cell r="A446" t="str">
            <v>50714278110</v>
          </cell>
          <cell r="B446" t="str">
            <v>ZMTD</v>
          </cell>
          <cell r="C446">
            <v>45554</v>
          </cell>
          <cell r="D446" t="str">
            <v>Not delivered</v>
          </cell>
          <cell r="E446">
            <v>507142781</v>
          </cell>
          <cell r="F446">
            <v>10</v>
          </cell>
          <cell r="G446">
            <v>1244215</v>
          </cell>
          <cell r="H446" t="str">
            <v>LC-004:CAP WHITE PEARL WIPNAT ROHTO 12A</v>
          </cell>
          <cell r="I446">
            <v>5000</v>
          </cell>
          <cell r="J446" t="str">
            <v>UN</v>
          </cell>
          <cell r="K446">
            <v>45595</v>
          </cell>
        </row>
        <row r="447">
          <cell r="A447" t="str">
            <v>50714278120</v>
          </cell>
          <cell r="B447" t="str">
            <v>ZMTD</v>
          </cell>
          <cell r="C447">
            <v>45554</v>
          </cell>
          <cell r="D447" t="str">
            <v>Not delivered</v>
          </cell>
          <cell r="E447">
            <v>507142781</v>
          </cell>
          <cell r="F447">
            <v>20</v>
          </cell>
          <cell r="G447">
            <v>1270258</v>
          </cell>
          <cell r="H447" t="str">
            <v>LC-004:BTL TRANS P/WHT FRUTPINK ROHTO60B</v>
          </cell>
          <cell r="I447">
            <v>5000</v>
          </cell>
          <cell r="J447" t="str">
            <v>UN</v>
          </cell>
          <cell r="K447">
            <v>45595</v>
          </cell>
        </row>
        <row r="448">
          <cell r="A448" t="str">
            <v>50714268220</v>
          </cell>
          <cell r="B448" t="str">
            <v>ZMTD</v>
          </cell>
          <cell r="C448">
            <v>45532</v>
          </cell>
          <cell r="D448" t="str">
            <v>Not delivered</v>
          </cell>
          <cell r="E448">
            <v>507142682</v>
          </cell>
          <cell r="F448">
            <v>20</v>
          </cell>
          <cell r="G448">
            <v>1209330</v>
          </cell>
          <cell r="H448" t="str">
            <v>RUBICELL:PUFF 52X5.8MM WHT W/RIBBON GNRL</v>
          </cell>
          <cell r="I448">
            <v>10000</v>
          </cell>
          <cell r="J448" t="str">
            <v>UN</v>
          </cell>
          <cell r="K448">
            <v>45595</v>
          </cell>
        </row>
        <row r="449">
          <cell r="A449" t="str">
            <v>50714268230</v>
          </cell>
          <cell r="B449" t="str">
            <v>ZMTD</v>
          </cell>
          <cell r="C449">
            <v>45532</v>
          </cell>
          <cell r="D449" t="str">
            <v>Not delivered</v>
          </cell>
          <cell r="E449">
            <v>507142682</v>
          </cell>
          <cell r="F449">
            <v>30</v>
          </cell>
          <cell r="G449">
            <v>1440082</v>
          </cell>
          <cell r="H449" t="str">
            <v>CM-290:1PC CV/BS PINK P/NEWFIVEZ MLA 60B</v>
          </cell>
          <cell r="I449">
            <v>10000</v>
          </cell>
          <cell r="J449" t="str">
            <v>UN</v>
          </cell>
          <cell r="K449">
            <v>45595</v>
          </cell>
        </row>
        <row r="450">
          <cell r="A450" t="str">
            <v>50714268240</v>
          </cell>
          <cell r="B450" t="str">
            <v>ZMTD</v>
          </cell>
          <cell r="C450">
            <v>45532</v>
          </cell>
          <cell r="D450" t="str">
            <v>Not delivered</v>
          </cell>
          <cell r="E450">
            <v>507142682</v>
          </cell>
          <cell r="F450">
            <v>40</v>
          </cell>
          <cell r="G450">
            <v>1440083</v>
          </cell>
          <cell r="H450" t="str">
            <v>CM-290:ENGINE PINK NEWFIVEZ MLA 12A</v>
          </cell>
          <cell r="I450">
            <v>10000</v>
          </cell>
          <cell r="J450" t="str">
            <v>UN</v>
          </cell>
          <cell r="K450">
            <v>45595</v>
          </cell>
        </row>
        <row r="451">
          <cell r="A451" t="str">
            <v>50714268250</v>
          </cell>
          <cell r="B451" t="str">
            <v>ZMTD</v>
          </cell>
          <cell r="C451">
            <v>45532</v>
          </cell>
          <cell r="D451" t="str">
            <v>Not delivered</v>
          </cell>
          <cell r="E451">
            <v>507142682</v>
          </cell>
          <cell r="F451">
            <v>50</v>
          </cell>
          <cell r="G451">
            <v>1440084</v>
          </cell>
          <cell r="H451" t="str">
            <v>CM-290:RING PINK NEWFIVEZ MLA 12A</v>
          </cell>
          <cell r="I451">
            <v>10000</v>
          </cell>
          <cell r="J451" t="str">
            <v>UN</v>
          </cell>
          <cell r="K451">
            <v>45595</v>
          </cell>
        </row>
        <row r="452">
          <cell r="A452" t="str">
            <v>50714265410</v>
          </cell>
          <cell r="B452" t="str">
            <v>ZMTD</v>
          </cell>
          <cell r="C452">
            <v>45523</v>
          </cell>
          <cell r="D452" t="str">
            <v>Not delivered</v>
          </cell>
          <cell r="E452">
            <v>507142654</v>
          </cell>
          <cell r="F452">
            <v>10</v>
          </cell>
          <cell r="G452">
            <v>1420605</v>
          </cell>
          <cell r="H452" t="str">
            <v>CM-253:CV BS MT BRICK 06 P/C.BLSH PTI40H</v>
          </cell>
          <cell r="I452">
            <v>15120</v>
          </cell>
          <cell r="J452" t="str">
            <v>UN</v>
          </cell>
          <cell r="K452">
            <v>45595</v>
          </cell>
        </row>
        <row r="453">
          <cell r="A453" t="str">
            <v>50714263020</v>
          </cell>
          <cell r="B453" t="str">
            <v>ZMTD</v>
          </cell>
          <cell r="C453">
            <v>45516</v>
          </cell>
          <cell r="D453" t="str">
            <v>Not delivered</v>
          </cell>
          <cell r="E453">
            <v>507142630</v>
          </cell>
          <cell r="F453">
            <v>20</v>
          </cell>
          <cell r="G453">
            <v>1436641</v>
          </cell>
          <cell r="H453" t="str">
            <v>CM-310:BLUE UV S/SILVER DIOR PEPSPE+IXPE</v>
          </cell>
          <cell r="I453">
            <v>64800</v>
          </cell>
          <cell r="J453" t="str">
            <v>UN</v>
          </cell>
          <cell r="K453">
            <v>45595</v>
          </cell>
        </row>
        <row r="454">
          <cell r="A454" t="str">
            <v>50714244510</v>
          </cell>
          <cell r="B454" t="str">
            <v>ZMTD</v>
          </cell>
          <cell r="C454">
            <v>45476</v>
          </cell>
          <cell r="D454" t="str">
            <v>Not delivered</v>
          </cell>
          <cell r="E454">
            <v>507142445</v>
          </cell>
          <cell r="F454">
            <v>10</v>
          </cell>
          <cell r="G454">
            <v>1210981</v>
          </cell>
          <cell r="H454" t="str">
            <v>LS-092:COVER CLEAR P/WHT CSMAX 60B</v>
          </cell>
          <cell r="I454">
            <v>50400</v>
          </cell>
          <cell r="J454" t="str">
            <v>UN</v>
          </cell>
          <cell r="K454">
            <v>45595</v>
          </cell>
        </row>
        <row r="455">
          <cell r="A455" t="str">
            <v>50714244520</v>
          </cell>
          <cell r="B455" t="str">
            <v>ZMTD</v>
          </cell>
          <cell r="C455">
            <v>45476</v>
          </cell>
          <cell r="D455" t="str">
            <v>Not delivered</v>
          </cell>
          <cell r="E455">
            <v>507142445</v>
          </cell>
          <cell r="F455">
            <v>20</v>
          </cell>
          <cell r="G455">
            <v>1430493</v>
          </cell>
          <cell r="H455" t="str">
            <v>LS-092:BS WHT P/BLUE NP BLUE CSMXR02 60B</v>
          </cell>
          <cell r="I455">
            <v>50400</v>
          </cell>
          <cell r="J455" t="str">
            <v>UN</v>
          </cell>
          <cell r="K455">
            <v>45595</v>
          </cell>
        </row>
        <row r="456">
          <cell r="A456" t="str">
            <v>50714279410</v>
          </cell>
          <cell r="B456" t="str">
            <v>ZMTD</v>
          </cell>
          <cell r="C456">
            <v>45558</v>
          </cell>
          <cell r="D456" t="str">
            <v>Not delivered</v>
          </cell>
          <cell r="E456">
            <v>507142794</v>
          </cell>
          <cell r="F456">
            <v>10</v>
          </cell>
          <cell r="G456">
            <v>1163327</v>
          </cell>
          <cell r="H456" t="str">
            <v>CM-246:CVR S.SLV PAN WHITE 6MPY 01 0034</v>
          </cell>
          <cell r="I456">
            <v>25056</v>
          </cell>
          <cell r="J456" t="str">
            <v>UN</v>
          </cell>
          <cell r="K456">
            <v>45596</v>
          </cell>
        </row>
        <row r="457">
          <cell r="A457" t="str">
            <v>50714280010</v>
          </cell>
          <cell r="B457" t="str">
            <v>ZMTD</v>
          </cell>
          <cell r="C457">
            <v>45558</v>
          </cell>
          <cell r="D457" t="str">
            <v>Not delivered</v>
          </cell>
          <cell r="E457">
            <v>507142800</v>
          </cell>
          <cell r="F457">
            <v>10</v>
          </cell>
          <cell r="G457">
            <v>1132044</v>
          </cell>
          <cell r="H457" t="str">
            <v>CM-299:MONO EYESHADOW</v>
          </cell>
          <cell r="I457">
            <v>75060</v>
          </cell>
          <cell r="J457" t="str">
            <v>UN</v>
          </cell>
          <cell r="K457">
            <v>45596</v>
          </cell>
        </row>
        <row r="458">
          <cell r="A458" t="str">
            <v>50714276810</v>
          </cell>
          <cell r="B458" t="str">
            <v>ZMTD</v>
          </cell>
          <cell r="C458">
            <v>45553</v>
          </cell>
          <cell r="D458" t="str">
            <v>Not delivered</v>
          </cell>
          <cell r="E458">
            <v>507142768</v>
          </cell>
          <cell r="F458">
            <v>10</v>
          </cell>
          <cell r="G458">
            <v>1169286</v>
          </cell>
          <cell r="H458" t="str">
            <v>CM-294:RECTANGULAR WITH GODET PKTJ010032</v>
          </cell>
          <cell r="I458">
            <v>43920</v>
          </cell>
          <cell r="J458" t="str">
            <v>UN</v>
          </cell>
          <cell r="K458">
            <v>45596</v>
          </cell>
        </row>
        <row r="459">
          <cell r="A459" t="str">
            <v>50714276630</v>
          </cell>
          <cell r="B459" t="str">
            <v>ZMTD</v>
          </cell>
          <cell r="C459">
            <v>45552</v>
          </cell>
          <cell r="D459" t="str">
            <v>Not delivered</v>
          </cell>
          <cell r="E459">
            <v>507142766</v>
          </cell>
          <cell r="F459">
            <v>30</v>
          </cell>
          <cell r="G459">
            <v>1398763</v>
          </cell>
          <cell r="H459" t="str">
            <v>CM-320:WHITE S/BLACK UV MATTE NARS</v>
          </cell>
          <cell r="I459">
            <v>30240</v>
          </cell>
          <cell r="J459" t="str">
            <v>UN</v>
          </cell>
          <cell r="K459">
            <v>45596</v>
          </cell>
        </row>
        <row r="460">
          <cell r="A460" t="str">
            <v>50714273110</v>
          </cell>
          <cell r="B460" t="str">
            <v>ZMTD</v>
          </cell>
          <cell r="C460">
            <v>45544</v>
          </cell>
          <cell r="D460" t="str">
            <v>Not delivered</v>
          </cell>
          <cell r="E460">
            <v>507142731</v>
          </cell>
          <cell r="F460">
            <v>10</v>
          </cell>
          <cell r="G460">
            <v>1181524</v>
          </cell>
          <cell r="H460" t="str">
            <v>CM-297:WHITE PERFECT LIGHT PP BOOTS</v>
          </cell>
          <cell r="I460">
            <v>29064</v>
          </cell>
          <cell r="J460" t="str">
            <v>UN</v>
          </cell>
          <cell r="K460">
            <v>45596</v>
          </cell>
        </row>
        <row r="461">
          <cell r="A461" t="str">
            <v>50714271010</v>
          </cell>
          <cell r="B461" t="str">
            <v>ZMTD</v>
          </cell>
          <cell r="C461">
            <v>45534</v>
          </cell>
          <cell r="D461" t="str">
            <v>Not delivered</v>
          </cell>
          <cell r="E461">
            <v>507142710</v>
          </cell>
          <cell r="F461">
            <v>10</v>
          </cell>
          <cell r="G461">
            <v>1187960</v>
          </cell>
          <cell r="H461" t="str">
            <v>FP-014:CVR VMRAINBOW P/ULTM II RUDYS 40C</v>
          </cell>
          <cell r="I461">
            <v>30000</v>
          </cell>
          <cell r="J461" t="str">
            <v>UN</v>
          </cell>
          <cell r="K461">
            <v>45596</v>
          </cell>
        </row>
        <row r="462">
          <cell r="A462" t="str">
            <v>50714271020</v>
          </cell>
          <cell r="B462" t="str">
            <v>ZMTD</v>
          </cell>
          <cell r="C462">
            <v>45534</v>
          </cell>
          <cell r="D462" t="str">
            <v>Not delivered</v>
          </cell>
          <cell r="E462">
            <v>507142710</v>
          </cell>
          <cell r="F462">
            <v>20</v>
          </cell>
          <cell r="G462">
            <v>1172318</v>
          </cell>
          <cell r="H462" t="str">
            <v>FP-014:BASE CLEAR NO DC ULTIMA II RUDY S</v>
          </cell>
          <cell r="I462">
            <v>30000</v>
          </cell>
          <cell r="J462" t="str">
            <v>UN</v>
          </cell>
          <cell r="K462">
            <v>45596</v>
          </cell>
        </row>
        <row r="463">
          <cell r="A463" t="str">
            <v>50714271030</v>
          </cell>
          <cell r="B463" t="str">
            <v>ZMTD</v>
          </cell>
          <cell r="C463">
            <v>45534</v>
          </cell>
          <cell r="D463" t="str">
            <v>Not delivered</v>
          </cell>
          <cell r="E463">
            <v>507142710</v>
          </cell>
          <cell r="F463">
            <v>30</v>
          </cell>
          <cell r="G463">
            <v>1170826</v>
          </cell>
          <cell r="H463" t="str">
            <v>FP-014:SIFTER NT W/LBL NO DECO ULTIMA II</v>
          </cell>
          <cell r="I463">
            <v>30000</v>
          </cell>
          <cell r="J463" t="str">
            <v>UN</v>
          </cell>
          <cell r="K463">
            <v>45596</v>
          </cell>
        </row>
        <row r="464">
          <cell r="A464" t="str">
            <v>50714268210</v>
          </cell>
          <cell r="B464" t="str">
            <v>ZMTD</v>
          </cell>
          <cell r="C464">
            <v>45532</v>
          </cell>
          <cell r="D464" t="str">
            <v>Not delivered</v>
          </cell>
          <cell r="E464">
            <v>507142682</v>
          </cell>
          <cell r="F464">
            <v>10</v>
          </cell>
          <cell r="G464">
            <v>1188806</v>
          </cell>
          <cell r="H464" t="str">
            <v>FILLER SPONGE DIA 50X11.5MM GNRL</v>
          </cell>
          <cell r="I464">
            <v>10000</v>
          </cell>
          <cell r="J464" t="str">
            <v>UN</v>
          </cell>
          <cell r="K464">
            <v>45596</v>
          </cell>
        </row>
        <row r="465">
          <cell r="A465" t="str">
            <v>50714254410</v>
          </cell>
          <cell r="B465" t="str">
            <v>ZMTD</v>
          </cell>
          <cell r="C465">
            <v>45491</v>
          </cell>
          <cell r="D465" t="str">
            <v>Not delivered</v>
          </cell>
          <cell r="E465">
            <v>507142544</v>
          </cell>
          <cell r="F465">
            <v>10</v>
          </cell>
          <cell r="G465">
            <v>1278860</v>
          </cell>
          <cell r="H465" t="str">
            <v>CM-296:WHT P/L.AGELES W/O HOLE COTY TAOR</v>
          </cell>
          <cell r="I465">
            <v>72000</v>
          </cell>
          <cell r="J465" t="str">
            <v>UN</v>
          </cell>
          <cell r="K465">
            <v>45596</v>
          </cell>
        </row>
        <row r="466">
          <cell r="A466" t="str">
            <v>50714242710</v>
          </cell>
          <cell r="B466" t="str">
            <v>ZMTD</v>
          </cell>
          <cell r="C466">
            <v>45475</v>
          </cell>
          <cell r="D466" t="str">
            <v>Not delivered</v>
          </cell>
          <cell r="E466">
            <v>507142427</v>
          </cell>
          <cell r="F466">
            <v>10</v>
          </cell>
          <cell r="G466">
            <v>1160336</v>
          </cell>
          <cell r="H466" t="str">
            <v>CP-071:CP8364 TNR WPRL 200 REX IS 763</v>
          </cell>
          <cell r="I466">
            <v>65250</v>
          </cell>
          <cell r="J466" t="str">
            <v>UN</v>
          </cell>
          <cell r="K466">
            <v>45596</v>
          </cell>
        </row>
        <row r="467">
          <cell r="A467" t="str">
            <v>50714243410</v>
          </cell>
          <cell r="B467" t="str">
            <v>ZMTD</v>
          </cell>
          <cell r="C467">
            <v>45475</v>
          </cell>
          <cell r="D467" t="str">
            <v>Not delivered</v>
          </cell>
          <cell r="E467">
            <v>507142434</v>
          </cell>
          <cell r="F467">
            <v>10</v>
          </cell>
          <cell r="G467">
            <v>1159364</v>
          </cell>
          <cell r="H467" t="str">
            <v>CP-071:PL8364 INSERT TNR 125-200ML REX</v>
          </cell>
          <cell r="I467">
            <v>111000</v>
          </cell>
          <cell r="J467" t="str">
            <v>UN</v>
          </cell>
          <cell r="K467">
            <v>45596</v>
          </cell>
        </row>
        <row r="468">
          <cell r="A468" t="str">
            <v>50714243510</v>
          </cell>
          <cell r="B468" t="str">
            <v>ZMTD</v>
          </cell>
          <cell r="C468">
            <v>45475</v>
          </cell>
          <cell r="D468" t="str">
            <v>Not delivered</v>
          </cell>
          <cell r="E468">
            <v>507142435</v>
          </cell>
          <cell r="F468">
            <v>10</v>
          </cell>
          <cell r="G468">
            <v>1159364</v>
          </cell>
          <cell r="H468" t="str">
            <v>CP-071:PL8364 INSERT TNR 125-200ML REX</v>
          </cell>
          <cell r="I468">
            <v>111000</v>
          </cell>
          <cell r="J468" t="str">
            <v>UN</v>
          </cell>
          <cell r="K468">
            <v>45596</v>
          </cell>
        </row>
        <row r="469">
          <cell r="A469" t="str">
            <v>50714226810</v>
          </cell>
          <cell r="B469" t="str">
            <v>ZMTD</v>
          </cell>
          <cell r="C469">
            <v>45443</v>
          </cell>
          <cell r="D469" t="str">
            <v>Not delivered</v>
          </cell>
          <cell r="E469">
            <v>507142268</v>
          </cell>
          <cell r="F469">
            <v>10</v>
          </cell>
          <cell r="G469">
            <v>1187961</v>
          </cell>
          <cell r="H469" t="str">
            <v>FP-029:CVR VMRAINBOW P/ULTM II RUDYS 40C</v>
          </cell>
          <cell r="I469">
            <v>5000</v>
          </cell>
          <cell r="J469" t="str">
            <v>UN</v>
          </cell>
          <cell r="K469">
            <v>45596</v>
          </cell>
        </row>
        <row r="470">
          <cell r="A470" t="str">
            <v>50714226820</v>
          </cell>
          <cell r="B470" t="str">
            <v>ZMTD</v>
          </cell>
          <cell r="C470">
            <v>45443</v>
          </cell>
          <cell r="D470" t="str">
            <v>Not delivered</v>
          </cell>
          <cell r="E470">
            <v>507142268</v>
          </cell>
          <cell r="F470">
            <v>20</v>
          </cell>
          <cell r="G470">
            <v>1176240</v>
          </cell>
          <cell r="H470" t="str">
            <v>FP-029:BASE CLEAR NO DC ULTIMA II RUDY S</v>
          </cell>
          <cell r="I470">
            <v>5000</v>
          </cell>
          <cell r="J470" t="str">
            <v>UN</v>
          </cell>
          <cell r="K470">
            <v>45596</v>
          </cell>
        </row>
        <row r="471">
          <cell r="A471" t="str">
            <v>50714226830</v>
          </cell>
          <cell r="B471" t="str">
            <v>ZMTD</v>
          </cell>
          <cell r="C471">
            <v>45443</v>
          </cell>
          <cell r="D471" t="str">
            <v>Not delivered</v>
          </cell>
          <cell r="E471">
            <v>507142268</v>
          </cell>
          <cell r="F471">
            <v>30</v>
          </cell>
          <cell r="G471">
            <v>1173507</v>
          </cell>
          <cell r="H471" t="str">
            <v>FP-029:SIFTER NT W/LBL NO DECO ULTIMA II</v>
          </cell>
          <cell r="I471">
            <v>5000</v>
          </cell>
          <cell r="J471" t="str">
            <v>UN</v>
          </cell>
          <cell r="K471">
            <v>45596</v>
          </cell>
        </row>
        <row r="472">
          <cell r="A472" t="str">
            <v>50714226840</v>
          </cell>
          <cell r="B472" t="str">
            <v>ZMTD</v>
          </cell>
          <cell r="C472">
            <v>45443</v>
          </cell>
          <cell r="D472" t="str">
            <v>Not delivered</v>
          </cell>
          <cell r="E472">
            <v>507142268</v>
          </cell>
          <cell r="F472">
            <v>40</v>
          </cell>
          <cell r="G472">
            <v>1187961</v>
          </cell>
          <cell r="H472" t="str">
            <v>FP-029:CVR VMRAINBOW P/ULTM II RUDYS 40C</v>
          </cell>
          <cell r="I472">
            <v>20000</v>
          </cell>
          <cell r="J472" t="str">
            <v>UN</v>
          </cell>
          <cell r="K472">
            <v>45596</v>
          </cell>
        </row>
        <row r="473">
          <cell r="A473" t="str">
            <v>50714226850</v>
          </cell>
          <cell r="B473" t="str">
            <v>ZMTD</v>
          </cell>
          <cell r="C473">
            <v>45443</v>
          </cell>
          <cell r="D473" t="str">
            <v>Not delivered</v>
          </cell>
          <cell r="E473">
            <v>507142268</v>
          </cell>
          <cell r="F473">
            <v>50</v>
          </cell>
          <cell r="G473">
            <v>1176240</v>
          </cell>
          <cell r="H473" t="str">
            <v>FP-029:BASE CLEAR NO DC ULTIMA II RUDY S</v>
          </cell>
          <cell r="I473">
            <v>20000</v>
          </cell>
          <cell r="J473" t="str">
            <v>UN</v>
          </cell>
          <cell r="K473">
            <v>45596</v>
          </cell>
        </row>
        <row r="474">
          <cell r="A474" t="str">
            <v>50714226860</v>
          </cell>
          <cell r="B474" t="str">
            <v>ZMTD</v>
          </cell>
          <cell r="C474">
            <v>45443</v>
          </cell>
          <cell r="D474" t="str">
            <v>Not delivered</v>
          </cell>
          <cell r="E474">
            <v>507142268</v>
          </cell>
          <cell r="F474">
            <v>60</v>
          </cell>
          <cell r="G474">
            <v>1173507</v>
          </cell>
          <cell r="H474" t="str">
            <v>FP-029:SIFTER NT W/LBL NO DECO ULTIMA II</v>
          </cell>
          <cell r="I474">
            <v>20000</v>
          </cell>
          <cell r="J474" t="str">
            <v>UN</v>
          </cell>
          <cell r="K474">
            <v>45596</v>
          </cell>
        </row>
        <row r="475">
          <cell r="A475" t="str">
            <v>50800494830</v>
          </cell>
          <cell r="B475" t="str">
            <v>ZMFD</v>
          </cell>
          <cell r="C475">
            <v>45370</v>
          </cell>
          <cell r="D475" t="str">
            <v>Not delivered</v>
          </cell>
          <cell r="E475">
            <v>508004948</v>
          </cell>
          <cell r="F475">
            <v>30</v>
          </cell>
          <cell r="G475">
            <v>1411700</v>
          </cell>
          <cell r="H475" t="str">
            <v>PT-100:CVR MT.BLUE EMBOS KAHF PTI 40D</v>
          </cell>
          <cell r="I475">
            <v>22000</v>
          </cell>
          <cell r="J475" t="str">
            <v>UN</v>
          </cell>
          <cell r="K475">
            <v>45596</v>
          </cell>
        </row>
        <row r="476">
          <cell r="A476" t="str">
            <v>50800494840</v>
          </cell>
          <cell r="B476" t="str">
            <v>ZMFD</v>
          </cell>
          <cell r="C476">
            <v>45370</v>
          </cell>
          <cell r="D476" t="str">
            <v>Not delivered</v>
          </cell>
          <cell r="E476">
            <v>508004948</v>
          </cell>
          <cell r="F476">
            <v>40</v>
          </cell>
          <cell r="G476">
            <v>1411701</v>
          </cell>
          <cell r="H476" t="str">
            <v>PT-100:BS/INS BLUE P/WHT KAHF PTI 60B</v>
          </cell>
          <cell r="I476">
            <v>22000</v>
          </cell>
          <cell r="J476" t="str">
            <v>UN</v>
          </cell>
          <cell r="K476">
            <v>45596</v>
          </cell>
        </row>
        <row r="477">
          <cell r="A477" t="str">
            <v>50714276570</v>
          </cell>
          <cell r="B477" t="str">
            <v>ZMTD</v>
          </cell>
          <cell r="C477">
            <v>45552</v>
          </cell>
          <cell r="D477" t="str">
            <v>Not delivered</v>
          </cell>
          <cell r="E477">
            <v>507142765</v>
          </cell>
          <cell r="F477">
            <v>70</v>
          </cell>
          <cell r="G477">
            <v>1398383</v>
          </cell>
          <cell r="H477" t="str">
            <v>CM-319:WHITE P/BLACK UV MATTE NARS</v>
          </cell>
          <cell r="I477">
            <v>40080</v>
          </cell>
          <cell r="J477" t="str">
            <v>UN</v>
          </cell>
          <cell r="K477">
            <v>45597</v>
          </cell>
        </row>
        <row r="478">
          <cell r="A478" t="str">
            <v>50800527620</v>
          </cell>
          <cell r="B478" t="str">
            <v>ZMFD</v>
          </cell>
          <cell r="C478">
            <v>45539</v>
          </cell>
          <cell r="D478" t="str">
            <v>Not delivered</v>
          </cell>
          <cell r="E478">
            <v>508005276</v>
          </cell>
          <cell r="F478">
            <v>20</v>
          </cell>
          <cell r="G478">
            <v>1440707</v>
          </cell>
          <cell r="H478" t="str">
            <v>CM-253:CV CLR BS BLK S/LAKME HGLTR ANCRT</v>
          </cell>
          <cell r="I478">
            <v>25000</v>
          </cell>
          <cell r="J478" t="str">
            <v>UN</v>
          </cell>
          <cell r="K478">
            <v>45597</v>
          </cell>
        </row>
        <row r="479">
          <cell r="A479" t="str">
            <v>50800527630</v>
          </cell>
          <cell r="B479" t="str">
            <v>ZMFD</v>
          </cell>
          <cell r="C479">
            <v>45539</v>
          </cell>
          <cell r="D479" t="str">
            <v>Not delivered</v>
          </cell>
          <cell r="E479">
            <v>508005276</v>
          </cell>
          <cell r="F479">
            <v>30</v>
          </cell>
          <cell r="G479">
            <v>1440708</v>
          </cell>
          <cell r="H479" t="str">
            <v>CM-253:CV CLR BS BLK S/LAKME BLUSH ANCRT</v>
          </cell>
          <cell r="I479">
            <v>25000</v>
          </cell>
          <cell r="J479" t="str">
            <v>UN</v>
          </cell>
          <cell r="K479">
            <v>45597</v>
          </cell>
        </row>
        <row r="480">
          <cell r="A480" t="str">
            <v>50800522910</v>
          </cell>
          <cell r="B480" t="str">
            <v>ZMFD</v>
          </cell>
          <cell r="C480">
            <v>45499</v>
          </cell>
          <cell r="D480" t="str">
            <v>Not delivered</v>
          </cell>
          <cell r="E480">
            <v>508005229</v>
          </cell>
          <cell r="F480">
            <v>10</v>
          </cell>
          <cell r="G480">
            <v>1361170</v>
          </cell>
          <cell r="H480" t="str">
            <v>PT-097:BODY BLACK HOUSE WHT TRANS PTI12A</v>
          </cell>
          <cell r="I480">
            <v>150000</v>
          </cell>
          <cell r="J480" t="str">
            <v>UN</v>
          </cell>
          <cell r="K480">
            <v>45597</v>
          </cell>
        </row>
        <row r="481">
          <cell r="A481" t="str">
            <v>50800522920</v>
          </cell>
          <cell r="B481" t="str">
            <v>ZMFD</v>
          </cell>
          <cell r="C481">
            <v>45499</v>
          </cell>
          <cell r="D481" t="str">
            <v>Not delivered</v>
          </cell>
          <cell r="E481">
            <v>508005229</v>
          </cell>
          <cell r="F481">
            <v>20</v>
          </cell>
          <cell r="G481">
            <v>1361175</v>
          </cell>
          <cell r="H481" t="str">
            <v>PT-097:CAP BLACK TRANS PTI 12A</v>
          </cell>
          <cell r="I481">
            <v>150000</v>
          </cell>
          <cell r="J481" t="str">
            <v>UN</v>
          </cell>
          <cell r="K481">
            <v>45597</v>
          </cell>
        </row>
        <row r="482">
          <cell r="A482" t="str">
            <v>50714250410</v>
          </cell>
          <cell r="B482" t="str">
            <v>ZMTD</v>
          </cell>
          <cell r="C482">
            <v>45488</v>
          </cell>
          <cell r="D482" t="str">
            <v>Not delivered</v>
          </cell>
          <cell r="E482">
            <v>507142504</v>
          </cell>
          <cell r="F482">
            <v>10</v>
          </cell>
          <cell r="G482">
            <v>1419488</v>
          </cell>
          <cell r="H482" t="str">
            <v>CP-063R:SPOUT CAP WHITE LOREAL 12A</v>
          </cell>
          <cell r="I482">
            <v>1890000</v>
          </cell>
          <cell r="J482" t="str">
            <v>UN</v>
          </cell>
          <cell r="K482">
            <v>45597</v>
          </cell>
        </row>
        <row r="483">
          <cell r="A483" t="str">
            <v>50714253110</v>
          </cell>
          <cell r="B483" t="str">
            <v>ZMTD</v>
          </cell>
          <cell r="C483">
            <v>45488</v>
          </cell>
          <cell r="D483" t="str">
            <v>Not delivered</v>
          </cell>
          <cell r="E483">
            <v>507142531</v>
          </cell>
          <cell r="F483">
            <v>10</v>
          </cell>
          <cell r="G483">
            <v>1164947</v>
          </cell>
          <cell r="H483" t="str">
            <v>CM-253:CVR CLR BS BLUE P2748C P/WHT NSF</v>
          </cell>
          <cell r="I483">
            <v>21600</v>
          </cell>
          <cell r="J483" t="str">
            <v>UN</v>
          </cell>
          <cell r="K483">
            <v>45597</v>
          </cell>
        </row>
        <row r="484">
          <cell r="A484" t="str">
            <v>50714253120</v>
          </cell>
          <cell r="B484" t="str">
            <v>ZMTD</v>
          </cell>
          <cell r="C484">
            <v>45488</v>
          </cell>
          <cell r="D484" t="str">
            <v>Not delivered</v>
          </cell>
          <cell r="E484">
            <v>507142531</v>
          </cell>
          <cell r="F484">
            <v>20</v>
          </cell>
          <cell r="G484">
            <v>1164946</v>
          </cell>
          <cell r="H484" t="str">
            <v>CM-255:CVR CLR BS RED P186C P/WHT NSF</v>
          </cell>
          <cell r="I484">
            <v>33600</v>
          </cell>
          <cell r="J484" t="str">
            <v>UN</v>
          </cell>
          <cell r="K484">
            <v>45597</v>
          </cell>
        </row>
        <row r="485">
          <cell r="A485" t="str">
            <v>50714253130</v>
          </cell>
          <cell r="B485" t="str">
            <v>ZMTD</v>
          </cell>
          <cell r="C485">
            <v>45488</v>
          </cell>
          <cell r="D485" t="str">
            <v>Not delivered</v>
          </cell>
          <cell r="E485">
            <v>507142531</v>
          </cell>
          <cell r="F485">
            <v>30</v>
          </cell>
          <cell r="G485">
            <v>1164945</v>
          </cell>
          <cell r="H485" t="str">
            <v>CM-256:CVR CLR BS BLUE P2748C P/RED NSF</v>
          </cell>
          <cell r="I485">
            <v>33600</v>
          </cell>
          <cell r="J485" t="str">
            <v>UN</v>
          </cell>
          <cell r="K485">
            <v>45597</v>
          </cell>
        </row>
        <row r="486">
          <cell r="A486" t="str">
            <v>50800518110</v>
          </cell>
          <cell r="B486" t="str">
            <v>ZMFD</v>
          </cell>
          <cell r="C486">
            <v>45485</v>
          </cell>
          <cell r="D486" t="str">
            <v>Not delivered</v>
          </cell>
          <cell r="E486">
            <v>508005181</v>
          </cell>
          <cell r="F486">
            <v>10</v>
          </cell>
          <cell r="G486">
            <v>1413967</v>
          </cell>
          <cell r="H486" t="str">
            <v>CM-323:VM SILVER DIOR JUMBO M080</v>
          </cell>
          <cell r="I486">
            <v>12600</v>
          </cell>
          <cell r="J486" t="str">
            <v>UN</v>
          </cell>
          <cell r="K486">
            <v>45597</v>
          </cell>
        </row>
        <row r="487">
          <cell r="A487" t="str">
            <v>50714228410</v>
          </cell>
          <cell r="B487" t="str">
            <v>ZMTD</v>
          </cell>
          <cell r="C487">
            <v>45447</v>
          </cell>
          <cell r="D487" t="str">
            <v>Not delivered</v>
          </cell>
          <cell r="E487">
            <v>507142284</v>
          </cell>
          <cell r="F487">
            <v>10</v>
          </cell>
          <cell r="G487">
            <v>1419488</v>
          </cell>
          <cell r="H487" t="str">
            <v>CP-063R:SPOUT CAP WHITE LOREAL 12A</v>
          </cell>
          <cell r="I487">
            <v>1890000</v>
          </cell>
          <cell r="J487" t="str">
            <v>UN</v>
          </cell>
          <cell r="K487">
            <v>45597</v>
          </cell>
        </row>
        <row r="488">
          <cell r="A488" t="str">
            <v>50800506830</v>
          </cell>
          <cell r="B488" t="str">
            <v>ZMFD</v>
          </cell>
          <cell r="C488">
            <v>45433</v>
          </cell>
          <cell r="D488" t="str">
            <v>Not delivered</v>
          </cell>
          <cell r="E488">
            <v>508005068</v>
          </cell>
          <cell r="F488">
            <v>30</v>
          </cell>
          <cell r="G488">
            <v>1255663</v>
          </cell>
          <cell r="H488" t="str">
            <v>LC-002:BTL MT VAR13 P/WRDH B.MARK PTI40H</v>
          </cell>
          <cell r="I488">
            <v>25000</v>
          </cell>
          <cell r="J488" t="str">
            <v>UN</v>
          </cell>
          <cell r="K488">
            <v>45597</v>
          </cell>
        </row>
        <row r="489">
          <cell r="A489" t="str">
            <v>50800506840</v>
          </cell>
          <cell r="B489" t="str">
            <v>ZMFD</v>
          </cell>
          <cell r="C489">
            <v>45433</v>
          </cell>
          <cell r="D489" t="str">
            <v>Not delivered</v>
          </cell>
          <cell r="E489">
            <v>508005068</v>
          </cell>
          <cell r="F489">
            <v>40</v>
          </cell>
          <cell r="G489">
            <v>1173170</v>
          </cell>
          <cell r="H489" t="str">
            <v>LC-002:CP S/MT VAR13 STM-WHT WNAT PTI40D</v>
          </cell>
          <cell r="I489">
            <v>25000</v>
          </cell>
          <cell r="J489" t="str">
            <v>UN</v>
          </cell>
          <cell r="K489">
            <v>45597</v>
          </cell>
        </row>
        <row r="490">
          <cell r="A490" t="str">
            <v>50714274610</v>
          </cell>
          <cell r="B490" t="str">
            <v>ZMTD</v>
          </cell>
          <cell r="C490">
            <v>45545</v>
          </cell>
          <cell r="D490" t="str">
            <v>Not delivered</v>
          </cell>
          <cell r="E490">
            <v>507142746</v>
          </cell>
          <cell r="F490">
            <v>10</v>
          </cell>
          <cell r="G490">
            <v>1272832</v>
          </cell>
          <cell r="H490" t="str">
            <v>CM-133:CVR BS MTLC PRPL UV P/S/BFCIAL30B</v>
          </cell>
          <cell r="I490">
            <v>10000</v>
          </cell>
          <cell r="J490" t="str">
            <v>UN</v>
          </cell>
          <cell r="K490">
            <v>45598</v>
          </cell>
        </row>
        <row r="491">
          <cell r="A491" t="str">
            <v>50800517310</v>
          </cell>
          <cell r="B491" t="str">
            <v>ZMFD</v>
          </cell>
          <cell r="C491">
            <v>45481</v>
          </cell>
          <cell r="D491" t="str">
            <v>Not delivered</v>
          </cell>
          <cell r="E491">
            <v>508005173</v>
          </cell>
          <cell r="F491">
            <v>10</v>
          </cell>
          <cell r="G491">
            <v>1226229</v>
          </cell>
          <cell r="H491" t="str">
            <v>LC-004:BTL CLR S/P/WRDH EVERDAY PTI 60B</v>
          </cell>
          <cell r="I491">
            <v>100000</v>
          </cell>
          <cell r="J491" t="str">
            <v>UN</v>
          </cell>
          <cell r="K491">
            <v>45598</v>
          </cell>
        </row>
        <row r="492">
          <cell r="A492" t="str">
            <v>50800517320</v>
          </cell>
          <cell r="B492" t="str">
            <v>ZMFD</v>
          </cell>
          <cell r="C492">
            <v>45481</v>
          </cell>
          <cell r="D492" t="str">
            <v>Not delivered</v>
          </cell>
          <cell r="E492">
            <v>508005173</v>
          </cell>
          <cell r="F492">
            <v>20</v>
          </cell>
          <cell r="G492">
            <v>1226320</v>
          </cell>
          <cell r="H492" t="str">
            <v>LC-004:CAP WHT WIP WRDH EVERDAY PTI 60B</v>
          </cell>
          <cell r="I492">
            <v>100000</v>
          </cell>
          <cell r="J492" t="str">
            <v>UN</v>
          </cell>
          <cell r="K492">
            <v>45598</v>
          </cell>
        </row>
        <row r="493">
          <cell r="A493" t="str">
            <v>50714241770</v>
          </cell>
          <cell r="B493" t="str">
            <v>ZMTD</v>
          </cell>
          <cell r="C493">
            <v>45474</v>
          </cell>
          <cell r="D493" t="str">
            <v>Not delivered</v>
          </cell>
          <cell r="E493">
            <v>507142417</v>
          </cell>
          <cell r="F493">
            <v>70</v>
          </cell>
          <cell r="G493">
            <v>1405657</v>
          </cell>
          <cell r="H493" t="str">
            <v>CM-273:CV UV BS BRONZE P/PIXYSLKY RV130L</v>
          </cell>
          <cell r="I493">
            <v>10000</v>
          </cell>
          <cell r="J493" t="str">
            <v>UN</v>
          </cell>
          <cell r="K493">
            <v>45598</v>
          </cell>
        </row>
        <row r="494">
          <cell r="A494" t="str">
            <v>50714277410</v>
          </cell>
          <cell r="B494" t="str">
            <v>ZMTD</v>
          </cell>
          <cell r="C494">
            <v>45554</v>
          </cell>
          <cell r="D494" t="str">
            <v>Not delivered</v>
          </cell>
          <cell r="E494">
            <v>507142774</v>
          </cell>
          <cell r="F494">
            <v>10</v>
          </cell>
          <cell r="G494">
            <v>1378563</v>
          </cell>
          <cell r="H494" t="str">
            <v>CP-093:CAP D50 MT BLACK Ø.5 YASULOR 12A</v>
          </cell>
          <cell r="I494">
            <v>400000</v>
          </cell>
          <cell r="J494" t="str">
            <v>UN</v>
          </cell>
          <cell r="K494">
            <v>45600</v>
          </cell>
        </row>
        <row r="495">
          <cell r="A495" t="str">
            <v>50800525240</v>
          </cell>
          <cell r="B495" t="str">
            <v>ZMFD</v>
          </cell>
          <cell r="C495">
            <v>45512</v>
          </cell>
          <cell r="D495" t="str">
            <v>Not delivered</v>
          </cell>
          <cell r="E495">
            <v>508005252</v>
          </cell>
          <cell r="F495">
            <v>40</v>
          </cell>
          <cell r="G495">
            <v>1382368</v>
          </cell>
          <cell r="H495" t="str">
            <v>CP-067R:FT CAP35 SNAP BLK MATTE  Ø5 LRL</v>
          </cell>
          <cell r="I495">
            <v>300000</v>
          </cell>
          <cell r="J495" t="str">
            <v>UN</v>
          </cell>
          <cell r="K495">
            <v>45600</v>
          </cell>
        </row>
        <row r="496">
          <cell r="A496" t="str">
            <v>50714250510</v>
          </cell>
          <cell r="B496" t="str">
            <v>ZMTD</v>
          </cell>
          <cell r="C496">
            <v>45488</v>
          </cell>
          <cell r="D496" t="str">
            <v>Not delivered</v>
          </cell>
          <cell r="E496">
            <v>507142505</v>
          </cell>
          <cell r="F496">
            <v>10</v>
          </cell>
          <cell r="G496">
            <v>1419488</v>
          </cell>
          <cell r="H496" t="str">
            <v>CP-063R:SPOUT CAP WHITE LOREAL 12A</v>
          </cell>
          <cell r="I496">
            <v>1890000</v>
          </cell>
          <cell r="J496" t="str">
            <v>UN</v>
          </cell>
          <cell r="K496">
            <v>45600</v>
          </cell>
        </row>
        <row r="497">
          <cell r="A497" t="str">
            <v>50800517450</v>
          </cell>
          <cell r="B497" t="str">
            <v>ZMFD</v>
          </cell>
          <cell r="C497">
            <v>45481</v>
          </cell>
          <cell r="D497" t="str">
            <v>Not delivered</v>
          </cell>
          <cell r="E497">
            <v>508005174</v>
          </cell>
          <cell r="F497">
            <v>50</v>
          </cell>
          <cell r="G497">
            <v>1194012</v>
          </cell>
          <cell r="H497" t="str">
            <v>CP-090:ROSETNR VM RSPINK NO EMBOS PTI20F</v>
          </cell>
          <cell r="I497">
            <v>25000</v>
          </cell>
          <cell r="J497" t="str">
            <v>UN</v>
          </cell>
          <cell r="K497">
            <v>45600</v>
          </cell>
        </row>
        <row r="498">
          <cell r="A498" t="str">
            <v>50800497810</v>
          </cell>
          <cell r="B498" t="str">
            <v>ZMFD</v>
          </cell>
          <cell r="C498">
            <v>45401</v>
          </cell>
          <cell r="D498" t="str">
            <v>Not delivered</v>
          </cell>
          <cell r="E498">
            <v>508004978</v>
          </cell>
          <cell r="F498">
            <v>10</v>
          </cell>
          <cell r="G498">
            <v>1120086</v>
          </cell>
          <cell r="H498" t="str">
            <v>CM-290:ENGINE WHITE KF SKIN 12A</v>
          </cell>
          <cell r="I498">
            <v>10000</v>
          </cell>
          <cell r="J498" t="str">
            <v>UN</v>
          </cell>
          <cell r="K498">
            <v>45600</v>
          </cell>
        </row>
        <row r="499">
          <cell r="A499" t="str">
            <v>50800497820</v>
          </cell>
          <cell r="B499" t="str">
            <v>ZMFD</v>
          </cell>
          <cell r="C499">
            <v>45401</v>
          </cell>
          <cell r="D499" t="str">
            <v>Not delivered</v>
          </cell>
          <cell r="E499">
            <v>508004978</v>
          </cell>
          <cell r="F499">
            <v>20</v>
          </cell>
          <cell r="G499">
            <v>1120087</v>
          </cell>
          <cell r="H499" t="str">
            <v>CM-290:RING WHITE KF SKIN 12A</v>
          </cell>
          <cell r="I499">
            <v>10000</v>
          </cell>
          <cell r="J499" t="str">
            <v>UN</v>
          </cell>
          <cell r="K499">
            <v>45600</v>
          </cell>
        </row>
        <row r="500">
          <cell r="A500" t="str">
            <v>50800497830</v>
          </cell>
          <cell r="B500" t="str">
            <v>ZMFD</v>
          </cell>
          <cell r="C500">
            <v>45401</v>
          </cell>
          <cell r="D500" t="str">
            <v>Not delivered</v>
          </cell>
          <cell r="E500">
            <v>508004978</v>
          </cell>
          <cell r="F500">
            <v>30</v>
          </cell>
          <cell r="G500">
            <v>1187970</v>
          </cell>
          <cell r="H500" t="str">
            <v>CM-290:BS CVR WHT P/LGHT NAT  MDALA50B</v>
          </cell>
          <cell r="I500">
            <v>10000</v>
          </cell>
          <cell r="J500" t="str">
            <v>UN</v>
          </cell>
          <cell r="K500">
            <v>45600</v>
          </cell>
        </row>
        <row r="501">
          <cell r="A501" t="str">
            <v>50800497840</v>
          </cell>
          <cell r="B501" t="str">
            <v>ZMFD</v>
          </cell>
          <cell r="C501">
            <v>45401</v>
          </cell>
          <cell r="D501" t="str">
            <v>Not delivered</v>
          </cell>
          <cell r="E501">
            <v>508004978</v>
          </cell>
          <cell r="F501">
            <v>40</v>
          </cell>
          <cell r="G501">
            <v>1188807</v>
          </cell>
          <cell r="H501" t="str">
            <v>RUBICELL PUFF WITH RIBBON P/KFSKIN MDALA</v>
          </cell>
          <cell r="I501">
            <v>10000</v>
          </cell>
          <cell r="J501" t="str">
            <v>UN</v>
          </cell>
          <cell r="K501">
            <v>45600</v>
          </cell>
        </row>
        <row r="502">
          <cell r="A502" t="str">
            <v>50800497850</v>
          </cell>
          <cell r="B502" t="str">
            <v>ZMFD</v>
          </cell>
          <cell r="C502">
            <v>45401</v>
          </cell>
          <cell r="D502" t="str">
            <v>Not delivered</v>
          </cell>
          <cell r="E502">
            <v>508004978</v>
          </cell>
          <cell r="F502">
            <v>50</v>
          </cell>
          <cell r="G502">
            <v>1188806</v>
          </cell>
          <cell r="H502" t="str">
            <v>FILLER SPONGE DIA 50X11.5MM GNRL</v>
          </cell>
          <cell r="I502">
            <v>10000</v>
          </cell>
          <cell r="J502" t="str">
            <v>UN</v>
          </cell>
          <cell r="K502">
            <v>45600</v>
          </cell>
        </row>
        <row r="503">
          <cell r="A503" t="str">
            <v>50714284610</v>
          </cell>
          <cell r="B503" t="str">
            <v>ZMTD</v>
          </cell>
          <cell r="C503">
            <v>45567</v>
          </cell>
          <cell r="D503" t="str">
            <v>Not delivered</v>
          </cell>
          <cell r="E503">
            <v>507142846</v>
          </cell>
          <cell r="F503">
            <v>10</v>
          </cell>
          <cell r="G503">
            <v>1375595</v>
          </cell>
          <cell r="H503" t="str">
            <v>LC-009:BTL/INNER CLEAR P/OMG PTIPT 60B</v>
          </cell>
          <cell r="I503">
            <v>150570</v>
          </cell>
          <cell r="J503" t="str">
            <v>UN</v>
          </cell>
          <cell r="K503">
            <v>45601</v>
          </cell>
        </row>
        <row r="504">
          <cell r="A504" t="str">
            <v>50714284620</v>
          </cell>
          <cell r="B504" t="str">
            <v>ZMTD</v>
          </cell>
          <cell r="C504">
            <v>45567</v>
          </cell>
          <cell r="D504" t="str">
            <v>Not delivered</v>
          </cell>
          <cell r="E504">
            <v>507142846</v>
          </cell>
          <cell r="F504">
            <v>20</v>
          </cell>
          <cell r="G504">
            <v>1375593</v>
          </cell>
          <cell r="H504" t="str">
            <v>LC-009:CAP REDTRANS WIP S/OMG PTIPT 60B</v>
          </cell>
          <cell r="I504">
            <v>150570</v>
          </cell>
          <cell r="J504" t="str">
            <v>UN</v>
          </cell>
          <cell r="K504">
            <v>45601</v>
          </cell>
        </row>
        <row r="505">
          <cell r="A505" t="str">
            <v>50714284710</v>
          </cell>
          <cell r="B505" t="str">
            <v>ZMTD</v>
          </cell>
          <cell r="C505">
            <v>45567</v>
          </cell>
          <cell r="D505" t="str">
            <v>Not delivered</v>
          </cell>
          <cell r="E505">
            <v>507142847</v>
          </cell>
          <cell r="F505">
            <v>10</v>
          </cell>
          <cell r="G505">
            <v>1417990</v>
          </cell>
          <cell r="H505" t="str">
            <v>LC-009:BTL #2#3 INNER CLR P/OMG PTIPT60B</v>
          </cell>
          <cell r="I505">
            <v>350280</v>
          </cell>
          <cell r="J505" t="str">
            <v>UN</v>
          </cell>
          <cell r="K505">
            <v>45601</v>
          </cell>
        </row>
        <row r="506">
          <cell r="A506" t="str">
            <v>50714284720</v>
          </cell>
          <cell r="B506" t="str">
            <v>ZMTD</v>
          </cell>
          <cell r="C506">
            <v>45567</v>
          </cell>
          <cell r="D506" t="str">
            <v>Not delivered</v>
          </cell>
          <cell r="E506">
            <v>507142847</v>
          </cell>
          <cell r="F506">
            <v>20</v>
          </cell>
          <cell r="G506">
            <v>1417978</v>
          </cell>
          <cell r="H506" t="str">
            <v>LC-009:CAP #2#3 REDTR WIP S/OMG PTIPT60B</v>
          </cell>
          <cell r="I506">
            <v>350280</v>
          </cell>
          <cell r="J506" t="str">
            <v>UN</v>
          </cell>
          <cell r="K506">
            <v>45601</v>
          </cell>
        </row>
        <row r="507">
          <cell r="A507" t="str">
            <v>50800529110</v>
          </cell>
          <cell r="B507" t="str">
            <v>ZMFD</v>
          </cell>
          <cell r="C507">
            <v>45559</v>
          </cell>
          <cell r="D507" t="str">
            <v>Not delivered</v>
          </cell>
          <cell r="E507">
            <v>508005291</v>
          </cell>
          <cell r="F507">
            <v>10</v>
          </cell>
          <cell r="G507">
            <v>1169703</v>
          </cell>
          <cell r="H507" t="str">
            <v>CP-064:CAP 25 SCREW WHITE MT TR L'OREAL</v>
          </cell>
          <cell r="I507">
            <v>200000</v>
          </cell>
          <cell r="J507" t="str">
            <v>UN</v>
          </cell>
          <cell r="K507">
            <v>45601</v>
          </cell>
        </row>
        <row r="508">
          <cell r="A508" t="str">
            <v>50714273040</v>
          </cell>
          <cell r="B508" t="str">
            <v>ZMTD</v>
          </cell>
          <cell r="C508">
            <v>45541</v>
          </cell>
          <cell r="D508" t="str">
            <v>Not delivered</v>
          </cell>
          <cell r="E508">
            <v>507142730</v>
          </cell>
          <cell r="F508">
            <v>40</v>
          </cell>
          <cell r="G508">
            <v>1371896</v>
          </cell>
          <cell r="H508" t="str">
            <v>RX-056:CM-316 CVR BLUE P/WHT SP/MTCLR</v>
          </cell>
          <cell r="I508">
            <v>69952</v>
          </cell>
          <cell r="J508" t="str">
            <v>UN</v>
          </cell>
          <cell r="K508">
            <v>45601</v>
          </cell>
        </row>
        <row r="509">
          <cell r="A509" t="str">
            <v>50800525830</v>
          </cell>
          <cell r="B509" t="str">
            <v>ZMFD</v>
          </cell>
          <cell r="C509">
            <v>45523</v>
          </cell>
          <cell r="D509" t="str">
            <v>Not delivered</v>
          </cell>
          <cell r="E509">
            <v>508005258</v>
          </cell>
          <cell r="F509">
            <v>30</v>
          </cell>
          <cell r="G509">
            <v>1168132</v>
          </cell>
          <cell r="H509" t="str">
            <v>LS-285:BS WHT NO DC WARDAH</v>
          </cell>
          <cell r="I509">
            <v>75000</v>
          </cell>
          <cell r="J509" t="str">
            <v>UN</v>
          </cell>
          <cell r="K509">
            <v>45601</v>
          </cell>
        </row>
        <row r="510">
          <cell r="A510" t="str">
            <v>50800525840</v>
          </cell>
          <cell r="B510" t="str">
            <v>ZMFD</v>
          </cell>
          <cell r="C510">
            <v>45523</v>
          </cell>
          <cell r="D510" t="str">
            <v>Not delivered</v>
          </cell>
          <cell r="E510">
            <v>508005258</v>
          </cell>
          <cell r="F510">
            <v>40</v>
          </cell>
          <cell r="G510">
            <v>1421418</v>
          </cell>
          <cell r="H510" t="str">
            <v>LS-285:CV RED P/WHT UV STRAWBERY PTI 30O</v>
          </cell>
          <cell r="I510">
            <v>75000</v>
          </cell>
          <cell r="J510" t="str">
            <v>UN</v>
          </cell>
          <cell r="K510">
            <v>45601</v>
          </cell>
        </row>
        <row r="511">
          <cell r="A511" t="str">
            <v>50800524610</v>
          </cell>
          <cell r="B511" t="str">
            <v>ZMFD</v>
          </cell>
          <cell r="C511">
            <v>45510</v>
          </cell>
          <cell r="D511" t="str">
            <v>Not delivered</v>
          </cell>
          <cell r="E511">
            <v>508005246</v>
          </cell>
          <cell r="F511">
            <v>10</v>
          </cell>
          <cell r="G511">
            <v>1408740</v>
          </cell>
          <cell r="H511" t="str">
            <v>PT-097B:BDSR.2 BLU HOUS WHT TRNS PTI12A</v>
          </cell>
          <cell r="I511">
            <v>440000</v>
          </cell>
          <cell r="J511" t="str">
            <v>UN</v>
          </cell>
          <cell r="K511">
            <v>45601</v>
          </cell>
        </row>
        <row r="512">
          <cell r="A512" t="str">
            <v>50800524630</v>
          </cell>
          <cell r="B512" t="str">
            <v>ZMFD</v>
          </cell>
          <cell r="C512">
            <v>45510</v>
          </cell>
          <cell r="D512" t="str">
            <v>Not delivered</v>
          </cell>
          <cell r="E512">
            <v>508005246</v>
          </cell>
          <cell r="F512">
            <v>30</v>
          </cell>
          <cell r="G512">
            <v>1408739</v>
          </cell>
          <cell r="H512" t="str">
            <v>PT-097B:CAP SR.2 BLUE TRANS PTI 12A</v>
          </cell>
          <cell r="I512">
            <v>440000</v>
          </cell>
          <cell r="J512" t="str">
            <v>UN</v>
          </cell>
          <cell r="K512">
            <v>45601</v>
          </cell>
        </row>
        <row r="513">
          <cell r="A513" t="str">
            <v>50800524710</v>
          </cell>
          <cell r="B513" t="str">
            <v>ZMFD</v>
          </cell>
          <cell r="C513">
            <v>45510</v>
          </cell>
          <cell r="D513" t="str">
            <v>Not delivered</v>
          </cell>
          <cell r="E513">
            <v>508005247</v>
          </cell>
          <cell r="F513">
            <v>10</v>
          </cell>
          <cell r="G513">
            <v>1361170</v>
          </cell>
          <cell r="H513" t="str">
            <v>PT-097:BODY BLACK HOUSE WHT TRANS PTI12A</v>
          </cell>
          <cell r="I513">
            <v>70000</v>
          </cell>
          <cell r="J513" t="str">
            <v>UN</v>
          </cell>
          <cell r="K513">
            <v>45601</v>
          </cell>
        </row>
        <row r="514">
          <cell r="A514" t="str">
            <v>50800524730</v>
          </cell>
          <cell r="B514" t="str">
            <v>ZMFD</v>
          </cell>
          <cell r="C514">
            <v>45510</v>
          </cell>
          <cell r="D514" t="str">
            <v>Not delivered</v>
          </cell>
          <cell r="E514">
            <v>508005247</v>
          </cell>
          <cell r="F514">
            <v>30</v>
          </cell>
          <cell r="G514">
            <v>1361175</v>
          </cell>
          <cell r="H514" t="str">
            <v>PT-097:CAP BLACK TRANS PTI 12A</v>
          </cell>
          <cell r="I514">
            <v>70000</v>
          </cell>
          <cell r="J514" t="str">
            <v>UN</v>
          </cell>
          <cell r="K514">
            <v>45601</v>
          </cell>
        </row>
        <row r="515">
          <cell r="A515" t="str">
            <v>50800524820</v>
          </cell>
          <cell r="B515" t="str">
            <v>ZMFD</v>
          </cell>
          <cell r="C515">
            <v>45510</v>
          </cell>
          <cell r="D515" t="str">
            <v>Not delivered</v>
          </cell>
          <cell r="E515">
            <v>508005248</v>
          </cell>
          <cell r="F515">
            <v>20</v>
          </cell>
          <cell r="G515">
            <v>1367372</v>
          </cell>
          <cell r="H515" t="str">
            <v>PT-097:BODY GREN HOUSE WHT TRANS PTI 12A</v>
          </cell>
          <cell r="I515">
            <v>160000</v>
          </cell>
          <cell r="J515" t="str">
            <v>UN</v>
          </cell>
          <cell r="K515">
            <v>45601</v>
          </cell>
        </row>
        <row r="516">
          <cell r="A516" t="str">
            <v>50800524850</v>
          </cell>
          <cell r="B516" t="str">
            <v>ZMFD</v>
          </cell>
          <cell r="C516">
            <v>45510</v>
          </cell>
          <cell r="D516" t="str">
            <v>Not delivered</v>
          </cell>
          <cell r="E516">
            <v>508005248</v>
          </cell>
          <cell r="F516">
            <v>50</v>
          </cell>
          <cell r="G516">
            <v>1367370</v>
          </cell>
          <cell r="H516" t="str">
            <v>PT-097:CAP GREN TRANS PTI 12A</v>
          </cell>
          <cell r="I516">
            <v>160000</v>
          </cell>
          <cell r="J516" t="str">
            <v>UN</v>
          </cell>
          <cell r="K516">
            <v>45601</v>
          </cell>
        </row>
        <row r="517">
          <cell r="A517" t="str">
            <v>50800524910</v>
          </cell>
          <cell r="B517" t="str">
            <v>ZMFD</v>
          </cell>
          <cell r="C517">
            <v>45510</v>
          </cell>
          <cell r="D517" t="str">
            <v>Not delivered</v>
          </cell>
          <cell r="E517">
            <v>508005249</v>
          </cell>
          <cell r="F517">
            <v>10</v>
          </cell>
          <cell r="G517">
            <v>1336783</v>
          </cell>
          <cell r="H517" t="str">
            <v>LC-003:BTL CLR CLVM P/S/INSTSUEDE PTI20Y</v>
          </cell>
          <cell r="I517">
            <v>25000</v>
          </cell>
          <cell r="J517" t="str">
            <v>UN</v>
          </cell>
          <cell r="K517">
            <v>45601</v>
          </cell>
        </row>
        <row r="518">
          <cell r="A518" t="str">
            <v>50800524920</v>
          </cell>
          <cell r="B518" t="str">
            <v>ZMFD</v>
          </cell>
          <cell r="C518">
            <v>45510</v>
          </cell>
          <cell r="D518" t="str">
            <v>Not delivered</v>
          </cell>
          <cell r="E518">
            <v>508005249</v>
          </cell>
          <cell r="F518">
            <v>20</v>
          </cell>
          <cell r="G518">
            <v>1378266</v>
          </cell>
          <cell r="H518" t="str">
            <v>LC-003:CAP VM RS PINK INSTASUEDE PTI 20F</v>
          </cell>
          <cell r="I518">
            <v>25000</v>
          </cell>
          <cell r="J518" t="str">
            <v>UN</v>
          </cell>
          <cell r="K518">
            <v>45601</v>
          </cell>
        </row>
        <row r="519">
          <cell r="A519" t="str">
            <v>50800523610</v>
          </cell>
          <cell r="B519" t="str">
            <v>ZMFD</v>
          </cell>
          <cell r="C519">
            <v>45505</v>
          </cell>
          <cell r="D519" t="str">
            <v>Not delivered</v>
          </cell>
          <cell r="E519">
            <v>508005236</v>
          </cell>
          <cell r="F519">
            <v>10</v>
          </cell>
          <cell r="G519">
            <v>1291869</v>
          </cell>
          <cell r="H519" t="str">
            <v>LC-004:BTL COL GRAD P/MOUSSE NEW MLA40H</v>
          </cell>
          <cell r="I519">
            <v>50000</v>
          </cell>
          <cell r="J519" t="str">
            <v>UN</v>
          </cell>
          <cell r="K519">
            <v>45601</v>
          </cell>
        </row>
        <row r="520">
          <cell r="A520" t="str">
            <v>50800523620</v>
          </cell>
          <cell r="B520" t="str">
            <v>ZMFD</v>
          </cell>
          <cell r="C520">
            <v>45505</v>
          </cell>
          <cell r="D520" t="str">
            <v>Not delivered</v>
          </cell>
          <cell r="E520">
            <v>508005236</v>
          </cell>
          <cell r="F520">
            <v>20</v>
          </cell>
          <cell r="G520">
            <v>1291930</v>
          </cell>
          <cell r="H520" t="str">
            <v>LC-004:CAP MTPINK WIPNAT MOUS NEW MLA40D</v>
          </cell>
          <cell r="I520">
            <v>50000</v>
          </cell>
          <cell r="J520" t="str">
            <v>UN</v>
          </cell>
          <cell r="K520">
            <v>45601</v>
          </cell>
        </row>
        <row r="521">
          <cell r="A521" t="str">
            <v>50714250710</v>
          </cell>
          <cell r="B521" t="str">
            <v>ZMTD</v>
          </cell>
          <cell r="C521">
            <v>45488</v>
          </cell>
          <cell r="D521" t="str">
            <v>Not delivered</v>
          </cell>
          <cell r="E521">
            <v>507142507</v>
          </cell>
          <cell r="F521">
            <v>10</v>
          </cell>
          <cell r="G521">
            <v>1419488</v>
          </cell>
          <cell r="H521" t="str">
            <v>CP-063R:SPOUT CAP WHITE LOREAL 12A</v>
          </cell>
          <cell r="I521">
            <v>1890000</v>
          </cell>
          <cell r="J521" t="str">
            <v>UN</v>
          </cell>
          <cell r="K521">
            <v>45601</v>
          </cell>
        </row>
        <row r="522">
          <cell r="A522" t="str">
            <v>50800516110</v>
          </cell>
          <cell r="B522" t="str">
            <v>ZMFD</v>
          </cell>
          <cell r="C522">
            <v>45475</v>
          </cell>
          <cell r="D522" t="str">
            <v>Not delivered</v>
          </cell>
          <cell r="E522">
            <v>508005161</v>
          </cell>
          <cell r="F522">
            <v>10</v>
          </cell>
          <cell r="G522">
            <v>1386990</v>
          </cell>
          <cell r="H522" t="str">
            <v>CM-099:CVR BS MTBEIGE P/QUAD RV1 PTI 40H</v>
          </cell>
          <cell r="I522">
            <v>10000</v>
          </cell>
          <cell r="J522" t="str">
            <v>UN</v>
          </cell>
          <cell r="K522">
            <v>45601</v>
          </cell>
        </row>
        <row r="523">
          <cell r="A523" t="str">
            <v>50800515430</v>
          </cell>
          <cell r="B523" t="str">
            <v>ZMFD</v>
          </cell>
          <cell r="C523">
            <v>45470</v>
          </cell>
          <cell r="D523" t="str">
            <v>Not delivered</v>
          </cell>
          <cell r="E523">
            <v>508005154</v>
          </cell>
          <cell r="F523">
            <v>30</v>
          </cell>
          <cell r="G523">
            <v>1388326</v>
          </cell>
          <cell r="H523" t="str">
            <v>CM-253:CV BS MTPEACH P/C.BLSH RV1 PTI40H</v>
          </cell>
          <cell r="I523">
            <v>15000</v>
          </cell>
          <cell r="J523" t="str">
            <v>UN</v>
          </cell>
          <cell r="K523">
            <v>45601</v>
          </cell>
        </row>
        <row r="524">
          <cell r="A524" t="str">
            <v>50800515560</v>
          </cell>
          <cell r="B524" t="str">
            <v>ZMFD</v>
          </cell>
          <cell r="C524">
            <v>45470</v>
          </cell>
          <cell r="D524" t="str">
            <v>Not delivered</v>
          </cell>
          <cell r="E524">
            <v>508005155</v>
          </cell>
          <cell r="F524">
            <v>60</v>
          </cell>
          <cell r="G524">
            <v>1304094</v>
          </cell>
          <cell r="H524" t="str">
            <v>CM-253:CV CLR BS M.PINK P/EMINA C.LIT40H</v>
          </cell>
          <cell r="I524">
            <v>25000</v>
          </cell>
          <cell r="J524" t="str">
            <v>UN</v>
          </cell>
          <cell r="K524">
            <v>45601</v>
          </cell>
        </row>
        <row r="525">
          <cell r="A525" t="str">
            <v>50800514510</v>
          </cell>
          <cell r="B525" t="str">
            <v>ZMFD</v>
          </cell>
          <cell r="C525">
            <v>45464</v>
          </cell>
          <cell r="D525" t="str">
            <v>Not delivered</v>
          </cell>
          <cell r="E525">
            <v>508005145</v>
          </cell>
          <cell r="F525">
            <v>10</v>
          </cell>
          <cell r="G525">
            <v>1288811</v>
          </cell>
          <cell r="H525" t="str">
            <v>CP-065:FT 50 SNAP SLV GLOSSY ELSEVE</v>
          </cell>
          <cell r="I525">
            <v>109600</v>
          </cell>
          <cell r="J525" t="str">
            <v>UN</v>
          </cell>
          <cell r="K525">
            <v>45601</v>
          </cell>
        </row>
        <row r="526">
          <cell r="A526" t="str">
            <v>50800513020</v>
          </cell>
          <cell r="B526" t="str">
            <v>ZMFD</v>
          </cell>
          <cell r="C526">
            <v>45455</v>
          </cell>
          <cell r="D526" t="str">
            <v>Not delivered</v>
          </cell>
          <cell r="E526">
            <v>508005130</v>
          </cell>
          <cell r="F526">
            <v>20</v>
          </cell>
          <cell r="G526">
            <v>1386990</v>
          </cell>
          <cell r="H526" t="str">
            <v>CM-099:CVR BS MTBEIGE P/QUAD RV1 PTI 40H</v>
          </cell>
          <cell r="I526">
            <v>10000</v>
          </cell>
          <cell r="J526" t="str">
            <v>UN</v>
          </cell>
          <cell r="K526">
            <v>45601</v>
          </cell>
        </row>
        <row r="527">
          <cell r="A527" t="str">
            <v>50714230310</v>
          </cell>
          <cell r="B527" t="str">
            <v>ZMTD</v>
          </cell>
          <cell r="C527">
            <v>45449</v>
          </cell>
          <cell r="D527" t="str">
            <v>Not delivered</v>
          </cell>
          <cell r="E527">
            <v>507142303</v>
          </cell>
          <cell r="F527">
            <v>10</v>
          </cell>
          <cell r="G527">
            <v>1389493</v>
          </cell>
          <cell r="H527" t="str">
            <v>CM-295:GODET HAPPIEST HOUR G860-01-0091</v>
          </cell>
          <cell r="I527">
            <v>10472</v>
          </cell>
          <cell r="J527" t="str">
            <v>UN</v>
          </cell>
          <cell r="K527">
            <v>45601</v>
          </cell>
        </row>
        <row r="528">
          <cell r="A528" t="str">
            <v>50714230410</v>
          </cell>
          <cell r="B528" t="str">
            <v>ZMTD</v>
          </cell>
          <cell r="C528">
            <v>45449</v>
          </cell>
          <cell r="D528" t="str">
            <v>Not delivered</v>
          </cell>
          <cell r="E528">
            <v>507142304</v>
          </cell>
          <cell r="F528">
            <v>10</v>
          </cell>
          <cell r="G528">
            <v>1389490</v>
          </cell>
          <cell r="H528" t="str">
            <v>CM-295:GODET POOLSIDE G861-01-0091</v>
          </cell>
          <cell r="I528">
            <v>10472</v>
          </cell>
          <cell r="J528" t="str">
            <v>UN</v>
          </cell>
          <cell r="K528">
            <v>45601</v>
          </cell>
        </row>
        <row r="529">
          <cell r="A529" t="str">
            <v>50714230510</v>
          </cell>
          <cell r="B529" t="str">
            <v>ZMTD</v>
          </cell>
          <cell r="C529">
            <v>45449</v>
          </cell>
          <cell r="D529" t="str">
            <v>Not delivered</v>
          </cell>
          <cell r="E529">
            <v>507142305</v>
          </cell>
          <cell r="F529">
            <v>10</v>
          </cell>
          <cell r="G529">
            <v>1389305</v>
          </cell>
          <cell r="H529" t="str">
            <v>CM-295:GODET GETAWAY G87E-XX-0091</v>
          </cell>
          <cell r="I529">
            <v>10472</v>
          </cell>
          <cell r="J529" t="str">
            <v>UN</v>
          </cell>
          <cell r="K529">
            <v>45601</v>
          </cell>
        </row>
        <row r="530">
          <cell r="A530" t="str">
            <v>50800496630</v>
          </cell>
          <cell r="B530" t="str">
            <v>ZMFD</v>
          </cell>
          <cell r="C530">
            <v>45385</v>
          </cell>
          <cell r="D530" t="str">
            <v>Not delivered</v>
          </cell>
          <cell r="E530">
            <v>508004966</v>
          </cell>
          <cell r="F530">
            <v>30</v>
          </cell>
          <cell r="G530">
            <v>1388326</v>
          </cell>
          <cell r="H530" t="str">
            <v>CM-253:CV BS MTPEACH P/C.BLSH RV1 PTI40H</v>
          </cell>
          <cell r="I530">
            <v>15000</v>
          </cell>
          <cell r="J530" t="str">
            <v>UN</v>
          </cell>
          <cell r="K530">
            <v>45601</v>
          </cell>
        </row>
        <row r="531">
          <cell r="A531" t="str">
            <v>50714284310</v>
          </cell>
          <cell r="B531" t="str">
            <v>ZMTD</v>
          </cell>
          <cell r="C531">
            <v>45566</v>
          </cell>
          <cell r="D531" t="str">
            <v>Not delivered</v>
          </cell>
          <cell r="E531">
            <v>507142843</v>
          </cell>
          <cell r="F531">
            <v>10</v>
          </cell>
          <cell r="G531">
            <v>1169152</v>
          </cell>
          <cell r="H531" t="str">
            <v>CM-295:SQUARE COMPACT&amp;GODET PHHT010032</v>
          </cell>
          <cell r="I531">
            <v>20040</v>
          </cell>
          <cell r="J531" t="str">
            <v>UN</v>
          </cell>
          <cell r="K531">
            <v>45602</v>
          </cell>
        </row>
        <row r="532">
          <cell r="A532" t="str">
            <v>50714283220</v>
          </cell>
          <cell r="B532" t="str">
            <v>ZMTD</v>
          </cell>
          <cell r="C532">
            <v>45561</v>
          </cell>
          <cell r="D532" t="str">
            <v>Not delivered</v>
          </cell>
          <cell r="E532">
            <v>507142832</v>
          </cell>
          <cell r="F532">
            <v>20</v>
          </cell>
          <cell r="G532">
            <v>1409881</v>
          </cell>
          <cell r="H532" t="str">
            <v>CM-315:CVR/BS BLACK P/CVRLAST OMG RV160B</v>
          </cell>
          <cell r="I532">
            <v>49896</v>
          </cell>
          <cell r="J532" t="str">
            <v>UN</v>
          </cell>
          <cell r="K532">
            <v>45602</v>
          </cell>
        </row>
        <row r="533">
          <cell r="A533" t="str">
            <v>50800525130</v>
          </cell>
          <cell r="B533" t="str">
            <v>ZMFD</v>
          </cell>
          <cell r="C533">
            <v>45511</v>
          </cell>
          <cell r="D533" t="str">
            <v>Not delivered</v>
          </cell>
          <cell r="E533">
            <v>508005251</v>
          </cell>
          <cell r="F533">
            <v>30</v>
          </cell>
          <cell r="G533">
            <v>1168132</v>
          </cell>
          <cell r="H533" t="str">
            <v>LS-285:BS WHT NO DC WARDAH</v>
          </cell>
          <cell r="I533">
            <v>100000</v>
          </cell>
          <cell r="J533" t="str">
            <v>UN</v>
          </cell>
          <cell r="K533">
            <v>45602</v>
          </cell>
        </row>
        <row r="534">
          <cell r="A534" t="str">
            <v>50800525140</v>
          </cell>
          <cell r="B534" t="str">
            <v>ZMFD</v>
          </cell>
          <cell r="C534">
            <v>45511</v>
          </cell>
          <cell r="D534" t="str">
            <v>Not delivered</v>
          </cell>
          <cell r="E534">
            <v>508005251</v>
          </cell>
          <cell r="F534">
            <v>40</v>
          </cell>
          <cell r="G534">
            <v>1421510</v>
          </cell>
          <cell r="H534" t="str">
            <v>LS-285:CV PINK P/WHT UV P.BLOSOM PTI 30O</v>
          </cell>
          <cell r="I534">
            <v>100000</v>
          </cell>
          <cell r="J534" t="str">
            <v>UN</v>
          </cell>
          <cell r="K534">
            <v>45602</v>
          </cell>
        </row>
        <row r="535">
          <cell r="A535" t="str">
            <v>50714261210</v>
          </cell>
          <cell r="B535" t="str">
            <v>ZMTD</v>
          </cell>
          <cell r="C535">
            <v>45510</v>
          </cell>
          <cell r="D535" t="str">
            <v>Not delivered</v>
          </cell>
          <cell r="E535">
            <v>507142612</v>
          </cell>
          <cell r="F535">
            <v>10</v>
          </cell>
          <cell r="G535">
            <v>1436641</v>
          </cell>
          <cell r="H535" t="str">
            <v>CM-310:BLUE UV S/SILVER DIOR PEPSPE+IXPE</v>
          </cell>
          <cell r="I535">
            <v>64800</v>
          </cell>
          <cell r="J535" t="str">
            <v>UN</v>
          </cell>
          <cell r="K535">
            <v>45602</v>
          </cell>
        </row>
        <row r="536">
          <cell r="A536" t="str">
            <v>50800517440</v>
          </cell>
          <cell r="B536" t="str">
            <v>ZMFD</v>
          </cell>
          <cell r="C536">
            <v>45481</v>
          </cell>
          <cell r="D536" t="str">
            <v>Not delivered</v>
          </cell>
          <cell r="E536">
            <v>508005174</v>
          </cell>
          <cell r="F536">
            <v>40</v>
          </cell>
          <cell r="G536">
            <v>1206787</v>
          </cell>
          <cell r="H536" t="str">
            <v>CP-090:CAP TONER VM SLV NO EMBOS PTI20F</v>
          </cell>
          <cell r="I536">
            <v>20000</v>
          </cell>
          <cell r="J536" t="str">
            <v>UN</v>
          </cell>
          <cell r="K536">
            <v>45602</v>
          </cell>
        </row>
        <row r="537">
          <cell r="A537" t="str">
            <v>50714243610</v>
          </cell>
          <cell r="B537" t="str">
            <v>ZMTD</v>
          </cell>
          <cell r="C537">
            <v>45475</v>
          </cell>
          <cell r="D537" t="str">
            <v>Not delivered</v>
          </cell>
          <cell r="E537">
            <v>507142436</v>
          </cell>
          <cell r="F537">
            <v>10</v>
          </cell>
          <cell r="G537">
            <v>1159364</v>
          </cell>
          <cell r="H537" t="str">
            <v>CP-071:PL8364 INSERT TNR 125-200ML REX</v>
          </cell>
          <cell r="I537">
            <v>111000</v>
          </cell>
          <cell r="J537" t="str">
            <v>UN</v>
          </cell>
          <cell r="K537">
            <v>45602</v>
          </cell>
        </row>
        <row r="538">
          <cell r="A538" t="str">
            <v>50800515920</v>
          </cell>
          <cell r="B538" t="str">
            <v>ZMFD</v>
          </cell>
          <cell r="C538">
            <v>45475</v>
          </cell>
          <cell r="D538" t="str">
            <v>Not delivered</v>
          </cell>
          <cell r="E538">
            <v>508005159</v>
          </cell>
          <cell r="F538">
            <v>20</v>
          </cell>
          <cell r="G538">
            <v>1285116</v>
          </cell>
          <cell r="H538" t="str">
            <v>CM-292:CV/BS MTBLK LENS S/SLV MO PTI 40C</v>
          </cell>
          <cell r="I538">
            <v>50000</v>
          </cell>
          <cell r="J538" t="str">
            <v>UN</v>
          </cell>
          <cell r="K538">
            <v>45602</v>
          </cell>
        </row>
        <row r="539">
          <cell r="A539" t="str">
            <v>50800515410</v>
          </cell>
          <cell r="B539" t="str">
            <v>ZMFD</v>
          </cell>
          <cell r="C539">
            <v>45470</v>
          </cell>
          <cell r="D539" t="str">
            <v>Not delivered</v>
          </cell>
          <cell r="E539">
            <v>508005154</v>
          </cell>
          <cell r="F539">
            <v>10</v>
          </cell>
          <cell r="G539">
            <v>1388034</v>
          </cell>
          <cell r="H539" t="str">
            <v>CM-253:CV BS MTCORL P/C.BLSH RV1 PTI40H</v>
          </cell>
          <cell r="I539">
            <v>30000</v>
          </cell>
          <cell r="J539" t="str">
            <v>UN</v>
          </cell>
          <cell r="K539">
            <v>45602</v>
          </cell>
        </row>
        <row r="540">
          <cell r="A540" t="str">
            <v>50800515510</v>
          </cell>
          <cell r="B540" t="str">
            <v>ZMFD</v>
          </cell>
          <cell r="C540">
            <v>45470</v>
          </cell>
          <cell r="D540" t="str">
            <v>Not delivered</v>
          </cell>
          <cell r="E540">
            <v>508005155</v>
          </cell>
          <cell r="F540">
            <v>10</v>
          </cell>
          <cell r="G540">
            <v>1388036</v>
          </cell>
          <cell r="H540" t="str">
            <v>CM-253:CV BS MTMAUVE P/C.BLSH RV1 PTI40H</v>
          </cell>
          <cell r="I540">
            <v>30000</v>
          </cell>
          <cell r="J540" t="str">
            <v>UN</v>
          </cell>
          <cell r="K540">
            <v>45602</v>
          </cell>
        </row>
        <row r="541">
          <cell r="A541" t="str">
            <v>50800514820</v>
          </cell>
          <cell r="B541" t="str">
            <v>ZMFD</v>
          </cell>
          <cell r="C541">
            <v>45464</v>
          </cell>
          <cell r="D541" t="str">
            <v>Not delivered</v>
          </cell>
          <cell r="E541">
            <v>508005148</v>
          </cell>
          <cell r="F541">
            <v>20</v>
          </cell>
          <cell r="G541">
            <v>1424980</v>
          </cell>
          <cell r="H541" t="str">
            <v>CP-093R:CAP D50 MT.YELOW Ø.5 YASULOR 12A</v>
          </cell>
          <cell r="I541">
            <v>80000</v>
          </cell>
          <cell r="J541" t="str">
            <v>UN</v>
          </cell>
          <cell r="K541">
            <v>45602</v>
          </cell>
        </row>
        <row r="542">
          <cell r="A542" t="str">
            <v>50800514130</v>
          </cell>
          <cell r="B542" t="str">
            <v>ZMFD</v>
          </cell>
          <cell r="C542">
            <v>45463</v>
          </cell>
          <cell r="D542" t="str">
            <v>Not delivered</v>
          </cell>
          <cell r="E542">
            <v>508005141</v>
          </cell>
          <cell r="F542">
            <v>30</v>
          </cell>
          <cell r="G542">
            <v>1340516</v>
          </cell>
          <cell r="H542" t="str">
            <v>CM-133:CVR BS MTLC GRN UV DP S/WARDH 30T</v>
          </cell>
          <cell r="I542">
            <v>30240</v>
          </cell>
          <cell r="J542" t="str">
            <v>UN</v>
          </cell>
          <cell r="K542">
            <v>45602</v>
          </cell>
        </row>
        <row r="543">
          <cell r="A543" t="str">
            <v>50714274110</v>
          </cell>
          <cell r="B543" t="str">
            <v>ZMTD</v>
          </cell>
          <cell r="C543">
            <v>45544</v>
          </cell>
          <cell r="D543" t="str">
            <v>Not delivered</v>
          </cell>
          <cell r="E543">
            <v>507142741</v>
          </cell>
          <cell r="F543">
            <v>10</v>
          </cell>
          <cell r="G543">
            <v>1323605</v>
          </cell>
          <cell r="H543" t="str">
            <v>CM-040:MT BLK S/LTPROBRNZE 8HL RMBKA 40I</v>
          </cell>
          <cell r="I543">
            <v>5000</v>
          </cell>
          <cell r="J543" t="str">
            <v>UN</v>
          </cell>
          <cell r="K543">
            <v>45603</v>
          </cell>
        </row>
        <row r="544">
          <cell r="A544" t="str">
            <v>50714266510</v>
          </cell>
          <cell r="B544" t="str">
            <v>ZMTD</v>
          </cell>
          <cell r="C544">
            <v>45525</v>
          </cell>
          <cell r="D544" t="str">
            <v>Not delivered</v>
          </cell>
          <cell r="E544">
            <v>507142665</v>
          </cell>
          <cell r="F544">
            <v>10</v>
          </cell>
          <cell r="G544">
            <v>1218707</v>
          </cell>
          <cell r="H544" t="str">
            <v>LS-086:BS L.BEIGE NODC N.CUP MAYB BULK</v>
          </cell>
          <cell r="I544">
            <v>30000</v>
          </cell>
          <cell r="J544" t="str">
            <v>UN</v>
          </cell>
          <cell r="K544">
            <v>45603</v>
          </cell>
        </row>
        <row r="545">
          <cell r="A545" t="str">
            <v>50714266610</v>
          </cell>
          <cell r="B545" t="str">
            <v>ZMTD</v>
          </cell>
          <cell r="C545">
            <v>45525</v>
          </cell>
          <cell r="D545" t="str">
            <v>Not delivered</v>
          </cell>
          <cell r="E545">
            <v>507142666</v>
          </cell>
          <cell r="F545">
            <v>10</v>
          </cell>
          <cell r="G545">
            <v>1218709</v>
          </cell>
          <cell r="H545" t="str">
            <v>LS-086:CVR CLR CVRSTICK DC4 N.MOLD MAYB</v>
          </cell>
          <cell r="I545">
            <v>69120</v>
          </cell>
          <cell r="J545" t="str">
            <v>UN</v>
          </cell>
          <cell r="K545">
            <v>45603</v>
          </cell>
        </row>
        <row r="546">
          <cell r="A546" t="str">
            <v>50714266810</v>
          </cell>
          <cell r="B546" t="str">
            <v>ZMTD</v>
          </cell>
          <cell r="C546">
            <v>45525</v>
          </cell>
          <cell r="D546" t="str">
            <v>Not delivered</v>
          </cell>
          <cell r="E546">
            <v>507142668</v>
          </cell>
          <cell r="F546">
            <v>10</v>
          </cell>
          <cell r="G546">
            <v>1256831</v>
          </cell>
          <cell r="H546" t="str">
            <v>LS-086:BS M.BEIGE NODC N.CUP MAYB BULK</v>
          </cell>
          <cell r="I546">
            <v>30000</v>
          </cell>
          <cell r="J546" t="str">
            <v>UN</v>
          </cell>
          <cell r="K546">
            <v>45603</v>
          </cell>
        </row>
        <row r="547">
          <cell r="A547" t="str">
            <v>50714254420</v>
          </cell>
          <cell r="B547" t="str">
            <v>ZMTD</v>
          </cell>
          <cell r="C547">
            <v>45491</v>
          </cell>
          <cell r="D547" t="str">
            <v>Not delivered</v>
          </cell>
          <cell r="E547">
            <v>507142544</v>
          </cell>
          <cell r="F547">
            <v>20</v>
          </cell>
          <cell r="G547">
            <v>1319857</v>
          </cell>
          <cell r="H547" t="str">
            <v>CM-296:WHT P/L.AGELES W/O HOLE COTY EPS</v>
          </cell>
          <cell r="I547">
            <v>72000</v>
          </cell>
          <cell r="J547" t="str">
            <v>UN</v>
          </cell>
          <cell r="K547">
            <v>45603</v>
          </cell>
        </row>
        <row r="548">
          <cell r="A548" t="str">
            <v>50714251110</v>
          </cell>
          <cell r="B548" t="str">
            <v>ZMTD</v>
          </cell>
          <cell r="C548">
            <v>45488</v>
          </cell>
          <cell r="D548" t="str">
            <v>Not delivered</v>
          </cell>
          <cell r="E548">
            <v>507142511</v>
          </cell>
          <cell r="F548">
            <v>10</v>
          </cell>
          <cell r="G548">
            <v>1419488</v>
          </cell>
          <cell r="H548" t="str">
            <v>CP-063R:SPOUT CAP WHITE LOREAL 12A</v>
          </cell>
          <cell r="I548">
            <v>1890000</v>
          </cell>
          <cell r="J548" t="str">
            <v>UN</v>
          </cell>
          <cell r="K548">
            <v>45603</v>
          </cell>
        </row>
        <row r="549">
          <cell r="A549" t="str">
            <v>50800518120</v>
          </cell>
          <cell r="B549" t="str">
            <v>ZMFD</v>
          </cell>
          <cell r="C549">
            <v>45485</v>
          </cell>
          <cell r="D549" t="str">
            <v>Not delivered</v>
          </cell>
          <cell r="E549">
            <v>508005181</v>
          </cell>
          <cell r="F549">
            <v>20</v>
          </cell>
          <cell r="G549">
            <v>1413967</v>
          </cell>
          <cell r="H549" t="str">
            <v>CM-323:VM SILVER DIOR JUMBO M080</v>
          </cell>
          <cell r="I549">
            <v>18000</v>
          </cell>
          <cell r="J549" t="str">
            <v>UN</v>
          </cell>
          <cell r="K549">
            <v>45603</v>
          </cell>
        </row>
        <row r="550">
          <cell r="A550" t="str">
            <v>50800506730</v>
          </cell>
          <cell r="B550" t="str">
            <v>ZMFD</v>
          </cell>
          <cell r="C550">
            <v>45433</v>
          </cell>
          <cell r="D550" t="str">
            <v>Not delivered</v>
          </cell>
          <cell r="E550">
            <v>508005067</v>
          </cell>
          <cell r="F550">
            <v>30</v>
          </cell>
          <cell r="G550">
            <v>1255660</v>
          </cell>
          <cell r="H550" t="str">
            <v>LC-002:BTL MT VAR10 P/WRDH B.MARK PTI40H</v>
          </cell>
          <cell r="I550">
            <v>29000</v>
          </cell>
          <cell r="J550" t="str">
            <v>UN</v>
          </cell>
          <cell r="K550">
            <v>45603</v>
          </cell>
        </row>
        <row r="551">
          <cell r="A551" t="str">
            <v>50800506740</v>
          </cell>
          <cell r="B551" t="str">
            <v>ZMFD</v>
          </cell>
          <cell r="C551">
            <v>45433</v>
          </cell>
          <cell r="D551" t="str">
            <v>Not delivered</v>
          </cell>
          <cell r="E551">
            <v>508005067</v>
          </cell>
          <cell r="F551">
            <v>40</v>
          </cell>
          <cell r="G551">
            <v>1175939</v>
          </cell>
          <cell r="H551" t="str">
            <v>LC-002:CP S/MT VAR10 STM-WHT WNAT PTI40D</v>
          </cell>
          <cell r="I551">
            <v>29000</v>
          </cell>
          <cell r="J551" t="str">
            <v>UN</v>
          </cell>
          <cell r="K551">
            <v>45603</v>
          </cell>
        </row>
        <row r="552">
          <cell r="A552" t="str">
            <v>50714276580</v>
          </cell>
          <cell r="B552" t="str">
            <v>ZMTD</v>
          </cell>
          <cell r="C552">
            <v>45552</v>
          </cell>
          <cell r="D552" t="str">
            <v>Not delivered</v>
          </cell>
          <cell r="E552">
            <v>507142765</v>
          </cell>
          <cell r="F552">
            <v>80</v>
          </cell>
          <cell r="G552">
            <v>1398383</v>
          </cell>
          <cell r="H552" t="str">
            <v>CM-319:WHITE P/BLACK UV MATTE NARS</v>
          </cell>
          <cell r="I552">
            <v>40080</v>
          </cell>
          <cell r="J552" t="str">
            <v>UN</v>
          </cell>
          <cell r="K552">
            <v>45604</v>
          </cell>
        </row>
        <row r="553">
          <cell r="A553" t="str">
            <v>50714276640</v>
          </cell>
          <cell r="B553" t="str">
            <v>ZMTD</v>
          </cell>
          <cell r="C553">
            <v>45552</v>
          </cell>
          <cell r="D553" t="str">
            <v>Not delivered</v>
          </cell>
          <cell r="E553">
            <v>507142766</v>
          </cell>
          <cell r="F553">
            <v>40</v>
          </cell>
          <cell r="G553">
            <v>1398763</v>
          </cell>
          <cell r="H553" t="str">
            <v>CM-320:WHITE S/BLACK UV MATTE NARS</v>
          </cell>
          <cell r="I553">
            <v>40500</v>
          </cell>
          <cell r="J553" t="str">
            <v>UN</v>
          </cell>
          <cell r="K553">
            <v>45604</v>
          </cell>
        </row>
        <row r="554">
          <cell r="A554" t="str">
            <v>50800525710</v>
          </cell>
          <cell r="B554" t="str">
            <v>ZMFD</v>
          </cell>
          <cell r="C554">
            <v>45518</v>
          </cell>
          <cell r="D554" t="str">
            <v>Not delivered</v>
          </cell>
          <cell r="E554">
            <v>508005257</v>
          </cell>
          <cell r="F554">
            <v>10</v>
          </cell>
          <cell r="G554">
            <v>1409881</v>
          </cell>
          <cell r="H554" t="str">
            <v>CM-315:CVR/BS BLACK P/CVRLAST OMG RV160B</v>
          </cell>
          <cell r="I554">
            <v>100000</v>
          </cell>
          <cell r="J554" t="str">
            <v>UN</v>
          </cell>
          <cell r="K554">
            <v>45604</v>
          </cell>
        </row>
        <row r="555">
          <cell r="A555" t="str">
            <v>50714263310</v>
          </cell>
          <cell r="B555" t="str">
            <v>ZMTD</v>
          </cell>
          <cell r="C555">
            <v>45517</v>
          </cell>
          <cell r="D555" t="str">
            <v>Not delivered</v>
          </cell>
          <cell r="E555">
            <v>507142633</v>
          </cell>
          <cell r="F555">
            <v>10</v>
          </cell>
          <cell r="G555">
            <v>1388803</v>
          </cell>
          <cell r="H555" t="str">
            <v>RX-067:CM-289 CVR BEIGE SP MATTE RV1</v>
          </cell>
          <cell r="I555">
            <v>90000</v>
          </cell>
          <cell r="J555" t="str">
            <v>UN</v>
          </cell>
          <cell r="K555">
            <v>45604</v>
          </cell>
        </row>
        <row r="556">
          <cell r="A556" t="str">
            <v>50714263410</v>
          </cell>
          <cell r="B556" t="str">
            <v>ZMTD</v>
          </cell>
          <cell r="C556">
            <v>45517</v>
          </cell>
          <cell r="D556" t="str">
            <v>Not delivered</v>
          </cell>
          <cell r="E556">
            <v>507142634</v>
          </cell>
          <cell r="F556">
            <v>10</v>
          </cell>
          <cell r="G556">
            <v>1388803</v>
          </cell>
          <cell r="H556" t="str">
            <v>RX-067:CM-289 CVR BEIGE SP MATTE RV1</v>
          </cell>
          <cell r="I556">
            <v>80000</v>
          </cell>
          <cell r="J556" t="str">
            <v>UN</v>
          </cell>
          <cell r="K556">
            <v>45604</v>
          </cell>
        </row>
        <row r="557">
          <cell r="A557" t="str">
            <v>50800523520</v>
          </cell>
          <cell r="B557" t="str">
            <v>ZMFD</v>
          </cell>
          <cell r="C557">
            <v>45505</v>
          </cell>
          <cell r="D557" t="str">
            <v>Not delivered</v>
          </cell>
          <cell r="E557">
            <v>508005235</v>
          </cell>
          <cell r="F557">
            <v>20</v>
          </cell>
          <cell r="G557">
            <v>1434959</v>
          </cell>
          <cell r="H557" t="str">
            <v>LC-008:BTL CLR (PCTG) P/WHT EMLC PTI 60B</v>
          </cell>
          <cell r="I557">
            <v>100000</v>
          </cell>
          <cell r="J557" t="str">
            <v>UN</v>
          </cell>
          <cell r="K557">
            <v>45604</v>
          </cell>
        </row>
        <row r="558">
          <cell r="A558" t="str">
            <v>50800523540</v>
          </cell>
          <cell r="B558" t="str">
            <v>ZMFD</v>
          </cell>
          <cell r="C558">
            <v>45505</v>
          </cell>
          <cell r="D558" t="str">
            <v>Not delivered</v>
          </cell>
          <cell r="E558">
            <v>508005235</v>
          </cell>
          <cell r="F558">
            <v>40</v>
          </cell>
          <cell r="G558">
            <v>1434959</v>
          </cell>
          <cell r="H558" t="str">
            <v>LC-008:BTL CLR (PCTG) P/WHT EMLC PTI 60B</v>
          </cell>
          <cell r="I558">
            <v>40000</v>
          </cell>
          <cell r="J558" t="str">
            <v>UN</v>
          </cell>
          <cell r="K558">
            <v>45604</v>
          </cell>
        </row>
        <row r="559">
          <cell r="A559" t="str">
            <v>50800522610</v>
          </cell>
          <cell r="B559" t="str">
            <v>ZMFD</v>
          </cell>
          <cell r="C559">
            <v>45499</v>
          </cell>
          <cell r="D559" t="str">
            <v>Not delivered</v>
          </cell>
          <cell r="E559">
            <v>508005226</v>
          </cell>
          <cell r="F559">
            <v>10</v>
          </cell>
          <cell r="G559">
            <v>1291869</v>
          </cell>
          <cell r="H559" t="str">
            <v>LC-004:BTL COL GRAD P/MOUSSE NEW MLA40H</v>
          </cell>
          <cell r="I559">
            <v>25000</v>
          </cell>
          <cell r="J559" t="str">
            <v>UN</v>
          </cell>
          <cell r="K559">
            <v>45604</v>
          </cell>
        </row>
        <row r="560">
          <cell r="A560" t="str">
            <v>50800522620</v>
          </cell>
          <cell r="B560" t="str">
            <v>ZMFD</v>
          </cell>
          <cell r="C560">
            <v>45499</v>
          </cell>
          <cell r="D560" t="str">
            <v>Not delivered</v>
          </cell>
          <cell r="E560">
            <v>508005226</v>
          </cell>
          <cell r="F560">
            <v>20</v>
          </cell>
          <cell r="G560">
            <v>1291930</v>
          </cell>
          <cell r="H560" t="str">
            <v>LC-004:CAP MTPINK WIPNAT MOUS NEW MLA40D</v>
          </cell>
          <cell r="I560">
            <v>25000</v>
          </cell>
          <cell r="J560" t="str">
            <v>UN</v>
          </cell>
          <cell r="K560">
            <v>45604</v>
          </cell>
        </row>
        <row r="561">
          <cell r="A561" t="str">
            <v>50714253010</v>
          </cell>
          <cell r="B561" t="str">
            <v>ZMTD</v>
          </cell>
          <cell r="C561">
            <v>45488</v>
          </cell>
          <cell r="D561" t="str">
            <v>Partially delivered</v>
          </cell>
          <cell r="E561">
            <v>507142530</v>
          </cell>
          <cell r="F561">
            <v>10</v>
          </cell>
          <cell r="G561">
            <v>1388803</v>
          </cell>
          <cell r="H561" t="str">
            <v>RX-067:CM-289 CVR BEIGE SP MATTE RV1</v>
          </cell>
          <cell r="I561">
            <v>100000</v>
          </cell>
          <cell r="J561" t="str">
            <v>UN</v>
          </cell>
          <cell r="K561">
            <v>45604</v>
          </cell>
        </row>
        <row r="562">
          <cell r="A562" t="str">
            <v>50800515580</v>
          </cell>
          <cell r="B562" t="str">
            <v>ZMFD</v>
          </cell>
          <cell r="C562">
            <v>45470</v>
          </cell>
          <cell r="D562" t="str">
            <v>Not delivered</v>
          </cell>
          <cell r="E562">
            <v>508005155</v>
          </cell>
          <cell r="F562">
            <v>80</v>
          </cell>
          <cell r="G562">
            <v>1420925</v>
          </cell>
          <cell r="H562" t="str">
            <v>CM-253:CV BS MT ROSE 04 P/C.BLSH PTI40H</v>
          </cell>
          <cell r="I562">
            <v>15000</v>
          </cell>
          <cell r="J562" t="str">
            <v>UN</v>
          </cell>
          <cell r="K562">
            <v>45604</v>
          </cell>
        </row>
        <row r="563">
          <cell r="A563" t="str">
            <v>50800507110</v>
          </cell>
          <cell r="B563" t="str">
            <v>ZMFD</v>
          </cell>
          <cell r="C563">
            <v>45433</v>
          </cell>
          <cell r="D563" t="str">
            <v>Not delivered</v>
          </cell>
          <cell r="E563">
            <v>508005071</v>
          </cell>
          <cell r="F563">
            <v>10</v>
          </cell>
          <cell r="G563">
            <v>1171525</v>
          </cell>
          <cell r="H563" t="str">
            <v>CM-172:CVR MTLCGREN UV BS CLR P/WRDAH30C</v>
          </cell>
          <cell r="I563">
            <v>30000</v>
          </cell>
          <cell r="J563" t="str">
            <v>UN</v>
          </cell>
          <cell r="K563">
            <v>45604</v>
          </cell>
        </row>
        <row r="564">
          <cell r="A564" t="str">
            <v>50800507370</v>
          </cell>
          <cell r="B564" t="str">
            <v>ZMFD</v>
          </cell>
          <cell r="C564">
            <v>45433</v>
          </cell>
          <cell r="D564" t="str">
            <v>Not delivered</v>
          </cell>
          <cell r="E564">
            <v>508005073</v>
          </cell>
          <cell r="F564">
            <v>70</v>
          </cell>
          <cell r="G564">
            <v>1169047</v>
          </cell>
          <cell r="H564" t="str">
            <v>LS-285:B V/SL P/1PS SLEV H/SL BLM PTI20R</v>
          </cell>
          <cell r="I564">
            <v>25536</v>
          </cell>
          <cell r="J564" t="str">
            <v>UN</v>
          </cell>
          <cell r="K564">
            <v>45604</v>
          </cell>
        </row>
        <row r="565">
          <cell r="A565" t="str">
            <v>50800507380</v>
          </cell>
          <cell r="B565" t="str">
            <v>ZMFD</v>
          </cell>
          <cell r="C565">
            <v>45433</v>
          </cell>
          <cell r="D565" t="str">
            <v>Not delivered</v>
          </cell>
          <cell r="E565">
            <v>508005073</v>
          </cell>
          <cell r="F565">
            <v>80</v>
          </cell>
          <cell r="G565">
            <v>1171160</v>
          </cell>
          <cell r="H565" t="str">
            <v>LS-285:CV TRANS LONG 9 P/1PS VAR7 PTI40H</v>
          </cell>
          <cell r="I565">
            <v>25536</v>
          </cell>
          <cell r="J565" t="str">
            <v>UN</v>
          </cell>
          <cell r="K565">
            <v>45604</v>
          </cell>
        </row>
        <row r="566">
          <cell r="A566" t="str">
            <v>50800507710</v>
          </cell>
          <cell r="B566" t="str">
            <v>ZMFD</v>
          </cell>
          <cell r="C566">
            <v>45433</v>
          </cell>
          <cell r="D566" t="str">
            <v>Not delivered</v>
          </cell>
          <cell r="E566">
            <v>508005077</v>
          </cell>
          <cell r="F566">
            <v>10</v>
          </cell>
          <cell r="G566">
            <v>1153319</v>
          </cell>
          <cell r="H566" t="str">
            <v>LS-285:BS/SPRL BEIGE P/WRDH PTI 40H</v>
          </cell>
          <cell r="I566">
            <v>25536</v>
          </cell>
          <cell r="J566" t="str">
            <v>UN</v>
          </cell>
          <cell r="K566">
            <v>45604</v>
          </cell>
        </row>
        <row r="567">
          <cell r="A567" t="str">
            <v>50800507720</v>
          </cell>
          <cell r="B567" t="str">
            <v>ZMFD</v>
          </cell>
          <cell r="C567">
            <v>45433</v>
          </cell>
          <cell r="D567" t="str">
            <v>Not delivered</v>
          </cell>
          <cell r="E567">
            <v>508005077</v>
          </cell>
          <cell r="F567">
            <v>20</v>
          </cell>
          <cell r="G567">
            <v>1153467</v>
          </cell>
          <cell r="H567" t="str">
            <v>LS-285:CVR MT BEIGE P/S.SEOUL PTI40H</v>
          </cell>
          <cell r="I567">
            <v>25536</v>
          </cell>
          <cell r="J567" t="str">
            <v>UN</v>
          </cell>
          <cell r="K567">
            <v>45604</v>
          </cell>
        </row>
        <row r="568">
          <cell r="A568" t="str">
            <v>50800502010</v>
          </cell>
          <cell r="B568" t="str">
            <v>ZMFD</v>
          </cell>
          <cell r="C568">
            <v>45422</v>
          </cell>
          <cell r="D568" t="str">
            <v>Not delivered</v>
          </cell>
          <cell r="E568">
            <v>508005020</v>
          </cell>
          <cell r="F568">
            <v>10</v>
          </cell>
          <cell r="G568">
            <v>1153319</v>
          </cell>
          <cell r="H568" t="str">
            <v>LS-285:BS/SPRL BEIGE P/WRDH PTI 40H</v>
          </cell>
          <cell r="I568">
            <v>25536</v>
          </cell>
          <cell r="J568" t="str">
            <v>UN</v>
          </cell>
          <cell r="K568">
            <v>45604</v>
          </cell>
        </row>
        <row r="569">
          <cell r="A569" t="str">
            <v>50800502020</v>
          </cell>
          <cell r="B569" t="str">
            <v>ZMFD</v>
          </cell>
          <cell r="C569">
            <v>45422</v>
          </cell>
          <cell r="D569" t="str">
            <v>Not delivered</v>
          </cell>
          <cell r="E569">
            <v>508005020</v>
          </cell>
          <cell r="F569">
            <v>20</v>
          </cell>
          <cell r="G569">
            <v>1153467</v>
          </cell>
          <cell r="H569" t="str">
            <v>LS-285:CVR MT BEIGE P/S.SEOUL PTI40H</v>
          </cell>
          <cell r="I569">
            <v>25536</v>
          </cell>
          <cell r="J569" t="str">
            <v>UN</v>
          </cell>
          <cell r="K569">
            <v>45604</v>
          </cell>
        </row>
        <row r="570">
          <cell r="A570" t="str">
            <v>50714285010</v>
          </cell>
          <cell r="B570" t="str">
            <v>ZMTD</v>
          </cell>
          <cell r="C570">
            <v>45567</v>
          </cell>
          <cell r="D570" t="str">
            <v>Not delivered</v>
          </cell>
          <cell r="E570">
            <v>507142850</v>
          </cell>
          <cell r="F570">
            <v>10</v>
          </cell>
          <cell r="G570">
            <v>1371896</v>
          </cell>
          <cell r="H570" t="str">
            <v>RX-056:CM-316 CVR BLUE P/WHT SP/MTCLR</v>
          </cell>
          <cell r="I570">
            <v>110016</v>
          </cell>
          <cell r="J570" t="str">
            <v>UN</v>
          </cell>
          <cell r="K570">
            <v>45605</v>
          </cell>
        </row>
        <row r="571">
          <cell r="A571" t="str">
            <v>50714277730</v>
          </cell>
          <cell r="B571" t="str">
            <v>ZMTD</v>
          </cell>
          <cell r="C571">
            <v>45554</v>
          </cell>
          <cell r="D571" t="str">
            <v>Not delivered</v>
          </cell>
          <cell r="E571">
            <v>507142777</v>
          </cell>
          <cell r="F571">
            <v>30</v>
          </cell>
          <cell r="G571">
            <v>1435311</v>
          </cell>
          <cell r="H571" t="str">
            <v>LC-002:BTL/COL MTGRAD SLV AZURA LION 40D</v>
          </cell>
          <cell r="I571">
            <v>50589</v>
          </cell>
          <cell r="J571" t="str">
            <v>UN</v>
          </cell>
          <cell r="K571">
            <v>45605</v>
          </cell>
        </row>
        <row r="572">
          <cell r="A572" t="str">
            <v>50714277740</v>
          </cell>
          <cell r="B572" t="str">
            <v>ZMTD</v>
          </cell>
          <cell r="C572">
            <v>45554</v>
          </cell>
          <cell r="D572" t="str">
            <v>Not delivered</v>
          </cell>
          <cell r="E572">
            <v>507142777</v>
          </cell>
          <cell r="F572">
            <v>40</v>
          </cell>
          <cell r="G572">
            <v>1435313</v>
          </cell>
          <cell r="H572" t="str">
            <v>LC-002:CAP MTSLV WIPNAT S/AZURA LION 40C</v>
          </cell>
          <cell r="I572">
            <v>50589</v>
          </cell>
          <cell r="J572" t="str">
            <v>UN</v>
          </cell>
          <cell r="K572">
            <v>45605</v>
          </cell>
        </row>
        <row r="573">
          <cell r="A573" t="str">
            <v>50714251310</v>
          </cell>
          <cell r="B573" t="str">
            <v>ZMTD</v>
          </cell>
          <cell r="C573">
            <v>45488</v>
          </cell>
          <cell r="D573" t="str">
            <v>Not delivered</v>
          </cell>
          <cell r="E573">
            <v>507142513</v>
          </cell>
          <cell r="F573">
            <v>10</v>
          </cell>
          <cell r="G573">
            <v>1419488</v>
          </cell>
          <cell r="H573" t="str">
            <v>CP-063R:SPOUT CAP WHITE LOREAL 12A</v>
          </cell>
          <cell r="I573">
            <v>1890000</v>
          </cell>
          <cell r="J573" t="str">
            <v>UN</v>
          </cell>
          <cell r="K573">
            <v>45605</v>
          </cell>
        </row>
        <row r="574">
          <cell r="A574" t="str">
            <v>50714284630</v>
          </cell>
          <cell r="B574" t="str">
            <v>ZMTD</v>
          </cell>
          <cell r="C574">
            <v>45567</v>
          </cell>
          <cell r="D574" t="str">
            <v>Not delivered</v>
          </cell>
          <cell r="E574">
            <v>507142846</v>
          </cell>
          <cell r="F574">
            <v>30</v>
          </cell>
          <cell r="G574">
            <v>1375595</v>
          </cell>
          <cell r="H574" t="str">
            <v>LC-009:BTL/INNER CLEAR P/OMG PTIPT 60B</v>
          </cell>
          <cell r="I574">
            <v>49770</v>
          </cell>
          <cell r="J574" t="str">
            <v>UN</v>
          </cell>
          <cell r="K574">
            <v>45607</v>
          </cell>
        </row>
        <row r="575">
          <cell r="A575" t="str">
            <v>50714284640</v>
          </cell>
          <cell r="B575" t="str">
            <v>ZMTD</v>
          </cell>
          <cell r="C575">
            <v>45567</v>
          </cell>
          <cell r="D575" t="str">
            <v>Not delivered</v>
          </cell>
          <cell r="E575">
            <v>507142846</v>
          </cell>
          <cell r="F575">
            <v>40</v>
          </cell>
          <cell r="G575">
            <v>1375593</v>
          </cell>
          <cell r="H575" t="str">
            <v>LC-009:CAP REDTRANS WIP S/OMG PTIPT 60B</v>
          </cell>
          <cell r="I575">
            <v>49770</v>
          </cell>
          <cell r="J575" t="str">
            <v>UN</v>
          </cell>
          <cell r="K575">
            <v>45607</v>
          </cell>
        </row>
        <row r="576">
          <cell r="A576" t="str">
            <v>50714277420</v>
          </cell>
          <cell r="B576" t="str">
            <v>ZMTD</v>
          </cell>
          <cell r="C576">
            <v>45554</v>
          </cell>
          <cell r="D576" t="str">
            <v>Not delivered</v>
          </cell>
          <cell r="E576">
            <v>507142774</v>
          </cell>
          <cell r="F576">
            <v>20</v>
          </cell>
          <cell r="G576">
            <v>1378563</v>
          </cell>
          <cell r="H576" t="str">
            <v>CP-093:CAP D50 MT BLACK Ø.5 YASULOR 12A</v>
          </cell>
          <cell r="I576">
            <v>800000</v>
          </cell>
          <cell r="J576" t="str">
            <v>UN</v>
          </cell>
          <cell r="K576">
            <v>45607</v>
          </cell>
        </row>
        <row r="577">
          <cell r="A577" t="str">
            <v>50714251510</v>
          </cell>
          <cell r="B577" t="str">
            <v>ZMTD</v>
          </cell>
          <cell r="C577">
            <v>45488</v>
          </cell>
          <cell r="D577" t="str">
            <v>Not delivered</v>
          </cell>
          <cell r="E577">
            <v>507142515</v>
          </cell>
          <cell r="F577">
            <v>10</v>
          </cell>
          <cell r="G577">
            <v>1419488</v>
          </cell>
          <cell r="H577" t="str">
            <v>CP-063R:SPOUT CAP WHITE LOREAL 12A</v>
          </cell>
          <cell r="I577">
            <v>1890000</v>
          </cell>
          <cell r="J577" t="str">
            <v>UN</v>
          </cell>
          <cell r="K577">
            <v>45607</v>
          </cell>
        </row>
        <row r="578">
          <cell r="A578" t="str">
            <v>50714243330</v>
          </cell>
          <cell r="B578" t="str">
            <v>ZMTD</v>
          </cell>
          <cell r="C578">
            <v>45475</v>
          </cell>
          <cell r="D578" t="str">
            <v>Not delivered</v>
          </cell>
          <cell r="E578">
            <v>507142433</v>
          </cell>
          <cell r="F578">
            <v>30</v>
          </cell>
          <cell r="G578">
            <v>1406600</v>
          </cell>
          <cell r="H578" t="str">
            <v>CM-310:BLACK M086 CANNAGE S/SLV UV MT</v>
          </cell>
          <cell r="I578">
            <v>39000</v>
          </cell>
          <cell r="J578" t="str">
            <v>UN</v>
          </cell>
          <cell r="K578">
            <v>45607</v>
          </cell>
        </row>
        <row r="579">
          <cell r="A579" t="str">
            <v>50800525250</v>
          </cell>
          <cell r="B579" t="str">
            <v>ZMFD</v>
          </cell>
          <cell r="C579">
            <v>45512</v>
          </cell>
          <cell r="D579" t="str">
            <v>Not delivered</v>
          </cell>
          <cell r="E579">
            <v>508005252</v>
          </cell>
          <cell r="F579">
            <v>50</v>
          </cell>
          <cell r="G579">
            <v>1382368</v>
          </cell>
          <cell r="H579" t="str">
            <v>CP-067R:FT CAP35 SNAP BLK MATTE  Ø5 LRL</v>
          </cell>
          <cell r="I579">
            <v>461000</v>
          </cell>
          <cell r="J579" t="str">
            <v>UN</v>
          </cell>
          <cell r="K579">
            <v>45608</v>
          </cell>
        </row>
        <row r="580">
          <cell r="A580" t="str">
            <v>50800524510</v>
          </cell>
          <cell r="B580" t="str">
            <v>ZMFD</v>
          </cell>
          <cell r="C580">
            <v>45510</v>
          </cell>
          <cell r="D580" t="str">
            <v>Not delivered</v>
          </cell>
          <cell r="E580">
            <v>508005245</v>
          </cell>
          <cell r="F580">
            <v>10</v>
          </cell>
          <cell r="G580">
            <v>1340516</v>
          </cell>
          <cell r="H580" t="str">
            <v>CM-133:CVR BS MTLC GRN UV DP S/WARDH 30T</v>
          </cell>
          <cell r="I580">
            <v>10080</v>
          </cell>
          <cell r="J580" t="str">
            <v>UN</v>
          </cell>
          <cell r="K580">
            <v>45608</v>
          </cell>
        </row>
        <row r="581">
          <cell r="A581" t="str">
            <v>50714230210</v>
          </cell>
          <cell r="B581" t="str">
            <v>ZMTD</v>
          </cell>
          <cell r="C581">
            <v>45449</v>
          </cell>
          <cell r="D581" t="str">
            <v>Not delivered</v>
          </cell>
          <cell r="E581">
            <v>507142302</v>
          </cell>
          <cell r="F581">
            <v>10</v>
          </cell>
          <cell r="G581">
            <v>1389492</v>
          </cell>
          <cell r="H581" t="str">
            <v>CM-295:GODET POWER BRUNCH G85Y-01-0001</v>
          </cell>
          <cell r="I581">
            <v>10472</v>
          </cell>
          <cell r="J581" t="str">
            <v>UN</v>
          </cell>
          <cell r="K581">
            <v>45608</v>
          </cell>
        </row>
        <row r="582">
          <cell r="A582" t="str">
            <v>50714230010</v>
          </cell>
          <cell r="B582" t="str">
            <v>ZMTD</v>
          </cell>
          <cell r="C582">
            <v>45448</v>
          </cell>
          <cell r="D582" t="str">
            <v>Not delivered</v>
          </cell>
          <cell r="E582">
            <v>507142300</v>
          </cell>
          <cell r="F582">
            <v>10</v>
          </cell>
          <cell r="G582">
            <v>1389249</v>
          </cell>
          <cell r="H582" t="str">
            <v>CM-295:GODET GALLERY HOPE G85W-01-0091</v>
          </cell>
          <cell r="I582">
            <v>10472</v>
          </cell>
          <cell r="J582" t="str">
            <v>UN</v>
          </cell>
          <cell r="K582">
            <v>45608</v>
          </cell>
        </row>
        <row r="583">
          <cell r="A583" t="str">
            <v>50714230110</v>
          </cell>
          <cell r="B583" t="str">
            <v>ZMTD</v>
          </cell>
          <cell r="C583">
            <v>45448</v>
          </cell>
          <cell r="D583" t="str">
            <v>Not delivered</v>
          </cell>
          <cell r="E583">
            <v>507142301</v>
          </cell>
          <cell r="F583">
            <v>10</v>
          </cell>
          <cell r="G583">
            <v>1389293</v>
          </cell>
          <cell r="H583" t="str">
            <v>CM-295:GODET PRENUP G85X-01-0091</v>
          </cell>
          <cell r="I583">
            <v>10472</v>
          </cell>
          <cell r="J583" t="str">
            <v>UN</v>
          </cell>
          <cell r="K583">
            <v>45608</v>
          </cell>
        </row>
        <row r="584">
          <cell r="A584" t="str">
            <v>50714220110</v>
          </cell>
          <cell r="B584" t="str">
            <v>ZMTD</v>
          </cell>
          <cell r="C584">
            <v>45432</v>
          </cell>
          <cell r="D584" t="str">
            <v>Partially delivered</v>
          </cell>
          <cell r="E584">
            <v>507142201</v>
          </cell>
          <cell r="F584">
            <v>10</v>
          </cell>
          <cell r="G584">
            <v>1160334</v>
          </cell>
          <cell r="H584" t="str">
            <v>CP-071:CP8364 RL RED 200ML MASS TINT 407</v>
          </cell>
          <cell r="I584">
            <v>43500</v>
          </cell>
          <cell r="J584" t="str">
            <v>UN</v>
          </cell>
          <cell r="K584">
            <v>45608</v>
          </cell>
        </row>
        <row r="585">
          <cell r="A585" t="str">
            <v>50714220210</v>
          </cell>
          <cell r="B585" t="str">
            <v>ZMTD</v>
          </cell>
          <cell r="C585">
            <v>45432</v>
          </cell>
          <cell r="D585" t="str">
            <v>Not delivered</v>
          </cell>
          <cell r="E585">
            <v>507142202</v>
          </cell>
          <cell r="F585">
            <v>10</v>
          </cell>
          <cell r="G585">
            <v>1160334</v>
          </cell>
          <cell r="H585" t="str">
            <v>CP-071:CP8364 RL RED 200ML MASS TINT 407</v>
          </cell>
          <cell r="I585">
            <v>43500</v>
          </cell>
          <cell r="J585" t="str">
            <v>UN</v>
          </cell>
          <cell r="K585">
            <v>45608</v>
          </cell>
        </row>
        <row r="586">
          <cell r="A586" t="str">
            <v>50800478130</v>
          </cell>
          <cell r="B586" t="str">
            <v>ZMFD</v>
          </cell>
          <cell r="C586">
            <v>45307</v>
          </cell>
          <cell r="D586" t="str">
            <v>Not delivered</v>
          </cell>
          <cell r="E586">
            <v>508004781</v>
          </cell>
          <cell r="F586">
            <v>30</v>
          </cell>
          <cell r="G586">
            <v>1169152</v>
          </cell>
          <cell r="H586" t="str">
            <v>CM-295:SQUARE COMPACT&amp;GODET PHHT010032</v>
          </cell>
          <cell r="I586">
            <v>20040</v>
          </cell>
          <cell r="J586" t="str">
            <v>UN</v>
          </cell>
          <cell r="K586">
            <v>45608</v>
          </cell>
        </row>
        <row r="587">
          <cell r="A587" t="str">
            <v>50714284110</v>
          </cell>
          <cell r="B587" t="str">
            <v>ZMTD</v>
          </cell>
          <cell r="C587">
            <v>45566</v>
          </cell>
          <cell r="D587" t="str">
            <v>Not delivered</v>
          </cell>
          <cell r="E587">
            <v>507142841</v>
          </cell>
          <cell r="F587">
            <v>10</v>
          </cell>
          <cell r="G587">
            <v>1163327</v>
          </cell>
          <cell r="H587" t="str">
            <v>CM-246:CVR S.SLV PAN WHITE 6MPY 01 0034</v>
          </cell>
          <cell r="I587">
            <v>41040</v>
          </cell>
          <cell r="J587" t="str">
            <v>UN</v>
          </cell>
          <cell r="K587">
            <v>45609</v>
          </cell>
        </row>
        <row r="588">
          <cell r="A588" t="str">
            <v>50800525930</v>
          </cell>
          <cell r="B588" t="str">
            <v>ZMFD</v>
          </cell>
          <cell r="C588">
            <v>45523</v>
          </cell>
          <cell r="D588" t="str">
            <v>Not delivered</v>
          </cell>
          <cell r="E588">
            <v>508005259</v>
          </cell>
          <cell r="F588">
            <v>30</v>
          </cell>
          <cell r="G588">
            <v>1168132</v>
          </cell>
          <cell r="H588" t="str">
            <v>LS-285:BS WHT NO DC WARDAH</v>
          </cell>
          <cell r="I588">
            <v>50000</v>
          </cell>
          <cell r="J588" t="str">
            <v>UN</v>
          </cell>
          <cell r="K588">
            <v>45609</v>
          </cell>
        </row>
        <row r="589">
          <cell r="A589" t="str">
            <v>50800525940</v>
          </cell>
          <cell r="B589" t="str">
            <v>ZMFD</v>
          </cell>
          <cell r="C589">
            <v>45523</v>
          </cell>
          <cell r="D589" t="str">
            <v>Not delivered</v>
          </cell>
          <cell r="E589">
            <v>508005259</v>
          </cell>
          <cell r="F589">
            <v>40</v>
          </cell>
          <cell r="G589">
            <v>1421509</v>
          </cell>
          <cell r="H589" t="str">
            <v>LS-285:CV ORNG P/WHT UV ORGSQUEZE PTI30O</v>
          </cell>
          <cell r="I589">
            <v>50000</v>
          </cell>
          <cell r="J589" t="str">
            <v>UN</v>
          </cell>
          <cell r="K589">
            <v>45609</v>
          </cell>
        </row>
        <row r="590">
          <cell r="A590" t="str">
            <v>50714264110</v>
          </cell>
          <cell r="B590" t="str">
            <v>ZMTD</v>
          </cell>
          <cell r="C590">
            <v>45520</v>
          </cell>
          <cell r="D590" t="str">
            <v>Not delivered</v>
          </cell>
          <cell r="E590">
            <v>507142641</v>
          </cell>
          <cell r="F590">
            <v>10</v>
          </cell>
          <cell r="G590">
            <v>1419206</v>
          </cell>
          <cell r="H590" t="str">
            <v>PT-055:BODY BLUE CITRUS HERBAL FAREVA</v>
          </cell>
          <cell r="I590">
            <v>24030</v>
          </cell>
          <cell r="J590" t="str">
            <v>UN</v>
          </cell>
          <cell r="K590">
            <v>45609</v>
          </cell>
        </row>
        <row r="591">
          <cell r="A591" t="str">
            <v>50714264120</v>
          </cell>
          <cell r="B591" t="str">
            <v>ZMTD</v>
          </cell>
          <cell r="C591">
            <v>45520</v>
          </cell>
          <cell r="D591" t="str">
            <v>Not delivered</v>
          </cell>
          <cell r="E591">
            <v>507142641</v>
          </cell>
          <cell r="F591">
            <v>20</v>
          </cell>
          <cell r="G591">
            <v>1194606</v>
          </cell>
          <cell r="H591" t="str">
            <v>PT-055:PLUG BLUE BAXTER FAREVA</v>
          </cell>
          <cell r="I591">
            <v>25110</v>
          </cell>
          <cell r="J591" t="str">
            <v>UN</v>
          </cell>
          <cell r="K591">
            <v>45609</v>
          </cell>
        </row>
        <row r="592">
          <cell r="A592" t="str">
            <v>50714261310</v>
          </cell>
          <cell r="B592" t="str">
            <v>ZMTD</v>
          </cell>
          <cell r="C592">
            <v>45510</v>
          </cell>
          <cell r="D592" t="str">
            <v>Not delivered</v>
          </cell>
          <cell r="E592">
            <v>507142613</v>
          </cell>
          <cell r="F592">
            <v>10</v>
          </cell>
          <cell r="G592">
            <v>1436641</v>
          </cell>
          <cell r="H592" t="str">
            <v>CM-310:BLUE UV S/SILVER DIOR PEPSPE+IXPE</v>
          </cell>
          <cell r="I592">
            <v>64800</v>
          </cell>
          <cell r="J592" t="str">
            <v>UN</v>
          </cell>
          <cell r="K592">
            <v>45609</v>
          </cell>
        </row>
        <row r="593">
          <cell r="A593" t="str">
            <v>50800519230</v>
          </cell>
          <cell r="B593" t="str">
            <v>ZMFD</v>
          </cell>
          <cell r="C593">
            <v>45492</v>
          </cell>
          <cell r="D593" t="str">
            <v>Not delivered</v>
          </cell>
          <cell r="E593">
            <v>508005192</v>
          </cell>
          <cell r="F593">
            <v>30</v>
          </cell>
          <cell r="G593">
            <v>1430093</v>
          </cell>
          <cell r="H593" t="str">
            <v>LS-285:CV MT.TR BLUE P/SHERCLEAR PTI 40H</v>
          </cell>
          <cell r="I593">
            <v>25000</v>
          </cell>
          <cell r="J593" t="str">
            <v>UN</v>
          </cell>
          <cell r="K593">
            <v>45609</v>
          </cell>
        </row>
        <row r="594">
          <cell r="A594" t="str">
            <v>50800519240</v>
          </cell>
          <cell r="B594" t="str">
            <v>ZMFD</v>
          </cell>
          <cell r="C594">
            <v>45492</v>
          </cell>
          <cell r="D594" t="str">
            <v>Not delivered</v>
          </cell>
          <cell r="E594">
            <v>508005192</v>
          </cell>
          <cell r="F594">
            <v>40</v>
          </cell>
          <cell r="G594">
            <v>1430094</v>
          </cell>
          <cell r="H594" t="str">
            <v>LS-285:BS BLUE NO DC WARDAH PTI 12A</v>
          </cell>
          <cell r="I594">
            <v>25000</v>
          </cell>
          <cell r="J594" t="str">
            <v>UN</v>
          </cell>
          <cell r="K594">
            <v>45609</v>
          </cell>
        </row>
        <row r="595">
          <cell r="A595" t="str">
            <v>50714251710</v>
          </cell>
          <cell r="B595" t="str">
            <v>ZMTD</v>
          </cell>
          <cell r="C595">
            <v>45488</v>
          </cell>
          <cell r="D595" t="str">
            <v>Not delivered</v>
          </cell>
          <cell r="E595">
            <v>507142517</v>
          </cell>
          <cell r="F595">
            <v>10</v>
          </cell>
          <cell r="G595">
            <v>1419488</v>
          </cell>
          <cell r="H595" t="str">
            <v>CP-063R:SPOUT CAP WHITE LOREAL 12A</v>
          </cell>
          <cell r="I595">
            <v>1890000</v>
          </cell>
          <cell r="J595" t="str">
            <v>UN</v>
          </cell>
          <cell r="K595">
            <v>45609</v>
          </cell>
        </row>
        <row r="596">
          <cell r="A596" t="str">
            <v>50800517130</v>
          </cell>
          <cell r="B596" t="str">
            <v>ZMFD</v>
          </cell>
          <cell r="C596">
            <v>45481</v>
          </cell>
          <cell r="D596" t="str">
            <v>Not delivered</v>
          </cell>
          <cell r="E596">
            <v>508005171</v>
          </cell>
          <cell r="F596">
            <v>30</v>
          </cell>
          <cell r="G596">
            <v>1375595</v>
          </cell>
          <cell r="H596" t="str">
            <v>LC-009:BTL/INNER CLEAR P/OMG PTIPT 60B</v>
          </cell>
          <cell r="I596">
            <v>648000</v>
          </cell>
          <cell r="J596" t="str">
            <v>UN</v>
          </cell>
          <cell r="K596">
            <v>45609</v>
          </cell>
        </row>
        <row r="597">
          <cell r="A597" t="str">
            <v>50800517140</v>
          </cell>
          <cell r="B597" t="str">
            <v>ZMFD</v>
          </cell>
          <cell r="C597">
            <v>45481</v>
          </cell>
          <cell r="D597" t="str">
            <v>Not delivered</v>
          </cell>
          <cell r="E597">
            <v>508005171</v>
          </cell>
          <cell r="F597">
            <v>40</v>
          </cell>
          <cell r="G597">
            <v>1375593</v>
          </cell>
          <cell r="H597" t="str">
            <v>LC-009:CAP REDTRANS WIP S/OMG PTIPT 60B</v>
          </cell>
          <cell r="I597">
            <v>648000</v>
          </cell>
          <cell r="J597" t="str">
            <v>UN</v>
          </cell>
          <cell r="K597">
            <v>45609</v>
          </cell>
        </row>
        <row r="598">
          <cell r="A598" t="str">
            <v>50800517230</v>
          </cell>
          <cell r="B598" t="str">
            <v>ZMFD</v>
          </cell>
          <cell r="C598">
            <v>45481</v>
          </cell>
          <cell r="D598" t="str">
            <v>Not delivered</v>
          </cell>
          <cell r="E598">
            <v>508005172</v>
          </cell>
          <cell r="F598">
            <v>30</v>
          </cell>
          <cell r="G598">
            <v>1417990</v>
          </cell>
          <cell r="H598" t="str">
            <v>LC-009:BTL #2#3 INNER CLR P/OMG PTIPT60B</v>
          </cell>
          <cell r="I598">
            <v>1249720</v>
          </cell>
          <cell r="J598" t="str">
            <v>UN</v>
          </cell>
          <cell r="K598">
            <v>45609</v>
          </cell>
        </row>
        <row r="599">
          <cell r="A599" t="str">
            <v>50800517240</v>
          </cell>
          <cell r="B599" t="str">
            <v>ZMFD</v>
          </cell>
          <cell r="C599">
            <v>45481</v>
          </cell>
          <cell r="D599" t="str">
            <v>Not delivered</v>
          </cell>
          <cell r="E599">
            <v>508005172</v>
          </cell>
          <cell r="F599">
            <v>40</v>
          </cell>
          <cell r="G599">
            <v>1417978</v>
          </cell>
          <cell r="H599" t="str">
            <v>LC-009:CAP #2#3 REDTR WIP S/OMG PTIPT60B</v>
          </cell>
          <cell r="I599">
            <v>1249720</v>
          </cell>
          <cell r="J599" t="str">
            <v>UN</v>
          </cell>
          <cell r="K599">
            <v>45609</v>
          </cell>
        </row>
        <row r="600">
          <cell r="A600" t="str">
            <v>50800514030</v>
          </cell>
          <cell r="B600" t="str">
            <v>ZMFD</v>
          </cell>
          <cell r="C600">
            <v>45463</v>
          </cell>
          <cell r="D600" t="str">
            <v>Not delivered</v>
          </cell>
          <cell r="E600">
            <v>508005140</v>
          </cell>
          <cell r="F600">
            <v>30</v>
          </cell>
          <cell r="G600">
            <v>1174001</v>
          </cell>
          <cell r="H600" t="str">
            <v>CM-133:CVR/BS MTLC GREN UV S/SLV WRDH30C</v>
          </cell>
          <cell r="I600">
            <v>20160</v>
          </cell>
          <cell r="J600" t="str">
            <v>UN</v>
          </cell>
          <cell r="K600">
            <v>45609</v>
          </cell>
        </row>
        <row r="601">
          <cell r="A601" t="str">
            <v>50714279810</v>
          </cell>
          <cell r="B601" t="str">
            <v>ZMTD</v>
          </cell>
          <cell r="C601">
            <v>45558</v>
          </cell>
          <cell r="D601" t="str">
            <v>Not delivered</v>
          </cell>
          <cell r="E601">
            <v>507142798</v>
          </cell>
          <cell r="F601">
            <v>10</v>
          </cell>
          <cell r="G601">
            <v>1305089</v>
          </cell>
          <cell r="H601" t="str">
            <v>CM-207:VM SHY SLV P/MATTE ZGH6010038 EL</v>
          </cell>
          <cell r="I601">
            <v>25920</v>
          </cell>
          <cell r="J601" t="str">
            <v>UN</v>
          </cell>
          <cell r="K601">
            <v>45610</v>
          </cell>
        </row>
        <row r="602">
          <cell r="A602" t="str">
            <v>50714277310</v>
          </cell>
          <cell r="B602" t="str">
            <v>ZMTD</v>
          </cell>
          <cell r="C602">
            <v>45554</v>
          </cell>
          <cell r="D602" t="str">
            <v>Not delivered</v>
          </cell>
          <cell r="E602">
            <v>507142773</v>
          </cell>
          <cell r="F602">
            <v>10</v>
          </cell>
          <cell r="G602">
            <v>1218709</v>
          </cell>
          <cell r="H602" t="str">
            <v>LS-086:CVR CLR CVRSTICK DC4 N.MOLD MAYB</v>
          </cell>
          <cell r="I602">
            <v>50400</v>
          </cell>
          <cell r="J602" t="str">
            <v>UN</v>
          </cell>
          <cell r="K602">
            <v>45610</v>
          </cell>
        </row>
        <row r="603">
          <cell r="A603" t="str">
            <v>50714277510</v>
          </cell>
          <cell r="B603" t="str">
            <v>ZMTD</v>
          </cell>
          <cell r="C603">
            <v>45554</v>
          </cell>
          <cell r="D603" t="str">
            <v>Not delivered</v>
          </cell>
          <cell r="E603">
            <v>507142775</v>
          </cell>
          <cell r="F603">
            <v>10</v>
          </cell>
          <cell r="G603">
            <v>1256831</v>
          </cell>
          <cell r="H603" t="str">
            <v>LS-086:BS M.BEIGE NODC N.CUP MAYB BULK</v>
          </cell>
          <cell r="I603">
            <v>30000</v>
          </cell>
          <cell r="J603" t="str">
            <v>UN</v>
          </cell>
          <cell r="K603">
            <v>45610</v>
          </cell>
        </row>
        <row r="604">
          <cell r="A604" t="str">
            <v>50714276710</v>
          </cell>
          <cell r="B604" t="str">
            <v>ZMTD</v>
          </cell>
          <cell r="C604">
            <v>45553</v>
          </cell>
          <cell r="D604" t="str">
            <v>Not delivered</v>
          </cell>
          <cell r="E604">
            <v>507142767</v>
          </cell>
          <cell r="F604">
            <v>10</v>
          </cell>
          <cell r="G604">
            <v>1286626</v>
          </cell>
          <cell r="H604" t="str">
            <v>FP-038:BASE AMBER GWLT010705 EL</v>
          </cell>
          <cell r="I604">
            <v>25020</v>
          </cell>
          <cell r="J604" t="str">
            <v>UN</v>
          </cell>
          <cell r="K604">
            <v>45610</v>
          </cell>
        </row>
        <row r="605">
          <cell r="A605" t="str">
            <v>50800523710</v>
          </cell>
          <cell r="B605" t="str">
            <v>ZMFD</v>
          </cell>
          <cell r="C605">
            <v>45505</v>
          </cell>
          <cell r="D605" t="str">
            <v>Not delivered</v>
          </cell>
          <cell r="E605">
            <v>508005237</v>
          </cell>
          <cell r="F605">
            <v>10</v>
          </cell>
          <cell r="G605">
            <v>1102728</v>
          </cell>
          <cell r="H605" t="str">
            <v>CM-274 BLACK P/WHITE LAKME CSMAX 60B</v>
          </cell>
          <cell r="I605">
            <v>30000</v>
          </cell>
          <cell r="J605" t="str">
            <v>UN</v>
          </cell>
          <cell r="K605">
            <v>45610</v>
          </cell>
        </row>
        <row r="606">
          <cell r="A606" t="str">
            <v>50714255510</v>
          </cell>
          <cell r="B606" t="str">
            <v>ZMTD</v>
          </cell>
          <cell r="C606">
            <v>45495</v>
          </cell>
          <cell r="D606" t="str">
            <v>Not delivered</v>
          </cell>
          <cell r="E606">
            <v>507142555</v>
          </cell>
          <cell r="F606">
            <v>10</v>
          </cell>
          <cell r="G606">
            <v>1432356</v>
          </cell>
          <cell r="H606" t="str">
            <v>CM-280:BS/CV BO BLUE UV P/S/INEZ FTC 30M</v>
          </cell>
          <cell r="I606">
            <v>30000</v>
          </cell>
          <cell r="J606" t="str">
            <v>UN</v>
          </cell>
          <cell r="K606">
            <v>45610</v>
          </cell>
        </row>
        <row r="607">
          <cell r="A607" t="str">
            <v>50714254430</v>
          </cell>
          <cell r="B607" t="str">
            <v>ZMTD</v>
          </cell>
          <cell r="C607">
            <v>45491</v>
          </cell>
          <cell r="D607" t="str">
            <v>Not delivered</v>
          </cell>
          <cell r="E607">
            <v>507142544</v>
          </cell>
          <cell r="F607">
            <v>30</v>
          </cell>
          <cell r="G607">
            <v>1319857</v>
          </cell>
          <cell r="H607" t="str">
            <v>CM-296:WHT P/L.AGELES W/O HOLE COTY EPS</v>
          </cell>
          <cell r="I607">
            <v>57600</v>
          </cell>
          <cell r="J607" t="str">
            <v>UN</v>
          </cell>
          <cell r="K607">
            <v>45610</v>
          </cell>
        </row>
        <row r="608">
          <cell r="A608" t="str">
            <v>50800518130</v>
          </cell>
          <cell r="B608" t="str">
            <v>ZMFD</v>
          </cell>
          <cell r="C608">
            <v>45485</v>
          </cell>
          <cell r="D608" t="str">
            <v>Not delivered</v>
          </cell>
          <cell r="E608">
            <v>508005181</v>
          </cell>
          <cell r="F608">
            <v>30</v>
          </cell>
          <cell r="G608">
            <v>1413967</v>
          </cell>
          <cell r="H608" t="str">
            <v>CM-323:VM SILVER DIOR JUMBO M080</v>
          </cell>
          <cell r="I608">
            <v>27000</v>
          </cell>
          <cell r="J608" t="str">
            <v>UN</v>
          </cell>
          <cell r="K608">
            <v>45610</v>
          </cell>
        </row>
        <row r="609">
          <cell r="A609" t="str">
            <v>50800511640</v>
          </cell>
          <cell r="B609" t="str">
            <v>ZMFD</v>
          </cell>
          <cell r="C609">
            <v>45453</v>
          </cell>
          <cell r="D609" t="str">
            <v>Not delivered</v>
          </cell>
          <cell r="E609">
            <v>508005116</v>
          </cell>
          <cell r="F609">
            <v>40</v>
          </cell>
          <cell r="G609">
            <v>1409881</v>
          </cell>
          <cell r="H609" t="str">
            <v>CM-315:CVR/BS BLACK P/CVRLAST OMG RV160B</v>
          </cell>
          <cell r="I609">
            <v>108516</v>
          </cell>
          <cell r="J609" t="str">
            <v>UN</v>
          </cell>
          <cell r="K609">
            <v>45610</v>
          </cell>
        </row>
        <row r="610">
          <cell r="A610" t="str">
            <v>50714276590</v>
          </cell>
          <cell r="B610" t="str">
            <v>ZMTD</v>
          </cell>
          <cell r="C610">
            <v>45552</v>
          </cell>
          <cell r="D610" t="str">
            <v>Not delivered</v>
          </cell>
          <cell r="E610">
            <v>507142765</v>
          </cell>
          <cell r="F610">
            <v>90</v>
          </cell>
          <cell r="G610">
            <v>1398383</v>
          </cell>
          <cell r="H610" t="str">
            <v>CM-319:WHITE P/BLACK UV MATTE NARS</v>
          </cell>
          <cell r="I610">
            <v>40080</v>
          </cell>
          <cell r="J610" t="str">
            <v>UN</v>
          </cell>
          <cell r="K610">
            <v>45611</v>
          </cell>
        </row>
        <row r="611">
          <cell r="A611" t="str">
            <v>50714276650</v>
          </cell>
          <cell r="B611" t="str">
            <v>ZMTD</v>
          </cell>
          <cell r="C611">
            <v>45552</v>
          </cell>
          <cell r="D611" t="str">
            <v>Not delivered</v>
          </cell>
          <cell r="E611">
            <v>507142766</v>
          </cell>
          <cell r="F611">
            <v>50</v>
          </cell>
          <cell r="G611">
            <v>1398763</v>
          </cell>
          <cell r="H611" t="str">
            <v>CM-320:WHITE S/BLACK UV MATTE NARS</v>
          </cell>
          <cell r="I611">
            <v>40500</v>
          </cell>
          <cell r="J611" t="str">
            <v>UN</v>
          </cell>
          <cell r="K611">
            <v>45611</v>
          </cell>
        </row>
        <row r="612">
          <cell r="A612" t="str">
            <v>50714275410</v>
          </cell>
          <cell r="B612" t="str">
            <v>ZMTD</v>
          </cell>
          <cell r="C612">
            <v>45547</v>
          </cell>
          <cell r="D612" t="str">
            <v>Not delivered</v>
          </cell>
          <cell r="E612">
            <v>507142754</v>
          </cell>
          <cell r="F612">
            <v>10</v>
          </cell>
          <cell r="G612">
            <v>1192463</v>
          </cell>
          <cell r="H612" t="str">
            <v>FP-014:LATULIPE FACE POWDER</v>
          </cell>
          <cell r="I612">
            <v>20000</v>
          </cell>
          <cell r="J612" t="str">
            <v>UN</v>
          </cell>
          <cell r="K612">
            <v>45611</v>
          </cell>
        </row>
        <row r="613">
          <cell r="A613" t="str">
            <v>50714275420</v>
          </cell>
          <cell r="B613" t="str">
            <v>ZMTD</v>
          </cell>
          <cell r="C613">
            <v>45547</v>
          </cell>
          <cell r="D613" t="str">
            <v>Not delivered</v>
          </cell>
          <cell r="E613">
            <v>507142754</v>
          </cell>
          <cell r="F613">
            <v>20</v>
          </cell>
          <cell r="G613">
            <v>1192460</v>
          </cell>
          <cell r="H613" t="str">
            <v>FP-014:SIFTER NAT W/LABEL NO DC REMBAKA</v>
          </cell>
          <cell r="I613">
            <v>20000</v>
          </cell>
          <cell r="J613" t="str">
            <v>UN</v>
          </cell>
          <cell r="K613">
            <v>45611</v>
          </cell>
        </row>
        <row r="614">
          <cell r="A614" t="str">
            <v>50800527510</v>
          </cell>
          <cell r="B614" t="str">
            <v>ZMFD</v>
          </cell>
          <cell r="C614">
            <v>45539</v>
          </cell>
          <cell r="D614" t="str">
            <v>Not delivered</v>
          </cell>
          <cell r="E614">
            <v>508005275</v>
          </cell>
          <cell r="F614">
            <v>10</v>
          </cell>
          <cell r="G614">
            <v>1210646</v>
          </cell>
          <cell r="H614" t="str">
            <v>FP-014:CVR BLACK MATTE BLACK SS SMITH</v>
          </cell>
          <cell r="I614">
            <v>20000</v>
          </cell>
          <cell r="J614" t="str">
            <v>UN</v>
          </cell>
          <cell r="K614">
            <v>45611</v>
          </cell>
        </row>
        <row r="615">
          <cell r="A615" t="str">
            <v>50800527520</v>
          </cell>
          <cell r="B615" t="str">
            <v>ZMFD</v>
          </cell>
          <cell r="C615">
            <v>45539</v>
          </cell>
          <cell r="D615" t="str">
            <v>Not delivered</v>
          </cell>
          <cell r="E615">
            <v>508005275</v>
          </cell>
          <cell r="F615">
            <v>20</v>
          </cell>
          <cell r="G615">
            <v>1210647</v>
          </cell>
          <cell r="H615" t="str">
            <v>FP-014:BASE BLK MATTE BLACK SS SMITH</v>
          </cell>
          <cell r="I615">
            <v>20000</v>
          </cell>
          <cell r="J615" t="str">
            <v>UN</v>
          </cell>
          <cell r="K615">
            <v>45611</v>
          </cell>
        </row>
        <row r="616">
          <cell r="A616" t="str">
            <v>50800523430</v>
          </cell>
          <cell r="B616" t="str">
            <v>ZMFD</v>
          </cell>
          <cell r="C616">
            <v>45504</v>
          </cell>
          <cell r="D616" t="str">
            <v>Not delivered</v>
          </cell>
          <cell r="E616">
            <v>508005234</v>
          </cell>
          <cell r="F616">
            <v>30</v>
          </cell>
          <cell r="G616">
            <v>1169286</v>
          </cell>
          <cell r="H616" t="str">
            <v>CM-294:RECTANGULAR WITH GODET PKTJ010032</v>
          </cell>
          <cell r="I616">
            <v>37920</v>
          </cell>
          <cell r="J616" t="str">
            <v>UN</v>
          </cell>
          <cell r="K616">
            <v>45611</v>
          </cell>
        </row>
        <row r="617">
          <cell r="A617" t="str">
            <v>50714251810</v>
          </cell>
          <cell r="B617" t="str">
            <v>ZMTD</v>
          </cell>
          <cell r="C617">
            <v>45488</v>
          </cell>
          <cell r="D617" t="str">
            <v>Not delivered</v>
          </cell>
          <cell r="E617">
            <v>507142518</v>
          </cell>
          <cell r="F617">
            <v>10</v>
          </cell>
          <cell r="G617">
            <v>1419488</v>
          </cell>
          <cell r="H617" t="str">
            <v>CP-063R:SPOUT CAP WHITE LOREAL 12A</v>
          </cell>
          <cell r="I617">
            <v>1890000</v>
          </cell>
          <cell r="J617" t="str">
            <v>UN</v>
          </cell>
          <cell r="K617">
            <v>45611</v>
          </cell>
        </row>
        <row r="618">
          <cell r="A618" t="str">
            <v>50714156910</v>
          </cell>
          <cell r="B618" t="str">
            <v>ZMTD</v>
          </cell>
          <cell r="C618">
            <v>45303</v>
          </cell>
          <cell r="D618" t="str">
            <v>Not delivered</v>
          </cell>
          <cell r="E618">
            <v>507141569</v>
          </cell>
          <cell r="F618">
            <v>10</v>
          </cell>
          <cell r="G618">
            <v>1175313</v>
          </cell>
          <cell r="H618" t="str">
            <v>CM-101:N.GRN MRBL B/O 618J010304 CLNQ EL</v>
          </cell>
          <cell r="I618">
            <v>25350</v>
          </cell>
          <cell r="J618" t="str">
            <v>UN</v>
          </cell>
          <cell r="K618">
            <v>45611</v>
          </cell>
        </row>
        <row r="619">
          <cell r="A619" t="str">
            <v>50714285020</v>
          </cell>
          <cell r="B619" t="str">
            <v>ZMTD</v>
          </cell>
          <cell r="C619">
            <v>45567</v>
          </cell>
          <cell r="D619" t="str">
            <v>Not delivered</v>
          </cell>
          <cell r="E619">
            <v>507142850</v>
          </cell>
          <cell r="F619">
            <v>20</v>
          </cell>
          <cell r="G619">
            <v>1371896</v>
          </cell>
          <cell r="H619" t="str">
            <v>RX-056:CM-316 CVR BLUE P/WHT SP/MTCLR</v>
          </cell>
          <cell r="I619">
            <v>110016</v>
          </cell>
          <cell r="J619" t="str">
            <v>UN</v>
          </cell>
          <cell r="K619">
            <v>45612</v>
          </cell>
        </row>
        <row r="620">
          <cell r="A620" t="str">
            <v>50714242910</v>
          </cell>
          <cell r="B620" t="str">
            <v>ZMTD</v>
          </cell>
          <cell r="C620">
            <v>45475</v>
          </cell>
          <cell r="D620" t="str">
            <v>Not delivered</v>
          </cell>
          <cell r="E620">
            <v>507142429</v>
          </cell>
          <cell r="F620">
            <v>10</v>
          </cell>
          <cell r="G620">
            <v>1160336</v>
          </cell>
          <cell r="H620" t="str">
            <v>CP-071:CP8364 TNR WPRL 200 REX IS 763</v>
          </cell>
          <cell r="I620">
            <v>87000</v>
          </cell>
          <cell r="J620" t="str">
            <v>UN</v>
          </cell>
          <cell r="K620">
            <v>45612</v>
          </cell>
        </row>
        <row r="621">
          <cell r="A621" t="str">
            <v>50714284510</v>
          </cell>
          <cell r="B621" t="str">
            <v>ZMTD</v>
          </cell>
          <cell r="C621">
            <v>45566</v>
          </cell>
          <cell r="D621" t="str">
            <v>Not delivered</v>
          </cell>
          <cell r="E621">
            <v>507142845</v>
          </cell>
          <cell r="F621">
            <v>10</v>
          </cell>
          <cell r="G621">
            <v>1420101</v>
          </cell>
          <cell r="H621" t="str">
            <v>LS-091:BS RED P/RED FRTY CHERRY NEW 60B</v>
          </cell>
          <cell r="I621">
            <v>32604</v>
          </cell>
          <cell r="J621" t="str">
            <v>UN</v>
          </cell>
          <cell r="K621">
            <v>45614</v>
          </cell>
        </row>
        <row r="622">
          <cell r="A622" t="str">
            <v>50714284520</v>
          </cell>
          <cell r="B622" t="str">
            <v>ZMTD</v>
          </cell>
          <cell r="C622">
            <v>45566</v>
          </cell>
          <cell r="D622" t="str">
            <v>Not delivered</v>
          </cell>
          <cell r="E622">
            <v>507142845</v>
          </cell>
          <cell r="F622">
            <v>20</v>
          </cell>
          <cell r="G622">
            <v>1420102</v>
          </cell>
          <cell r="H622" t="str">
            <v>LS-091:CV WHT P/ICE FRUITY CHERRY 60B</v>
          </cell>
          <cell r="I622">
            <v>32604</v>
          </cell>
          <cell r="J622" t="str">
            <v>UN</v>
          </cell>
          <cell r="K622">
            <v>45614</v>
          </cell>
        </row>
        <row r="623">
          <cell r="A623" t="str">
            <v>50800529510</v>
          </cell>
          <cell r="B623" t="str">
            <v>ZMFD</v>
          </cell>
          <cell r="C623">
            <v>45561</v>
          </cell>
          <cell r="D623" t="str">
            <v>Not delivered</v>
          </cell>
          <cell r="E623">
            <v>508005295</v>
          </cell>
          <cell r="F623">
            <v>10</v>
          </cell>
          <cell r="G623">
            <v>1364395</v>
          </cell>
          <cell r="H623" t="str">
            <v>PT-048:CVR/BS WHT NO DC 4GR MISWAK 12A</v>
          </cell>
          <cell r="I623">
            <v>10000</v>
          </cell>
          <cell r="J623" t="str">
            <v>UN</v>
          </cell>
          <cell r="K623">
            <v>45614</v>
          </cell>
        </row>
        <row r="624">
          <cell r="A624" t="str">
            <v>50714271210</v>
          </cell>
          <cell r="B624" t="str">
            <v>ZMTD</v>
          </cell>
          <cell r="C624">
            <v>45538</v>
          </cell>
          <cell r="D624" t="str">
            <v>Not delivered</v>
          </cell>
          <cell r="E624">
            <v>507142712</v>
          </cell>
          <cell r="F624">
            <v>10</v>
          </cell>
          <cell r="G624">
            <v>1332672</v>
          </cell>
          <cell r="H624" t="str">
            <v>CM-095:VM ROSE GOLD P/BLACK COTY</v>
          </cell>
          <cell r="I624">
            <v>56160</v>
          </cell>
          <cell r="J624" t="str">
            <v>UN</v>
          </cell>
          <cell r="K624">
            <v>45614</v>
          </cell>
        </row>
        <row r="625">
          <cell r="A625" t="str">
            <v>50714251910</v>
          </cell>
          <cell r="B625" t="str">
            <v>ZMTD</v>
          </cell>
          <cell r="C625">
            <v>45488</v>
          </cell>
          <cell r="D625" t="str">
            <v>Not delivered</v>
          </cell>
          <cell r="E625">
            <v>507142519</v>
          </cell>
          <cell r="F625">
            <v>10</v>
          </cell>
          <cell r="G625">
            <v>1419488</v>
          </cell>
          <cell r="H625" t="str">
            <v>CP-063R:SPOUT CAP WHITE LOREAL 12A</v>
          </cell>
          <cell r="I625">
            <v>1890000</v>
          </cell>
          <cell r="J625" t="str">
            <v>UN</v>
          </cell>
          <cell r="K625">
            <v>45614</v>
          </cell>
        </row>
        <row r="626">
          <cell r="A626" t="str">
            <v>50800494730</v>
          </cell>
          <cell r="B626" t="str">
            <v>ZMFD</v>
          </cell>
          <cell r="C626">
            <v>45370</v>
          </cell>
          <cell r="D626" t="str">
            <v>Not delivered</v>
          </cell>
          <cell r="E626">
            <v>508004947</v>
          </cell>
          <cell r="F626">
            <v>30</v>
          </cell>
          <cell r="G626">
            <v>1411898</v>
          </cell>
          <cell r="H626" t="str">
            <v>PT-100:CVR MT.GREEN EMBOS KAHF PTI 40D</v>
          </cell>
          <cell r="I626">
            <v>177000</v>
          </cell>
          <cell r="J626" t="str">
            <v>UN</v>
          </cell>
          <cell r="K626">
            <v>45614</v>
          </cell>
        </row>
        <row r="627">
          <cell r="A627" t="str">
            <v>50800494740</v>
          </cell>
          <cell r="B627" t="str">
            <v>ZMFD</v>
          </cell>
          <cell r="C627">
            <v>45370</v>
          </cell>
          <cell r="D627" t="str">
            <v>Not delivered</v>
          </cell>
          <cell r="E627">
            <v>508004947</v>
          </cell>
          <cell r="F627">
            <v>40</v>
          </cell>
          <cell r="G627">
            <v>1411899</v>
          </cell>
          <cell r="H627" t="str">
            <v>PT-100:BS/INS GREEN P/WHT KAHF PTI 60B</v>
          </cell>
          <cell r="I627">
            <v>177000</v>
          </cell>
          <cell r="J627" t="str">
            <v>UN</v>
          </cell>
          <cell r="K627">
            <v>45614</v>
          </cell>
        </row>
        <row r="628">
          <cell r="A628" t="str">
            <v>50714270550</v>
          </cell>
          <cell r="B628" t="str">
            <v>ZMTD</v>
          </cell>
          <cell r="C628">
            <v>45534</v>
          </cell>
          <cell r="D628" t="str">
            <v>Not delivered</v>
          </cell>
          <cell r="E628">
            <v>507142705</v>
          </cell>
          <cell r="F628">
            <v>50</v>
          </cell>
          <cell r="G628">
            <v>1342220</v>
          </cell>
          <cell r="H628" t="str">
            <v>LC-010:BTL CLR HTF COLBEIGE CFIT PTI 60C</v>
          </cell>
          <cell r="I628">
            <v>100170</v>
          </cell>
          <cell r="J628" t="str">
            <v>UN</v>
          </cell>
          <cell r="K628">
            <v>45615</v>
          </cell>
        </row>
        <row r="629">
          <cell r="A629" t="str">
            <v>50714270560</v>
          </cell>
          <cell r="B629" t="str">
            <v>ZMTD</v>
          </cell>
          <cell r="C629">
            <v>45534</v>
          </cell>
          <cell r="D629" t="str">
            <v>Not delivered</v>
          </cell>
          <cell r="E629">
            <v>507142705</v>
          </cell>
          <cell r="F629">
            <v>60</v>
          </cell>
          <cell r="G629">
            <v>1342221</v>
          </cell>
          <cell r="H629" t="str">
            <v>LC-010:CAP BEIGE WIP NAT PTI 12A</v>
          </cell>
          <cell r="I629">
            <v>100170</v>
          </cell>
          <cell r="J629" t="str">
            <v>UN</v>
          </cell>
          <cell r="K629">
            <v>45615</v>
          </cell>
        </row>
        <row r="630">
          <cell r="A630" t="str">
            <v>50714255520</v>
          </cell>
          <cell r="B630" t="str">
            <v>ZMTD</v>
          </cell>
          <cell r="C630">
            <v>45495</v>
          </cell>
          <cell r="D630" t="str">
            <v>Not delivered</v>
          </cell>
          <cell r="E630">
            <v>507142555</v>
          </cell>
          <cell r="F630">
            <v>20</v>
          </cell>
          <cell r="G630">
            <v>1432444</v>
          </cell>
          <cell r="H630" t="str">
            <v>CM-280:BS/CV ES BLUE UV P/S/INEZ FTC 30M</v>
          </cell>
          <cell r="I630">
            <v>25000</v>
          </cell>
          <cell r="J630" t="str">
            <v>UN</v>
          </cell>
          <cell r="K630">
            <v>45615</v>
          </cell>
        </row>
        <row r="631">
          <cell r="A631" t="str">
            <v>50714230610</v>
          </cell>
          <cell r="B631" t="str">
            <v>ZMTD</v>
          </cell>
          <cell r="C631">
            <v>45449</v>
          </cell>
          <cell r="D631" t="str">
            <v>Not delivered</v>
          </cell>
          <cell r="E631">
            <v>507142306</v>
          </cell>
          <cell r="F631">
            <v>10</v>
          </cell>
          <cell r="G631">
            <v>1389292</v>
          </cell>
          <cell r="H631" t="str">
            <v>CM-295:GODET MONEY MOVES G87J-01-0091</v>
          </cell>
          <cell r="I631">
            <v>10472</v>
          </cell>
          <cell r="J631" t="str">
            <v>UN</v>
          </cell>
          <cell r="K631">
            <v>45615</v>
          </cell>
        </row>
        <row r="632">
          <cell r="A632" t="str">
            <v>50800530110</v>
          </cell>
          <cell r="B632" t="str">
            <v>ZMFD</v>
          </cell>
          <cell r="C632">
            <v>45568</v>
          </cell>
          <cell r="D632" t="str">
            <v>Not delivered</v>
          </cell>
          <cell r="E632">
            <v>508005301</v>
          </cell>
          <cell r="F632">
            <v>10</v>
          </cell>
          <cell r="G632">
            <v>1367372</v>
          </cell>
          <cell r="H632" t="str">
            <v>PT-097:BODY GREN HOUSE WHT TRANS PTI 12A</v>
          </cell>
          <cell r="I632">
            <v>110000</v>
          </cell>
          <cell r="J632" t="str">
            <v>UN</v>
          </cell>
          <cell r="K632">
            <v>45616</v>
          </cell>
        </row>
        <row r="633">
          <cell r="A633" t="str">
            <v>50800530120</v>
          </cell>
          <cell r="B633" t="str">
            <v>ZMFD</v>
          </cell>
          <cell r="C633">
            <v>45568</v>
          </cell>
          <cell r="D633" t="str">
            <v>Not delivered</v>
          </cell>
          <cell r="E633">
            <v>508005301</v>
          </cell>
          <cell r="F633">
            <v>20</v>
          </cell>
          <cell r="G633">
            <v>1367370</v>
          </cell>
          <cell r="H633" t="str">
            <v>PT-097:CAP GREN TRANS PTI 12A</v>
          </cell>
          <cell r="I633">
            <v>110000</v>
          </cell>
          <cell r="J633" t="str">
            <v>UN</v>
          </cell>
          <cell r="K633">
            <v>45616</v>
          </cell>
        </row>
        <row r="634">
          <cell r="A634" t="str">
            <v>50714284210</v>
          </cell>
          <cell r="B634" t="str">
            <v>ZMTD</v>
          </cell>
          <cell r="C634">
            <v>45566</v>
          </cell>
          <cell r="D634" t="str">
            <v>Not delivered</v>
          </cell>
          <cell r="E634">
            <v>507142842</v>
          </cell>
          <cell r="F634">
            <v>10</v>
          </cell>
          <cell r="G634">
            <v>1217479</v>
          </cell>
          <cell r="H634" t="str">
            <v>CM-172:8W UV SLV P/ S.CLNQ 6P40010031 EL</v>
          </cell>
          <cell r="I634">
            <v>25080</v>
          </cell>
          <cell r="J634" t="str">
            <v>UN</v>
          </cell>
          <cell r="K634">
            <v>45616</v>
          </cell>
        </row>
        <row r="635">
          <cell r="A635" t="str">
            <v>50714284530</v>
          </cell>
          <cell r="B635" t="str">
            <v>ZMTD</v>
          </cell>
          <cell r="C635">
            <v>45566</v>
          </cell>
          <cell r="D635" t="str">
            <v>Not delivered</v>
          </cell>
          <cell r="E635">
            <v>507142845</v>
          </cell>
          <cell r="F635">
            <v>30</v>
          </cell>
          <cell r="G635">
            <v>1420082</v>
          </cell>
          <cell r="H635" t="str">
            <v>LS-091:BS PEACH P/REDFRTY STRAWBR NEW60B</v>
          </cell>
          <cell r="I635">
            <v>26676</v>
          </cell>
          <cell r="J635" t="str">
            <v>UN</v>
          </cell>
          <cell r="K635">
            <v>45616</v>
          </cell>
        </row>
        <row r="636">
          <cell r="A636" t="str">
            <v>50714284540</v>
          </cell>
          <cell r="B636" t="str">
            <v>ZMTD</v>
          </cell>
          <cell r="C636">
            <v>45566</v>
          </cell>
          <cell r="D636" t="str">
            <v>Not delivered</v>
          </cell>
          <cell r="E636">
            <v>507142845</v>
          </cell>
          <cell r="F636">
            <v>40</v>
          </cell>
          <cell r="G636">
            <v>1420083</v>
          </cell>
          <cell r="H636" t="str">
            <v>LS-091:CV WHT P/ICE FRUITY STRAWBERY 60B</v>
          </cell>
          <cell r="I636">
            <v>26676</v>
          </cell>
          <cell r="J636" t="str">
            <v>UN</v>
          </cell>
          <cell r="K636">
            <v>45616</v>
          </cell>
        </row>
        <row r="637">
          <cell r="A637" t="str">
            <v>50800529120</v>
          </cell>
          <cell r="B637" t="str">
            <v>ZMFD</v>
          </cell>
          <cell r="C637">
            <v>45559</v>
          </cell>
          <cell r="D637" t="str">
            <v>Not delivered</v>
          </cell>
          <cell r="E637">
            <v>508005291</v>
          </cell>
          <cell r="F637">
            <v>20</v>
          </cell>
          <cell r="G637">
            <v>1169703</v>
          </cell>
          <cell r="H637" t="str">
            <v>CP-064:CAP 25 SCREW WHITE MT TR L'OREAL</v>
          </cell>
          <cell r="I637">
            <v>100000</v>
          </cell>
          <cell r="J637" t="str">
            <v>UN</v>
          </cell>
          <cell r="K637">
            <v>45616</v>
          </cell>
        </row>
        <row r="638">
          <cell r="A638" t="str">
            <v>50800528810</v>
          </cell>
          <cell r="B638" t="str">
            <v>ZMFD</v>
          </cell>
          <cell r="C638">
            <v>45558</v>
          </cell>
          <cell r="D638" t="str">
            <v>Not delivered</v>
          </cell>
          <cell r="E638">
            <v>508005288</v>
          </cell>
          <cell r="F638">
            <v>10</v>
          </cell>
          <cell r="G638">
            <v>1336783</v>
          </cell>
          <cell r="H638" t="str">
            <v>LC-003:BTL CLR CLVM P/S/INSTSUEDE PTI20Y</v>
          </cell>
          <cell r="I638">
            <v>25000</v>
          </cell>
          <cell r="J638" t="str">
            <v>UN</v>
          </cell>
          <cell r="K638">
            <v>45616</v>
          </cell>
        </row>
        <row r="639">
          <cell r="A639" t="str">
            <v>50800528820</v>
          </cell>
          <cell r="B639" t="str">
            <v>ZMFD</v>
          </cell>
          <cell r="C639">
            <v>45558</v>
          </cell>
          <cell r="D639" t="str">
            <v>Not delivered</v>
          </cell>
          <cell r="E639">
            <v>508005288</v>
          </cell>
          <cell r="F639">
            <v>20</v>
          </cell>
          <cell r="G639">
            <v>1378266</v>
          </cell>
          <cell r="H639" t="str">
            <v>LC-003:CAP VM RS PINK INSTASUEDE PTI 20F</v>
          </cell>
          <cell r="I639">
            <v>25000</v>
          </cell>
          <cell r="J639" t="str">
            <v>UN</v>
          </cell>
          <cell r="K639">
            <v>45616</v>
          </cell>
        </row>
        <row r="640">
          <cell r="A640" t="str">
            <v>50800527110</v>
          </cell>
          <cell r="B640" t="str">
            <v>ZMFD</v>
          </cell>
          <cell r="C640">
            <v>45538</v>
          </cell>
          <cell r="D640" t="str">
            <v>Not delivered</v>
          </cell>
          <cell r="E640">
            <v>508005271</v>
          </cell>
          <cell r="F640">
            <v>10</v>
          </cell>
          <cell r="G640">
            <v>1411701</v>
          </cell>
          <cell r="H640" t="str">
            <v>PT-100:BS/INS BLUE P/WHT KAHF PTI 60B</v>
          </cell>
          <cell r="I640">
            <v>240000</v>
          </cell>
          <cell r="J640" t="str">
            <v>UN</v>
          </cell>
          <cell r="K640">
            <v>45616</v>
          </cell>
        </row>
        <row r="641">
          <cell r="A641" t="str">
            <v>50800527120</v>
          </cell>
          <cell r="B641" t="str">
            <v>ZMFD</v>
          </cell>
          <cell r="C641">
            <v>45538</v>
          </cell>
          <cell r="D641" t="str">
            <v>Not delivered</v>
          </cell>
          <cell r="E641">
            <v>508005271</v>
          </cell>
          <cell r="F641">
            <v>20</v>
          </cell>
          <cell r="G641">
            <v>1411700</v>
          </cell>
          <cell r="H641" t="str">
            <v>PT-100:CVR MT.BLUE EMBOS KAHF PTI 40D</v>
          </cell>
          <cell r="I641">
            <v>240000</v>
          </cell>
          <cell r="J641" t="str">
            <v>UN</v>
          </cell>
          <cell r="K641">
            <v>45616</v>
          </cell>
        </row>
        <row r="642">
          <cell r="A642" t="str">
            <v>50800525510</v>
          </cell>
          <cell r="B642" t="str">
            <v>ZMFD</v>
          </cell>
          <cell r="C642">
            <v>45516</v>
          </cell>
          <cell r="D642" t="str">
            <v>Not delivered</v>
          </cell>
          <cell r="E642">
            <v>508005255</v>
          </cell>
          <cell r="F642">
            <v>10</v>
          </cell>
          <cell r="G642">
            <v>1436641</v>
          </cell>
          <cell r="H642" t="str">
            <v>CM-310:BLUE UV S/SILVER DIOR PEPSPE+IXPE</v>
          </cell>
          <cell r="I642">
            <v>64800</v>
          </cell>
          <cell r="J642" t="str">
            <v>UN</v>
          </cell>
          <cell r="K642">
            <v>45616</v>
          </cell>
        </row>
        <row r="643">
          <cell r="A643" t="str">
            <v>50714261110</v>
          </cell>
          <cell r="B643" t="str">
            <v>ZMTD</v>
          </cell>
          <cell r="C643">
            <v>45510</v>
          </cell>
          <cell r="D643" t="str">
            <v>Not delivered</v>
          </cell>
          <cell r="E643">
            <v>507142611</v>
          </cell>
          <cell r="F643">
            <v>10</v>
          </cell>
          <cell r="G643">
            <v>1436641</v>
          </cell>
          <cell r="H643" t="str">
            <v>CM-310:BLUE UV S/SILVER DIOR PEPSPE+IXPE</v>
          </cell>
          <cell r="I643">
            <v>64800</v>
          </cell>
          <cell r="J643" t="str">
            <v>UN</v>
          </cell>
          <cell r="K643">
            <v>45616</v>
          </cell>
        </row>
        <row r="644">
          <cell r="A644" t="str">
            <v>50800517620</v>
          </cell>
          <cell r="B644" t="str">
            <v>ZMFD</v>
          </cell>
          <cell r="C644">
            <v>45482</v>
          </cell>
          <cell r="D644" t="str">
            <v>Not delivered</v>
          </cell>
          <cell r="E644">
            <v>508005176</v>
          </cell>
          <cell r="F644">
            <v>20</v>
          </cell>
          <cell r="G644">
            <v>1171241</v>
          </cell>
          <cell r="H644" t="str">
            <v>CP-059:60ML UV GOLD WHT LN 7712010071 EL</v>
          </cell>
          <cell r="I644">
            <v>25080</v>
          </cell>
          <cell r="J644" t="str">
            <v>UN</v>
          </cell>
          <cell r="K644">
            <v>45616</v>
          </cell>
        </row>
        <row r="645">
          <cell r="A645" t="str">
            <v>50800514910</v>
          </cell>
          <cell r="B645" t="str">
            <v>ZMFD</v>
          </cell>
          <cell r="C645">
            <v>45464</v>
          </cell>
          <cell r="D645" t="str">
            <v>Not delivered</v>
          </cell>
          <cell r="E645">
            <v>508005149</v>
          </cell>
          <cell r="F645">
            <v>10</v>
          </cell>
          <cell r="G645">
            <v>1378563</v>
          </cell>
          <cell r="H645" t="str">
            <v>CP-093:CAP D50 MT BLACK Ø.5 YASULOR 12A</v>
          </cell>
          <cell r="I645">
            <v>600000</v>
          </cell>
          <cell r="J645" t="str">
            <v>UN</v>
          </cell>
          <cell r="K645">
            <v>45616</v>
          </cell>
        </row>
        <row r="646">
          <cell r="A646" t="str">
            <v>50800506810</v>
          </cell>
          <cell r="B646" t="str">
            <v>ZMFD</v>
          </cell>
          <cell r="C646">
            <v>45433</v>
          </cell>
          <cell r="D646" t="str">
            <v>Not delivered</v>
          </cell>
          <cell r="E646">
            <v>508005068</v>
          </cell>
          <cell r="F646">
            <v>10</v>
          </cell>
          <cell r="G646">
            <v>1255662</v>
          </cell>
          <cell r="H646" t="str">
            <v>LC-002:BTL MT VAR12 P/WRDH B.MARK PTI40H</v>
          </cell>
          <cell r="I646">
            <v>31000</v>
          </cell>
          <cell r="J646" t="str">
            <v>UN</v>
          </cell>
          <cell r="K646">
            <v>45616</v>
          </cell>
        </row>
        <row r="647">
          <cell r="A647" t="str">
            <v>50800506820</v>
          </cell>
          <cell r="B647" t="str">
            <v>ZMFD</v>
          </cell>
          <cell r="C647">
            <v>45433</v>
          </cell>
          <cell r="D647" t="str">
            <v>Not delivered</v>
          </cell>
          <cell r="E647">
            <v>508005068</v>
          </cell>
          <cell r="F647">
            <v>20</v>
          </cell>
          <cell r="G647">
            <v>1174820</v>
          </cell>
          <cell r="H647" t="str">
            <v>LC-002:CP S/MT VAR12 STM-WHT WNAT PTI40D</v>
          </cell>
          <cell r="I647">
            <v>31000</v>
          </cell>
          <cell r="J647" t="str">
            <v>UN</v>
          </cell>
          <cell r="K647">
            <v>45616</v>
          </cell>
        </row>
        <row r="648">
          <cell r="A648" t="str">
            <v>50714280020</v>
          </cell>
          <cell r="B648" t="str">
            <v>ZMTD</v>
          </cell>
          <cell r="C648">
            <v>45558</v>
          </cell>
          <cell r="D648" t="str">
            <v>Not delivered</v>
          </cell>
          <cell r="E648">
            <v>507142800</v>
          </cell>
          <cell r="F648">
            <v>20</v>
          </cell>
          <cell r="G648">
            <v>1181522</v>
          </cell>
          <cell r="H648" t="str">
            <v>CM-298:TRIO EYESHADOW</v>
          </cell>
          <cell r="I648">
            <v>50000</v>
          </cell>
          <cell r="J648" t="str">
            <v>UN</v>
          </cell>
          <cell r="K648">
            <v>45617</v>
          </cell>
        </row>
        <row r="649">
          <cell r="A649" t="str">
            <v>50714268310</v>
          </cell>
          <cell r="B649" t="str">
            <v>ZMTD</v>
          </cell>
          <cell r="C649">
            <v>45532</v>
          </cell>
          <cell r="D649" t="str">
            <v>Not delivered</v>
          </cell>
          <cell r="E649">
            <v>507142683</v>
          </cell>
          <cell r="F649">
            <v>10</v>
          </cell>
          <cell r="G649">
            <v>1284957</v>
          </cell>
          <cell r="H649" t="str">
            <v>CM-244:WHITE U/CLR  S/SLVR ZGNC010031 EL</v>
          </cell>
          <cell r="I649">
            <v>10080</v>
          </cell>
          <cell r="J649" t="str">
            <v>UN</v>
          </cell>
          <cell r="K649">
            <v>45617</v>
          </cell>
        </row>
        <row r="650">
          <cell r="A650" t="str">
            <v>50800518140</v>
          </cell>
          <cell r="B650" t="str">
            <v>ZMFD</v>
          </cell>
          <cell r="C650">
            <v>45485</v>
          </cell>
          <cell r="D650" t="str">
            <v>Not delivered</v>
          </cell>
          <cell r="E650">
            <v>508005181</v>
          </cell>
          <cell r="F650">
            <v>40</v>
          </cell>
          <cell r="G650">
            <v>1413967</v>
          </cell>
          <cell r="H650" t="str">
            <v>CM-323:VM SILVER DIOR JUMBO M080</v>
          </cell>
          <cell r="I650">
            <v>27000</v>
          </cell>
          <cell r="J650" t="str">
            <v>UN</v>
          </cell>
          <cell r="K650">
            <v>45617</v>
          </cell>
        </row>
        <row r="651">
          <cell r="A651" t="str">
            <v>50714243340</v>
          </cell>
          <cell r="B651" t="str">
            <v>ZMTD</v>
          </cell>
          <cell r="C651">
            <v>45475</v>
          </cell>
          <cell r="D651" t="str">
            <v>Not delivered</v>
          </cell>
          <cell r="E651">
            <v>507142433</v>
          </cell>
          <cell r="F651">
            <v>40</v>
          </cell>
          <cell r="G651">
            <v>1406600</v>
          </cell>
          <cell r="H651" t="str">
            <v>CM-310:BLACK M086 CANNAGE S/SLV UV MT</v>
          </cell>
          <cell r="I651">
            <v>39000</v>
          </cell>
          <cell r="J651" t="str">
            <v>UN</v>
          </cell>
          <cell r="K651">
            <v>45617</v>
          </cell>
        </row>
        <row r="652">
          <cell r="A652" t="str">
            <v>50800530310</v>
          </cell>
          <cell r="B652" t="str">
            <v>ZMFD</v>
          </cell>
          <cell r="C652">
            <v>45568</v>
          </cell>
          <cell r="D652" t="str">
            <v>Not delivered</v>
          </cell>
          <cell r="E652">
            <v>508005303</v>
          </cell>
          <cell r="F652">
            <v>10</v>
          </cell>
          <cell r="G652">
            <v>1430094</v>
          </cell>
          <cell r="H652" t="str">
            <v>LS-285:BS BLUE NO DC WARDAH PTI 12A</v>
          </cell>
          <cell r="I652">
            <v>25536</v>
          </cell>
          <cell r="J652" t="str">
            <v>UN</v>
          </cell>
          <cell r="K652">
            <v>45618</v>
          </cell>
        </row>
        <row r="653">
          <cell r="A653" t="str">
            <v>50800530320</v>
          </cell>
          <cell r="B653" t="str">
            <v>ZMFD</v>
          </cell>
          <cell r="C653">
            <v>45568</v>
          </cell>
          <cell r="D653" t="str">
            <v>Not delivered</v>
          </cell>
          <cell r="E653">
            <v>508005303</v>
          </cell>
          <cell r="F653">
            <v>20</v>
          </cell>
          <cell r="G653">
            <v>1430093</v>
          </cell>
          <cell r="H653" t="str">
            <v>LS-285:CV MT.TR BLUE P/SHERCLEAR PTI 40H</v>
          </cell>
          <cell r="I653">
            <v>25536</v>
          </cell>
          <cell r="J653" t="str">
            <v>UN</v>
          </cell>
          <cell r="K653">
            <v>45618</v>
          </cell>
        </row>
        <row r="654">
          <cell r="A654" t="str">
            <v>50714276340</v>
          </cell>
          <cell r="B654" t="str">
            <v>ZMTD</v>
          </cell>
          <cell r="C654">
            <v>45552</v>
          </cell>
          <cell r="D654" t="str">
            <v>Not delivered</v>
          </cell>
          <cell r="E654">
            <v>507142763</v>
          </cell>
          <cell r="F654">
            <v>40</v>
          </cell>
          <cell r="G654">
            <v>1182817</v>
          </cell>
          <cell r="H654" t="str">
            <v>FP-014:JAR P/BLACK ALMAY</v>
          </cell>
          <cell r="I654">
            <v>25056</v>
          </cell>
          <cell r="J654" t="str">
            <v>UN</v>
          </cell>
          <cell r="K654">
            <v>45618</v>
          </cell>
        </row>
        <row r="655">
          <cell r="A655" t="str">
            <v>50714276410</v>
          </cell>
          <cell r="B655" t="str">
            <v>ZMTD</v>
          </cell>
          <cell r="C655">
            <v>45552</v>
          </cell>
          <cell r="D655" t="str">
            <v>Not delivered</v>
          </cell>
          <cell r="E655">
            <v>507142764</v>
          </cell>
          <cell r="F655">
            <v>10</v>
          </cell>
          <cell r="G655">
            <v>1211756</v>
          </cell>
          <cell r="H655" t="str">
            <v>CM-246:COVER VM SHNY SLV ALMOST PWD</v>
          </cell>
          <cell r="I655">
            <v>120120</v>
          </cell>
          <cell r="J655" t="str">
            <v>UN</v>
          </cell>
          <cell r="K655">
            <v>45618</v>
          </cell>
        </row>
        <row r="656">
          <cell r="A656" t="str">
            <v>507142765100</v>
          </cell>
          <cell r="B656" t="str">
            <v>ZMTD</v>
          </cell>
          <cell r="C656">
            <v>45552</v>
          </cell>
          <cell r="D656" t="str">
            <v>Not delivered</v>
          </cell>
          <cell r="E656">
            <v>507142765</v>
          </cell>
          <cell r="F656">
            <v>100</v>
          </cell>
          <cell r="G656">
            <v>1398383</v>
          </cell>
          <cell r="H656" t="str">
            <v>CM-319:WHITE P/BLACK UV MATTE NARS</v>
          </cell>
          <cell r="I656">
            <v>40080</v>
          </cell>
          <cell r="J656" t="str">
            <v>UN</v>
          </cell>
          <cell r="K656">
            <v>45618</v>
          </cell>
        </row>
        <row r="657">
          <cell r="A657" t="str">
            <v>50714276660</v>
          </cell>
          <cell r="B657" t="str">
            <v>ZMTD</v>
          </cell>
          <cell r="C657">
            <v>45552</v>
          </cell>
          <cell r="D657" t="str">
            <v>Not delivered</v>
          </cell>
          <cell r="E657">
            <v>507142766</v>
          </cell>
          <cell r="F657">
            <v>60</v>
          </cell>
          <cell r="G657">
            <v>1398763</v>
          </cell>
          <cell r="H657" t="str">
            <v>CM-320:WHITE S/BLACK UV MATTE NARS</v>
          </cell>
          <cell r="I657">
            <v>8100</v>
          </cell>
          <cell r="J657" t="str">
            <v>UN</v>
          </cell>
          <cell r="K657">
            <v>45618</v>
          </cell>
        </row>
        <row r="658">
          <cell r="A658" t="str">
            <v>50714275510</v>
          </cell>
          <cell r="B658" t="str">
            <v>ZMTD</v>
          </cell>
          <cell r="C658">
            <v>45547</v>
          </cell>
          <cell r="D658" t="str">
            <v>Not delivered</v>
          </cell>
          <cell r="E658">
            <v>507142755</v>
          </cell>
          <cell r="F658">
            <v>10</v>
          </cell>
          <cell r="G658">
            <v>1216572</v>
          </cell>
          <cell r="H658" t="str">
            <v>CM-216:TRUE MATCH CV PF S/SLV LOR (SEA)</v>
          </cell>
          <cell r="I658">
            <v>207600</v>
          </cell>
          <cell r="J658" t="str">
            <v>UN</v>
          </cell>
          <cell r="K658">
            <v>45618</v>
          </cell>
        </row>
        <row r="659">
          <cell r="A659" t="str">
            <v>50800527210</v>
          </cell>
          <cell r="B659" t="str">
            <v>ZMFD</v>
          </cell>
          <cell r="C659">
            <v>45538</v>
          </cell>
          <cell r="D659" t="str">
            <v>Not delivered</v>
          </cell>
          <cell r="E659">
            <v>508005272</v>
          </cell>
          <cell r="F659">
            <v>10</v>
          </cell>
          <cell r="G659">
            <v>1411899</v>
          </cell>
          <cell r="H659" t="str">
            <v>PT-100:BS/INS GREEN P/WHT KAHF PTI 60B</v>
          </cell>
          <cell r="I659">
            <v>63000</v>
          </cell>
          <cell r="J659" t="str">
            <v>UN</v>
          </cell>
          <cell r="K659">
            <v>45618</v>
          </cell>
        </row>
        <row r="660">
          <cell r="A660" t="str">
            <v>50800527220</v>
          </cell>
          <cell r="B660" t="str">
            <v>ZMFD</v>
          </cell>
          <cell r="C660">
            <v>45538</v>
          </cell>
          <cell r="D660" t="str">
            <v>Not delivered</v>
          </cell>
          <cell r="E660">
            <v>508005272</v>
          </cell>
          <cell r="F660">
            <v>20</v>
          </cell>
          <cell r="G660">
            <v>1411898</v>
          </cell>
          <cell r="H660" t="str">
            <v>PT-100:CVR MT.GREEN EMBOS KAHF PTI 40D</v>
          </cell>
          <cell r="I660">
            <v>63000</v>
          </cell>
          <cell r="J660" t="str">
            <v>UN</v>
          </cell>
          <cell r="K660">
            <v>45618</v>
          </cell>
        </row>
        <row r="661">
          <cell r="A661" t="str">
            <v>50800530210</v>
          </cell>
          <cell r="B661" t="str">
            <v>ZMFD</v>
          </cell>
          <cell r="C661">
            <v>45568</v>
          </cell>
          <cell r="D661" t="str">
            <v>Not delivered</v>
          </cell>
          <cell r="E661">
            <v>508005302</v>
          </cell>
          <cell r="F661">
            <v>10</v>
          </cell>
          <cell r="G661">
            <v>1408740</v>
          </cell>
          <cell r="H661" t="str">
            <v>PT-097B:BDSR.2 BLU HOUS WHT TRNS PTI12A</v>
          </cell>
          <cell r="I661">
            <v>160000</v>
          </cell>
          <cell r="J661" t="str">
            <v>UN</v>
          </cell>
          <cell r="K661">
            <v>45621</v>
          </cell>
        </row>
        <row r="662">
          <cell r="A662" t="str">
            <v>50800530220</v>
          </cell>
          <cell r="B662" t="str">
            <v>ZMFD</v>
          </cell>
          <cell r="C662">
            <v>45568</v>
          </cell>
          <cell r="D662" t="str">
            <v>Not delivered</v>
          </cell>
          <cell r="E662">
            <v>508005302</v>
          </cell>
          <cell r="F662">
            <v>20</v>
          </cell>
          <cell r="G662">
            <v>1408739</v>
          </cell>
          <cell r="H662" t="str">
            <v>PT-097B:CAP SR.2 BLUE TRANS PTI 12A</v>
          </cell>
          <cell r="I662">
            <v>160000</v>
          </cell>
          <cell r="J662" t="str">
            <v>UN</v>
          </cell>
          <cell r="K662">
            <v>45621</v>
          </cell>
        </row>
        <row r="663">
          <cell r="A663" t="str">
            <v>50714285030</v>
          </cell>
          <cell r="B663" t="str">
            <v>ZMTD</v>
          </cell>
          <cell r="C663">
            <v>45567</v>
          </cell>
          <cell r="D663" t="str">
            <v>Not delivered</v>
          </cell>
          <cell r="E663">
            <v>507142850</v>
          </cell>
          <cell r="F663">
            <v>30</v>
          </cell>
          <cell r="G663">
            <v>1371896</v>
          </cell>
          <cell r="H663" t="str">
            <v>RX-056:CM-316 CVR BLUE P/WHT SP/MTCLR</v>
          </cell>
          <cell r="I663">
            <v>79968</v>
          </cell>
          <cell r="J663" t="str">
            <v>UN</v>
          </cell>
          <cell r="K663">
            <v>45621</v>
          </cell>
        </row>
        <row r="664">
          <cell r="A664" t="str">
            <v>50714275320</v>
          </cell>
          <cell r="B664" t="str">
            <v>ZMTD</v>
          </cell>
          <cell r="C664">
            <v>45546</v>
          </cell>
          <cell r="D664" t="str">
            <v>Not delivered</v>
          </cell>
          <cell r="E664">
            <v>507142753</v>
          </cell>
          <cell r="F664">
            <v>20</v>
          </cell>
          <cell r="G664">
            <v>1442652</v>
          </cell>
          <cell r="H664" t="str">
            <v>CM-253:BS BEIGE CV VMGLD P/INEZ RV1 20Y</v>
          </cell>
          <cell r="I664">
            <v>25000</v>
          </cell>
          <cell r="J664" t="str">
            <v>UN</v>
          </cell>
          <cell r="K664">
            <v>45621</v>
          </cell>
        </row>
        <row r="665">
          <cell r="A665" t="str">
            <v>50800527710</v>
          </cell>
          <cell r="B665" t="str">
            <v>ZMFD</v>
          </cell>
          <cell r="C665">
            <v>45541</v>
          </cell>
          <cell r="D665" t="str">
            <v>Not delivered</v>
          </cell>
          <cell r="E665">
            <v>508005277</v>
          </cell>
          <cell r="F665">
            <v>10</v>
          </cell>
          <cell r="G665">
            <v>1285453</v>
          </cell>
          <cell r="H665" t="str">
            <v>CM-216:TRUE MATCH PP CV PF S/SLV LOR US</v>
          </cell>
          <cell r="I665">
            <v>250000</v>
          </cell>
          <cell r="J665" t="str">
            <v>UN</v>
          </cell>
          <cell r="K665">
            <v>45621</v>
          </cell>
        </row>
        <row r="666">
          <cell r="A666" t="str">
            <v>50714276420</v>
          </cell>
          <cell r="B666" t="str">
            <v>ZMTD</v>
          </cell>
          <cell r="C666">
            <v>45552</v>
          </cell>
          <cell r="D666" t="str">
            <v>Not delivered</v>
          </cell>
          <cell r="E666">
            <v>507142764</v>
          </cell>
          <cell r="F666">
            <v>20</v>
          </cell>
          <cell r="G666">
            <v>1211756</v>
          </cell>
          <cell r="H666" t="str">
            <v>CM-246:COVER VM SHNY SLV ALMOST PWD</v>
          </cell>
          <cell r="I666">
            <v>120120</v>
          </cell>
          <cell r="J666" t="str">
            <v>UN</v>
          </cell>
          <cell r="K666">
            <v>45622</v>
          </cell>
        </row>
        <row r="667">
          <cell r="A667" t="str">
            <v>50800528910</v>
          </cell>
          <cell r="B667" t="str">
            <v>ZMFD</v>
          </cell>
          <cell r="C667">
            <v>45558</v>
          </cell>
          <cell r="D667" t="str">
            <v>Not delivered</v>
          </cell>
          <cell r="E667">
            <v>508005289</v>
          </cell>
          <cell r="F667">
            <v>10</v>
          </cell>
          <cell r="G667">
            <v>1255664</v>
          </cell>
          <cell r="H667" t="str">
            <v>LC-002:BTL MT VAR14 P/WRDH B.MARK PTI40H</v>
          </cell>
          <cell r="I667">
            <v>25000</v>
          </cell>
          <cell r="J667" t="str">
            <v>UN</v>
          </cell>
          <cell r="K667">
            <v>45623</v>
          </cell>
        </row>
        <row r="668">
          <cell r="A668" t="str">
            <v>50800528920</v>
          </cell>
          <cell r="B668" t="str">
            <v>ZMFD</v>
          </cell>
          <cell r="C668">
            <v>45558</v>
          </cell>
          <cell r="D668" t="str">
            <v>Not delivered</v>
          </cell>
          <cell r="E668">
            <v>508005289</v>
          </cell>
          <cell r="F668">
            <v>20</v>
          </cell>
          <cell r="G668">
            <v>1264032</v>
          </cell>
          <cell r="H668" t="str">
            <v>LC-002:CP S/MT VAR14 STM-WHT WNAT PTI40D</v>
          </cell>
          <cell r="I668">
            <v>25000</v>
          </cell>
          <cell r="J668" t="str">
            <v>UN</v>
          </cell>
          <cell r="K668">
            <v>45623</v>
          </cell>
        </row>
        <row r="669">
          <cell r="A669" t="str">
            <v>50800527810</v>
          </cell>
          <cell r="B669" t="str">
            <v>ZMFD</v>
          </cell>
          <cell r="C669">
            <v>45544</v>
          </cell>
          <cell r="D669" t="str">
            <v>Not delivered</v>
          </cell>
          <cell r="E669">
            <v>508005278</v>
          </cell>
          <cell r="F669">
            <v>10</v>
          </cell>
          <cell r="G669">
            <v>1437039</v>
          </cell>
          <cell r="H669" t="str">
            <v>CM-290:1PC BS CV MT.BLK S/ EMBOS OMG 40C</v>
          </cell>
          <cell r="I669">
            <v>100000</v>
          </cell>
          <cell r="J669" t="str">
            <v>UN</v>
          </cell>
          <cell r="K669">
            <v>45623</v>
          </cell>
        </row>
        <row r="670">
          <cell r="A670" t="str">
            <v>50800527820</v>
          </cell>
          <cell r="B670" t="str">
            <v>ZMFD</v>
          </cell>
          <cell r="C670">
            <v>45544</v>
          </cell>
          <cell r="D670" t="str">
            <v>Not delivered</v>
          </cell>
          <cell r="E670">
            <v>508005278</v>
          </cell>
          <cell r="F670">
            <v>20</v>
          </cell>
          <cell r="G670">
            <v>1437140</v>
          </cell>
          <cell r="H670" t="str">
            <v>CM-290:ENGINE CV RED, BS BLK OMG PTI 12A</v>
          </cell>
          <cell r="I670">
            <v>100000</v>
          </cell>
          <cell r="J670" t="str">
            <v>UN</v>
          </cell>
          <cell r="K670">
            <v>45623</v>
          </cell>
        </row>
        <row r="671">
          <cell r="A671" t="str">
            <v>50800527830</v>
          </cell>
          <cell r="B671" t="str">
            <v>ZMFD</v>
          </cell>
          <cell r="C671">
            <v>45544</v>
          </cell>
          <cell r="D671" t="str">
            <v>Not delivered</v>
          </cell>
          <cell r="E671">
            <v>508005278</v>
          </cell>
          <cell r="F671">
            <v>30</v>
          </cell>
          <cell r="G671">
            <v>1437141</v>
          </cell>
          <cell r="H671" t="str">
            <v>CM-290:RING BLACK OMG PTI 12A</v>
          </cell>
          <cell r="I671">
            <v>100000</v>
          </cell>
          <cell r="J671" t="str">
            <v>UN</v>
          </cell>
          <cell r="K671">
            <v>45623</v>
          </cell>
        </row>
        <row r="672">
          <cell r="A672" t="str">
            <v>50714262810</v>
          </cell>
          <cell r="B672" t="str">
            <v>ZMTD</v>
          </cell>
          <cell r="C672">
            <v>45516</v>
          </cell>
          <cell r="D672" t="str">
            <v>Not delivered</v>
          </cell>
          <cell r="E672">
            <v>507142628</v>
          </cell>
          <cell r="F672">
            <v>10</v>
          </cell>
          <cell r="G672">
            <v>1263107</v>
          </cell>
          <cell r="H672" t="str">
            <v>CM-117:CVR BLK S/SLV BS BLK KSIPT 30K</v>
          </cell>
          <cell r="I672">
            <v>10000</v>
          </cell>
          <cell r="J672" t="str">
            <v>UN</v>
          </cell>
          <cell r="K672">
            <v>45623</v>
          </cell>
        </row>
        <row r="673">
          <cell r="A673" t="str">
            <v>50800523310</v>
          </cell>
          <cell r="B673" t="str">
            <v>ZMFD</v>
          </cell>
          <cell r="C673">
            <v>45504</v>
          </cell>
          <cell r="D673" t="str">
            <v>Not delivered</v>
          </cell>
          <cell r="E673">
            <v>508005233</v>
          </cell>
          <cell r="F673">
            <v>10</v>
          </cell>
          <cell r="G673">
            <v>1169152</v>
          </cell>
          <cell r="H673" t="str">
            <v>CM-295:SQUARE COMPACT&amp;GODET PHHT010032</v>
          </cell>
          <cell r="I673">
            <v>20040</v>
          </cell>
          <cell r="J673" t="str">
            <v>UN</v>
          </cell>
          <cell r="K673">
            <v>45623</v>
          </cell>
        </row>
        <row r="674">
          <cell r="A674" t="str">
            <v>50714243710</v>
          </cell>
          <cell r="B674" t="str">
            <v>ZMTD</v>
          </cell>
          <cell r="C674">
            <v>45475</v>
          </cell>
          <cell r="D674" t="str">
            <v>Not delivered</v>
          </cell>
          <cell r="E674">
            <v>507142437</v>
          </cell>
          <cell r="F674">
            <v>10</v>
          </cell>
          <cell r="G674">
            <v>1159364</v>
          </cell>
          <cell r="H674" t="str">
            <v>CP-071:PL8364 INSERT TNR 125-200ML REX</v>
          </cell>
          <cell r="I674">
            <v>111000</v>
          </cell>
          <cell r="J674" t="str">
            <v>UN</v>
          </cell>
          <cell r="K674">
            <v>45623</v>
          </cell>
        </row>
        <row r="675">
          <cell r="A675" t="str">
            <v>50800529310</v>
          </cell>
          <cell r="B675" t="str">
            <v>ZMFD</v>
          </cell>
          <cell r="C675">
            <v>45560</v>
          </cell>
          <cell r="D675" t="str">
            <v>Not delivered</v>
          </cell>
          <cell r="E675">
            <v>508005293</v>
          </cell>
          <cell r="F675">
            <v>10</v>
          </cell>
          <cell r="G675">
            <v>1195173</v>
          </cell>
          <cell r="H675" t="str">
            <v>PT-085:BS CVR WHT MT NDC 12.5 ZAP 40D</v>
          </cell>
          <cell r="I675">
            <v>25000</v>
          </cell>
          <cell r="J675" t="str">
            <v>UN</v>
          </cell>
          <cell r="K675">
            <v>45624</v>
          </cell>
        </row>
        <row r="676">
          <cell r="A676" t="str">
            <v>50714272910</v>
          </cell>
          <cell r="B676" t="str">
            <v>ZMTD</v>
          </cell>
          <cell r="C676">
            <v>45541</v>
          </cell>
          <cell r="D676" t="str">
            <v>Not delivered</v>
          </cell>
          <cell r="E676">
            <v>507142729</v>
          </cell>
          <cell r="F676">
            <v>10</v>
          </cell>
          <cell r="G676">
            <v>1193139</v>
          </cell>
          <cell r="H676" t="str">
            <v>FP-026:APPLICT VM SILVER FACES</v>
          </cell>
          <cell r="I676">
            <v>15000</v>
          </cell>
          <cell r="J676" t="str">
            <v>UN</v>
          </cell>
          <cell r="K676">
            <v>45624</v>
          </cell>
        </row>
        <row r="677">
          <cell r="A677" t="str">
            <v>50714272920</v>
          </cell>
          <cell r="B677" t="str">
            <v>ZMTD</v>
          </cell>
          <cell r="C677">
            <v>45541</v>
          </cell>
          <cell r="D677" t="str">
            <v>Not delivered</v>
          </cell>
          <cell r="E677">
            <v>507142729</v>
          </cell>
          <cell r="F677">
            <v>20</v>
          </cell>
          <cell r="G677">
            <v>1193250</v>
          </cell>
          <cell r="H677" t="str">
            <v>FP-026:BASE BLACK P/SLVR 2018 RGIND 60B</v>
          </cell>
          <cell r="I677">
            <v>15000</v>
          </cell>
          <cell r="J677" t="str">
            <v>UN</v>
          </cell>
          <cell r="K677">
            <v>45624</v>
          </cell>
        </row>
        <row r="678">
          <cell r="A678" t="str">
            <v>50714262710</v>
          </cell>
          <cell r="B678" t="str">
            <v>ZMTD</v>
          </cell>
          <cell r="C678">
            <v>45516</v>
          </cell>
          <cell r="D678" t="str">
            <v>Not delivered</v>
          </cell>
          <cell r="E678">
            <v>507142627</v>
          </cell>
          <cell r="F678">
            <v>10</v>
          </cell>
          <cell r="G678">
            <v>1238216</v>
          </cell>
          <cell r="H678" t="str">
            <v>FP-041:CVR NAT VM SLV P/LG INEZ KSI 20Y</v>
          </cell>
          <cell r="I678">
            <v>20000</v>
          </cell>
          <cell r="J678" t="str">
            <v>UN</v>
          </cell>
          <cell r="K678">
            <v>45624</v>
          </cell>
        </row>
        <row r="679">
          <cell r="A679" t="str">
            <v>50714262720</v>
          </cell>
          <cell r="B679" t="str">
            <v>ZMTD</v>
          </cell>
          <cell r="C679">
            <v>45516</v>
          </cell>
          <cell r="D679" t="str">
            <v>Not delivered</v>
          </cell>
          <cell r="E679">
            <v>507142627</v>
          </cell>
          <cell r="F679">
            <v>20</v>
          </cell>
          <cell r="G679">
            <v>1238217</v>
          </cell>
          <cell r="H679" t="str">
            <v>FP-041:BS CLR NO DECO KSI 12A</v>
          </cell>
          <cell r="I679">
            <v>20000</v>
          </cell>
          <cell r="J679" t="str">
            <v>UN</v>
          </cell>
          <cell r="K679">
            <v>45624</v>
          </cell>
        </row>
        <row r="680">
          <cell r="A680" t="str">
            <v>50714262730</v>
          </cell>
          <cell r="B680" t="str">
            <v>ZMTD</v>
          </cell>
          <cell r="C680">
            <v>45516</v>
          </cell>
          <cell r="D680" t="str">
            <v>Not delivered</v>
          </cell>
          <cell r="E680">
            <v>507142627</v>
          </cell>
          <cell r="F680">
            <v>30</v>
          </cell>
          <cell r="G680">
            <v>1238218</v>
          </cell>
          <cell r="H680" t="str">
            <v>FP-041:SFTR NAT W/LBL CLEAR KSI 12A</v>
          </cell>
          <cell r="I680">
            <v>20000</v>
          </cell>
          <cell r="J680" t="str">
            <v>UN</v>
          </cell>
          <cell r="K680">
            <v>45624</v>
          </cell>
        </row>
        <row r="681">
          <cell r="A681" t="str">
            <v>50800518150</v>
          </cell>
          <cell r="B681" t="str">
            <v>ZMFD</v>
          </cell>
          <cell r="C681">
            <v>45485</v>
          </cell>
          <cell r="D681" t="str">
            <v>Not delivered</v>
          </cell>
          <cell r="E681">
            <v>508005181</v>
          </cell>
          <cell r="F681">
            <v>50</v>
          </cell>
          <cell r="G681">
            <v>1413967</v>
          </cell>
          <cell r="H681" t="str">
            <v>CM-323:VM SILVER DIOR JUMBO M080</v>
          </cell>
          <cell r="I681">
            <v>18000</v>
          </cell>
          <cell r="J681" t="str">
            <v>UN</v>
          </cell>
          <cell r="K681">
            <v>45624</v>
          </cell>
        </row>
        <row r="682">
          <cell r="A682" t="str">
            <v>50714236710</v>
          </cell>
          <cell r="B682" t="str">
            <v>ZMTD</v>
          </cell>
          <cell r="C682">
            <v>45463</v>
          </cell>
          <cell r="D682" t="str">
            <v>Not delivered</v>
          </cell>
          <cell r="E682">
            <v>507142367</v>
          </cell>
          <cell r="F682">
            <v>10</v>
          </cell>
          <cell r="G682">
            <v>1175305</v>
          </cell>
          <cell r="H682" t="str">
            <v>CM-088:BROWN PRL S/GLD REVLON NEW RUDY</v>
          </cell>
          <cell r="I682">
            <v>10000</v>
          </cell>
          <cell r="J682" t="str">
            <v>UN</v>
          </cell>
          <cell r="K682">
            <v>45624</v>
          </cell>
        </row>
        <row r="683">
          <cell r="A683" t="str">
            <v>50800500140</v>
          </cell>
          <cell r="B683" t="str">
            <v>ZMFD</v>
          </cell>
          <cell r="C683">
            <v>45412</v>
          </cell>
          <cell r="D683" t="str">
            <v>Not delivered</v>
          </cell>
          <cell r="E683">
            <v>508005001</v>
          </cell>
          <cell r="F683">
            <v>40</v>
          </cell>
          <cell r="G683">
            <v>1212608</v>
          </cell>
          <cell r="H683" t="str">
            <v>FP-014:CVR BLUE S/LOGO INEZ GOLD KSI 50C</v>
          </cell>
          <cell r="I683">
            <v>25000</v>
          </cell>
          <cell r="J683" t="str">
            <v>UN</v>
          </cell>
          <cell r="K683">
            <v>45624</v>
          </cell>
        </row>
        <row r="684">
          <cell r="A684" t="str">
            <v>50800500150</v>
          </cell>
          <cell r="B684" t="str">
            <v>ZMFD</v>
          </cell>
          <cell r="C684">
            <v>45412</v>
          </cell>
          <cell r="D684" t="str">
            <v>Not delivered</v>
          </cell>
          <cell r="E684">
            <v>508005001</v>
          </cell>
          <cell r="F684">
            <v>50</v>
          </cell>
          <cell r="G684">
            <v>1212609</v>
          </cell>
          <cell r="H684" t="str">
            <v>FP-014:SFTR NAT STICKER TRANS KSI 12A</v>
          </cell>
          <cell r="I684">
            <v>25000</v>
          </cell>
          <cell r="J684" t="str">
            <v>UN</v>
          </cell>
          <cell r="K684">
            <v>45624</v>
          </cell>
        </row>
        <row r="685">
          <cell r="A685" t="str">
            <v>50800500160</v>
          </cell>
          <cell r="B685" t="str">
            <v>ZMFD</v>
          </cell>
          <cell r="C685">
            <v>45412</v>
          </cell>
          <cell r="D685" t="str">
            <v>Not delivered</v>
          </cell>
          <cell r="E685">
            <v>508005001</v>
          </cell>
          <cell r="F685">
            <v>60</v>
          </cell>
          <cell r="G685">
            <v>1212640</v>
          </cell>
          <cell r="H685" t="str">
            <v>FP-014:BS CLR SPRYGRDS S/INEZ GLD 40C</v>
          </cell>
          <cell r="I685">
            <v>25000</v>
          </cell>
          <cell r="J685" t="str">
            <v>UN</v>
          </cell>
          <cell r="K685">
            <v>45624</v>
          </cell>
        </row>
        <row r="686">
          <cell r="A686" t="str">
            <v>50800530010</v>
          </cell>
          <cell r="B686" t="str">
            <v>ZMFD</v>
          </cell>
          <cell r="C686">
            <v>45567</v>
          </cell>
          <cell r="D686" t="str">
            <v>Not delivered</v>
          </cell>
          <cell r="E686">
            <v>508005300</v>
          </cell>
          <cell r="F686">
            <v>10</v>
          </cell>
          <cell r="G686">
            <v>1376248</v>
          </cell>
          <cell r="H686" t="str">
            <v>FP-008:CVR L.PINK P/BLK MANDOM RV1 12A</v>
          </cell>
          <cell r="I686">
            <v>30000</v>
          </cell>
          <cell r="J686" t="str">
            <v>UN</v>
          </cell>
          <cell r="K686">
            <v>45625</v>
          </cell>
        </row>
        <row r="687">
          <cell r="A687" t="str">
            <v>50800530020</v>
          </cell>
          <cell r="B687" t="str">
            <v>ZMFD</v>
          </cell>
          <cell r="C687">
            <v>45567</v>
          </cell>
          <cell r="D687" t="str">
            <v>Not delivered</v>
          </cell>
          <cell r="E687">
            <v>508005300</v>
          </cell>
          <cell r="F687">
            <v>20</v>
          </cell>
          <cell r="G687">
            <v>1171179</v>
          </cell>
          <cell r="H687" t="str">
            <v>FP-008:BS INJ BLK NO DC MANDOM</v>
          </cell>
          <cell r="I687">
            <v>30000</v>
          </cell>
          <cell r="J687" t="str">
            <v>UN</v>
          </cell>
          <cell r="K687">
            <v>45625</v>
          </cell>
        </row>
        <row r="688">
          <cell r="A688" t="str">
            <v>50800530030</v>
          </cell>
          <cell r="B688" t="str">
            <v>ZMFD</v>
          </cell>
          <cell r="C688">
            <v>45567</v>
          </cell>
          <cell r="D688" t="str">
            <v>Not delivered</v>
          </cell>
          <cell r="E688">
            <v>508005300</v>
          </cell>
          <cell r="F688">
            <v>30</v>
          </cell>
          <cell r="G688">
            <v>1172027</v>
          </cell>
          <cell r="H688" t="str">
            <v>FP-008:SFT NAT L.HINGE W/LBL NO DC MDM</v>
          </cell>
          <cell r="I688">
            <v>30000</v>
          </cell>
          <cell r="J688" t="str">
            <v>UN</v>
          </cell>
          <cell r="K688">
            <v>45625</v>
          </cell>
        </row>
        <row r="689">
          <cell r="A689" t="str">
            <v>50714280410</v>
          </cell>
          <cell r="B689" t="str">
            <v>ZMTD</v>
          </cell>
          <cell r="C689">
            <v>45559</v>
          </cell>
          <cell r="D689" t="str">
            <v>Not delivered</v>
          </cell>
          <cell r="E689">
            <v>507142804</v>
          </cell>
          <cell r="F689">
            <v>10</v>
          </cell>
          <cell r="G689">
            <v>1419488</v>
          </cell>
          <cell r="H689" t="str">
            <v>CP-063R:SPOUT CAP WHITE LOREAL 12A</v>
          </cell>
          <cell r="I689">
            <v>1890000</v>
          </cell>
          <cell r="J689" t="str">
            <v>UN</v>
          </cell>
          <cell r="K689">
            <v>45625</v>
          </cell>
        </row>
        <row r="690">
          <cell r="A690" t="str">
            <v>50714281010</v>
          </cell>
          <cell r="B690" t="str">
            <v>ZMTD</v>
          </cell>
          <cell r="C690">
            <v>45559</v>
          </cell>
          <cell r="D690" t="str">
            <v>Not delivered</v>
          </cell>
          <cell r="E690">
            <v>507142810</v>
          </cell>
          <cell r="F690">
            <v>10</v>
          </cell>
          <cell r="G690">
            <v>1159912</v>
          </cell>
          <cell r="H690" t="str">
            <v>CP-064:CAP 25 SCREW BLK MT L'OREAL</v>
          </cell>
          <cell r="I690">
            <v>150000</v>
          </cell>
          <cell r="J690" t="str">
            <v>UN</v>
          </cell>
          <cell r="K690">
            <v>45625</v>
          </cell>
        </row>
        <row r="691">
          <cell r="A691" t="str">
            <v>50714281110</v>
          </cell>
          <cell r="B691" t="str">
            <v>ZMTD</v>
          </cell>
          <cell r="C691">
            <v>45559</v>
          </cell>
          <cell r="D691" t="str">
            <v>Not delivered</v>
          </cell>
          <cell r="E691">
            <v>507142811</v>
          </cell>
          <cell r="F691">
            <v>10</v>
          </cell>
          <cell r="G691">
            <v>1159912</v>
          </cell>
          <cell r="H691" t="str">
            <v>CP-064:CAP 25 SCREW BLK MT L'OREAL</v>
          </cell>
          <cell r="I691">
            <v>150000</v>
          </cell>
          <cell r="J691" t="str">
            <v>UN</v>
          </cell>
          <cell r="K691">
            <v>45625</v>
          </cell>
        </row>
        <row r="692">
          <cell r="A692" t="str">
            <v>507142765110</v>
          </cell>
          <cell r="B692" t="str">
            <v>ZMTD</v>
          </cell>
          <cell r="C692">
            <v>45552</v>
          </cell>
          <cell r="D692" t="str">
            <v>Not delivered</v>
          </cell>
          <cell r="E692">
            <v>507142765</v>
          </cell>
          <cell r="F692">
            <v>110</v>
          </cell>
          <cell r="G692">
            <v>1398383</v>
          </cell>
          <cell r="H692" t="str">
            <v>CM-319:WHITE P/BLACK UV MATTE NARS</v>
          </cell>
          <cell r="I692">
            <v>40080</v>
          </cell>
          <cell r="J692" t="str">
            <v>UN</v>
          </cell>
          <cell r="K692">
            <v>45625</v>
          </cell>
        </row>
        <row r="693">
          <cell r="A693" t="str">
            <v>50800526210</v>
          </cell>
          <cell r="B693" t="str">
            <v>ZMFD</v>
          </cell>
          <cell r="C693">
            <v>45524</v>
          </cell>
          <cell r="D693" t="str">
            <v>Not delivered</v>
          </cell>
          <cell r="E693">
            <v>508005262</v>
          </cell>
          <cell r="F693">
            <v>10</v>
          </cell>
          <cell r="G693">
            <v>1163327</v>
          </cell>
          <cell r="H693" t="str">
            <v>CM-246:CVR S.SLV PAN WHITE 6MPY 01 0034</v>
          </cell>
          <cell r="I693">
            <v>25056</v>
          </cell>
          <cell r="J693" t="str">
            <v>UN</v>
          </cell>
          <cell r="K693">
            <v>45625</v>
          </cell>
        </row>
        <row r="694">
          <cell r="A694" t="str">
            <v>50800523220</v>
          </cell>
          <cell r="B694" t="str">
            <v>ZMFD</v>
          </cell>
          <cell r="C694">
            <v>45503</v>
          </cell>
          <cell r="D694" t="str">
            <v>Not delivered</v>
          </cell>
          <cell r="E694">
            <v>508005232</v>
          </cell>
          <cell r="F694">
            <v>20</v>
          </cell>
          <cell r="G694">
            <v>1305089</v>
          </cell>
          <cell r="H694" t="str">
            <v>CM-207:VM SHY SLV P/MATTE ZGH6010038 EL</v>
          </cell>
          <cell r="I694">
            <v>25920</v>
          </cell>
          <cell r="J694" t="str">
            <v>UN</v>
          </cell>
          <cell r="K694">
            <v>45625</v>
          </cell>
        </row>
        <row r="695">
          <cell r="A695" t="str">
            <v>50714280210</v>
          </cell>
          <cell r="B695" t="str">
            <v>ZMTD</v>
          </cell>
          <cell r="C695">
            <v>45559</v>
          </cell>
          <cell r="D695" t="str">
            <v>Not delivered</v>
          </cell>
          <cell r="E695">
            <v>507142802</v>
          </cell>
          <cell r="F695">
            <v>10</v>
          </cell>
          <cell r="G695">
            <v>1419488</v>
          </cell>
          <cell r="H695" t="str">
            <v>CP-063R:SPOUT CAP WHITE LOREAL 12A</v>
          </cell>
          <cell r="I695">
            <v>1890000</v>
          </cell>
          <cell r="J695" t="str">
            <v>UN</v>
          </cell>
          <cell r="K695">
            <v>45627</v>
          </cell>
        </row>
        <row r="696">
          <cell r="A696" t="str">
            <v>50714280310</v>
          </cell>
          <cell r="B696" t="str">
            <v>ZMTD</v>
          </cell>
          <cell r="C696">
            <v>45559</v>
          </cell>
          <cell r="D696" t="str">
            <v>Not delivered</v>
          </cell>
          <cell r="E696">
            <v>507142803</v>
          </cell>
          <cell r="F696">
            <v>10</v>
          </cell>
          <cell r="G696">
            <v>1419488</v>
          </cell>
          <cell r="H696" t="str">
            <v>CP-063R:SPOUT CAP WHITE LOREAL 12A</v>
          </cell>
          <cell r="I696">
            <v>1890000</v>
          </cell>
          <cell r="J696" t="str">
            <v>UN</v>
          </cell>
          <cell r="K696">
            <v>45627</v>
          </cell>
        </row>
        <row r="697">
          <cell r="A697" t="str">
            <v>50714280510</v>
          </cell>
          <cell r="B697" t="str">
            <v>ZMTD</v>
          </cell>
          <cell r="C697">
            <v>45559</v>
          </cell>
          <cell r="D697" t="str">
            <v>Not delivered</v>
          </cell>
          <cell r="E697">
            <v>507142805</v>
          </cell>
          <cell r="F697">
            <v>10</v>
          </cell>
          <cell r="G697">
            <v>1419488</v>
          </cell>
          <cell r="H697" t="str">
            <v>CP-063R:SPOUT CAP WHITE LOREAL 12A</v>
          </cell>
          <cell r="I697">
            <v>1890000</v>
          </cell>
          <cell r="J697" t="str">
            <v>UN</v>
          </cell>
          <cell r="K697">
            <v>45627</v>
          </cell>
        </row>
        <row r="698">
          <cell r="A698" t="str">
            <v>50714280610</v>
          </cell>
          <cell r="B698" t="str">
            <v>ZMTD</v>
          </cell>
          <cell r="C698">
            <v>45559</v>
          </cell>
          <cell r="D698" t="str">
            <v>Not delivered</v>
          </cell>
          <cell r="E698">
            <v>507142806</v>
          </cell>
          <cell r="F698">
            <v>10</v>
          </cell>
          <cell r="G698">
            <v>1419488</v>
          </cell>
          <cell r="H698" t="str">
            <v>CP-063R:SPOUT CAP WHITE LOREAL 12A</v>
          </cell>
          <cell r="I698">
            <v>1890000</v>
          </cell>
          <cell r="J698" t="str">
            <v>UN</v>
          </cell>
          <cell r="K698">
            <v>45628</v>
          </cell>
        </row>
        <row r="699">
          <cell r="A699" t="str">
            <v>50714277750</v>
          </cell>
          <cell r="B699" t="str">
            <v>ZMTD</v>
          </cell>
          <cell r="C699">
            <v>45554</v>
          </cell>
          <cell r="D699" t="str">
            <v>Not delivered</v>
          </cell>
          <cell r="E699">
            <v>507142777</v>
          </cell>
          <cell r="F699">
            <v>50</v>
          </cell>
          <cell r="G699">
            <v>1435311</v>
          </cell>
          <cell r="H699" t="str">
            <v>LC-002:BTL/COL MTGRAD SLV AZURA LION 40D</v>
          </cell>
          <cell r="I699">
            <v>50589</v>
          </cell>
          <cell r="J699" t="str">
            <v>UN</v>
          </cell>
          <cell r="K699">
            <v>45628</v>
          </cell>
        </row>
        <row r="700">
          <cell r="A700" t="str">
            <v>50714277760</v>
          </cell>
          <cell r="B700" t="str">
            <v>ZMTD</v>
          </cell>
          <cell r="C700">
            <v>45554</v>
          </cell>
          <cell r="D700" t="str">
            <v>Not delivered</v>
          </cell>
          <cell r="E700">
            <v>507142777</v>
          </cell>
          <cell r="F700">
            <v>60</v>
          </cell>
          <cell r="G700">
            <v>1435313</v>
          </cell>
          <cell r="H700" t="str">
            <v>LC-002:CAP MTSLV WIPNAT S/AZURA LION 40C</v>
          </cell>
          <cell r="I700">
            <v>50589</v>
          </cell>
          <cell r="J700" t="str">
            <v>UN</v>
          </cell>
          <cell r="K700">
            <v>45628</v>
          </cell>
        </row>
        <row r="701">
          <cell r="A701" t="str">
            <v>50714248630</v>
          </cell>
          <cell r="B701" t="str">
            <v>ZMTD</v>
          </cell>
          <cell r="C701">
            <v>45484</v>
          </cell>
          <cell r="D701" t="str">
            <v>Not delivered</v>
          </cell>
          <cell r="E701">
            <v>507142486</v>
          </cell>
          <cell r="F701">
            <v>30</v>
          </cell>
          <cell r="G701">
            <v>1225724</v>
          </cell>
          <cell r="H701" t="str">
            <v>CL-003:BTL CLR COL BEIGE P/EMINA PTI 60B</v>
          </cell>
          <cell r="I701">
            <v>24948</v>
          </cell>
          <cell r="J701" t="str">
            <v>UN</v>
          </cell>
          <cell r="K701">
            <v>45628</v>
          </cell>
        </row>
        <row r="702">
          <cell r="A702" t="str">
            <v>50714248640</v>
          </cell>
          <cell r="B702" t="str">
            <v>ZMTD</v>
          </cell>
          <cell r="C702">
            <v>45484</v>
          </cell>
          <cell r="D702" t="str">
            <v>Not delivered</v>
          </cell>
          <cell r="E702">
            <v>507142486</v>
          </cell>
          <cell r="F702">
            <v>40</v>
          </cell>
          <cell r="G702">
            <v>1225723</v>
          </cell>
          <cell r="H702" t="str">
            <v>CL-003:CAP BEIGE P/EMINA WIP NAT PTI 60B</v>
          </cell>
          <cell r="I702">
            <v>24948</v>
          </cell>
          <cell r="J702" t="str">
            <v>UN</v>
          </cell>
          <cell r="K702">
            <v>45628</v>
          </cell>
        </row>
        <row r="703">
          <cell r="A703" t="str">
            <v>50714276430</v>
          </cell>
          <cell r="B703" t="str">
            <v>ZMTD</v>
          </cell>
          <cell r="C703">
            <v>45552</v>
          </cell>
          <cell r="D703" t="str">
            <v>Not delivered</v>
          </cell>
          <cell r="E703">
            <v>507142764</v>
          </cell>
          <cell r="F703">
            <v>30</v>
          </cell>
          <cell r="G703">
            <v>1211756</v>
          </cell>
          <cell r="H703" t="str">
            <v>CM-246:COVER VM SHNY SLV ALMOST PWD</v>
          </cell>
          <cell r="I703">
            <v>120120</v>
          </cell>
          <cell r="J703" t="str">
            <v>UN</v>
          </cell>
          <cell r="K703">
            <v>45629</v>
          </cell>
        </row>
        <row r="704">
          <cell r="A704" t="str">
            <v>50714267010</v>
          </cell>
          <cell r="B704" t="str">
            <v>ZMTD</v>
          </cell>
          <cell r="C704">
            <v>45526</v>
          </cell>
          <cell r="D704" t="str">
            <v>Not delivered</v>
          </cell>
          <cell r="E704">
            <v>507142670</v>
          </cell>
          <cell r="F704">
            <v>10</v>
          </cell>
          <cell r="G704">
            <v>1391910</v>
          </cell>
          <cell r="H704" t="str">
            <v>CM-133:CV BS WHT PRL S/NAVAGRN RV1 50C</v>
          </cell>
          <cell r="I704">
            <v>10000</v>
          </cell>
          <cell r="J704" t="str">
            <v>UN</v>
          </cell>
          <cell r="K704">
            <v>45629</v>
          </cell>
        </row>
        <row r="705">
          <cell r="A705" t="str">
            <v>50714267020</v>
          </cell>
          <cell r="B705" t="str">
            <v>ZMTD</v>
          </cell>
          <cell r="C705">
            <v>45526</v>
          </cell>
          <cell r="D705" t="str">
            <v>Not delivered</v>
          </cell>
          <cell r="E705">
            <v>507142670</v>
          </cell>
          <cell r="F705">
            <v>20</v>
          </cell>
          <cell r="G705">
            <v>1369453</v>
          </cell>
          <cell r="H705" t="str">
            <v>SPONGE WHT 55X6T NBR TWC D.FARMA(T)</v>
          </cell>
          <cell r="I705">
            <v>10000</v>
          </cell>
          <cell r="J705" t="str">
            <v>UN</v>
          </cell>
          <cell r="K705">
            <v>45629</v>
          </cell>
        </row>
        <row r="706">
          <cell r="A706" t="str">
            <v>50714267030</v>
          </cell>
          <cell r="B706" t="str">
            <v>ZMTD</v>
          </cell>
          <cell r="C706">
            <v>45526</v>
          </cell>
          <cell r="D706" t="str">
            <v>Not delivered</v>
          </cell>
          <cell r="E706">
            <v>507142670</v>
          </cell>
          <cell r="F706">
            <v>30</v>
          </cell>
          <cell r="G706">
            <v>1387222</v>
          </cell>
          <cell r="H706" t="str">
            <v>PUFF:WHT SATIN55X7T P/NAAVAGR NEWLOGO(T)</v>
          </cell>
          <cell r="I706">
            <v>10000</v>
          </cell>
          <cell r="J706" t="str">
            <v>UN</v>
          </cell>
          <cell r="K706">
            <v>45629</v>
          </cell>
        </row>
        <row r="707">
          <cell r="A707" t="str">
            <v>50800525260</v>
          </cell>
          <cell r="B707" t="str">
            <v>ZMFD</v>
          </cell>
          <cell r="C707">
            <v>45512</v>
          </cell>
          <cell r="D707" t="str">
            <v>Not delivered</v>
          </cell>
          <cell r="E707">
            <v>508005252</v>
          </cell>
          <cell r="F707">
            <v>60</v>
          </cell>
          <cell r="G707">
            <v>1382368</v>
          </cell>
          <cell r="H707" t="str">
            <v>CP-067R:FT CAP35 SNAP BLK MATTE  Ø5 LRL</v>
          </cell>
          <cell r="I707">
            <v>300000</v>
          </cell>
          <cell r="J707" t="str">
            <v>UN</v>
          </cell>
          <cell r="K707">
            <v>45629</v>
          </cell>
        </row>
        <row r="708">
          <cell r="A708" t="str">
            <v>50800523920</v>
          </cell>
          <cell r="B708" t="str">
            <v>ZMFD</v>
          </cell>
          <cell r="C708">
            <v>45505</v>
          </cell>
          <cell r="D708" t="str">
            <v>Not delivered</v>
          </cell>
          <cell r="E708">
            <v>508005239</v>
          </cell>
          <cell r="F708">
            <v>20</v>
          </cell>
          <cell r="G708">
            <v>1388326</v>
          </cell>
          <cell r="H708" t="str">
            <v>CM-253:CV BS MTPEACH P/C.BLSH RV1 PTI40H</v>
          </cell>
          <cell r="I708">
            <v>15000</v>
          </cell>
          <cell r="J708" t="str">
            <v>UN</v>
          </cell>
          <cell r="K708">
            <v>45629</v>
          </cell>
        </row>
        <row r="709">
          <cell r="A709" t="str">
            <v>50714257510</v>
          </cell>
          <cell r="B709" t="str">
            <v>ZMTD</v>
          </cell>
          <cell r="C709">
            <v>45499</v>
          </cell>
          <cell r="D709" t="str">
            <v>Not delivered</v>
          </cell>
          <cell r="E709">
            <v>507142575</v>
          </cell>
          <cell r="F709">
            <v>10</v>
          </cell>
          <cell r="G709">
            <v>1431860</v>
          </cell>
          <cell r="H709" t="str">
            <v>PT6029R CAP GARNIER 18ML WHITE PLZ (553)</v>
          </cell>
          <cell r="I709">
            <v>52080</v>
          </cell>
          <cell r="J709" t="str">
            <v>UN</v>
          </cell>
          <cell r="K709">
            <v>45629</v>
          </cell>
        </row>
        <row r="710">
          <cell r="A710" t="str">
            <v>50800519350</v>
          </cell>
          <cell r="B710" t="str">
            <v>ZMFD</v>
          </cell>
          <cell r="C710">
            <v>45492</v>
          </cell>
          <cell r="D710" t="str">
            <v>Not delivered</v>
          </cell>
          <cell r="E710">
            <v>508005193</v>
          </cell>
          <cell r="F710">
            <v>50</v>
          </cell>
          <cell r="G710">
            <v>1342220</v>
          </cell>
          <cell r="H710" t="str">
            <v>LC-010:BTL CLR HTF COLBEIGE CFIT PTI 60C</v>
          </cell>
          <cell r="I710">
            <v>100000</v>
          </cell>
          <cell r="J710" t="str">
            <v>UN</v>
          </cell>
          <cell r="K710">
            <v>45629</v>
          </cell>
        </row>
        <row r="711">
          <cell r="A711" t="str">
            <v>50800519360</v>
          </cell>
          <cell r="B711" t="str">
            <v>ZMFD</v>
          </cell>
          <cell r="C711">
            <v>45492</v>
          </cell>
          <cell r="D711" t="str">
            <v>Not delivered</v>
          </cell>
          <cell r="E711">
            <v>508005193</v>
          </cell>
          <cell r="F711">
            <v>60</v>
          </cell>
          <cell r="G711">
            <v>1342221</v>
          </cell>
          <cell r="H711" t="str">
            <v>LC-010:CAP BEIGE WIP NAT PTI 12A</v>
          </cell>
          <cell r="I711">
            <v>100000</v>
          </cell>
          <cell r="J711" t="str">
            <v>UN</v>
          </cell>
          <cell r="K711">
            <v>45629</v>
          </cell>
        </row>
        <row r="712">
          <cell r="A712" t="str">
            <v>50800516120</v>
          </cell>
          <cell r="B712" t="str">
            <v>ZMFD</v>
          </cell>
          <cell r="C712">
            <v>45475</v>
          </cell>
          <cell r="D712" t="str">
            <v>Not delivered</v>
          </cell>
          <cell r="E712">
            <v>508005161</v>
          </cell>
          <cell r="F712">
            <v>20</v>
          </cell>
          <cell r="G712">
            <v>1386990</v>
          </cell>
          <cell r="H712" t="str">
            <v>CM-099:CVR BS MTBEIGE P/QUAD RV1 PTI 40H</v>
          </cell>
          <cell r="I712">
            <v>20000</v>
          </cell>
          <cell r="J712" t="str">
            <v>UN</v>
          </cell>
          <cell r="K712">
            <v>45629</v>
          </cell>
        </row>
        <row r="713">
          <cell r="A713" t="str">
            <v>50800507310</v>
          </cell>
          <cell r="B713" t="str">
            <v>ZMFD</v>
          </cell>
          <cell r="C713">
            <v>45433</v>
          </cell>
          <cell r="D713" t="str">
            <v>Not delivered</v>
          </cell>
          <cell r="E713">
            <v>508005073</v>
          </cell>
          <cell r="F713">
            <v>10</v>
          </cell>
          <cell r="G713">
            <v>1169047</v>
          </cell>
          <cell r="H713" t="str">
            <v>LS-285:B V/SL P/1PS SLEV H/SL BLM PTI20R</v>
          </cell>
          <cell r="I713">
            <v>25536</v>
          </cell>
          <cell r="J713" t="str">
            <v>UN</v>
          </cell>
          <cell r="K713">
            <v>45629</v>
          </cell>
        </row>
        <row r="714">
          <cell r="A714" t="str">
            <v>50800507320</v>
          </cell>
          <cell r="B714" t="str">
            <v>ZMFD</v>
          </cell>
          <cell r="C714">
            <v>45433</v>
          </cell>
          <cell r="D714" t="str">
            <v>Not delivered</v>
          </cell>
          <cell r="E714">
            <v>508005073</v>
          </cell>
          <cell r="F714">
            <v>20</v>
          </cell>
          <cell r="G714">
            <v>1171170</v>
          </cell>
          <cell r="H714" t="str">
            <v>LS-285:CV TRANS LONG13 P/1PS VAR4 PTI40H</v>
          </cell>
          <cell r="I714">
            <v>25536</v>
          </cell>
          <cell r="J714" t="str">
            <v>UN</v>
          </cell>
          <cell r="K714">
            <v>45629</v>
          </cell>
        </row>
        <row r="715">
          <cell r="A715" t="str">
            <v>50714280710</v>
          </cell>
          <cell r="B715" t="str">
            <v>ZMTD</v>
          </cell>
          <cell r="C715">
            <v>45559</v>
          </cell>
          <cell r="D715" t="str">
            <v>Not delivered</v>
          </cell>
          <cell r="E715">
            <v>507142807</v>
          </cell>
          <cell r="F715">
            <v>10</v>
          </cell>
          <cell r="G715">
            <v>1419488</v>
          </cell>
          <cell r="H715" t="str">
            <v>CP-063R:SPOUT CAP WHITE LOREAL 12A</v>
          </cell>
          <cell r="I715">
            <v>1890000</v>
          </cell>
          <cell r="J715" t="str">
            <v>UN</v>
          </cell>
          <cell r="K715">
            <v>45630</v>
          </cell>
        </row>
        <row r="716">
          <cell r="A716" t="str">
            <v>50800527840</v>
          </cell>
          <cell r="B716" t="str">
            <v>ZMFD</v>
          </cell>
          <cell r="C716">
            <v>45544</v>
          </cell>
          <cell r="D716" t="str">
            <v>Not delivered</v>
          </cell>
          <cell r="E716">
            <v>508005278</v>
          </cell>
          <cell r="F716">
            <v>40</v>
          </cell>
          <cell r="G716">
            <v>1437039</v>
          </cell>
          <cell r="H716" t="str">
            <v>CM-290:1PC BS CV MT.BLK S/ EMBOS OMG 40C</v>
          </cell>
          <cell r="I716">
            <v>75000</v>
          </cell>
          <cell r="J716" t="str">
            <v>UN</v>
          </cell>
          <cell r="K716">
            <v>45630</v>
          </cell>
        </row>
        <row r="717">
          <cell r="A717" t="str">
            <v>50800527850</v>
          </cell>
          <cell r="B717" t="str">
            <v>ZMFD</v>
          </cell>
          <cell r="C717">
            <v>45544</v>
          </cell>
          <cell r="D717" t="str">
            <v>Not delivered</v>
          </cell>
          <cell r="E717">
            <v>508005278</v>
          </cell>
          <cell r="F717">
            <v>50</v>
          </cell>
          <cell r="G717">
            <v>1437140</v>
          </cell>
          <cell r="H717" t="str">
            <v>CM-290:ENGINE CV RED, BS BLK OMG PTI 12A</v>
          </cell>
          <cell r="I717">
            <v>75000</v>
          </cell>
          <cell r="J717" t="str">
            <v>UN</v>
          </cell>
          <cell r="K717">
            <v>45630</v>
          </cell>
        </row>
        <row r="718">
          <cell r="A718" t="str">
            <v>50800527860</v>
          </cell>
          <cell r="B718" t="str">
            <v>ZMFD</v>
          </cell>
          <cell r="C718">
            <v>45544</v>
          </cell>
          <cell r="D718" t="str">
            <v>Not delivered</v>
          </cell>
          <cell r="E718">
            <v>508005278</v>
          </cell>
          <cell r="F718">
            <v>60</v>
          </cell>
          <cell r="G718">
            <v>1437141</v>
          </cell>
          <cell r="H718" t="str">
            <v>CM-290:RING BLACK OMG PTI 12A</v>
          </cell>
          <cell r="I718">
            <v>75000</v>
          </cell>
          <cell r="J718" t="str">
            <v>UN</v>
          </cell>
          <cell r="K718">
            <v>45630</v>
          </cell>
        </row>
        <row r="719">
          <cell r="A719" t="str">
            <v>50800525150</v>
          </cell>
          <cell r="B719" t="str">
            <v>ZMFD</v>
          </cell>
          <cell r="C719">
            <v>45511</v>
          </cell>
          <cell r="D719" t="str">
            <v>Not delivered</v>
          </cell>
          <cell r="E719">
            <v>508005251</v>
          </cell>
          <cell r="F719">
            <v>50</v>
          </cell>
          <cell r="G719">
            <v>1168132</v>
          </cell>
          <cell r="H719" t="str">
            <v>LS-285:BS WHT NO DC WARDAH</v>
          </cell>
          <cell r="I719">
            <v>50000</v>
          </cell>
          <cell r="J719" t="str">
            <v>UN</v>
          </cell>
          <cell r="K719">
            <v>45630</v>
          </cell>
        </row>
        <row r="720">
          <cell r="A720" t="str">
            <v>50800525160</v>
          </cell>
          <cell r="B720" t="str">
            <v>ZMFD</v>
          </cell>
          <cell r="C720">
            <v>45511</v>
          </cell>
          <cell r="D720" t="str">
            <v>Not delivered</v>
          </cell>
          <cell r="E720">
            <v>508005251</v>
          </cell>
          <cell r="F720">
            <v>60</v>
          </cell>
          <cell r="G720">
            <v>1421510</v>
          </cell>
          <cell r="H720" t="str">
            <v>LS-285:CV PINK P/WHT UV P.BLOSOM PTI 30O</v>
          </cell>
          <cell r="I720">
            <v>50000</v>
          </cell>
          <cell r="J720" t="str">
            <v>UN</v>
          </cell>
          <cell r="K720">
            <v>45630</v>
          </cell>
        </row>
        <row r="721">
          <cell r="A721" t="str">
            <v>50800523550</v>
          </cell>
          <cell r="B721" t="str">
            <v>ZMFD</v>
          </cell>
          <cell r="C721">
            <v>45505</v>
          </cell>
          <cell r="D721" t="str">
            <v>Not delivered</v>
          </cell>
          <cell r="E721">
            <v>508005235</v>
          </cell>
          <cell r="F721">
            <v>50</v>
          </cell>
          <cell r="G721">
            <v>1332995</v>
          </cell>
          <cell r="H721" t="str">
            <v>LC-008:CAP VM SLV WIP NAT EMLC PTI 20F</v>
          </cell>
          <cell r="I721">
            <v>100000</v>
          </cell>
          <cell r="J721" t="str">
            <v>UN</v>
          </cell>
          <cell r="K721">
            <v>45630</v>
          </cell>
        </row>
        <row r="722">
          <cell r="A722" t="str">
            <v>50800523560</v>
          </cell>
          <cell r="B722" t="str">
            <v>ZMFD</v>
          </cell>
          <cell r="C722">
            <v>45505</v>
          </cell>
          <cell r="D722" t="str">
            <v>Not delivered</v>
          </cell>
          <cell r="E722">
            <v>508005235</v>
          </cell>
          <cell r="F722">
            <v>60</v>
          </cell>
          <cell r="G722">
            <v>1434959</v>
          </cell>
          <cell r="H722" t="str">
            <v>LC-008:BTL CLR (PCTG) P/WHT EMLC PTI 60B</v>
          </cell>
          <cell r="I722">
            <v>100000</v>
          </cell>
          <cell r="J722" t="str">
            <v>UN</v>
          </cell>
          <cell r="K722">
            <v>45630</v>
          </cell>
        </row>
        <row r="723">
          <cell r="A723" t="str">
            <v>50800515930</v>
          </cell>
          <cell r="B723" t="str">
            <v>ZMFD</v>
          </cell>
          <cell r="C723">
            <v>45475</v>
          </cell>
          <cell r="D723" t="str">
            <v>Not delivered</v>
          </cell>
          <cell r="E723">
            <v>508005159</v>
          </cell>
          <cell r="F723">
            <v>30</v>
          </cell>
          <cell r="G723">
            <v>1285116</v>
          </cell>
          <cell r="H723" t="str">
            <v>CM-292:CV/BS MTBLK LENS S/SLV MO PTI 40C</v>
          </cell>
          <cell r="I723">
            <v>75000</v>
          </cell>
          <cell r="J723" t="str">
            <v>UN</v>
          </cell>
          <cell r="K723">
            <v>45630</v>
          </cell>
        </row>
        <row r="724">
          <cell r="A724" t="str">
            <v>50800513930</v>
          </cell>
          <cell r="B724" t="str">
            <v>ZMFD</v>
          </cell>
          <cell r="C724">
            <v>45462</v>
          </cell>
          <cell r="D724" t="str">
            <v>Not delivered</v>
          </cell>
          <cell r="E724">
            <v>508005139</v>
          </cell>
          <cell r="F724">
            <v>30</v>
          </cell>
          <cell r="G724">
            <v>1388034</v>
          </cell>
          <cell r="H724" t="str">
            <v>CM-253:CV BS MTCORL P/C.BLSH RV1 PTI40H</v>
          </cell>
          <cell r="I724">
            <v>15000</v>
          </cell>
          <cell r="J724" t="str">
            <v>UN</v>
          </cell>
          <cell r="K724">
            <v>45630</v>
          </cell>
        </row>
        <row r="725">
          <cell r="A725" t="str">
            <v>508005067110</v>
          </cell>
          <cell r="B725" t="str">
            <v>ZMFD</v>
          </cell>
          <cell r="C725">
            <v>45433</v>
          </cell>
          <cell r="D725" t="str">
            <v>Not delivered</v>
          </cell>
          <cell r="E725">
            <v>508005067</v>
          </cell>
          <cell r="F725">
            <v>110</v>
          </cell>
          <cell r="G725">
            <v>1255664</v>
          </cell>
          <cell r="H725" t="str">
            <v>LC-002:BTL MT VAR14 P/WRDH B.MARK PTI40H</v>
          </cell>
          <cell r="I725">
            <v>25000</v>
          </cell>
          <cell r="J725" t="str">
            <v>UN</v>
          </cell>
          <cell r="K725">
            <v>45630</v>
          </cell>
        </row>
        <row r="726">
          <cell r="A726" t="str">
            <v>508005067120</v>
          </cell>
          <cell r="B726" t="str">
            <v>ZMFD</v>
          </cell>
          <cell r="C726">
            <v>45433</v>
          </cell>
          <cell r="D726" t="str">
            <v>Not delivered</v>
          </cell>
          <cell r="E726">
            <v>508005067</v>
          </cell>
          <cell r="F726">
            <v>120</v>
          </cell>
          <cell r="G726">
            <v>1264032</v>
          </cell>
          <cell r="H726" t="str">
            <v>LC-002:CP S/MT VAR14 STM-WHT WNAT PTI40D</v>
          </cell>
          <cell r="I726">
            <v>25000</v>
          </cell>
          <cell r="J726" t="str">
            <v>UN</v>
          </cell>
          <cell r="K726">
            <v>45630</v>
          </cell>
        </row>
        <row r="727">
          <cell r="A727" t="str">
            <v>50714279210</v>
          </cell>
          <cell r="B727" t="str">
            <v>ZMTD</v>
          </cell>
          <cell r="C727">
            <v>45555</v>
          </cell>
          <cell r="D727" t="str">
            <v>Not delivered</v>
          </cell>
          <cell r="E727">
            <v>507142792</v>
          </cell>
          <cell r="F727">
            <v>10</v>
          </cell>
          <cell r="G727">
            <v>1406600</v>
          </cell>
          <cell r="H727" t="str">
            <v>CM-310:BLACK M086 CANNAGE S/SLV UV MT</v>
          </cell>
          <cell r="I727">
            <v>39000</v>
          </cell>
          <cell r="J727" t="str">
            <v>UN</v>
          </cell>
          <cell r="K727">
            <v>45631</v>
          </cell>
        </row>
        <row r="728">
          <cell r="A728" t="str">
            <v>50800527230</v>
          </cell>
          <cell r="B728" t="str">
            <v>ZMFD</v>
          </cell>
          <cell r="C728">
            <v>45538</v>
          </cell>
          <cell r="D728" t="str">
            <v>Not delivered</v>
          </cell>
          <cell r="E728">
            <v>508005272</v>
          </cell>
          <cell r="F728">
            <v>30</v>
          </cell>
          <cell r="G728">
            <v>1411899</v>
          </cell>
          <cell r="H728" t="str">
            <v>PT-100:BS/INS GREEN P/WHT KAHF PTI 60B</v>
          </cell>
          <cell r="I728">
            <v>180000</v>
          </cell>
          <cell r="J728" t="str">
            <v>UN</v>
          </cell>
          <cell r="K728">
            <v>45631</v>
          </cell>
        </row>
        <row r="729">
          <cell r="A729" t="str">
            <v>50800527240</v>
          </cell>
          <cell r="B729" t="str">
            <v>ZMFD</v>
          </cell>
          <cell r="C729">
            <v>45538</v>
          </cell>
          <cell r="D729" t="str">
            <v>Not delivered</v>
          </cell>
          <cell r="E729">
            <v>508005272</v>
          </cell>
          <cell r="F729">
            <v>40</v>
          </cell>
          <cell r="G729">
            <v>1411898</v>
          </cell>
          <cell r="H729" t="str">
            <v>PT-100:CVR MT.GREEN EMBOS KAHF PTI 40D</v>
          </cell>
          <cell r="I729">
            <v>180000</v>
          </cell>
          <cell r="J729" t="str">
            <v>UN</v>
          </cell>
          <cell r="K729">
            <v>45631</v>
          </cell>
        </row>
        <row r="730">
          <cell r="A730" t="str">
            <v>50800525850</v>
          </cell>
          <cell r="B730" t="str">
            <v>ZMFD</v>
          </cell>
          <cell r="C730">
            <v>45523</v>
          </cell>
          <cell r="D730" t="str">
            <v>Not delivered</v>
          </cell>
          <cell r="E730">
            <v>508005258</v>
          </cell>
          <cell r="F730">
            <v>50</v>
          </cell>
          <cell r="G730">
            <v>1168132</v>
          </cell>
          <cell r="H730" t="str">
            <v>LS-285:BS WHT NO DC WARDAH</v>
          </cell>
          <cell r="I730">
            <v>100000</v>
          </cell>
          <cell r="J730" t="str">
            <v>UN</v>
          </cell>
          <cell r="K730">
            <v>45631</v>
          </cell>
        </row>
        <row r="731">
          <cell r="A731" t="str">
            <v>50800525860</v>
          </cell>
          <cell r="B731" t="str">
            <v>ZMFD</v>
          </cell>
          <cell r="C731">
            <v>45523</v>
          </cell>
          <cell r="D731" t="str">
            <v>Not delivered</v>
          </cell>
          <cell r="E731">
            <v>508005258</v>
          </cell>
          <cell r="F731">
            <v>60</v>
          </cell>
          <cell r="G731">
            <v>1421418</v>
          </cell>
          <cell r="H731" t="str">
            <v>LS-285:CV RED P/WHT UV STRAWBERY PTI 30O</v>
          </cell>
          <cell r="I731">
            <v>100000</v>
          </cell>
          <cell r="J731" t="str">
            <v>UN</v>
          </cell>
          <cell r="K731">
            <v>45631</v>
          </cell>
        </row>
        <row r="732">
          <cell r="A732" t="str">
            <v>50800525410</v>
          </cell>
          <cell r="B732" t="str">
            <v>ZMFD</v>
          </cell>
          <cell r="C732">
            <v>45516</v>
          </cell>
          <cell r="D732" t="str">
            <v>Not delivered</v>
          </cell>
          <cell r="E732">
            <v>508005254</v>
          </cell>
          <cell r="F732">
            <v>10</v>
          </cell>
          <cell r="G732">
            <v>1304094</v>
          </cell>
          <cell r="H732" t="str">
            <v>CM-253:CV CLR BS M.PINK P/EMINA C.LIT40H</v>
          </cell>
          <cell r="I732">
            <v>50000</v>
          </cell>
          <cell r="J732" t="str">
            <v>UN</v>
          </cell>
          <cell r="K732">
            <v>45631</v>
          </cell>
        </row>
        <row r="733">
          <cell r="A733" t="str">
            <v>50800524410</v>
          </cell>
          <cell r="B733" t="str">
            <v>ZMFD</v>
          </cell>
          <cell r="C733">
            <v>45510</v>
          </cell>
          <cell r="D733" t="str">
            <v>Not delivered</v>
          </cell>
          <cell r="E733">
            <v>508005244</v>
          </cell>
          <cell r="F733">
            <v>10</v>
          </cell>
          <cell r="G733">
            <v>1174001</v>
          </cell>
          <cell r="H733" t="str">
            <v>CM-133:CVR/BS MTLC GREN UV S/SLV WRDH30C</v>
          </cell>
          <cell r="I733">
            <v>10080</v>
          </cell>
          <cell r="J733" t="str">
            <v>UN</v>
          </cell>
          <cell r="K733">
            <v>45631</v>
          </cell>
        </row>
        <row r="734">
          <cell r="A734" t="str">
            <v>50800524520</v>
          </cell>
          <cell r="B734" t="str">
            <v>ZMFD</v>
          </cell>
          <cell r="C734">
            <v>45510</v>
          </cell>
          <cell r="D734" t="str">
            <v>Not delivered</v>
          </cell>
          <cell r="E734">
            <v>508005245</v>
          </cell>
          <cell r="F734">
            <v>20</v>
          </cell>
          <cell r="G734">
            <v>1340516</v>
          </cell>
          <cell r="H734" t="str">
            <v>CM-133:CVR BS MTLC GRN UV DP S/WARDH 30T</v>
          </cell>
          <cell r="I734">
            <v>30240</v>
          </cell>
          <cell r="J734" t="str">
            <v>UN</v>
          </cell>
          <cell r="K734">
            <v>45631</v>
          </cell>
        </row>
        <row r="735">
          <cell r="A735" t="str">
            <v>50800524620</v>
          </cell>
          <cell r="B735" t="str">
            <v>ZMFD</v>
          </cell>
          <cell r="C735">
            <v>45510</v>
          </cell>
          <cell r="D735" t="str">
            <v>Not delivered</v>
          </cell>
          <cell r="E735">
            <v>508005246</v>
          </cell>
          <cell r="F735">
            <v>20</v>
          </cell>
          <cell r="G735">
            <v>1408740</v>
          </cell>
          <cell r="H735" t="str">
            <v>PT-097B:BDSR.2 BLU HOUS WHT TRNS PTI12A</v>
          </cell>
          <cell r="I735">
            <v>330000</v>
          </cell>
          <cell r="J735" t="str">
            <v>UN</v>
          </cell>
          <cell r="K735">
            <v>45631</v>
          </cell>
        </row>
        <row r="736">
          <cell r="A736" t="str">
            <v>50800524640</v>
          </cell>
          <cell r="B736" t="str">
            <v>ZMFD</v>
          </cell>
          <cell r="C736">
            <v>45510</v>
          </cell>
          <cell r="D736" t="str">
            <v>Not delivered</v>
          </cell>
          <cell r="E736">
            <v>508005246</v>
          </cell>
          <cell r="F736">
            <v>40</v>
          </cell>
          <cell r="G736">
            <v>1408739</v>
          </cell>
          <cell r="H736" t="str">
            <v>PT-097B:CAP SR.2 BLUE TRANS PTI 12A</v>
          </cell>
          <cell r="I736">
            <v>330000</v>
          </cell>
          <cell r="J736" t="str">
            <v>UN</v>
          </cell>
          <cell r="K736">
            <v>45631</v>
          </cell>
        </row>
        <row r="737">
          <cell r="A737" t="str">
            <v>50800524720</v>
          </cell>
          <cell r="B737" t="str">
            <v>ZMFD</v>
          </cell>
          <cell r="C737">
            <v>45510</v>
          </cell>
          <cell r="D737" t="str">
            <v>Not delivered</v>
          </cell>
          <cell r="E737">
            <v>508005247</v>
          </cell>
          <cell r="F737">
            <v>20</v>
          </cell>
          <cell r="G737">
            <v>1361170</v>
          </cell>
          <cell r="H737" t="str">
            <v>PT-097:BODY BLACK HOUSE WHT TRANS PTI12A</v>
          </cell>
          <cell r="I737">
            <v>210000</v>
          </cell>
          <cell r="J737" t="str">
            <v>UN</v>
          </cell>
          <cell r="K737">
            <v>45631</v>
          </cell>
        </row>
        <row r="738">
          <cell r="A738" t="str">
            <v>50800524740</v>
          </cell>
          <cell r="B738" t="str">
            <v>ZMFD</v>
          </cell>
          <cell r="C738">
            <v>45510</v>
          </cell>
          <cell r="D738" t="str">
            <v>Not delivered</v>
          </cell>
          <cell r="E738">
            <v>508005247</v>
          </cell>
          <cell r="F738">
            <v>40</v>
          </cell>
          <cell r="G738">
            <v>1361175</v>
          </cell>
          <cell r="H738" t="str">
            <v>PT-097:CAP BLACK TRANS PTI 12A</v>
          </cell>
          <cell r="I738">
            <v>210000</v>
          </cell>
          <cell r="J738" t="str">
            <v>UN</v>
          </cell>
          <cell r="K738">
            <v>45631</v>
          </cell>
        </row>
        <row r="739">
          <cell r="A739" t="str">
            <v>50800524830</v>
          </cell>
          <cell r="B739" t="str">
            <v>ZMFD</v>
          </cell>
          <cell r="C739">
            <v>45510</v>
          </cell>
          <cell r="D739" t="str">
            <v>Not delivered</v>
          </cell>
          <cell r="E739">
            <v>508005248</v>
          </cell>
          <cell r="F739">
            <v>30</v>
          </cell>
          <cell r="G739">
            <v>1367372</v>
          </cell>
          <cell r="H739" t="str">
            <v>PT-097:BODY GREN HOUSE WHT TRANS PTI 12A</v>
          </cell>
          <cell r="I739">
            <v>260000</v>
          </cell>
          <cell r="J739" t="str">
            <v>UN</v>
          </cell>
          <cell r="K739">
            <v>45631</v>
          </cell>
        </row>
        <row r="740">
          <cell r="A740" t="str">
            <v>50800524860</v>
          </cell>
          <cell r="B740" t="str">
            <v>ZMFD</v>
          </cell>
          <cell r="C740">
            <v>45510</v>
          </cell>
          <cell r="D740" t="str">
            <v>Not delivered</v>
          </cell>
          <cell r="E740">
            <v>508005248</v>
          </cell>
          <cell r="F740">
            <v>60</v>
          </cell>
          <cell r="G740">
            <v>1367370</v>
          </cell>
          <cell r="H740" t="str">
            <v>PT-097:CAP GREN TRANS PTI 12A</v>
          </cell>
          <cell r="I740">
            <v>260000</v>
          </cell>
          <cell r="J740" t="str">
            <v>UN</v>
          </cell>
          <cell r="K740">
            <v>45631</v>
          </cell>
        </row>
        <row r="741">
          <cell r="A741" t="str">
            <v>50800523320</v>
          </cell>
          <cell r="B741" t="str">
            <v>ZMFD</v>
          </cell>
          <cell r="C741">
            <v>45504</v>
          </cell>
          <cell r="D741" t="str">
            <v>Not delivered</v>
          </cell>
          <cell r="E741">
            <v>508005233</v>
          </cell>
          <cell r="F741">
            <v>20</v>
          </cell>
          <cell r="G741">
            <v>1169152</v>
          </cell>
          <cell r="H741" t="str">
            <v>CM-295:SQUARE COMPACT&amp;GODET PHHT010032</v>
          </cell>
          <cell r="I741">
            <v>20040</v>
          </cell>
          <cell r="J741" t="str">
            <v>UN</v>
          </cell>
          <cell r="K741">
            <v>45631</v>
          </cell>
        </row>
        <row r="742">
          <cell r="A742" t="str">
            <v>50714254810</v>
          </cell>
          <cell r="B742" t="str">
            <v>ZMTD</v>
          </cell>
          <cell r="C742">
            <v>45492</v>
          </cell>
          <cell r="D742" t="str">
            <v>Not delivered</v>
          </cell>
          <cell r="E742">
            <v>507142548</v>
          </cell>
          <cell r="F742">
            <v>10</v>
          </cell>
          <cell r="G742">
            <v>1182817</v>
          </cell>
          <cell r="H742" t="str">
            <v>FP-014:JAR P/BLACK ALMAY</v>
          </cell>
          <cell r="I742">
            <v>25056</v>
          </cell>
          <cell r="J742" t="str">
            <v>UN</v>
          </cell>
          <cell r="K742">
            <v>45631</v>
          </cell>
        </row>
        <row r="743">
          <cell r="A743" t="str">
            <v>50714254820</v>
          </cell>
          <cell r="B743" t="str">
            <v>ZMTD</v>
          </cell>
          <cell r="C743">
            <v>45492</v>
          </cell>
          <cell r="D743" t="str">
            <v>Not delivered</v>
          </cell>
          <cell r="E743">
            <v>507142548</v>
          </cell>
          <cell r="F743">
            <v>20</v>
          </cell>
          <cell r="G743">
            <v>1171483</v>
          </cell>
          <cell r="H743" t="str">
            <v>FP-014:COVER GREY MATTE IN MOLD REVLON</v>
          </cell>
          <cell r="I743">
            <v>34992</v>
          </cell>
          <cell r="J743" t="str">
            <v>UN</v>
          </cell>
          <cell r="K743">
            <v>45631</v>
          </cell>
        </row>
        <row r="744">
          <cell r="A744" t="str">
            <v>50714254830</v>
          </cell>
          <cell r="B744" t="str">
            <v>ZMTD</v>
          </cell>
          <cell r="C744">
            <v>45492</v>
          </cell>
          <cell r="D744" t="str">
            <v>Not delivered</v>
          </cell>
          <cell r="E744">
            <v>507142548</v>
          </cell>
          <cell r="F744">
            <v>30</v>
          </cell>
          <cell r="G744">
            <v>1240862</v>
          </cell>
          <cell r="H744" t="str">
            <v>FP-014 SIFTER NAT W/ORDERED LABEL REVLON</v>
          </cell>
          <cell r="I744">
            <v>38750</v>
          </cell>
          <cell r="J744" t="str">
            <v>UN</v>
          </cell>
          <cell r="K744">
            <v>45631</v>
          </cell>
        </row>
        <row r="745">
          <cell r="A745" t="str">
            <v>50800519250</v>
          </cell>
          <cell r="B745" t="str">
            <v>ZMFD</v>
          </cell>
          <cell r="C745">
            <v>45492</v>
          </cell>
          <cell r="D745" t="str">
            <v>Not delivered</v>
          </cell>
          <cell r="E745">
            <v>508005192</v>
          </cell>
          <cell r="F745">
            <v>50</v>
          </cell>
          <cell r="G745">
            <v>1430093</v>
          </cell>
          <cell r="H745" t="str">
            <v>LS-285:CV MT.TR BLUE P/SHERCLEAR PTI 40H</v>
          </cell>
          <cell r="I745">
            <v>25000</v>
          </cell>
          <cell r="J745" t="str">
            <v>UN</v>
          </cell>
          <cell r="K745">
            <v>45631</v>
          </cell>
        </row>
        <row r="746">
          <cell r="A746" t="str">
            <v>50800519260</v>
          </cell>
          <cell r="B746" t="str">
            <v>ZMFD</v>
          </cell>
          <cell r="C746">
            <v>45492</v>
          </cell>
          <cell r="D746" t="str">
            <v>Not delivered</v>
          </cell>
          <cell r="E746">
            <v>508005192</v>
          </cell>
          <cell r="F746">
            <v>60</v>
          </cell>
          <cell r="G746">
            <v>1430094</v>
          </cell>
          <cell r="H746" t="str">
            <v>LS-285:BS BLUE NO DC WARDAH PTI 12A</v>
          </cell>
          <cell r="I746">
            <v>25000</v>
          </cell>
          <cell r="J746" t="str">
            <v>UN</v>
          </cell>
          <cell r="K746">
            <v>45631</v>
          </cell>
        </row>
        <row r="747">
          <cell r="A747" t="str">
            <v>50800517150</v>
          </cell>
          <cell r="B747" t="str">
            <v>ZMFD</v>
          </cell>
          <cell r="C747">
            <v>45481</v>
          </cell>
          <cell r="D747" t="str">
            <v>Not delivered</v>
          </cell>
          <cell r="E747">
            <v>508005171</v>
          </cell>
          <cell r="F747">
            <v>50</v>
          </cell>
          <cell r="G747">
            <v>1375595</v>
          </cell>
          <cell r="H747" t="str">
            <v>LC-009:BTL/INNER CLEAR P/OMG PTIPT 60B</v>
          </cell>
          <cell r="I747">
            <v>486000</v>
          </cell>
          <cell r="J747" t="str">
            <v>UN</v>
          </cell>
          <cell r="K747">
            <v>45631</v>
          </cell>
        </row>
        <row r="748">
          <cell r="A748" t="str">
            <v>50800517160</v>
          </cell>
          <cell r="B748" t="str">
            <v>ZMFD</v>
          </cell>
          <cell r="C748">
            <v>45481</v>
          </cell>
          <cell r="D748" t="str">
            <v>Not delivered</v>
          </cell>
          <cell r="E748">
            <v>508005171</v>
          </cell>
          <cell r="F748">
            <v>60</v>
          </cell>
          <cell r="G748">
            <v>1375593</v>
          </cell>
          <cell r="H748" t="str">
            <v>LC-009:CAP REDTRANS WIP S/OMG PTIPT 60B</v>
          </cell>
          <cell r="I748">
            <v>486000</v>
          </cell>
          <cell r="J748" t="str">
            <v>UN</v>
          </cell>
          <cell r="K748">
            <v>45631</v>
          </cell>
        </row>
        <row r="749">
          <cell r="A749" t="str">
            <v>50800517250</v>
          </cell>
          <cell r="B749" t="str">
            <v>ZMFD</v>
          </cell>
          <cell r="C749">
            <v>45481</v>
          </cell>
          <cell r="D749" t="str">
            <v>Not delivered</v>
          </cell>
          <cell r="E749">
            <v>508005172</v>
          </cell>
          <cell r="F749">
            <v>50</v>
          </cell>
          <cell r="G749">
            <v>1417990</v>
          </cell>
          <cell r="H749" t="str">
            <v>LC-009:BTL #2#3 INNER CLR P/OMG PTIPT60B</v>
          </cell>
          <cell r="I749">
            <v>1200000</v>
          </cell>
          <cell r="J749" t="str">
            <v>UN</v>
          </cell>
          <cell r="K749">
            <v>45631</v>
          </cell>
        </row>
        <row r="750">
          <cell r="A750" t="str">
            <v>50800517260</v>
          </cell>
          <cell r="B750" t="str">
            <v>ZMFD</v>
          </cell>
          <cell r="C750">
            <v>45481</v>
          </cell>
          <cell r="D750" t="str">
            <v>Not delivered</v>
          </cell>
          <cell r="E750">
            <v>508005172</v>
          </cell>
          <cell r="F750">
            <v>60</v>
          </cell>
          <cell r="G750">
            <v>1417978</v>
          </cell>
          <cell r="H750" t="str">
            <v>LC-009:CAP #2#3 REDTR WIP S/OMG PTIPT60B</v>
          </cell>
          <cell r="I750">
            <v>1200000</v>
          </cell>
          <cell r="J750" t="str">
            <v>UN</v>
          </cell>
          <cell r="K750">
            <v>45631</v>
          </cell>
        </row>
        <row r="751">
          <cell r="A751" t="str">
            <v>50800515570</v>
          </cell>
          <cell r="B751" t="str">
            <v>ZMFD</v>
          </cell>
          <cell r="C751">
            <v>45470</v>
          </cell>
          <cell r="D751" t="str">
            <v>Not delivered</v>
          </cell>
          <cell r="E751">
            <v>508005155</v>
          </cell>
          <cell r="F751">
            <v>70</v>
          </cell>
          <cell r="G751">
            <v>1388036</v>
          </cell>
          <cell r="H751" t="str">
            <v>CM-253:CV BS MTMAUVE P/C.BLSH RV1 PTI40H</v>
          </cell>
          <cell r="I751">
            <v>30000</v>
          </cell>
          <cell r="J751" t="str">
            <v>UN</v>
          </cell>
          <cell r="K751">
            <v>45631</v>
          </cell>
        </row>
        <row r="752">
          <cell r="A752" t="str">
            <v>50800511220</v>
          </cell>
          <cell r="B752" t="str">
            <v>ZMFD</v>
          </cell>
          <cell r="C752">
            <v>45450</v>
          </cell>
          <cell r="D752" t="str">
            <v>Not delivered</v>
          </cell>
          <cell r="E752">
            <v>508005112</v>
          </cell>
          <cell r="F752">
            <v>20</v>
          </cell>
          <cell r="G752">
            <v>1169658</v>
          </cell>
          <cell r="H752" t="str">
            <v>CM-156:NEW GREEN MRBL 6339010303 CLNQ EL</v>
          </cell>
          <cell r="I752">
            <v>22680</v>
          </cell>
          <cell r="J752" t="str">
            <v>UN</v>
          </cell>
          <cell r="K752">
            <v>45631</v>
          </cell>
        </row>
        <row r="753">
          <cell r="A753" t="str">
            <v>50800504010</v>
          </cell>
          <cell r="B753" t="str">
            <v>ZMFD</v>
          </cell>
          <cell r="C753">
            <v>45427</v>
          </cell>
          <cell r="D753" t="str">
            <v>Not delivered</v>
          </cell>
          <cell r="E753">
            <v>508005040</v>
          </cell>
          <cell r="F753">
            <v>10</v>
          </cell>
          <cell r="G753">
            <v>1286393</v>
          </cell>
          <cell r="H753" t="str">
            <v>CM-300:BLUE UV S/SLV DIOR GALASHN PEPSPE</v>
          </cell>
          <cell r="I753">
            <v>62720</v>
          </cell>
          <cell r="J753" t="str">
            <v>UN</v>
          </cell>
          <cell r="K753">
            <v>45631</v>
          </cell>
        </row>
        <row r="754">
          <cell r="A754" t="str">
            <v>50714284410</v>
          </cell>
          <cell r="B754" t="str">
            <v>ZMTD</v>
          </cell>
          <cell r="C754">
            <v>45566</v>
          </cell>
          <cell r="D754" t="str">
            <v>Not delivered</v>
          </cell>
          <cell r="E754">
            <v>507142844</v>
          </cell>
          <cell r="F754">
            <v>10</v>
          </cell>
          <cell r="G754">
            <v>1404888</v>
          </cell>
          <cell r="H754" t="str">
            <v>LS-091:BS MGNTA P/SHEER COLOR ROHTO 60B</v>
          </cell>
          <cell r="I754">
            <v>29640</v>
          </cell>
          <cell r="J754" t="str">
            <v>UN</v>
          </cell>
          <cell r="K754">
            <v>45632</v>
          </cell>
        </row>
        <row r="755">
          <cell r="A755" t="str">
            <v>50714284420</v>
          </cell>
          <cell r="B755" t="str">
            <v>ZMTD</v>
          </cell>
          <cell r="C755">
            <v>45566</v>
          </cell>
          <cell r="D755" t="str">
            <v>Not delivered</v>
          </cell>
          <cell r="E755">
            <v>507142844</v>
          </cell>
          <cell r="F755">
            <v>20</v>
          </cell>
          <cell r="G755">
            <v>1404885</v>
          </cell>
          <cell r="H755" t="str">
            <v>LS-091:CVR MGNTA GRAD UV P/NATURAL ROHTO</v>
          </cell>
          <cell r="I755">
            <v>29640</v>
          </cell>
          <cell r="J755" t="str">
            <v>UN</v>
          </cell>
          <cell r="K755">
            <v>45632</v>
          </cell>
        </row>
        <row r="756">
          <cell r="A756" t="str">
            <v>50800529710</v>
          </cell>
          <cell r="B756" t="str">
            <v>ZMFD</v>
          </cell>
          <cell r="C756">
            <v>45565</v>
          </cell>
          <cell r="D756" t="str">
            <v>Not delivered</v>
          </cell>
          <cell r="E756">
            <v>508005297</v>
          </cell>
          <cell r="F756">
            <v>10</v>
          </cell>
          <cell r="G756">
            <v>1419488</v>
          </cell>
          <cell r="H756" t="str">
            <v>CP-063R:SPOUT CAP WHITE LOREAL 12A</v>
          </cell>
          <cell r="I756">
            <v>1890000</v>
          </cell>
          <cell r="J756" t="str">
            <v>UN</v>
          </cell>
          <cell r="K756">
            <v>45632</v>
          </cell>
        </row>
        <row r="757">
          <cell r="A757" t="str">
            <v>50800529720</v>
          </cell>
          <cell r="B757" t="str">
            <v>ZMFD</v>
          </cell>
          <cell r="C757">
            <v>45565</v>
          </cell>
          <cell r="D757" t="str">
            <v>Not delivered</v>
          </cell>
          <cell r="E757">
            <v>508005297</v>
          </cell>
          <cell r="F757">
            <v>20</v>
          </cell>
          <cell r="G757">
            <v>1419488</v>
          </cell>
          <cell r="H757" t="str">
            <v>CP-063R:SPOUT CAP WHITE LOREAL 12A</v>
          </cell>
          <cell r="I757">
            <v>1890000</v>
          </cell>
          <cell r="J757" t="str">
            <v>UN</v>
          </cell>
          <cell r="K757">
            <v>45632</v>
          </cell>
        </row>
        <row r="758">
          <cell r="A758" t="str">
            <v>50800528830</v>
          </cell>
          <cell r="B758" t="str">
            <v>ZMFD</v>
          </cell>
          <cell r="C758">
            <v>45558</v>
          </cell>
          <cell r="D758" t="str">
            <v>Not delivered</v>
          </cell>
          <cell r="E758">
            <v>508005288</v>
          </cell>
          <cell r="F758">
            <v>30</v>
          </cell>
          <cell r="G758">
            <v>1336783</v>
          </cell>
          <cell r="H758" t="str">
            <v>LC-003:BTL CLR CLVM P/S/INSTSUEDE PTI20Y</v>
          </cell>
          <cell r="I758">
            <v>25000</v>
          </cell>
          <cell r="J758" t="str">
            <v>UN</v>
          </cell>
          <cell r="K758">
            <v>45632</v>
          </cell>
        </row>
        <row r="759">
          <cell r="A759" t="str">
            <v>50800528840</v>
          </cell>
          <cell r="B759" t="str">
            <v>ZMFD</v>
          </cell>
          <cell r="C759">
            <v>45558</v>
          </cell>
          <cell r="D759" t="str">
            <v>Not delivered</v>
          </cell>
          <cell r="E759">
            <v>508005288</v>
          </cell>
          <cell r="F759">
            <v>40</v>
          </cell>
          <cell r="G759">
            <v>1378266</v>
          </cell>
          <cell r="H759" t="str">
            <v>LC-003:CAP VM RS PINK INSTASUEDE PTI 20F</v>
          </cell>
          <cell r="I759">
            <v>25000</v>
          </cell>
          <cell r="J759" t="str">
            <v>UN</v>
          </cell>
          <cell r="K759">
            <v>45632</v>
          </cell>
        </row>
        <row r="760">
          <cell r="A760" t="str">
            <v>50800528110</v>
          </cell>
          <cell r="B760" t="str">
            <v>ZMFD</v>
          </cell>
          <cell r="C760">
            <v>45553</v>
          </cell>
          <cell r="D760" t="str">
            <v>Not delivered</v>
          </cell>
          <cell r="E760">
            <v>508005281</v>
          </cell>
          <cell r="F760">
            <v>10</v>
          </cell>
          <cell r="G760">
            <v>1175313</v>
          </cell>
          <cell r="H760" t="str">
            <v>CM-101:N.GRN MRBL B/O 618J010304 CLNQ EL</v>
          </cell>
          <cell r="I760">
            <v>25350</v>
          </cell>
          <cell r="J760" t="str">
            <v>UN</v>
          </cell>
          <cell r="K760">
            <v>45632</v>
          </cell>
        </row>
        <row r="761">
          <cell r="A761" t="str">
            <v>507142765120</v>
          </cell>
          <cell r="B761" t="str">
            <v>ZMTD</v>
          </cell>
          <cell r="C761">
            <v>45552</v>
          </cell>
          <cell r="D761" t="str">
            <v>Not delivered</v>
          </cell>
          <cell r="E761">
            <v>507142765</v>
          </cell>
          <cell r="F761">
            <v>120</v>
          </cell>
          <cell r="G761">
            <v>1398383</v>
          </cell>
          <cell r="H761" t="str">
            <v>CM-319:WHITE P/BLACK UV MATTE NARS</v>
          </cell>
          <cell r="I761">
            <v>40080</v>
          </cell>
          <cell r="J761" t="str">
            <v>UN</v>
          </cell>
          <cell r="K761">
            <v>45632</v>
          </cell>
        </row>
        <row r="762">
          <cell r="A762" t="str">
            <v>50800524210</v>
          </cell>
          <cell r="B762" t="str">
            <v>ZMFD</v>
          </cell>
          <cell r="C762">
            <v>45510</v>
          </cell>
          <cell r="D762" t="str">
            <v>Not delivered</v>
          </cell>
          <cell r="E762">
            <v>508005242</v>
          </cell>
          <cell r="F762">
            <v>10</v>
          </cell>
          <cell r="G762">
            <v>1412602</v>
          </cell>
          <cell r="H762" t="str">
            <v>CM-105:CVR/BS MTBLK S/PWRSTAY RV1 PTI30C</v>
          </cell>
          <cell r="I762">
            <v>10080</v>
          </cell>
          <cell r="J762" t="str">
            <v>UN</v>
          </cell>
          <cell r="K762">
            <v>45632</v>
          </cell>
        </row>
        <row r="763">
          <cell r="A763" t="str">
            <v>50800524010</v>
          </cell>
          <cell r="B763" t="str">
            <v>ZMFD</v>
          </cell>
          <cell r="C763">
            <v>45505</v>
          </cell>
          <cell r="D763" t="str">
            <v>Not delivered</v>
          </cell>
          <cell r="E763">
            <v>508005240</v>
          </cell>
          <cell r="F763">
            <v>10</v>
          </cell>
          <cell r="G763">
            <v>1420925</v>
          </cell>
          <cell r="H763" t="str">
            <v>CM-253:CV BS MT ROSE 04 P/C.BLSH PTI40H</v>
          </cell>
          <cell r="I763">
            <v>15000</v>
          </cell>
          <cell r="J763" t="str">
            <v>UN</v>
          </cell>
          <cell r="K763">
            <v>45632</v>
          </cell>
        </row>
        <row r="764">
          <cell r="A764" t="str">
            <v>50800517510</v>
          </cell>
          <cell r="B764" t="str">
            <v>ZMFD</v>
          </cell>
          <cell r="C764">
            <v>45481</v>
          </cell>
          <cell r="D764" t="str">
            <v>Not delivered</v>
          </cell>
          <cell r="E764">
            <v>508005175</v>
          </cell>
          <cell r="F764">
            <v>10</v>
          </cell>
          <cell r="G764">
            <v>1255657</v>
          </cell>
          <cell r="H764" t="str">
            <v>LC-002:BTL MT VAR7 P/WRDH B.MARK PTI40H</v>
          </cell>
          <cell r="I764">
            <v>17000</v>
          </cell>
          <cell r="J764" t="str">
            <v>UN</v>
          </cell>
          <cell r="K764">
            <v>45632</v>
          </cell>
        </row>
        <row r="765">
          <cell r="A765" t="str">
            <v>50800517520</v>
          </cell>
          <cell r="B765" t="str">
            <v>ZMFD</v>
          </cell>
          <cell r="C765">
            <v>45481</v>
          </cell>
          <cell r="D765" t="str">
            <v>Not delivered</v>
          </cell>
          <cell r="E765">
            <v>508005175</v>
          </cell>
          <cell r="F765">
            <v>20</v>
          </cell>
          <cell r="G765">
            <v>1264019</v>
          </cell>
          <cell r="H765" t="str">
            <v>LC-002:CAP S/MTVAR7 STM-WHT WPNAT PTI40D</v>
          </cell>
          <cell r="I765">
            <v>17000</v>
          </cell>
          <cell r="J765" t="str">
            <v>UN</v>
          </cell>
          <cell r="K765">
            <v>45632</v>
          </cell>
        </row>
        <row r="766">
          <cell r="A766" t="str">
            <v>50800517570</v>
          </cell>
          <cell r="B766" t="str">
            <v>ZMFD</v>
          </cell>
          <cell r="C766">
            <v>45481</v>
          </cell>
          <cell r="D766" t="str">
            <v>Not delivered</v>
          </cell>
          <cell r="E766">
            <v>508005175</v>
          </cell>
          <cell r="F766">
            <v>70</v>
          </cell>
          <cell r="G766">
            <v>1255657</v>
          </cell>
          <cell r="H766" t="str">
            <v>LC-002:BTL MT VAR7 P/WRDH B.MARK PTI40H</v>
          </cell>
          <cell r="I766">
            <v>8000</v>
          </cell>
          <cell r="J766" t="str">
            <v>UN</v>
          </cell>
          <cell r="K766">
            <v>45632</v>
          </cell>
        </row>
        <row r="767">
          <cell r="A767" t="str">
            <v>50800517580</v>
          </cell>
          <cell r="B767" t="str">
            <v>ZMFD</v>
          </cell>
          <cell r="C767">
            <v>45481</v>
          </cell>
          <cell r="D767" t="str">
            <v>Not delivered</v>
          </cell>
          <cell r="E767">
            <v>508005175</v>
          </cell>
          <cell r="F767">
            <v>80</v>
          </cell>
          <cell r="G767">
            <v>1264019</v>
          </cell>
          <cell r="H767" t="str">
            <v>LC-002:CAP S/MTVAR7 STM-WHT WPNAT PTI40D</v>
          </cell>
          <cell r="I767">
            <v>8000</v>
          </cell>
          <cell r="J767" t="str">
            <v>UN</v>
          </cell>
          <cell r="K767">
            <v>45632</v>
          </cell>
        </row>
        <row r="768">
          <cell r="A768" t="str">
            <v>50714243210</v>
          </cell>
          <cell r="B768" t="str">
            <v>ZMTD</v>
          </cell>
          <cell r="C768">
            <v>45475</v>
          </cell>
          <cell r="D768" t="str">
            <v>Not delivered</v>
          </cell>
          <cell r="E768">
            <v>507142432</v>
          </cell>
          <cell r="F768">
            <v>10</v>
          </cell>
          <cell r="G768">
            <v>1160336</v>
          </cell>
          <cell r="H768" t="str">
            <v>CP-071:CP8364 TNR WPRL 200 REX IS 763</v>
          </cell>
          <cell r="I768">
            <v>65250</v>
          </cell>
          <cell r="J768" t="str">
            <v>UN</v>
          </cell>
          <cell r="K768">
            <v>45632</v>
          </cell>
        </row>
        <row r="769">
          <cell r="A769" t="str">
            <v>50714243110</v>
          </cell>
          <cell r="B769" t="str">
            <v>ZMTD</v>
          </cell>
          <cell r="C769">
            <v>45475</v>
          </cell>
          <cell r="D769" t="str">
            <v>Not delivered</v>
          </cell>
          <cell r="E769">
            <v>507142431</v>
          </cell>
          <cell r="F769">
            <v>10</v>
          </cell>
          <cell r="G769">
            <v>1160336</v>
          </cell>
          <cell r="H769" t="str">
            <v>CP-071:CP8364 TNR WPRL 200 REX IS 763</v>
          </cell>
          <cell r="I769">
            <v>43500</v>
          </cell>
          <cell r="J769" t="str">
            <v>UN</v>
          </cell>
          <cell r="K769">
            <v>45633</v>
          </cell>
        </row>
        <row r="770">
          <cell r="A770" t="str">
            <v>50714261620</v>
          </cell>
          <cell r="B770" t="str">
            <v>ZMTD</v>
          </cell>
          <cell r="C770">
            <v>45511</v>
          </cell>
          <cell r="D770" t="str">
            <v>Not delivered</v>
          </cell>
          <cell r="E770">
            <v>507142616</v>
          </cell>
          <cell r="F770">
            <v>20</v>
          </cell>
          <cell r="G770">
            <v>1229927</v>
          </cell>
          <cell r="H770" t="str">
            <v>CM-273:INJ WHT 1PHS PURP PRSNAL COLCTION</v>
          </cell>
          <cell r="I770">
            <v>50000</v>
          </cell>
          <cell r="J770" t="str">
            <v>UN</v>
          </cell>
          <cell r="K770">
            <v>45635</v>
          </cell>
        </row>
        <row r="771">
          <cell r="A771" t="str">
            <v>50800529730</v>
          </cell>
          <cell r="B771" t="str">
            <v>ZMFD</v>
          </cell>
          <cell r="C771">
            <v>45565</v>
          </cell>
          <cell r="D771" t="str">
            <v>Not delivered</v>
          </cell>
          <cell r="E771">
            <v>508005297</v>
          </cell>
          <cell r="F771">
            <v>30</v>
          </cell>
          <cell r="G771">
            <v>1419488</v>
          </cell>
          <cell r="H771" t="str">
            <v>CP-063R:SPOUT CAP WHITE LOREAL 12A</v>
          </cell>
          <cell r="I771">
            <v>1890000</v>
          </cell>
          <cell r="J771" t="str">
            <v>UN</v>
          </cell>
          <cell r="K771">
            <v>45636</v>
          </cell>
        </row>
        <row r="772">
          <cell r="A772" t="str">
            <v>50714276440</v>
          </cell>
          <cell r="B772" t="str">
            <v>ZMTD</v>
          </cell>
          <cell r="C772">
            <v>45552</v>
          </cell>
          <cell r="D772" t="str">
            <v>Not delivered</v>
          </cell>
          <cell r="E772">
            <v>507142764</v>
          </cell>
          <cell r="F772">
            <v>40</v>
          </cell>
          <cell r="G772">
            <v>1211756</v>
          </cell>
          <cell r="H772" t="str">
            <v>CM-246:COVER VM SHNY SLV ALMOST PWD</v>
          </cell>
          <cell r="I772">
            <v>120120</v>
          </cell>
          <cell r="J772" t="str">
            <v>UN</v>
          </cell>
          <cell r="K772">
            <v>45636</v>
          </cell>
        </row>
        <row r="773">
          <cell r="A773" t="str">
            <v>50800526220</v>
          </cell>
          <cell r="B773" t="str">
            <v>ZMFD</v>
          </cell>
          <cell r="C773">
            <v>45524</v>
          </cell>
          <cell r="D773" t="str">
            <v>Not delivered</v>
          </cell>
          <cell r="E773">
            <v>508005262</v>
          </cell>
          <cell r="F773">
            <v>20</v>
          </cell>
          <cell r="G773">
            <v>1163327</v>
          </cell>
          <cell r="H773" t="str">
            <v>CM-246:CVR S.SLV PAN WHITE 6MPY 01 0034</v>
          </cell>
          <cell r="I773">
            <v>25056</v>
          </cell>
          <cell r="J773" t="str">
            <v>UN</v>
          </cell>
          <cell r="K773">
            <v>45636</v>
          </cell>
        </row>
        <row r="774">
          <cell r="A774" t="str">
            <v>50800525720</v>
          </cell>
          <cell r="B774" t="str">
            <v>ZMFD</v>
          </cell>
          <cell r="C774">
            <v>45518</v>
          </cell>
          <cell r="D774" t="str">
            <v>Not delivered</v>
          </cell>
          <cell r="E774">
            <v>508005257</v>
          </cell>
          <cell r="F774">
            <v>20</v>
          </cell>
          <cell r="G774">
            <v>1409881</v>
          </cell>
          <cell r="H774" t="str">
            <v>CM-315:CVR/BS BLACK P/CVRLAST OMG RV160B</v>
          </cell>
          <cell r="I774">
            <v>150304</v>
          </cell>
          <cell r="J774" t="str">
            <v>UN</v>
          </cell>
          <cell r="K774">
            <v>45636</v>
          </cell>
        </row>
        <row r="775">
          <cell r="A775" t="str">
            <v>50800525270</v>
          </cell>
          <cell r="B775" t="str">
            <v>ZMFD</v>
          </cell>
          <cell r="C775">
            <v>45512</v>
          </cell>
          <cell r="D775" t="str">
            <v>Not delivered</v>
          </cell>
          <cell r="E775">
            <v>508005252</v>
          </cell>
          <cell r="F775">
            <v>70</v>
          </cell>
          <cell r="G775">
            <v>1382368</v>
          </cell>
          <cell r="H775" t="str">
            <v>CP-067R:FT CAP35 SNAP BLK MATTE  Ø5 LRL</v>
          </cell>
          <cell r="I775">
            <v>440000</v>
          </cell>
          <cell r="J775" t="str">
            <v>UN</v>
          </cell>
          <cell r="K775">
            <v>45636</v>
          </cell>
        </row>
        <row r="776">
          <cell r="A776" t="str">
            <v>50800493070</v>
          </cell>
          <cell r="B776" t="str">
            <v>ZMFD</v>
          </cell>
          <cell r="C776">
            <v>45364</v>
          </cell>
          <cell r="D776" t="str">
            <v>Not delivered</v>
          </cell>
          <cell r="E776">
            <v>508004930</v>
          </cell>
          <cell r="F776">
            <v>70</v>
          </cell>
          <cell r="G776">
            <v>1159912</v>
          </cell>
          <cell r="H776" t="str">
            <v>CP-064:CAP 25 SCREW BLK MT L'OREAL</v>
          </cell>
          <cell r="I776">
            <v>252000</v>
          </cell>
          <cell r="J776" t="str">
            <v>UN</v>
          </cell>
          <cell r="K776">
            <v>45636</v>
          </cell>
        </row>
        <row r="777">
          <cell r="A777" t="str">
            <v>50800530230</v>
          </cell>
          <cell r="B777" t="str">
            <v>ZMFD</v>
          </cell>
          <cell r="C777">
            <v>45568</v>
          </cell>
          <cell r="D777" t="str">
            <v>Not delivered</v>
          </cell>
          <cell r="E777">
            <v>508005302</v>
          </cell>
          <cell r="F777">
            <v>30</v>
          </cell>
          <cell r="G777">
            <v>1408740</v>
          </cell>
          <cell r="H777" t="str">
            <v>PT-097B:BDSR.2 BLU HOUS WHT TRNS PTI12A</v>
          </cell>
          <cell r="I777">
            <v>190000</v>
          </cell>
          <cell r="J777" t="str">
            <v>UN</v>
          </cell>
          <cell r="K777">
            <v>45637</v>
          </cell>
        </row>
        <row r="778">
          <cell r="A778" t="str">
            <v>50800530240</v>
          </cell>
          <cell r="B778" t="str">
            <v>ZMFD</v>
          </cell>
          <cell r="C778">
            <v>45568</v>
          </cell>
          <cell r="D778" t="str">
            <v>Not delivered</v>
          </cell>
          <cell r="E778">
            <v>508005302</v>
          </cell>
          <cell r="F778">
            <v>40</v>
          </cell>
          <cell r="G778">
            <v>1408739</v>
          </cell>
          <cell r="H778" t="str">
            <v>PT-097B:CAP SR.2 BLUE TRANS PTI 12A</v>
          </cell>
          <cell r="I778">
            <v>190000</v>
          </cell>
          <cell r="J778" t="str">
            <v>UN</v>
          </cell>
          <cell r="K778">
            <v>45637</v>
          </cell>
        </row>
        <row r="779">
          <cell r="A779" t="str">
            <v>50714284430</v>
          </cell>
          <cell r="B779" t="str">
            <v>ZMTD</v>
          </cell>
          <cell r="C779">
            <v>45566</v>
          </cell>
          <cell r="D779" t="str">
            <v>Not delivered</v>
          </cell>
          <cell r="E779">
            <v>507142844</v>
          </cell>
          <cell r="F779">
            <v>30</v>
          </cell>
          <cell r="G779">
            <v>1404888</v>
          </cell>
          <cell r="H779" t="str">
            <v>LS-091:BS MGNTA P/SHEER COLOR ROHTO 60B</v>
          </cell>
          <cell r="I779">
            <v>40508</v>
          </cell>
          <cell r="J779" t="str">
            <v>UN</v>
          </cell>
          <cell r="K779">
            <v>45637</v>
          </cell>
        </row>
        <row r="780">
          <cell r="A780" t="str">
            <v>50714284440</v>
          </cell>
          <cell r="B780" t="str">
            <v>ZMTD</v>
          </cell>
          <cell r="C780">
            <v>45566</v>
          </cell>
          <cell r="D780" t="str">
            <v>Not delivered</v>
          </cell>
          <cell r="E780">
            <v>507142844</v>
          </cell>
          <cell r="F780">
            <v>40</v>
          </cell>
          <cell r="G780">
            <v>1407563</v>
          </cell>
          <cell r="H780" t="str">
            <v>LS-091:CVR MGNTA GRAD UV P/STRWBRY ROHTO</v>
          </cell>
          <cell r="I780">
            <v>40508</v>
          </cell>
          <cell r="J780" t="str">
            <v>UN</v>
          </cell>
          <cell r="K780">
            <v>45637</v>
          </cell>
        </row>
        <row r="781">
          <cell r="A781" t="str">
            <v>50800527130</v>
          </cell>
          <cell r="B781" t="str">
            <v>ZMFD</v>
          </cell>
          <cell r="C781">
            <v>45538</v>
          </cell>
          <cell r="D781" t="str">
            <v>Not delivered</v>
          </cell>
          <cell r="E781">
            <v>508005271</v>
          </cell>
          <cell r="F781">
            <v>30</v>
          </cell>
          <cell r="G781">
            <v>1411701</v>
          </cell>
          <cell r="H781" t="str">
            <v>PT-100:BS/INS BLUE P/WHT KAHF PTI 60B</v>
          </cell>
          <cell r="I781">
            <v>180000</v>
          </cell>
          <cell r="J781" t="str">
            <v>UN</v>
          </cell>
          <cell r="K781">
            <v>45637</v>
          </cell>
        </row>
        <row r="782">
          <cell r="A782" t="str">
            <v>50800527140</v>
          </cell>
          <cell r="B782" t="str">
            <v>ZMFD</v>
          </cell>
          <cell r="C782">
            <v>45538</v>
          </cell>
          <cell r="D782" t="str">
            <v>Not delivered</v>
          </cell>
          <cell r="E782">
            <v>508005271</v>
          </cell>
          <cell r="F782">
            <v>40</v>
          </cell>
          <cell r="G782">
            <v>1411700</v>
          </cell>
          <cell r="H782" t="str">
            <v>PT-100:CVR MT.BLUE EMBOS KAHF PTI 40D</v>
          </cell>
          <cell r="I782">
            <v>180000</v>
          </cell>
          <cell r="J782" t="str">
            <v>UN</v>
          </cell>
          <cell r="K782">
            <v>45637</v>
          </cell>
        </row>
        <row r="783">
          <cell r="A783" t="str">
            <v>50800525950</v>
          </cell>
          <cell r="B783" t="str">
            <v>ZMFD</v>
          </cell>
          <cell r="C783">
            <v>45523</v>
          </cell>
          <cell r="D783" t="str">
            <v>Not delivered</v>
          </cell>
          <cell r="E783">
            <v>508005259</v>
          </cell>
          <cell r="F783">
            <v>50</v>
          </cell>
          <cell r="G783">
            <v>1168132</v>
          </cell>
          <cell r="H783" t="str">
            <v>LS-285:BS WHT NO DC WARDAH</v>
          </cell>
          <cell r="I783">
            <v>25000</v>
          </cell>
          <cell r="J783" t="str">
            <v>UN</v>
          </cell>
          <cell r="K783">
            <v>45637</v>
          </cell>
        </row>
        <row r="784">
          <cell r="A784" t="str">
            <v>50800525960</v>
          </cell>
          <cell r="B784" t="str">
            <v>ZMFD</v>
          </cell>
          <cell r="C784">
            <v>45523</v>
          </cell>
          <cell r="D784" t="str">
            <v>Not delivered</v>
          </cell>
          <cell r="E784">
            <v>508005259</v>
          </cell>
          <cell r="F784">
            <v>60</v>
          </cell>
          <cell r="G784">
            <v>1421509</v>
          </cell>
          <cell r="H784" t="str">
            <v>LS-285:CV ORNG P/WHT UV ORGSQUEZE PTI30O</v>
          </cell>
          <cell r="I784">
            <v>25000</v>
          </cell>
          <cell r="J784" t="str">
            <v>UN</v>
          </cell>
          <cell r="K784">
            <v>45637</v>
          </cell>
        </row>
        <row r="785">
          <cell r="A785" t="str">
            <v>50800529740</v>
          </cell>
          <cell r="B785" t="str">
            <v>ZMFD</v>
          </cell>
          <cell r="C785">
            <v>45565</v>
          </cell>
          <cell r="D785" t="str">
            <v>Not delivered</v>
          </cell>
          <cell r="E785">
            <v>508005297</v>
          </cell>
          <cell r="F785">
            <v>40</v>
          </cell>
          <cell r="G785">
            <v>1419488</v>
          </cell>
          <cell r="H785" t="str">
            <v>CP-063R:SPOUT CAP WHITE LOREAL 12A</v>
          </cell>
          <cell r="I785">
            <v>1890000</v>
          </cell>
          <cell r="J785" t="str">
            <v>UN</v>
          </cell>
          <cell r="K785">
            <v>45638</v>
          </cell>
        </row>
        <row r="786">
          <cell r="A786" t="str">
            <v>50714279220</v>
          </cell>
          <cell r="B786" t="str">
            <v>ZMTD</v>
          </cell>
          <cell r="C786">
            <v>45555</v>
          </cell>
          <cell r="D786" t="str">
            <v>Not delivered</v>
          </cell>
          <cell r="E786">
            <v>507142792</v>
          </cell>
          <cell r="F786">
            <v>20</v>
          </cell>
          <cell r="G786">
            <v>1406600</v>
          </cell>
          <cell r="H786" t="str">
            <v>CM-310:BLACK M086 CANNAGE S/SLV UV MT</v>
          </cell>
          <cell r="I786">
            <v>39000</v>
          </cell>
          <cell r="J786" t="str">
            <v>UN</v>
          </cell>
          <cell r="K786">
            <v>45638</v>
          </cell>
        </row>
        <row r="787">
          <cell r="A787" t="str">
            <v>50800523330</v>
          </cell>
          <cell r="B787" t="str">
            <v>ZMFD</v>
          </cell>
          <cell r="C787">
            <v>45504</v>
          </cell>
          <cell r="D787" t="str">
            <v>Not delivered</v>
          </cell>
          <cell r="E787">
            <v>508005233</v>
          </cell>
          <cell r="F787">
            <v>30</v>
          </cell>
          <cell r="G787">
            <v>1169152</v>
          </cell>
          <cell r="H787" t="str">
            <v>CM-295:SQUARE COMPACT&amp;GODET PHHT010032</v>
          </cell>
          <cell r="I787">
            <v>20040</v>
          </cell>
          <cell r="J787" t="str">
            <v>UN</v>
          </cell>
          <cell r="K787">
            <v>45638</v>
          </cell>
        </row>
        <row r="788">
          <cell r="A788" t="str">
            <v>50714254840</v>
          </cell>
          <cell r="B788" t="str">
            <v>ZMTD</v>
          </cell>
          <cell r="C788">
            <v>45492</v>
          </cell>
          <cell r="D788" t="str">
            <v>Not delivered</v>
          </cell>
          <cell r="E788">
            <v>507142548</v>
          </cell>
          <cell r="F788">
            <v>40</v>
          </cell>
          <cell r="G788">
            <v>1182817</v>
          </cell>
          <cell r="H788" t="str">
            <v>FP-014:JAR P/BLACK ALMAY</v>
          </cell>
          <cell r="I788">
            <v>25056</v>
          </cell>
          <cell r="J788" t="str">
            <v>UN</v>
          </cell>
          <cell r="K788">
            <v>45638</v>
          </cell>
        </row>
        <row r="789">
          <cell r="A789" t="str">
            <v>50714254850</v>
          </cell>
          <cell r="B789" t="str">
            <v>ZMTD</v>
          </cell>
          <cell r="C789">
            <v>45492</v>
          </cell>
          <cell r="D789" t="str">
            <v>Not delivered</v>
          </cell>
          <cell r="E789">
            <v>507142548</v>
          </cell>
          <cell r="F789">
            <v>50</v>
          </cell>
          <cell r="G789">
            <v>1171483</v>
          </cell>
          <cell r="H789" t="str">
            <v>FP-014:COVER GREY MATTE IN MOLD REVLON</v>
          </cell>
          <cell r="I789">
            <v>34992</v>
          </cell>
          <cell r="J789" t="str">
            <v>UN</v>
          </cell>
          <cell r="K789">
            <v>45638</v>
          </cell>
        </row>
        <row r="790">
          <cell r="A790" t="str">
            <v>50800530330</v>
          </cell>
          <cell r="B790" t="str">
            <v>ZMFD</v>
          </cell>
          <cell r="C790">
            <v>45568</v>
          </cell>
          <cell r="D790" t="str">
            <v>Not delivered</v>
          </cell>
          <cell r="E790">
            <v>508005303</v>
          </cell>
          <cell r="F790">
            <v>30</v>
          </cell>
          <cell r="G790">
            <v>1430094</v>
          </cell>
          <cell r="H790" t="str">
            <v>LS-285:BS BLUE NO DC WARDAH PTI 12A</v>
          </cell>
          <cell r="I790">
            <v>25536</v>
          </cell>
          <cell r="J790" t="str">
            <v>UN</v>
          </cell>
          <cell r="K790">
            <v>45639</v>
          </cell>
        </row>
        <row r="791">
          <cell r="A791" t="str">
            <v>50800530340</v>
          </cell>
          <cell r="B791" t="str">
            <v>ZMFD</v>
          </cell>
          <cell r="C791">
            <v>45568</v>
          </cell>
          <cell r="D791" t="str">
            <v>Not delivered</v>
          </cell>
          <cell r="E791">
            <v>508005303</v>
          </cell>
          <cell r="F791">
            <v>40</v>
          </cell>
          <cell r="G791">
            <v>1430093</v>
          </cell>
          <cell r="H791" t="str">
            <v>LS-285:CV MT.TR BLUE P/SHERCLEAR PTI 40H</v>
          </cell>
          <cell r="I791">
            <v>25536</v>
          </cell>
          <cell r="J791" t="str">
            <v>UN</v>
          </cell>
          <cell r="K791">
            <v>45639</v>
          </cell>
        </row>
        <row r="792">
          <cell r="A792" t="str">
            <v>50800529750</v>
          </cell>
          <cell r="B792" t="str">
            <v>ZMFD</v>
          </cell>
          <cell r="C792">
            <v>45565</v>
          </cell>
          <cell r="D792" t="str">
            <v>Not delivered</v>
          </cell>
          <cell r="E792">
            <v>508005297</v>
          </cell>
          <cell r="F792">
            <v>50</v>
          </cell>
          <cell r="G792">
            <v>1419488</v>
          </cell>
          <cell r="H792" t="str">
            <v>CP-063R:SPOUT CAP WHITE LOREAL 12A</v>
          </cell>
          <cell r="I792">
            <v>1890000</v>
          </cell>
          <cell r="J792" t="str">
            <v>UN</v>
          </cell>
          <cell r="K792">
            <v>45639</v>
          </cell>
        </row>
        <row r="793">
          <cell r="A793" t="str">
            <v>50800526810</v>
          </cell>
          <cell r="B793" t="str">
            <v>ZMFD</v>
          </cell>
          <cell r="C793">
            <v>45532</v>
          </cell>
          <cell r="D793" t="str">
            <v>Not delivered</v>
          </cell>
          <cell r="E793">
            <v>508005268</v>
          </cell>
          <cell r="F793">
            <v>10</v>
          </cell>
          <cell r="G793">
            <v>1284957</v>
          </cell>
          <cell r="H793" t="str">
            <v>CM-244:WHITE U/CLR  S/SLVR ZGNC010031 EL</v>
          </cell>
          <cell r="I793">
            <v>10080</v>
          </cell>
          <cell r="J793" t="str">
            <v>UN</v>
          </cell>
          <cell r="K793">
            <v>45639</v>
          </cell>
        </row>
        <row r="794">
          <cell r="A794" t="str">
            <v>50800508210</v>
          </cell>
          <cell r="B794" t="str">
            <v>ZMFD</v>
          </cell>
          <cell r="C794">
            <v>45436</v>
          </cell>
          <cell r="D794" t="str">
            <v>Not delivered</v>
          </cell>
          <cell r="E794">
            <v>508005082</v>
          </cell>
          <cell r="F794">
            <v>10</v>
          </cell>
          <cell r="G794">
            <v>1331787</v>
          </cell>
          <cell r="H794" t="str">
            <v>CM-216:TRUE MATCH BLUSH W/O BRUSH LOR US</v>
          </cell>
          <cell r="I794">
            <v>174200</v>
          </cell>
          <cell r="J794" t="str">
            <v>UN</v>
          </cell>
          <cell r="K794">
            <v>45639</v>
          </cell>
        </row>
        <row r="795">
          <cell r="A795" t="str">
            <v>50714284810</v>
          </cell>
          <cell r="B795" t="str">
            <v>ZMTD</v>
          </cell>
          <cell r="C795">
            <v>45567</v>
          </cell>
          <cell r="D795" t="str">
            <v>Not delivered</v>
          </cell>
          <cell r="E795">
            <v>507142848</v>
          </cell>
          <cell r="F795">
            <v>10</v>
          </cell>
          <cell r="G795">
            <v>1135699</v>
          </cell>
          <cell r="H795" t="str">
            <v>CM-298:MATCH MADE BRONZER</v>
          </cell>
          <cell r="I795">
            <v>21200</v>
          </cell>
          <cell r="J795" t="str">
            <v>UN</v>
          </cell>
          <cell r="K795">
            <v>45640</v>
          </cell>
        </row>
        <row r="796">
          <cell r="A796" t="str">
            <v>50714284910</v>
          </cell>
          <cell r="B796" t="str">
            <v>ZMTD</v>
          </cell>
          <cell r="C796">
            <v>45567</v>
          </cell>
          <cell r="D796" t="str">
            <v>Not delivered</v>
          </cell>
          <cell r="E796">
            <v>507142849</v>
          </cell>
          <cell r="F796">
            <v>10</v>
          </cell>
          <cell r="G796">
            <v>1181524</v>
          </cell>
          <cell r="H796" t="str">
            <v>CM-297:WHITE PERFECT LIGHT PP BOOTS</v>
          </cell>
          <cell r="I796">
            <v>25032</v>
          </cell>
          <cell r="J796" t="str">
            <v>UN</v>
          </cell>
          <cell r="K796">
            <v>45640</v>
          </cell>
        </row>
        <row r="797">
          <cell r="A797" t="str">
            <v>50800529760</v>
          </cell>
          <cell r="B797" t="str">
            <v>ZMFD</v>
          </cell>
          <cell r="C797">
            <v>45565</v>
          </cell>
          <cell r="D797" t="str">
            <v>Not delivered</v>
          </cell>
          <cell r="E797">
            <v>508005297</v>
          </cell>
          <cell r="F797">
            <v>60</v>
          </cell>
          <cell r="G797">
            <v>1419488</v>
          </cell>
          <cell r="H797" t="str">
            <v>CP-063R:SPOUT CAP WHITE LOREAL 12A</v>
          </cell>
          <cell r="I797">
            <v>1890000</v>
          </cell>
          <cell r="J797" t="str">
            <v>UN</v>
          </cell>
          <cell r="K797">
            <v>45642</v>
          </cell>
        </row>
        <row r="798">
          <cell r="A798" t="str">
            <v>50714271710</v>
          </cell>
          <cell r="B798" t="str">
            <v>ZMTD</v>
          </cell>
          <cell r="C798">
            <v>45538</v>
          </cell>
          <cell r="D798" t="str">
            <v>Not delivered</v>
          </cell>
          <cell r="E798">
            <v>507142717</v>
          </cell>
          <cell r="F798">
            <v>10</v>
          </cell>
          <cell r="G798">
            <v>1435161</v>
          </cell>
          <cell r="H798" t="str">
            <v>CP-095:BLACK U/CLEAR CHRISTMAS 25</v>
          </cell>
          <cell r="I798">
            <v>29160</v>
          </cell>
          <cell r="J798" t="str">
            <v>UN</v>
          </cell>
          <cell r="K798">
            <v>45642</v>
          </cell>
        </row>
        <row r="799">
          <cell r="A799" t="str">
            <v>50800514950</v>
          </cell>
          <cell r="B799" t="str">
            <v>ZMFD</v>
          </cell>
          <cell r="C799">
            <v>45464</v>
          </cell>
          <cell r="D799" t="str">
            <v>Not delivered</v>
          </cell>
          <cell r="E799">
            <v>508005149</v>
          </cell>
          <cell r="F799">
            <v>50</v>
          </cell>
          <cell r="G799">
            <v>1378563</v>
          </cell>
          <cell r="H799" t="str">
            <v>CP-093:CAP D50 MT BLACK Ø.5 YASULOR 12A</v>
          </cell>
          <cell r="I799">
            <v>600000</v>
          </cell>
          <cell r="J799" t="str">
            <v>UN</v>
          </cell>
          <cell r="K799">
            <v>45642</v>
          </cell>
        </row>
        <row r="800">
          <cell r="A800" t="str">
            <v>50714131990</v>
          </cell>
          <cell r="B800" t="str">
            <v>ZMTD</v>
          </cell>
          <cell r="C800">
            <v>45247</v>
          </cell>
          <cell r="D800" t="str">
            <v>Not delivered</v>
          </cell>
          <cell r="E800">
            <v>507141319</v>
          </cell>
          <cell r="F800">
            <v>90</v>
          </cell>
          <cell r="G800">
            <v>1383698</v>
          </cell>
          <cell r="H800" t="str">
            <v>PT-098:CVR WHT PLUG NAT NDC MENTARI 12A</v>
          </cell>
          <cell r="I800">
            <v>1800</v>
          </cell>
          <cell r="J800" t="str">
            <v>UN</v>
          </cell>
          <cell r="K800">
            <v>45642</v>
          </cell>
        </row>
        <row r="801">
          <cell r="A801" t="str">
            <v>507141319100</v>
          </cell>
          <cell r="B801" t="str">
            <v>ZMTD</v>
          </cell>
          <cell r="C801">
            <v>45247</v>
          </cell>
          <cell r="D801" t="str">
            <v>Not delivered</v>
          </cell>
          <cell r="E801">
            <v>507141319</v>
          </cell>
          <cell r="F801">
            <v>100</v>
          </cell>
          <cell r="G801">
            <v>1383699</v>
          </cell>
          <cell r="H801" t="str">
            <v>PT-098:BS CLR REFIL WHT 12.5G MENTARI12A</v>
          </cell>
          <cell r="I801">
            <v>1800</v>
          </cell>
          <cell r="J801" t="str">
            <v>UN</v>
          </cell>
          <cell r="K801">
            <v>45642</v>
          </cell>
        </row>
        <row r="802">
          <cell r="A802" t="str">
            <v>50800529410</v>
          </cell>
          <cell r="B802" t="str">
            <v>ZMFD</v>
          </cell>
          <cell r="C802">
            <v>45560</v>
          </cell>
          <cell r="D802" t="str">
            <v>Not delivered</v>
          </cell>
          <cell r="E802">
            <v>508005294</v>
          </cell>
          <cell r="F802">
            <v>10</v>
          </cell>
          <cell r="G802">
            <v>1286626</v>
          </cell>
          <cell r="H802" t="str">
            <v>FP-038:BASE AMBER GWLT010705 EL</v>
          </cell>
          <cell r="I802">
            <v>25020</v>
          </cell>
          <cell r="J802" t="str">
            <v>UN</v>
          </cell>
          <cell r="K802">
            <v>45643</v>
          </cell>
        </row>
        <row r="803">
          <cell r="A803" t="str">
            <v>50800528610</v>
          </cell>
          <cell r="B803" t="str">
            <v>ZMFD</v>
          </cell>
          <cell r="C803">
            <v>45558</v>
          </cell>
          <cell r="D803" t="str">
            <v>Not delivered</v>
          </cell>
          <cell r="E803">
            <v>508005286</v>
          </cell>
          <cell r="F803">
            <v>10</v>
          </cell>
          <cell r="G803">
            <v>1170578</v>
          </cell>
          <cell r="H803" t="str">
            <v>FP-029:CAP VM GOLD S/MATTE REEY010073</v>
          </cell>
          <cell r="I803">
            <v>25080</v>
          </cell>
          <cell r="J803" t="str">
            <v>UN</v>
          </cell>
          <cell r="K803">
            <v>45643</v>
          </cell>
        </row>
        <row r="804">
          <cell r="A804" t="str">
            <v>50800529770</v>
          </cell>
          <cell r="B804" t="str">
            <v>ZMFD</v>
          </cell>
          <cell r="C804">
            <v>45565</v>
          </cell>
          <cell r="D804" t="str">
            <v>Not delivered</v>
          </cell>
          <cell r="E804">
            <v>508005297</v>
          </cell>
          <cell r="F804">
            <v>70</v>
          </cell>
          <cell r="G804">
            <v>1419488</v>
          </cell>
          <cell r="H804" t="str">
            <v>CP-063R:SPOUT CAP WHITE LOREAL 12A</v>
          </cell>
          <cell r="I804">
            <v>1890000</v>
          </cell>
          <cell r="J804" t="str">
            <v>UN</v>
          </cell>
          <cell r="K804">
            <v>45644</v>
          </cell>
        </row>
        <row r="805">
          <cell r="A805" t="str">
            <v>50714276330</v>
          </cell>
          <cell r="B805" t="str">
            <v>ZMTD</v>
          </cell>
          <cell r="C805">
            <v>45552</v>
          </cell>
          <cell r="D805" t="str">
            <v>Not delivered</v>
          </cell>
          <cell r="E805">
            <v>507142763</v>
          </cell>
          <cell r="F805">
            <v>30</v>
          </cell>
          <cell r="G805">
            <v>1182817</v>
          </cell>
          <cell r="H805" t="str">
            <v>FP-014:JAR P/BLACK ALMAY</v>
          </cell>
          <cell r="I805">
            <v>25056</v>
          </cell>
          <cell r="J805" t="str">
            <v>UN</v>
          </cell>
          <cell r="K805">
            <v>45644</v>
          </cell>
        </row>
        <row r="806">
          <cell r="A806" t="str">
            <v>50714276450</v>
          </cell>
          <cell r="B806" t="str">
            <v>ZMTD</v>
          </cell>
          <cell r="C806">
            <v>45552</v>
          </cell>
          <cell r="D806" t="str">
            <v>Not delivered</v>
          </cell>
          <cell r="E806">
            <v>507142764</v>
          </cell>
          <cell r="F806">
            <v>50</v>
          </cell>
          <cell r="G806">
            <v>1211756</v>
          </cell>
          <cell r="H806" t="str">
            <v>CM-246:COVER VM SHNY SLV ALMOST PWD</v>
          </cell>
          <cell r="I806">
            <v>120120</v>
          </cell>
          <cell r="J806" t="str">
            <v>UN</v>
          </cell>
          <cell r="K806">
            <v>45644</v>
          </cell>
        </row>
        <row r="807">
          <cell r="A807" t="str">
            <v>50800528010</v>
          </cell>
          <cell r="B807" t="str">
            <v>ZMFD</v>
          </cell>
          <cell r="C807">
            <v>45553</v>
          </cell>
          <cell r="D807" t="str">
            <v>Not delivered</v>
          </cell>
          <cell r="E807">
            <v>508005280</v>
          </cell>
          <cell r="F807">
            <v>10</v>
          </cell>
          <cell r="G807">
            <v>1169286</v>
          </cell>
          <cell r="H807" t="str">
            <v>CM-294:RECTANGULAR WITH GODET PKTJ010032</v>
          </cell>
          <cell r="I807">
            <v>46880</v>
          </cell>
          <cell r="J807" t="str">
            <v>UN</v>
          </cell>
          <cell r="K807">
            <v>45645</v>
          </cell>
        </row>
        <row r="808">
          <cell r="A808" t="str">
            <v>50800523340</v>
          </cell>
          <cell r="B808" t="str">
            <v>ZMFD</v>
          </cell>
          <cell r="C808">
            <v>45504</v>
          </cell>
          <cell r="D808" t="str">
            <v>Not delivered</v>
          </cell>
          <cell r="E808">
            <v>508005233</v>
          </cell>
          <cell r="F808">
            <v>40</v>
          </cell>
          <cell r="G808">
            <v>1169152</v>
          </cell>
          <cell r="H808" t="str">
            <v>CM-295:SQUARE COMPACT&amp;GODET PHHT010032</v>
          </cell>
          <cell r="I808">
            <v>20040</v>
          </cell>
          <cell r="J808" t="str">
            <v>UN</v>
          </cell>
          <cell r="K808">
            <v>45645</v>
          </cell>
        </row>
        <row r="809">
          <cell r="A809" t="str">
            <v>50714285210</v>
          </cell>
          <cell r="B809" t="str">
            <v>ZMTD</v>
          </cell>
          <cell r="C809">
            <v>45569</v>
          </cell>
          <cell r="D809" t="str">
            <v>Not delivered</v>
          </cell>
          <cell r="E809">
            <v>507142852</v>
          </cell>
          <cell r="F809">
            <v>10</v>
          </cell>
          <cell r="G809">
            <v>1431860</v>
          </cell>
          <cell r="H809" t="str">
            <v>PT6029R CAP GARNIER 18ML WHITE PLZ (553)</v>
          </cell>
          <cell r="I809">
            <v>52080</v>
          </cell>
          <cell r="J809" t="str">
            <v>UN</v>
          </cell>
          <cell r="K809">
            <v>45646</v>
          </cell>
        </row>
        <row r="810">
          <cell r="A810" t="str">
            <v>50800529780</v>
          </cell>
          <cell r="B810" t="str">
            <v>ZMFD</v>
          </cell>
          <cell r="C810">
            <v>45565</v>
          </cell>
          <cell r="D810" t="str">
            <v>Not delivered</v>
          </cell>
          <cell r="E810">
            <v>508005297</v>
          </cell>
          <cell r="F810">
            <v>80</v>
          </cell>
          <cell r="G810">
            <v>1419488</v>
          </cell>
          <cell r="H810" t="str">
            <v>CP-063R:SPOUT CAP WHITE LOREAL 12A</v>
          </cell>
          <cell r="I810">
            <v>1890000</v>
          </cell>
          <cell r="J810" t="str">
            <v>UN</v>
          </cell>
          <cell r="K810">
            <v>45646</v>
          </cell>
        </row>
        <row r="811">
          <cell r="A811" t="str">
            <v>50714257520</v>
          </cell>
          <cell r="B811" t="str">
            <v>ZMTD</v>
          </cell>
          <cell r="C811">
            <v>45499</v>
          </cell>
          <cell r="D811" t="str">
            <v>Not delivered</v>
          </cell>
          <cell r="E811">
            <v>507142575</v>
          </cell>
          <cell r="F811">
            <v>20</v>
          </cell>
          <cell r="G811">
            <v>1431860</v>
          </cell>
          <cell r="H811" t="str">
            <v>PT6029R CAP GARNIER 18ML WHITE PLZ (553)</v>
          </cell>
          <cell r="I811">
            <v>20160</v>
          </cell>
          <cell r="J811" t="str">
            <v>UN</v>
          </cell>
          <cell r="K811">
            <v>45646</v>
          </cell>
        </row>
        <row r="812">
          <cell r="A812" t="str">
            <v>50800514960</v>
          </cell>
          <cell r="B812" t="str">
            <v>ZMFD</v>
          </cell>
          <cell r="C812">
            <v>45464</v>
          </cell>
          <cell r="D812" t="str">
            <v>Not delivered</v>
          </cell>
          <cell r="E812">
            <v>508005149</v>
          </cell>
          <cell r="F812">
            <v>60</v>
          </cell>
          <cell r="G812">
            <v>1378563</v>
          </cell>
          <cell r="H812" t="str">
            <v>CP-093:CAP D50 MT BLACK Ø.5 YASULOR 12A</v>
          </cell>
          <cell r="I812">
            <v>600000</v>
          </cell>
          <cell r="J812" t="str">
            <v>UN</v>
          </cell>
          <cell r="K812">
            <v>45646</v>
          </cell>
        </row>
        <row r="813">
          <cell r="A813" t="str">
            <v>50714139120</v>
          </cell>
          <cell r="B813" t="str">
            <v>ZMTD</v>
          </cell>
          <cell r="C813">
            <v>45265</v>
          </cell>
          <cell r="D813" t="str">
            <v>Not delivered</v>
          </cell>
          <cell r="E813">
            <v>507141391</v>
          </cell>
          <cell r="F813">
            <v>20</v>
          </cell>
          <cell r="G813">
            <v>1259608</v>
          </cell>
          <cell r="H813" t="str">
            <v>CM-302:MUFE MEDIUM FLEXI MAGNET SUPERMAT</v>
          </cell>
          <cell r="I813">
            <v>51408</v>
          </cell>
          <cell r="J813" t="str">
            <v>UN</v>
          </cell>
          <cell r="K813">
            <v>45646</v>
          </cell>
        </row>
        <row r="814">
          <cell r="A814" t="str">
            <v>50714112220</v>
          </cell>
          <cell r="B814" t="str">
            <v>ZMTD</v>
          </cell>
          <cell r="C814">
            <v>45195</v>
          </cell>
          <cell r="D814" t="str">
            <v>Not delivered</v>
          </cell>
          <cell r="E814">
            <v>507141122</v>
          </cell>
          <cell r="F814">
            <v>20</v>
          </cell>
          <cell r="G814">
            <v>1273398</v>
          </cell>
          <cell r="H814" t="str">
            <v>CM-309:FAC-098 BTIR MNO BRNZR INSRT ROND</v>
          </cell>
          <cell r="I814">
            <v>50400</v>
          </cell>
          <cell r="J814" t="str">
            <v>UN</v>
          </cell>
          <cell r="K814">
            <v>45646</v>
          </cell>
        </row>
        <row r="815">
          <cell r="A815" t="str">
            <v>50714112230</v>
          </cell>
          <cell r="B815" t="str">
            <v>ZMTD</v>
          </cell>
          <cell r="C815">
            <v>45195</v>
          </cell>
          <cell r="D815" t="str">
            <v>Not delivered</v>
          </cell>
          <cell r="E815">
            <v>507141122</v>
          </cell>
          <cell r="F815">
            <v>30</v>
          </cell>
          <cell r="G815">
            <v>1273398</v>
          </cell>
          <cell r="H815" t="str">
            <v>CM-309:FAC-098 BTIR MNO BRNZR INSRT ROND</v>
          </cell>
          <cell r="I815">
            <v>50400</v>
          </cell>
          <cell r="J815" t="str">
            <v>UN</v>
          </cell>
          <cell r="K815">
            <v>45646</v>
          </cell>
        </row>
        <row r="816">
          <cell r="A816" t="str">
            <v>50800528510</v>
          </cell>
          <cell r="B816" t="str">
            <v>ZMFD</v>
          </cell>
          <cell r="C816">
            <v>45558</v>
          </cell>
          <cell r="D816" t="str">
            <v>Not delivered</v>
          </cell>
          <cell r="E816">
            <v>508005285</v>
          </cell>
          <cell r="F816">
            <v>10</v>
          </cell>
          <cell r="G816">
            <v>1163327</v>
          </cell>
          <cell r="H816" t="str">
            <v>CM-246:CVR S.SLV PAN WHITE 6MPY 01 0034</v>
          </cell>
          <cell r="I816">
            <v>25056</v>
          </cell>
          <cell r="J816" t="str">
            <v>UN</v>
          </cell>
          <cell r="K816">
            <v>45650</v>
          </cell>
        </row>
        <row r="817">
          <cell r="A817" t="str">
            <v>50800528710</v>
          </cell>
          <cell r="B817" t="str">
            <v>ZMFD</v>
          </cell>
          <cell r="C817">
            <v>45558</v>
          </cell>
          <cell r="D817" t="str">
            <v>Not delivered</v>
          </cell>
          <cell r="E817">
            <v>508005287</v>
          </cell>
          <cell r="F817">
            <v>10</v>
          </cell>
          <cell r="G817">
            <v>1305089</v>
          </cell>
          <cell r="H817" t="str">
            <v>CM-207:VM SHY SLV P/MATTE ZGH6010038 EL</v>
          </cell>
          <cell r="I817">
            <v>25920</v>
          </cell>
          <cell r="J817" t="str">
            <v>UN</v>
          </cell>
          <cell r="K817">
            <v>45650</v>
          </cell>
        </row>
        <row r="818">
          <cell r="A818" t="str">
            <v>50714277770</v>
          </cell>
          <cell r="B818" t="str">
            <v>ZMTD</v>
          </cell>
          <cell r="C818">
            <v>45554</v>
          </cell>
          <cell r="D818" t="str">
            <v>Not delivered</v>
          </cell>
          <cell r="E818">
            <v>507142777</v>
          </cell>
          <cell r="F818">
            <v>70</v>
          </cell>
          <cell r="G818">
            <v>1435311</v>
          </cell>
          <cell r="H818" t="str">
            <v>LC-002:BTL/COL MTGRAD SLV AZURA LION 40D</v>
          </cell>
          <cell r="I818">
            <v>48510</v>
          </cell>
          <cell r="J818" t="str">
            <v>UN</v>
          </cell>
          <cell r="K818">
            <v>45650</v>
          </cell>
        </row>
        <row r="819">
          <cell r="A819" t="str">
            <v>50714277780</v>
          </cell>
          <cell r="B819" t="str">
            <v>ZMTD</v>
          </cell>
          <cell r="C819">
            <v>45554</v>
          </cell>
          <cell r="D819" t="str">
            <v>Not delivered</v>
          </cell>
          <cell r="E819">
            <v>507142777</v>
          </cell>
          <cell r="F819">
            <v>80</v>
          </cell>
          <cell r="G819">
            <v>1435313</v>
          </cell>
          <cell r="H819" t="str">
            <v>LC-002:CAP MTSLV WIPNAT S/AZURA LION 40C</v>
          </cell>
          <cell r="I819">
            <v>48510</v>
          </cell>
          <cell r="J819" t="str">
            <v>UN</v>
          </cell>
          <cell r="K819">
            <v>45650</v>
          </cell>
        </row>
        <row r="820">
          <cell r="A820" t="str">
            <v>50800528020</v>
          </cell>
          <cell r="B820" t="str">
            <v>ZMFD</v>
          </cell>
          <cell r="C820">
            <v>45553</v>
          </cell>
          <cell r="D820" t="str">
            <v>Not delivered</v>
          </cell>
          <cell r="E820">
            <v>508005280</v>
          </cell>
          <cell r="F820">
            <v>20</v>
          </cell>
          <cell r="G820">
            <v>1169286</v>
          </cell>
          <cell r="H820" t="str">
            <v>CM-294:RECTANGULAR WITH GODET PKTJ010032</v>
          </cell>
          <cell r="I820">
            <v>35000</v>
          </cell>
          <cell r="J820" t="str">
            <v>UN</v>
          </cell>
          <cell r="K820">
            <v>45652</v>
          </cell>
        </row>
        <row r="821">
          <cell r="A821" t="str">
            <v>50800530410</v>
          </cell>
          <cell r="B821" t="str">
            <v>ZMFD</v>
          </cell>
          <cell r="C821">
            <v>45569</v>
          </cell>
          <cell r="D821" t="str">
            <v>Not delivered</v>
          </cell>
          <cell r="E821">
            <v>508005304</v>
          </cell>
          <cell r="F821">
            <v>10</v>
          </cell>
          <cell r="G821">
            <v>1419488</v>
          </cell>
          <cell r="H821" t="str">
            <v>CP-063R:SPOUT CAP WHITE LOREAL 12A</v>
          </cell>
          <cell r="I821">
            <v>1890000</v>
          </cell>
          <cell r="J821" t="str">
            <v>UN</v>
          </cell>
          <cell r="K821">
            <v>45659</v>
          </cell>
        </row>
        <row r="822">
          <cell r="A822" t="str">
            <v>50800530040</v>
          </cell>
          <cell r="B822" t="str">
            <v>ZMFD</v>
          </cell>
          <cell r="C822">
            <v>45567</v>
          </cell>
          <cell r="D822" t="str">
            <v>Not delivered</v>
          </cell>
          <cell r="E822">
            <v>508005300</v>
          </cell>
          <cell r="F822">
            <v>40</v>
          </cell>
          <cell r="G822">
            <v>1376248</v>
          </cell>
          <cell r="H822" t="str">
            <v>FP-008:CVR L.PINK P/BLK MANDOM RV1 12A</v>
          </cell>
          <cell r="I822">
            <v>25000</v>
          </cell>
          <cell r="J822" t="str">
            <v>UN</v>
          </cell>
          <cell r="K822">
            <v>45659</v>
          </cell>
        </row>
        <row r="823">
          <cell r="A823" t="str">
            <v>50800530050</v>
          </cell>
          <cell r="B823" t="str">
            <v>ZMFD</v>
          </cell>
          <cell r="C823">
            <v>45567</v>
          </cell>
          <cell r="D823" t="str">
            <v>Not delivered</v>
          </cell>
          <cell r="E823">
            <v>508005300</v>
          </cell>
          <cell r="F823">
            <v>50</v>
          </cell>
          <cell r="G823">
            <v>1171179</v>
          </cell>
          <cell r="H823" t="str">
            <v>FP-008:BS INJ BLK NO DC MANDOM</v>
          </cell>
          <cell r="I823">
            <v>25000</v>
          </cell>
          <cell r="J823" t="str">
            <v>UN</v>
          </cell>
          <cell r="K823">
            <v>45659</v>
          </cell>
        </row>
        <row r="824">
          <cell r="A824" t="str">
            <v>50800530060</v>
          </cell>
          <cell r="B824" t="str">
            <v>ZMFD</v>
          </cell>
          <cell r="C824">
            <v>45567</v>
          </cell>
          <cell r="D824" t="str">
            <v>Not delivered</v>
          </cell>
          <cell r="E824">
            <v>508005300</v>
          </cell>
          <cell r="F824">
            <v>60</v>
          </cell>
          <cell r="G824">
            <v>1172027</v>
          </cell>
          <cell r="H824" t="str">
            <v>FP-008:SFT NAT L.HINGE W/LBL NO DC MDM</v>
          </cell>
          <cell r="I824">
            <v>25000</v>
          </cell>
          <cell r="J824" t="str">
            <v>UN</v>
          </cell>
          <cell r="K824">
            <v>45659</v>
          </cell>
        </row>
        <row r="825">
          <cell r="A825" t="str">
            <v>50800528720</v>
          </cell>
          <cell r="B825" t="str">
            <v>ZMFD</v>
          </cell>
          <cell r="C825">
            <v>45558</v>
          </cell>
          <cell r="D825" t="str">
            <v>Not delivered</v>
          </cell>
          <cell r="E825">
            <v>508005287</v>
          </cell>
          <cell r="F825">
            <v>20</v>
          </cell>
          <cell r="G825">
            <v>1305089</v>
          </cell>
          <cell r="H825" t="str">
            <v>CM-207:VM SHY SLV P/MATTE ZGH6010038 EL</v>
          </cell>
          <cell r="I825">
            <v>25920</v>
          </cell>
          <cell r="J825" t="str">
            <v>UN</v>
          </cell>
          <cell r="K825">
            <v>45659</v>
          </cell>
        </row>
        <row r="826">
          <cell r="A826" t="str">
            <v>50800528210</v>
          </cell>
          <cell r="B826" t="str">
            <v>ZMFD</v>
          </cell>
          <cell r="C826">
            <v>45554</v>
          </cell>
          <cell r="D826" t="str">
            <v>Not delivered</v>
          </cell>
          <cell r="E826">
            <v>508005282</v>
          </cell>
          <cell r="F826">
            <v>10</v>
          </cell>
          <cell r="G826">
            <v>1431860</v>
          </cell>
          <cell r="H826" t="str">
            <v>PT6029R CAP GARNIER 18ML WHITE PLZ (553)</v>
          </cell>
          <cell r="I826">
            <v>70560</v>
          </cell>
          <cell r="J826" t="str">
            <v>UN</v>
          </cell>
          <cell r="K826">
            <v>45659</v>
          </cell>
        </row>
        <row r="827">
          <cell r="A827" t="str">
            <v>50714270710</v>
          </cell>
          <cell r="B827" t="str">
            <v>ZMTD</v>
          </cell>
          <cell r="C827">
            <v>45534</v>
          </cell>
          <cell r="D827" t="str">
            <v>Not delivered</v>
          </cell>
          <cell r="E827">
            <v>507142707</v>
          </cell>
          <cell r="F827">
            <v>10</v>
          </cell>
          <cell r="G827">
            <v>1187758</v>
          </cell>
          <cell r="H827" t="str">
            <v>CM-105:VM RAINBOW P/ULTIMA II RUDYS 40C</v>
          </cell>
          <cell r="I827">
            <v>20000</v>
          </cell>
          <cell r="J827" t="str">
            <v>UN</v>
          </cell>
          <cell r="K827">
            <v>45659</v>
          </cell>
        </row>
        <row r="828">
          <cell r="A828" t="str">
            <v>50714243810</v>
          </cell>
          <cell r="B828" t="str">
            <v>ZMTD</v>
          </cell>
          <cell r="C828">
            <v>45475</v>
          </cell>
          <cell r="D828" t="str">
            <v>Not delivered</v>
          </cell>
          <cell r="E828">
            <v>507142438</v>
          </cell>
          <cell r="F828">
            <v>10</v>
          </cell>
          <cell r="G828">
            <v>1159364</v>
          </cell>
          <cell r="H828" t="str">
            <v>CP-071:PL8364 INSERT TNR 125-200ML REX</v>
          </cell>
          <cell r="I828">
            <v>111000</v>
          </cell>
          <cell r="J828" t="str">
            <v>UN</v>
          </cell>
          <cell r="K828">
            <v>45659</v>
          </cell>
        </row>
        <row r="829">
          <cell r="A829" t="str">
            <v>50800530420</v>
          </cell>
          <cell r="B829" t="str">
            <v>ZMFD</v>
          </cell>
          <cell r="C829">
            <v>45569</v>
          </cell>
          <cell r="D829" t="str">
            <v>Not delivered</v>
          </cell>
          <cell r="E829">
            <v>508005304</v>
          </cell>
          <cell r="F829">
            <v>20</v>
          </cell>
          <cell r="G829">
            <v>1419488</v>
          </cell>
          <cell r="H829" t="str">
            <v>CP-063R:SPOUT CAP WHITE LOREAL 12A</v>
          </cell>
          <cell r="I829">
            <v>1890000</v>
          </cell>
          <cell r="J829" t="str">
            <v>UN</v>
          </cell>
          <cell r="K829">
            <v>45660</v>
          </cell>
        </row>
        <row r="830">
          <cell r="A830" t="str">
            <v>50800530430</v>
          </cell>
          <cell r="B830" t="str">
            <v>ZMFD</v>
          </cell>
          <cell r="C830">
            <v>45569</v>
          </cell>
          <cell r="D830" t="str">
            <v>Not delivered</v>
          </cell>
          <cell r="E830">
            <v>508005304</v>
          </cell>
          <cell r="F830">
            <v>30</v>
          </cell>
          <cell r="G830">
            <v>1419488</v>
          </cell>
          <cell r="H830" t="str">
            <v>CP-063R:SPOUT CAP WHITE LOREAL 12A</v>
          </cell>
          <cell r="I830">
            <v>1890000</v>
          </cell>
          <cell r="J830" t="str">
            <v>UN</v>
          </cell>
          <cell r="K830">
            <v>45660</v>
          </cell>
        </row>
        <row r="831">
          <cell r="A831" t="str">
            <v>50800529610</v>
          </cell>
          <cell r="B831" t="str">
            <v>ZMFD</v>
          </cell>
          <cell r="C831">
            <v>45565</v>
          </cell>
          <cell r="D831" t="str">
            <v>Not delivered</v>
          </cell>
          <cell r="E831">
            <v>508005296</v>
          </cell>
          <cell r="F831">
            <v>10</v>
          </cell>
          <cell r="G831">
            <v>1378563</v>
          </cell>
          <cell r="H831" t="str">
            <v>CP-093:CAP D50 MT BLACK Ø.5 YASULOR 12A</v>
          </cell>
          <cell r="I831">
            <v>600000</v>
          </cell>
          <cell r="J831" t="str">
            <v>UN</v>
          </cell>
          <cell r="K831">
            <v>45660</v>
          </cell>
        </row>
        <row r="832">
          <cell r="A832" t="str">
            <v>50714283010</v>
          </cell>
          <cell r="B832" t="str">
            <v>ZMTD</v>
          </cell>
          <cell r="C832">
            <v>45561</v>
          </cell>
          <cell r="D832" t="str">
            <v>Not delivered</v>
          </cell>
          <cell r="E832">
            <v>507142830</v>
          </cell>
          <cell r="F832">
            <v>10</v>
          </cell>
          <cell r="G832">
            <v>1402130</v>
          </cell>
          <cell r="H832" t="str">
            <v>CM-288:BL UV S/SLV DUOBLSH DIORM098 IXPE</v>
          </cell>
          <cell r="I832">
            <v>22000</v>
          </cell>
          <cell r="J832" t="str">
            <v>UN</v>
          </cell>
          <cell r="K832">
            <v>45660</v>
          </cell>
        </row>
        <row r="833">
          <cell r="A833" t="str">
            <v>50800528030</v>
          </cell>
          <cell r="B833" t="str">
            <v>ZMFD</v>
          </cell>
          <cell r="C833">
            <v>45553</v>
          </cell>
          <cell r="D833" t="str">
            <v>Not delivered</v>
          </cell>
          <cell r="E833">
            <v>508005280</v>
          </cell>
          <cell r="F833">
            <v>30</v>
          </cell>
          <cell r="G833">
            <v>1169286</v>
          </cell>
          <cell r="H833" t="str">
            <v>CM-294:RECTANGULAR WITH GODET PKTJ010032</v>
          </cell>
          <cell r="I833">
            <v>53920</v>
          </cell>
          <cell r="J833" t="str">
            <v>UN</v>
          </cell>
          <cell r="K833">
            <v>45660</v>
          </cell>
        </row>
        <row r="834">
          <cell r="A834" t="str">
            <v>50714276310</v>
          </cell>
          <cell r="B834" t="str">
            <v>ZMTD</v>
          </cell>
          <cell r="C834">
            <v>45552</v>
          </cell>
          <cell r="D834" t="str">
            <v>Not delivered</v>
          </cell>
          <cell r="E834">
            <v>507142763</v>
          </cell>
          <cell r="F834">
            <v>10</v>
          </cell>
          <cell r="G834">
            <v>1240862</v>
          </cell>
          <cell r="H834" t="str">
            <v>FP-014 SIFTER NAT W/ORDERED LABEL REVLON</v>
          </cell>
          <cell r="I834">
            <v>38750</v>
          </cell>
          <cell r="J834" t="str">
            <v>UN</v>
          </cell>
          <cell r="K834">
            <v>45660</v>
          </cell>
        </row>
        <row r="835">
          <cell r="A835" t="str">
            <v>50714276320</v>
          </cell>
          <cell r="B835" t="str">
            <v>ZMTD</v>
          </cell>
          <cell r="C835">
            <v>45552</v>
          </cell>
          <cell r="D835" t="str">
            <v>Not delivered</v>
          </cell>
          <cell r="E835">
            <v>507142763</v>
          </cell>
          <cell r="F835">
            <v>20</v>
          </cell>
          <cell r="G835">
            <v>1171483</v>
          </cell>
          <cell r="H835" t="str">
            <v>FP-014:COVER GREY MATTE IN MOLD REVLON</v>
          </cell>
          <cell r="I835">
            <v>34992</v>
          </cell>
          <cell r="J835" t="str">
            <v>UN</v>
          </cell>
          <cell r="K835">
            <v>45660</v>
          </cell>
        </row>
        <row r="836">
          <cell r="A836" t="str">
            <v>50714276460</v>
          </cell>
          <cell r="B836" t="str">
            <v>ZMTD</v>
          </cell>
          <cell r="C836">
            <v>45552</v>
          </cell>
          <cell r="D836" t="str">
            <v>Not delivered</v>
          </cell>
          <cell r="E836">
            <v>507142764</v>
          </cell>
          <cell r="F836">
            <v>60</v>
          </cell>
          <cell r="G836">
            <v>1211756</v>
          </cell>
          <cell r="H836" t="str">
            <v>CM-246:COVER VM SHNY SLV ALMOST PWD</v>
          </cell>
          <cell r="I836">
            <v>120120</v>
          </cell>
          <cell r="J836" t="str">
            <v>UN</v>
          </cell>
          <cell r="K836">
            <v>45660</v>
          </cell>
        </row>
        <row r="837">
          <cell r="A837" t="str">
            <v>50714275810</v>
          </cell>
          <cell r="B837" t="str">
            <v>ZMTD</v>
          </cell>
          <cell r="C837">
            <v>45548</v>
          </cell>
          <cell r="D837" t="str">
            <v>Not delivered</v>
          </cell>
          <cell r="E837">
            <v>507142758</v>
          </cell>
          <cell r="F837">
            <v>10</v>
          </cell>
          <cell r="G837">
            <v>1432080</v>
          </cell>
          <cell r="H837" t="str">
            <v>CM-281:BS/CV TWC BLUE UV P/S/INEZ FTC30M</v>
          </cell>
          <cell r="I837">
            <v>25000</v>
          </cell>
          <cell r="J837" t="str">
            <v>UN</v>
          </cell>
          <cell r="K837">
            <v>45660</v>
          </cell>
        </row>
        <row r="838">
          <cell r="A838" t="str">
            <v>50800529620</v>
          </cell>
          <cell r="B838" t="str">
            <v>ZMFD</v>
          </cell>
          <cell r="C838">
            <v>45565</v>
          </cell>
          <cell r="D838" t="str">
            <v>Not delivered</v>
          </cell>
          <cell r="E838">
            <v>508005296</v>
          </cell>
          <cell r="F838">
            <v>20</v>
          </cell>
          <cell r="G838">
            <v>1378563</v>
          </cell>
          <cell r="H838" t="str">
            <v>CP-093:CAP D50 MT BLACK Ø.5 YASULOR 12A</v>
          </cell>
          <cell r="I838">
            <v>600000</v>
          </cell>
          <cell r="J838" t="str">
            <v>UN</v>
          </cell>
          <cell r="K838">
            <v>45664</v>
          </cell>
        </row>
        <row r="839">
          <cell r="A839" t="str">
            <v>50800530440</v>
          </cell>
          <cell r="B839" t="str">
            <v>ZMFD</v>
          </cell>
          <cell r="C839">
            <v>45569</v>
          </cell>
          <cell r="D839" t="str">
            <v>Not delivered</v>
          </cell>
          <cell r="E839">
            <v>508005304</v>
          </cell>
          <cell r="F839">
            <v>40</v>
          </cell>
          <cell r="G839">
            <v>1419488</v>
          </cell>
          <cell r="H839" t="str">
            <v>CP-063R:SPOUT CAP WHITE LOREAL 12A</v>
          </cell>
          <cell r="I839">
            <v>1890000</v>
          </cell>
          <cell r="J839" t="str">
            <v>UN</v>
          </cell>
          <cell r="K839">
            <v>45665</v>
          </cell>
        </row>
        <row r="840">
          <cell r="A840" t="str">
            <v>50800528040</v>
          </cell>
          <cell r="B840" t="str">
            <v>ZMFD</v>
          </cell>
          <cell r="C840">
            <v>45553</v>
          </cell>
          <cell r="D840" t="str">
            <v>Not delivered</v>
          </cell>
          <cell r="E840">
            <v>508005280</v>
          </cell>
          <cell r="F840">
            <v>40</v>
          </cell>
          <cell r="G840">
            <v>1169286</v>
          </cell>
          <cell r="H840" t="str">
            <v>CM-294:RECTANGULAR WITH GODET PKTJ010032</v>
          </cell>
          <cell r="I840">
            <v>41840</v>
          </cell>
          <cell r="J840" t="str">
            <v>UN</v>
          </cell>
          <cell r="K840">
            <v>45665</v>
          </cell>
        </row>
        <row r="841">
          <cell r="A841" t="str">
            <v>50714272010</v>
          </cell>
          <cell r="B841" t="str">
            <v>ZMTD</v>
          </cell>
          <cell r="C841">
            <v>45539</v>
          </cell>
          <cell r="D841" t="str">
            <v>Not delivered</v>
          </cell>
          <cell r="E841">
            <v>507142720</v>
          </cell>
          <cell r="F841">
            <v>10</v>
          </cell>
          <cell r="G841">
            <v>1431862</v>
          </cell>
          <cell r="H841" t="str">
            <v>PT6029R JAR GARNIER 18ML YUZU SPF30(635)</v>
          </cell>
          <cell r="I841">
            <v>56448</v>
          </cell>
          <cell r="J841" t="str">
            <v>UN</v>
          </cell>
          <cell r="K841">
            <v>45665</v>
          </cell>
        </row>
        <row r="842">
          <cell r="A842" t="str">
            <v>50800523570</v>
          </cell>
          <cell r="B842" t="str">
            <v>ZMFD</v>
          </cell>
          <cell r="C842">
            <v>45505</v>
          </cell>
          <cell r="D842" t="str">
            <v>Not delivered</v>
          </cell>
          <cell r="E842">
            <v>508005235</v>
          </cell>
          <cell r="F842">
            <v>70</v>
          </cell>
          <cell r="G842">
            <v>1332995</v>
          </cell>
          <cell r="H842" t="str">
            <v>LC-008:CAP VM SLV WIP NAT EMLC PTI 20F</v>
          </cell>
          <cell r="I842">
            <v>100000</v>
          </cell>
          <cell r="J842" t="str">
            <v>UN</v>
          </cell>
          <cell r="K842">
            <v>45665</v>
          </cell>
        </row>
        <row r="843">
          <cell r="A843" t="str">
            <v>50800523580</v>
          </cell>
          <cell r="B843" t="str">
            <v>ZMFD</v>
          </cell>
          <cell r="C843">
            <v>45505</v>
          </cell>
          <cell r="D843" t="str">
            <v>Not delivered</v>
          </cell>
          <cell r="E843">
            <v>508005235</v>
          </cell>
          <cell r="F843">
            <v>80</v>
          </cell>
          <cell r="G843">
            <v>1434959</v>
          </cell>
          <cell r="H843" t="str">
            <v>LC-008:BTL CLR (PCTG) P/WHT EMLC PTI 60B</v>
          </cell>
          <cell r="I843">
            <v>100000</v>
          </cell>
          <cell r="J843" t="str">
            <v>UN</v>
          </cell>
          <cell r="K843">
            <v>45665</v>
          </cell>
        </row>
        <row r="844">
          <cell r="A844" t="str">
            <v>50800523590</v>
          </cell>
          <cell r="B844" t="str">
            <v>ZMFD</v>
          </cell>
          <cell r="C844">
            <v>45505</v>
          </cell>
          <cell r="D844" t="str">
            <v>Not delivered</v>
          </cell>
          <cell r="E844">
            <v>508005235</v>
          </cell>
          <cell r="F844">
            <v>90</v>
          </cell>
          <cell r="G844">
            <v>1332995</v>
          </cell>
          <cell r="H844" t="str">
            <v>LC-008:CAP VM SLV WIP NAT EMLC PTI 20F</v>
          </cell>
          <cell r="I844">
            <v>100000</v>
          </cell>
          <cell r="J844" t="str">
            <v>UN</v>
          </cell>
          <cell r="K844">
            <v>45665</v>
          </cell>
        </row>
        <row r="845">
          <cell r="A845" t="str">
            <v>508005235100</v>
          </cell>
          <cell r="B845" t="str">
            <v>ZMFD</v>
          </cell>
          <cell r="C845">
            <v>45505</v>
          </cell>
          <cell r="D845" t="str">
            <v>Not delivered</v>
          </cell>
          <cell r="E845">
            <v>508005235</v>
          </cell>
          <cell r="F845">
            <v>100</v>
          </cell>
          <cell r="G845">
            <v>1434959</v>
          </cell>
          <cell r="H845" t="str">
            <v>LC-008:BTL CLR (PCTG) P/WHT EMLC PTI 60B</v>
          </cell>
          <cell r="I845">
            <v>100000</v>
          </cell>
          <cell r="J845" t="str">
            <v>UN</v>
          </cell>
          <cell r="K845">
            <v>45665</v>
          </cell>
        </row>
        <row r="846">
          <cell r="A846" t="str">
            <v>50800528410</v>
          </cell>
          <cell r="B846" t="str">
            <v>ZMFD</v>
          </cell>
          <cell r="C846">
            <v>45554</v>
          </cell>
          <cell r="D846" t="str">
            <v>Not delivered</v>
          </cell>
          <cell r="E846">
            <v>508005284</v>
          </cell>
          <cell r="F846">
            <v>10</v>
          </cell>
          <cell r="G846">
            <v>1431861</v>
          </cell>
          <cell r="H846" t="str">
            <v>PT6029R JAR GARNIER 18ML NIGHT CRM (659)</v>
          </cell>
          <cell r="I846">
            <v>51856</v>
          </cell>
          <cell r="J846" t="str">
            <v>UN</v>
          </cell>
          <cell r="K846">
            <v>45666</v>
          </cell>
        </row>
        <row r="847">
          <cell r="A847" t="str">
            <v>50800530450</v>
          </cell>
          <cell r="B847" t="str">
            <v>ZMFD</v>
          </cell>
          <cell r="C847">
            <v>45569</v>
          </cell>
          <cell r="D847" t="str">
            <v>Not delivered</v>
          </cell>
          <cell r="E847">
            <v>508005304</v>
          </cell>
          <cell r="F847">
            <v>50</v>
          </cell>
          <cell r="G847">
            <v>1419488</v>
          </cell>
          <cell r="H847" t="str">
            <v>CP-063R:SPOUT CAP WHITE LOREAL 12A</v>
          </cell>
          <cell r="I847">
            <v>1890000</v>
          </cell>
          <cell r="J847" t="str">
            <v>UN</v>
          </cell>
          <cell r="K847">
            <v>45667</v>
          </cell>
        </row>
        <row r="848">
          <cell r="A848" t="str">
            <v>50800530460</v>
          </cell>
          <cell r="B848" t="str">
            <v>ZMFD</v>
          </cell>
          <cell r="C848">
            <v>45569</v>
          </cell>
          <cell r="D848" t="str">
            <v>Not delivered</v>
          </cell>
          <cell r="E848">
            <v>508005304</v>
          </cell>
          <cell r="F848">
            <v>60</v>
          </cell>
          <cell r="G848">
            <v>1419488</v>
          </cell>
          <cell r="H848" t="str">
            <v>CP-063R:SPOUT CAP WHITE LOREAL 12A</v>
          </cell>
          <cell r="I848">
            <v>1890000</v>
          </cell>
          <cell r="J848" t="str">
            <v>UN</v>
          </cell>
          <cell r="K848">
            <v>45667</v>
          </cell>
        </row>
        <row r="849">
          <cell r="A849" t="str">
            <v>50800528520</v>
          </cell>
          <cell r="B849" t="str">
            <v>ZMFD</v>
          </cell>
          <cell r="C849">
            <v>45558</v>
          </cell>
          <cell r="D849" t="str">
            <v>Not delivered</v>
          </cell>
          <cell r="E849">
            <v>508005285</v>
          </cell>
          <cell r="F849">
            <v>20</v>
          </cell>
          <cell r="G849">
            <v>1163327</v>
          </cell>
          <cell r="H849" t="str">
            <v>CM-246:CVR S.SLV PAN WHITE 6MPY 01 0034</v>
          </cell>
          <cell r="I849">
            <v>25056</v>
          </cell>
          <cell r="J849" t="str">
            <v>UN</v>
          </cell>
          <cell r="K849">
            <v>45667</v>
          </cell>
        </row>
        <row r="850">
          <cell r="A850" t="str">
            <v>50714276470</v>
          </cell>
          <cell r="B850" t="str">
            <v>ZMTD</v>
          </cell>
          <cell r="C850">
            <v>45552</v>
          </cell>
          <cell r="D850" t="str">
            <v>Not delivered</v>
          </cell>
          <cell r="E850">
            <v>507142764</v>
          </cell>
          <cell r="F850">
            <v>70</v>
          </cell>
          <cell r="G850">
            <v>1211756</v>
          </cell>
          <cell r="H850" t="str">
            <v>CM-246:COVER VM SHNY SLV ALMOST PWD</v>
          </cell>
          <cell r="I850">
            <v>120120</v>
          </cell>
          <cell r="J850" t="str">
            <v>UN</v>
          </cell>
          <cell r="K850">
            <v>45667</v>
          </cell>
        </row>
        <row r="851">
          <cell r="A851" t="str">
            <v>50800511230</v>
          </cell>
          <cell r="B851" t="str">
            <v>ZMFD</v>
          </cell>
          <cell r="C851">
            <v>45450</v>
          </cell>
          <cell r="D851" t="str">
            <v>Not delivered</v>
          </cell>
          <cell r="E851">
            <v>508005112</v>
          </cell>
          <cell r="F851">
            <v>30</v>
          </cell>
          <cell r="G851">
            <v>1169658</v>
          </cell>
          <cell r="H851" t="str">
            <v>CM-156:NEW GREEN MRBL 6339010303 CLNQ EL</v>
          </cell>
          <cell r="I851">
            <v>22680</v>
          </cell>
          <cell r="J851" t="str">
            <v>UN</v>
          </cell>
          <cell r="K851">
            <v>45667</v>
          </cell>
        </row>
        <row r="852">
          <cell r="A852" t="str">
            <v>50800530470</v>
          </cell>
          <cell r="B852" t="str">
            <v>ZMFD</v>
          </cell>
          <cell r="C852">
            <v>45569</v>
          </cell>
          <cell r="D852" t="str">
            <v>Not delivered</v>
          </cell>
          <cell r="E852">
            <v>508005304</v>
          </cell>
          <cell r="F852">
            <v>70</v>
          </cell>
          <cell r="G852">
            <v>1419488</v>
          </cell>
          <cell r="H852" t="str">
            <v>CP-063R:SPOUT CAP WHITE LOREAL 12A</v>
          </cell>
          <cell r="I852">
            <v>1890000</v>
          </cell>
          <cell r="J852" t="str">
            <v>UN</v>
          </cell>
          <cell r="K852">
            <v>45671</v>
          </cell>
        </row>
        <row r="853">
          <cell r="A853" t="str">
            <v>50800529630</v>
          </cell>
          <cell r="B853" t="str">
            <v>ZMFD</v>
          </cell>
          <cell r="C853">
            <v>45565</v>
          </cell>
          <cell r="D853" t="str">
            <v>Not delivered</v>
          </cell>
          <cell r="E853">
            <v>508005296</v>
          </cell>
          <cell r="F853">
            <v>30</v>
          </cell>
          <cell r="G853">
            <v>1378563</v>
          </cell>
          <cell r="H853" t="str">
            <v>CP-093:CAP D50 MT BLACK Ø.5 YASULOR 12A</v>
          </cell>
          <cell r="I853">
            <v>600000</v>
          </cell>
          <cell r="J853" t="str">
            <v>UN</v>
          </cell>
          <cell r="K853">
            <v>45671</v>
          </cell>
        </row>
        <row r="854">
          <cell r="A854" t="str">
            <v>50714254010</v>
          </cell>
          <cell r="B854" t="str">
            <v>ZMTD</v>
          </cell>
          <cell r="C854">
            <v>45490</v>
          </cell>
          <cell r="D854" t="str">
            <v>Not delivered</v>
          </cell>
          <cell r="E854">
            <v>507142540</v>
          </cell>
          <cell r="F854">
            <v>10</v>
          </cell>
          <cell r="G854">
            <v>1160334</v>
          </cell>
          <cell r="H854" t="str">
            <v>CP-071:CP8364 RL RED 200ML MASS TINT 407</v>
          </cell>
          <cell r="I854">
            <v>43500</v>
          </cell>
          <cell r="J854" t="str">
            <v>UN</v>
          </cell>
          <cell r="K854">
            <v>45671</v>
          </cell>
        </row>
        <row r="855">
          <cell r="A855" t="str">
            <v>50800529910</v>
          </cell>
          <cell r="B855" t="str">
            <v>ZMFD</v>
          </cell>
          <cell r="C855">
            <v>45567</v>
          </cell>
          <cell r="D855" t="str">
            <v>Not delivered</v>
          </cell>
          <cell r="E855">
            <v>508005299</v>
          </cell>
          <cell r="F855">
            <v>10</v>
          </cell>
          <cell r="G855">
            <v>1216572</v>
          </cell>
          <cell r="H855" t="str">
            <v>CM-216:TRUE MATCH CV PF S/SLV LOR (SEA)</v>
          </cell>
          <cell r="I855">
            <v>250000</v>
          </cell>
          <cell r="J855" t="str">
            <v>UN</v>
          </cell>
          <cell r="K855">
            <v>45672</v>
          </cell>
        </row>
        <row r="856">
          <cell r="A856" t="str">
            <v>50800530480</v>
          </cell>
          <cell r="B856" t="str">
            <v>ZMFD</v>
          </cell>
          <cell r="C856">
            <v>45569</v>
          </cell>
          <cell r="D856" t="str">
            <v>Not delivered</v>
          </cell>
          <cell r="E856">
            <v>508005304</v>
          </cell>
          <cell r="F856">
            <v>80</v>
          </cell>
          <cell r="G856">
            <v>1419488</v>
          </cell>
          <cell r="H856" t="str">
            <v>CP-063R:SPOUT CAP WHITE LOREAL 12A</v>
          </cell>
          <cell r="I856">
            <v>1890000</v>
          </cell>
          <cell r="J856" t="str">
            <v>UN</v>
          </cell>
          <cell r="K856">
            <v>45673</v>
          </cell>
        </row>
        <row r="857">
          <cell r="A857" t="str">
            <v>50800530490</v>
          </cell>
          <cell r="B857" t="str">
            <v>ZMFD</v>
          </cell>
          <cell r="C857">
            <v>45569</v>
          </cell>
          <cell r="D857" t="str">
            <v>Not delivered</v>
          </cell>
          <cell r="E857">
            <v>508005304</v>
          </cell>
          <cell r="F857">
            <v>90</v>
          </cell>
          <cell r="G857">
            <v>1419488</v>
          </cell>
          <cell r="H857" t="str">
            <v>CP-063R:SPOUT CAP WHITE LOREAL 12A</v>
          </cell>
          <cell r="I857">
            <v>1890000</v>
          </cell>
          <cell r="J857" t="str">
            <v>UN</v>
          </cell>
          <cell r="K857">
            <v>45674</v>
          </cell>
        </row>
        <row r="858">
          <cell r="A858" t="str">
            <v>50714276480</v>
          </cell>
          <cell r="B858" t="str">
            <v>ZMTD</v>
          </cell>
          <cell r="C858">
            <v>45552</v>
          </cell>
          <cell r="D858" t="str">
            <v>Not delivered</v>
          </cell>
          <cell r="E858">
            <v>507142764</v>
          </cell>
          <cell r="F858">
            <v>80</v>
          </cell>
          <cell r="G858">
            <v>1211756</v>
          </cell>
          <cell r="H858" t="str">
            <v>CM-246:COVER VM SHNY SLV ALMOST PWD</v>
          </cell>
          <cell r="I858">
            <v>71760</v>
          </cell>
          <cell r="J858" t="str">
            <v>UN</v>
          </cell>
          <cell r="K858">
            <v>45675</v>
          </cell>
        </row>
        <row r="859">
          <cell r="A859" t="str">
            <v>50800496470</v>
          </cell>
          <cell r="B859" t="str">
            <v>ZMFD</v>
          </cell>
          <cell r="C859">
            <v>45384</v>
          </cell>
          <cell r="D859" t="str">
            <v>Not delivered</v>
          </cell>
          <cell r="E859">
            <v>508004964</v>
          </cell>
          <cell r="F859">
            <v>70</v>
          </cell>
          <cell r="G859">
            <v>1406600</v>
          </cell>
          <cell r="H859" t="str">
            <v>CM-310:BLACK M086 CANNAGE S/SLV UV MT</v>
          </cell>
          <cell r="I859">
            <v>40000</v>
          </cell>
          <cell r="J859" t="str">
            <v>UN</v>
          </cell>
          <cell r="K859">
            <v>45677</v>
          </cell>
        </row>
        <row r="860">
          <cell r="A860" t="str">
            <v>50800529640</v>
          </cell>
          <cell r="B860" t="str">
            <v>ZMFD</v>
          </cell>
          <cell r="C860">
            <v>45565</v>
          </cell>
          <cell r="D860" t="str">
            <v>Not delivered</v>
          </cell>
          <cell r="E860">
            <v>508005296</v>
          </cell>
          <cell r="F860">
            <v>40</v>
          </cell>
          <cell r="G860">
            <v>1378563</v>
          </cell>
          <cell r="H860" t="str">
            <v>CP-093:CAP D50 MT BLACK Ø.5 YASULOR 12A</v>
          </cell>
          <cell r="I860">
            <v>600000</v>
          </cell>
          <cell r="J860" t="str">
            <v>UN</v>
          </cell>
          <cell r="K860">
            <v>45678</v>
          </cell>
        </row>
        <row r="861">
          <cell r="A861" t="str">
            <v>50800526440</v>
          </cell>
          <cell r="B861" t="str">
            <v>ZMFD</v>
          </cell>
          <cell r="C861">
            <v>45525</v>
          </cell>
          <cell r="D861" t="str">
            <v>Not delivered</v>
          </cell>
          <cell r="E861">
            <v>508005264</v>
          </cell>
          <cell r="F861">
            <v>40</v>
          </cell>
          <cell r="G861">
            <v>1187758</v>
          </cell>
          <cell r="H861" t="str">
            <v>CM-105:VM RAINBOW P/ULTIMA II RUDYS 40C</v>
          </cell>
          <cell r="I861">
            <v>12500</v>
          </cell>
          <cell r="J861" t="str">
            <v>UN</v>
          </cell>
          <cell r="K861">
            <v>45679</v>
          </cell>
        </row>
        <row r="862">
          <cell r="A862" t="str">
            <v>50800526410</v>
          </cell>
          <cell r="B862" t="str">
            <v>ZMFD</v>
          </cell>
          <cell r="C862">
            <v>45525</v>
          </cell>
          <cell r="D862" t="str">
            <v>Not delivered</v>
          </cell>
          <cell r="E862">
            <v>508005264</v>
          </cell>
          <cell r="F862">
            <v>10</v>
          </cell>
          <cell r="G862">
            <v>1187960</v>
          </cell>
          <cell r="H862" t="str">
            <v>FP-014:CVR VMRAINBOW P/ULTM II RUDYS 40C</v>
          </cell>
          <cell r="I862">
            <v>15000</v>
          </cell>
          <cell r="J862" t="str">
            <v>UN</v>
          </cell>
          <cell r="K862">
            <v>45681</v>
          </cell>
        </row>
        <row r="863">
          <cell r="A863" t="str">
            <v>50800526420</v>
          </cell>
          <cell r="B863" t="str">
            <v>ZMFD</v>
          </cell>
          <cell r="C863">
            <v>45525</v>
          </cell>
          <cell r="D863" t="str">
            <v>Not delivered</v>
          </cell>
          <cell r="E863">
            <v>508005264</v>
          </cell>
          <cell r="F863">
            <v>20</v>
          </cell>
          <cell r="G863">
            <v>1172318</v>
          </cell>
          <cell r="H863" t="str">
            <v>FP-014:BASE CLEAR NO DC ULTIMA II RUDY S</v>
          </cell>
          <cell r="I863">
            <v>15000</v>
          </cell>
          <cell r="J863" t="str">
            <v>UN</v>
          </cell>
          <cell r="K863">
            <v>45681</v>
          </cell>
        </row>
        <row r="864">
          <cell r="A864" t="str">
            <v>50800526430</v>
          </cell>
          <cell r="B864" t="str">
            <v>ZMFD</v>
          </cell>
          <cell r="C864">
            <v>45525</v>
          </cell>
          <cell r="D864" t="str">
            <v>Not delivered</v>
          </cell>
          <cell r="E864">
            <v>508005264</v>
          </cell>
          <cell r="F864">
            <v>30</v>
          </cell>
          <cell r="G864">
            <v>1170826</v>
          </cell>
          <cell r="H864" t="str">
            <v>FP-014:SIFTER NT W/LBL NO DECO ULTIMA II</v>
          </cell>
          <cell r="I864">
            <v>15000</v>
          </cell>
          <cell r="J864" t="str">
            <v>UN</v>
          </cell>
          <cell r="K864">
            <v>45681</v>
          </cell>
        </row>
        <row r="865">
          <cell r="A865" t="str">
            <v>50714150210</v>
          </cell>
          <cell r="B865" t="str">
            <v>ZMTD</v>
          </cell>
          <cell r="C865">
            <v>45282</v>
          </cell>
          <cell r="D865" t="str">
            <v>Not delivered</v>
          </cell>
          <cell r="E865">
            <v>507141502</v>
          </cell>
          <cell r="F865">
            <v>10</v>
          </cell>
          <cell r="G865">
            <v>1378529</v>
          </cell>
          <cell r="H865" t="str">
            <v>CP-093:CAP D50 MT BLACK Ø.3 YASULOR 12A</v>
          </cell>
          <cell r="I865">
            <v>50000</v>
          </cell>
          <cell r="J865" t="str">
            <v>UN</v>
          </cell>
          <cell r="K865">
            <v>45681</v>
          </cell>
        </row>
        <row r="866">
          <cell r="A866" t="str">
            <v>50714243910</v>
          </cell>
          <cell r="B866" t="str">
            <v>ZMTD</v>
          </cell>
          <cell r="C866">
            <v>45475</v>
          </cell>
          <cell r="D866" t="str">
            <v>Not delivered</v>
          </cell>
          <cell r="E866">
            <v>507142439</v>
          </cell>
          <cell r="F866">
            <v>10</v>
          </cell>
          <cell r="G866">
            <v>1159364</v>
          </cell>
          <cell r="H866" t="str">
            <v>CP-071:PL8364 INSERT TNR 125-200ML REX</v>
          </cell>
          <cell r="I866">
            <v>111000</v>
          </cell>
          <cell r="J866" t="str">
            <v>UN</v>
          </cell>
          <cell r="K866">
            <v>45685</v>
          </cell>
        </row>
        <row r="867">
          <cell r="A867" t="str">
            <v>50714275910</v>
          </cell>
          <cell r="B867" t="str">
            <v>ZMTD</v>
          </cell>
          <cell r="C867">
            <v>45548</v>
          </cell>
          <cell r="D867" t="str">
            <v>Not delivered</v>
          </cell>
          <cell r="E867">
            <v>507142759</v>
          </cell>
          <cell r="F867">
            <v>10</v>
          </cell>
          <cell r="G867">
            <v>1432080</v>
          </cell>
          <cell r="H867" t="str">
            <v>CM-281:BS/CV TWC BLUE UV P/S/INEZ FTC30M</v>
          </cell>
          <cell r="I867">
            <v>25000</v>
          </cell>
          <cell r="J867" t="str">
            <v>UN</v>
          </cell>
          <cell r="K867">
            <v>45687</v>
          </cell>
        </row>
        <row r="868">
          <cell r="A868" t="str">
            <v>50800496480</v>
          </cell>
          <cell r="B868" t="str">
            <v>ZMFD</v>
          </cell>
          <cell r="C868">
            <v>45384</v>
          </cell>
          <cell r="D868" t="str">
            <v>Not delivered</v>
          </cell>
          <cell r="E868">
            <v>508004964</v>
          </cell>
          <cell r="F868">
            <v>80</v>
          </cell>
          <cell r="G868">
            <v>1406600</v>
          </cell>
          <cell r="H868" t="str">
            <v>CM-310:BLACK M086 CANNAGE S/SLV UV MT</v>
          </cell>
          <cell r="I868">
            <v>20000</v>
          </cell>
          <cell r="J868" t="str">
            <v>UN</v>
          </cell>
          <cell r="K868">
            <v>45687</v>
          </cell>
        </row>
        <row r="869">
          <cell r="A869" t="str">
            <v>50800528220</v>
          </cell>
          <cell r="B869" t="str">
            <v>ZMFD</v>
          </cell>
          <cell r="C869">
            <v>45554</v>
          </cell>
          <cell r="D869" t="str">
            <v>Not delivered</v>
          </cell>
          <cell r="E869">
            <v>508005282</v>
          </cell>
          <cell r="F869">
            <v>20</v>
          </cell>
          <cell r="G869">
            <v>1431860</v>
          </cell>
          <cell r="H869" t="str">
            <v>PT6029R CAP GARNIER 18ML WHITE PLZ (553)</v>
          </cell>
          <cell r="I869">
            <v>108303</v>
          </cell>
          <cell r="J869" t="str">
            <v>UN</v>
          </cell>
          <cell r="K869">
            <v>45688</v>
          </cell>
        </row>
        <row r="870">
          <cell r="A870" t="str">
            <v>50800530510</v>
          </cell>
          <cell r="B870" t="str">
            <v>ZMFD</v>
          </cell>
          <cell r="C870">
            <v>45569</v>
          </cell>
          <cell r="D870" t="str">
            <v>Not delivered</v>
          </cell>
          <cell r="E870">
            <v>508005305</v>
          </cell>
          <cell r="F870">
            <v>10</v>
          </cell>
          <cell r="G870">
            <v>1419488</v>
          </cell>
          <cell r="H870" t="str">
            <v>CP-063R:SPOUT CAP WHITE LOREAL 12A</v>
          </cell>
          <cell r="I870">
            <v>1890000</v>
          </cell>
          <cell r="J870" t="str">
            <v>UN</v>
          </cell>
          <cell r="K870">
            <v>45691</v>
          </cell>
        </row>
        <row r="871">
          <cell r="A871" t="str">
            <v>50800530520</v>
          </cell>
          <cell r="B871" t="str">
            <v>ZMFD</v>
          </cell>
          <cell r="C871">
            <v>45569</v>
          </cell>
          <cell r="D871" t="str">
            <v>Not delivered</v>
          </cell>
          <cell r="E871">
            <v>508005305</v>
          </cell>
          <cell r="F871">
            <v>20</v>
          </cell>
          <cell r="G871">
            <v>1419488</v>
          </cell>
          <cell r="H871" t="str">
            <v>CP-063R:SPOUT CAP WHITE LOREAL 12A</v>
          </cell>
          <cell r="I871">
            <v>1890000</v>
          </cell>
          <cell r="J871" t="str">
            <v>UN</v>
          </cell>
          <cell r="K871">
            <v>45693</v>
          </cell>
        </row>
        <row r="872">
          <cell r="A872" t="str">
            <v>50800530530</v>
          </cell>
          <cell r="B872" t="str">
            <v>ZMFD</v>
          </cell>
          <cell r="C872">
            <v>45569</v>
          </cell>
          <cell r="D872" t="str">
            <v>Not delivered</v>
          </cell>
          <cell r="E872">
            <v>508005305</v>
          </cell>
          <cell r="F872">
            <v>30</v>
          </cell>
          <cell r="G872">
            <v>1419488</v>
          </cell>
          <cell r="H872" t="str">
            <v>CP-063R:SPOUT CAP WHITE LOREAL 12A</v>
          </cell>
          <cell r="I872">
            <v>1890000</v>
          </cell>
          <cell r="J872" t="str">
            <v>UN</v>
          </cell>
          <cell r="K872">
            <v>45695</v>
          </cell>
        </row>
        <row r="873">
          <cell r="A873" t="str">
            <v>50800530540</v>
          </cell>
          <cell r="B873" t="str">
            <v>ZMFD</v>
          </cell>
          <cell r="C873">
            <v>45569</v>
          </cell>
          <cell r="D873" t="str">
            <v>Not delivered</v>
          </cell>
          <cell r="E873">
            <v>508005305</v>
          </cell>
          <cell r="F873">
            <v>40</v>
          </cell>
          <cell r="G873">
            <v>1419488</v>
          </cell>
          <cell r="H873" t="str">
            <v>CP-063R:SPOUT CAP WHITE LOREAL 12A</v>
          </cell>
          <cell r="I873">
            <v>1890000</v>
          </cell>
          <cell r="J873" t="str">
            <v>UN</v>
          </cell>
          <cell r="K873">
            <v>45698</v>
          </cell>
        </row>
        <row r="874">
          <cell r="A874" t="str">
            <v>50800530550</v>
          </cell>
          <cell r="B874" t="str">
            <v>ZMFD</v>
          </cell>
          <cell r="C874">
            <v>45569</v>
          </cell>
          <cell r="D874" t="str">
            <v>Not delivered</v>
          </cell>
          <cell r="E874">
            <v>508005305</v>
          </cell>
          <cell r="F874">
            <v>50</v>
          </cell>
          <cell r="G874">
            <v>1419488</v>
          </cell>
          <cell r="H874" t="str">
            <v>CP-063R:SPOUT CAP WHITE LOREAL 12A</v>
          </cell>
          <cell r="I874">
            <v>1890000</v>
          </cell>
          <cell r="J874" t="str">
            <v>UN</v>
          </cell>
          <cell r="K874">
            <v>45699</v>
          </cell>
        </row>
        <row r="875">
          <cell r="A875" t="str">
            <v>50800530560</v>
          </cell>
          <cell r="B875" t="str">
            <v>ZMFD</v>
          </cell>
          <cell r="C875">
            <v>45569</v>
          </cell>
          <cell r="D875" t="str">
            <v>Not delivered</v>
          </cell>
          <cell r="E875">
            <v>508005305</v>
          </cell>
          <cell r="F875">
            <v>60</v>
          </cell>
          <cell r="G875">
            <v>1419488</v>
          </cell>
          <cell r="H875" t="str">
            <v>CP-063R:SPOUT CAP WHITE LOREAL 12A</v>
          </cell>
          <cell r="I875">
            <v>1890000</v>
          </cell>
          <cell r="J875" t="str">
            <v>UN</v>
          </cell>
          <cell r="K875">
            <v>45701</v>
          </cell>
        </row>
        <row r="876">
          <cell r="A876" t="str">
            <v>50800530570</v>
          </cell>
          <cell r="B876" t="str">
            <v>ZMFD</v>
          </cell>
          <cell r="C876">
            <v>45569</v>
          </cell>
          <cell r="D876" t="str">
            <v>Not delivered</v>
          </cell>
          <cell r="E876">
            <v>508005305</v>
          </cell>
          <cell r="F876">
            <v>70</v>
          </cell>
          <cell r="G876">
            <v>1419488</v>
          </cell>
          <cell r="H876" t="str">
            <v>CP-063R:SPOUT CAP WHITE LOREAL 12A</v>
          </cell>
          <cell r="I876">
            <v>1890000</v>
          </cell>
          <cell r="J876" t="str">
            <v>UN</v>
          </cell>
          <cell r="K876">
            <v>45702</v>
          </cell>
        </row>
        <row r="877">
          <cell r="A877" t="str">
            <v>50800530580</v>
          </cell>
          <cell r="B877" t="str">
            <v>ZMFD</v>
          </cell>
          <cell r="C877">
            <v>45569</v>
          </cell>
          <cell r="D877" t="str">
            <v>Not delivered</v>
          </cell>
          <cell r="E877">
            <v>508005305</v>
          </cell>
          <cell r="F877">
            <v>80</v>
          </cell>
          <cell r="G877">
            <v>1419488</v>
          </cell>
          <cell r="H877" t="str">
            <v>CP-063R:SPOUT CAP WHITE LOREAL 12A</v>
          </cell>
          <cell r="I877">
            <v>1890000</v>
          </cell>
          <cell r="J877" t="str">
            <v>UN</v>
          </cell>
          <cell r="K877">
            <v>45705</v>
          </cell>
        </row>
        <row r="878">
          <cell r="A878" t="str">
            <v>50800530590</v>
          </cell>
          <cell r="B878" t="str">
            <v>ZMFD</v>
          </cell>
          <cell r="C878">
            <v>45569</v>
          </cell>
          <cell r="D878" t="str">
            <v>Not delivered</v>
          </cell>
          <cell r="E878">
            <v>508005305</v>
          </cell>
          <cell r="F878">
            <v>90</v>
          </cell>
          <cell r="G878">
            <v>1419488</v>
          </cell>
          <cell r="H878" t="str">
            <v>CP-063R:SPOUT CAP WHITE LOREAL 12A</v>
          </cell>
          <cell r="I878">
            <v>1890000</v>
          </cell>
          <cell r="J878" t="str">
            <v>UN</v>
          </cell>
          <cell r="K878">
            <v>45707</v>
          </cell>
        </row>
        <row r="879">
          <cell r="A879" t="str">
            <v>50800530610</v>
          </cell>
          <cell r="B879" t="str">
            <v>ZMFD</v>
          </cell>
          <cell r="C879">
            <v>45569</v>
          </cell>
          <cell r="D879" t="str">
            <v>Not delivered</v>
          </cell>
          <cell r="E879">
            <v>508005306</v>
          </cell>
          <cell r="F879">
            <v>10</v>
          </cell>
          <cell r="G879">
            <v>1419488</v>
          </cell>
          <cell r="H879" t="str">
            <v>CP-063R:SPOUT CAP WHITE LOREAL 12A</v>
          </cell>
          <cell r="I879">
            <v>1890000</v>
          </cell>
          <cell r="J879" t="str">
            <v>UN</v>
          </cell>
          <cell r="K879">
            <v>45719</v>
          </cell>
        </row>
        <row r="880">
          <cell r="A880" t="str">
            <v>50800528230</v>
          </cell>
          <cell r="B880" t="str">
            <v>ZMFD</v>
          </cell>
          <cell r="C880">
            <v>45554</v>
          </cell>
          <cell r="D880" t="str">
            <v>Not delivered</v>
          </cell>
          <cell r="E880">
            <v>508005282</v>
          </cell>
          <cell r="F880">
            <v>30</v>
          </cell>
          <cell r="G880">
            <v>1431860</v>
          </cell>
          <cell r="H880" t="str">
            <v>PT6029R CAP GARNIER 18ML WHITE PLZ (553)</v>
          </cell>
          <cell r="I880">
            <v>42336</v>
          </cell>
          <cell r="J880" t="str">
            <v>UN</v>
          </cell>
          <cell r="K880">
            <v>45719</v>
          </cell>
        </row>
        <row r="881">
          <cell r="A881" t="str">
            <v>50800530620</v>
          </cell>
          <cell r="B881" t="str">
            <v>ZMFD</v>
          </cell>
          <cell r="C881">
            <v>45569</v>
          </cell>
          <cell r="D881" t="str">
            <v>Not delivered</v>
          </cell>
          <cell r="E881">
            <v>508005306</v>
          </cell>
          <cell r="F881">
            <v>20</v>
          </cell>
          <cell r="G881">
            <v>1419488</v>
          </cell>
          <cell r="H881" t="str">
            <v>CP-063R:SPOUT CAP WHITE LOREAL 12A</v>
          </cell>
          <cell r="I881">
            <v>1890000</v>
          </cell>
          <cell r="J881" t="str">
            <v>UN</v>
          </cell>
          <cell r="K881">
            <v>45721</v>
          </cell>
        </row>
        <row r="882">
          <cell r="A882" t="str">
            <v>50714260650</v>
          </cell>
          <cell r="B882" t="str">
            <v>ZMTD</v>
          </cell>
          <cell r="C882">
            <v>45509</v>
          </cell>
          <cell r="D882" t="str">
            <v>Not delivered</v>
          </cell>
          <cell r="E882">
            <v>507142606</v>
          </cell>
          <cell r="F882">
            <v>50</v>
          </cell>
          <cell r="G882">
            <v>1172020</v>
          </cell>
          <cell r="H882" t="str">
            <v>FP-028:SLEEVE EYELASHES 01SLMAC EL</v>
          </cell>
          <cell r="I882">
            <v>80256</v>
          </cell>
          <cell r="J882" t="str">
            <v>UN</v>
          </cell>
          <cell r="K882">
            <v>45722</v>
          </cell>
        </row>
        <row r="883">
          <cell r="A883" t="str">
            <v>50714260660</v>
          </cell>
          <cell r="B883" t="str">
            <v>ZMTD</v>
          </cell>
          <cell r="C883">
            <v>45509</v>
          </cell>
          <cell r="D883" t="str">
            <v>Not delivered</v>
          </cell>
          <cell r="E883">
            <v>507142606</v>
          </cell>
          <cell r="F883">
            <v>60</v>
          </cell>
          <cell r="G883">
            <v>1170605</v>
          </cell>
          <cell r="H883" t="str">
            <v>FP-028:WHITE TR EYLSHS P/ 01PLMAC EL</v>
          </cell>
          <cell r="I883">
            <v>80514</v>
          </cell>
          <cell r="J883" t="str">
            <v>UN</v>
          </cell>
          <cell r="K883">
            <v>45722</v>
          </cell>
        </row>
        <row r="884">
          <cell r="A884" t="str">
            <v>50800530630</v>
          </cell>
          <cell r="B884" t="str">
            <v>ZMFD</v>
          </cell>
          <cell r="C884">
            <v>45569</v>
          </cell>
          <cell r="D884" t="str">
            <v>Not delivered</v>
          </cell>
          <cell r="E884">
            <v>508005306</v>
          </cell>
          <cell r="F884">
            <v>30</v>
          </cell>
          <cell r="G884">
            <v>1419488</v>
          </cell>
          <cell r="H884" t="str">
            <v>CP-063R:SPOUT CAP WHITE LOREAL 12A</v>
          </cell>
          <cell r="I884">
            <v>1890000</v>
          </cell>
          <cell r="J884" t="str">
            <v>UN</v>
          </cell>
          <cell r="K884">
            <v>45723</v>
          </cell>
        </row>
        <row r="885">
          <cell r="A885" t="str">
            <v>50800530640</v>
          </cell>
          <cell r="B885" t="str">
            <v>ZMFD</v>
          </cell>
          <cell r="C885">
            <v>45569</v>
          </cell>
          <cell r="D885" t="str">
            <v>Not delivered</v>
          </cell>
          <cell r="E885">
            <v>508005306</v>
          </cell>
          <cell r="F885">
            <v>40</v>
          </cell>
          <cell r="G885">
            <v>1419488</v>
          </cell>
          <cell r="H885" t="str">
            <v>CP-063R:SPOUT CAP WHITE LOREAL 12A</v>
          </cell>
          <cell r="I885">
            <v>1890000</v>
          </cell>
          <cell r="J885" t="str">
            <v>UN</v>
          </cell>
          <cell r="K885">
            <v>45723</v>
          </cell>
        </row>
        <row r="886">
          <cell r="A886" t="str">
            <v>50800530650</v>
          </cell>
          <cell r="B886" t="str">
            <v>ZMFD</v>
          </cell>
          <cell r="C886">
            <v>45569</v>
          </cell>
          <cell r="D886" t="str">
            <v>Not delivered</v>
          </cell>
          <cell r="E886">
            <v>508005306</v>
          </cell>
          <cell r="F886">
            <v>50</v>
          </cell>
          <cell r="G886">
            <v>1419488</v>
          </cell>
          <cell r="H886" t="str">
            <v>CP-063R:SPOUT CAP WHITE LOREAL 12A</v>
          </cell>
          <cell r="I886">
            <v>1890000</v>
          </cell>
          <cell r="J886" t="str">
            <v>UN</v>
          </cell>
          <cell r="K886">
            <v>45727</v>
          </cell>
        </row>
        <row r="887">
          <cell r="A887" t="str">
            <v>50800530660</v>
          </cell>
          <cell r="B887" t="str">
            <v>ZMFD</v>
          </cell>
          <cell r="C887">
            <v>45569</v>
          </cell>
          <cell r="D887" t="str">
            <v>Not delivered</v>
          </cell>
          <cell r="E887">
            <v>508005306</v>
          </cell>
          <cell r="F887">
            <v>60</v>
          </cell>
          <cell r="G887">
            <v>1419488</v>
          </cell>
          <cell r="H887" t="str">
            <v>CP-063R:SPOUT CAP WHITE LOREAL 12A</v>
          </cell>
          <cell r="I887">
            <v>1890000</v>
          </cell>
          <cell r="J887" t="str">
            <v>UN</v>
          </cell>
          <cell r="K887">
            <v>45729</v>
          </cell>
        </row>
        <row r="888">
          <cell r="A888" t="str">
            <v>50714283310</v>
          </cell>
          <cell r="B888" t="str">
            <v>ZMTD</v>
          </cell>
          <cell r="C888">
            <v>45561</v>
          </cell>
          <cell r="D888" t="str">
            <v>Not delivered</v>
          </cell>
          <cell r="E888">
            <v>507142833</v>
          </cell>
          <cell r="F888">
            <v>10</v>
          </cell>
          <cell r="G888">
            <v>1405658</v>
          </cell>
          <cell r="H888" t="str">
            <v>LC-012:BTL VR08 P/GLASTNG PTI60B</v>
          </cell>
          <cell r="I888">
            <v>25326</v>
          </cell>
          <cell r="J888" t="str">
            <v>UN</v>
          </cell>
          <cell r="K888">
            <v>45920</v>
          </cell>
        </row>
        <row r="889">
          <cell r="A889" t="str">
            <v>50714283320</v>
          </cell>
          <cell r="B889" t="str">
            <v>ZMTD</v>
          </cell>
          <cell r="C889">
            <v>45561</v>
          </cell>
          <cell r="D889" t="str">
            <v>Not delivered</v>
          </cell>
          <cell r="E889">
            <v>507142833</v>
          </cell>
          <cell r="F889">
            <v>20</v>
          </cell>
          <cell r="G889">
            <v>1385814</v>
          </cell>
          <cell r="H889" t="str">
            <v>LC-012:CAP VM BRWN WIP GLASTING PTI 20F</v>
          </cell>
          <cell r="I889">
            <v>25326</v>
          </cell>
          <cell r="J889" t="str">
            <v>UN</v>
          </cell>
          <cell r="K889">
            <v>45920</v>
          </cell>
        </row>
        <row r="890">
          <cell r="A890" t="str">
            <v>50900100110</v>
          </cell>
          <cell r="B890" t="str">
            <v>ZMRX</v>
          </cell>
          <cell r="C890">
            <v>45560</v>
          </cell>
          <cell r="D890" t="str">
            <v>Not delivered</v>
          </cell>
          <cell r="E890">
            <v>509001001</v>
          </cell>
          <cell r="F890">
            <v>10</v>
          </cell>
          <cell r="G890">
            <v>1385814</v>
          </cell>
          <cell r="H890" t="str">
            <v>LC-012:CAP VM BRWN WIP GLASTING PTI 20F</v>
          </cell>
          <cell r="I890">
            <v>12096</v>
          </cell>
          <cell r="J890" t="str">
            <v>UN</v>
          </cell>
          <cell r="K890">
            <v>45920</v>
          </cell>
        </row>
        <row r="891">
          <cell r="A891" t="str">
            <v>50900100120</v>
          </cell>
          <cell r="B891" t="str">
            <v>ZMRX</v>
          </cell>
          <cell r="C891">
            <v>45560</v>
          </cell>
          <cell r="D891" t="str">
            <v>Not delivered</v>
          </cell>
          <cell r="E891">
            <v>509001001</v>
          </cell>
          <cell r="F891">
            <v>20</v>
          </cell>
          <cell r="G891">
            <v>1382935</v>
          </cell>
          <cell r="H891" t="str">
            <v>LC-012:BTL VR2 PEACHPLS P/GLASTNG PTI60B</v>
          </cell>
          <cell r="I891">
            <v>12096</v>
          </cell>
          <cell r="J891" t="str">
            <v>UN</v>
          </cell>
          <cell r="K891">
            <v>45920</v>
          </cell>
        </row>
        <row r="892">
          <cell r="A892" t="str">
            <v>50714278510</v>
          </cell>
          <cell r="B892" t="str">
            <v>ZMTD</v>
          </cell>
          <cell r="C892">
            <v>45554</v>
          </cell>
          <cell r="D892" t="str">
            <v>Not delivered</v>
          </cell>
          <cell r="E892">
            <v>507142785</v>
          </cell>
          <cell r="F892">
            <v>10</v>
          </cell>
          <cell r="G892">
            <v>1405659</v>
          </cell>
          <cell r="H892" t="str">
            <v>LC-012:BTL VR12 P/GLASTNG PTI60B</v>
          </cell>
          <cell r="I892">
            <v>25326</v>
          </cell>
          <cell r="J892" t="str">
            <v>UN</v>
          </cell>
          <cell r="K892">
            <v>45920</v>
          </cell>
        </row>
        <row r="893">
          <cell r="A893" t="str">
            <v>50714278520</v>
          </cell>
          <cell r="B893" t="str">
            <v>ZMTD</v>
          </cell>
          <cell r="C893">
            <v>45554</v>
          </cell>
          <cell r="D893" t="str">
            <v>Not delivered</v>
          </cell>
          <cell r="E893">
            <v>507142785</v>
          </cell>
          <cell r="F893">
            <v>20</v>
          </cell>
          <cell r="G893">
            <v>1385814</v>
          </cell>
          <cell r="H893" t="str">
            <v>LC-012:CAP VM BRWN WIP GLASTING PTI 20F</v>
          </cell>
          <cell r="I893">
            <v>25326</v>
          </cell>
          <cell r="J893" t="str">
            <v>UN</v>
          </cell>
          <cell r="K893">
            <v>45920</v>
          </cell>
        </row>
        <row r="894">
          <cell r="A894" t="str">
            <v>50714279110</v>
          </cell>
          <cell r="B894" t="str">
            <v>ZMTD</v>
          </cell>
          <cell r="C894">
            <v>45554</v>
          </cell>
          <cell r="D894" t="str">
            <v>Not delivered</v>
          </cell>
          <cell r="E894">
            <v>507142791</v>
          </cell>
          <cell r="F894">
            <v>10</v>
          </cell>
          <cell r="G894">
            <v>1390981</v>
          </cell>
          <cell r="H894" t="str">
            <v>LC-012:BTL VR5 GLAZBERY P/GLASTNG PTI60B</v>
          </cell>
          <cell r="I894">
            <v>25326</v>
          </cell>
          <cell r="J894" t="str">
            <v>UN</v>
          </cell>
          <cell r="K894">
            <v>45920</v>
          </cell>
        </row>
        <row r="895">
          <cell r="A895" t="str">
            <v>50714279120</v>
          </cell>
          <cell r="B895" t="str">
            <v>ZMTD</v>
          </cell>
          <cell r="C895">
            <v>45554</v>
          </cell>
          <cell r="D895" t="str">
            <v>Not delivered</v>
          </cell>
          <cell r="E895">
            <v>507142791</v>
          </cell>
          <cell r="F895">
            <v>20</v>
          </cell>
          <cell r="G895">
            <v>1385814</v>
          </cell>
          <cell r="H895" t="str">
            <v>LC-012:CAP VM BRWN WIP GLASTING PTI 20F</v>
          </cell>
          <cell r="I895">
            <v>25326</v>
          </cell>
          <cell r="J895" t="str">
            <v>UN</v>
          </cell>
          <cell r="K895">
            <v>45920</v>
          </cell>
        </row>
        <row r="896">
          <cell r="A896" t="str">
            <v>50800519430</v>
          </cell>
          <cell r="B896" t="str">
            <v>ZMFD</v>
          </cell>
          <cell r="C896">
            <v>45497</v>
          </cell>
          <cell r="D896" t="str">
            <v>Not delivered</v>
          </cell>
          <cell r="E896">
            <v>508005194</v>
          </cell>
          <cell r="F896">
            <v>30</v>
          </cell>
          <cell r="G896">
            <v>1385814</v>
          </cell>
          <cell r="H896" t="str">
            <v>LC-012:CAP VM BRWN WIP GLASTING PTI 20F</v>
          </cell>
          <cell r="I896">
            <v>10000</v>
          </cell>
          <cell r="J896" t="str">
            <v>UN</v>
          </cell>
          <cell r="K896">
            <v>45920</v>
          </cell>
        </row>
        <row r="897">
          <cell r="A897" t="str">
            <v>50800519440</v>
          </cell>
          <cell r="B897" t="str">
            <v>ZMFD</v>
          </cell>
          <cell r="C897">
            <v>45497</v>
          </cell>
          <cell r="D897" t="str">
            <v>Not delivered</v>
          </cell>
          <cell r="E897">
            <v>508005194</v>
          </cell>
          <cell r="F897">
            <v>40</v>
          </cell>
          <cell r="G897">
            <v>1406580</v>
          </cell>
          <cell r="H897" t="str">
            <v>LC-012:BTL VR09 P/GLASTNG PTI60B</v>
          </cell>
          <cell r="I897">
            <v>10000</v>
          </cell>
          <cell r="J897" t="str">
            <v>UN</v>
          </cell>
          <cell r="K897">
            <v>45920</v>
          </cell>
        </row>
        <row r="898">
          <cell r="A898" t="str">
            <v>50800519450</v>
          </cell>
          <cell r="B898" t="str">
            <v>ZMFD</v>
          </cell>
          <cell r="C898">
            <v>45497</v>
          </cell>
          <cell r="D898" t="str">
            <v>Not delivered</v>
          </cell>
          <cell r="E898">
            <v>508005194</v>
          </cell>
          <cell r="F898">
            <v>50</v>
          </cell>
          <cell r="G898">
            <v>1385814</v>
          </cell>
          <cell r="H898" t="str">
            <v>LC-012:CAP VM BRWN WIP GLASTING PTI 20F</v>
          </cell>
          <cell r="I898">
            <v>25000</v>
          </cell>
          <cell r="J898" t="str">
            <v>UN</v>
          </cell>
          <cell r="K898">
            <v>45920</v>
          </cell>
        </row>
        <row r="899">
          <cell r="A899" t="str">
            <v>50800519460</v>
          </cell>
          <cell r="B899" t="str">
            <v>ZMFD</v>
          </cell>
          <cell r="C899">
            <v>45497</v>
          </cell>
          <cell r="D899" t="str">
            <v>Not delivered</v>
          </cell>
          <cell r="E899">
            <v>508005194</v>
          </cell>
          <cell r="F899">
            <v>60</v>
          </cell>
          <cell r="G899">
            <v>1406580</v>
          </cell>
          <cell r="H899" t="str">
            <v>LC-012:BTL VR09 P/GLASTNG PTI60B</v>
          </cell>
          <cell r="I899">
            <v>25000</v>
          </cell>
          <cell r="J899" t="str">
            <v>UN</v>
          </cell>
          <cell r="K899">
            <v>45920</v>
          </cell>
        </row>
        <row r="900">
          <cell r="A900" t="str">
            <v>50800519470</v>
          </cell>
          <cell r="B900" t="str">
            <v>ZMFD</v>
          </cell>
          <cell r="C900">
            <v>45497</v>
          </cell>
          <cell r="D900" t="str">
            <v>Not delivered</v>
          </cell>
          <cell r="E900">
            <v>508005194</v>
          </cell>
          <cell r="F900">
            <v>70</v>
          </cell>
          <cell r="G900">
            <v>1385814</v>
          </cell>
          <cell r="H900" t="str">
            <v>LC-012:CAP VM BRWN WIP GLASTING PTI 20F</v>
          </cell>
          <cell r="I900">
            <v>25000</v>
          </cell>
          <cell r="J900" t="str">
            <v>UN</v>
          </cell>
          <cell r="K900">
            <v>45920</v>
          </cell>
        </row>
        <row r="901">
          <cell r="A901" t="str">
            <v>50800519480</v>
          </cell>
          <cell r="B901" t="str">
            <v>ZMFD</v>
          </cell>
          <cell r="C901">
            <v>45497</v>
          </cell>
          <cell r="D901" t="str">
            <v>Not delivered</v>
          </cell>
          <cell r="E901">
            <v>508005194</v>
          </cell>
          <cell r="F901">
            <v>80</v>
          </cell>
          <cell r="G901">
            <v>1406580</v>
          </cell>
          <cell r="H901" t="str">
            <v>LC-012:BTL VR09 P/GLASTNG PTI60B</v>
          </cell>
          <cell r="I901">
            <v>25000</v>
          </cell>
          <cell r="J901" t="str">
            <v>UN</v>
          </cell>
          <cell r="K901">
            <v>45920</v>
          </cell>
        </row>
        <row r="902">
          <cell r="A902" t="str">
            <v>50800519490</v>
          </cell>
          <cell r="B902" t="str">
            <v>ZMFD</v>
          </cell>
          <cell r="C902">
            <v>45497</v>
          </cell>
          <cell r="D902" t="str">
            <v>Not delivered</v>
          </cell>
          <cell r="E902">
            <v>508005194</v>
          </cell>
          <cell r="F902">
            <v>90</v>
          </cell>
          <cell r="G902">
            <v>1385814</v>
          </cell>
          <cell r="H902" t="str">
            <v>LC-012:CAP VM BRWN WIP GLASTING PTI 20F</v>
          </cell>
          <cell r="I902">
            <v>25000</v>
          </cell>
          <cell r="J902" t="str">
            <v>UN</v>
          </cell>
          <cell r="K902">
            <v>45920</v>
          </cell>
        </row>
        <row r="903">
          <cell r="A903" t="str">
            <v>508005194100</v>
          </cell>
          <cell r="B903" t="str">
            <v>ZMFD</v>
          </cell>
          <cell r="C903">
            <v>45497</v>
          </cell>
          <cell r="D903" t="str">
            <v>Not delivered</v>
          </cell>
          <cell r="E903">
            <v>508005194</v>
          </cell>
          <cell r="F903">
            <v>100</v>
          </cell>
          <cell r="G903">
            <v>1406580</v>
          </cell>
          <cell r="H903" t="str">
            <v>LC-012:BTL VR09 P/GLASTNG PTI60B</v>
          </cell>
          <cell r="I903">
            <v>25000</v>
          </cell>
          <cell r="J903" t="str">
            <v>UN</v>
          </cell>
          <cell r="K903">
            <v>45920</v>
          </cell>
        </row>
        <row r="904">
          <cell r="A904" t="str">
            <v>50800519510</v>
          </cell>
          <cell r="B904" t="str">
            <v>ZMFD</v>
          </cell>
          <cell r="C904">
            <v>45497</v>
          </cell>
          <cell r="D904" t="str">
            <v>Not delivered</v>
          </cell>
          <cell r="E904">
            <v>508005195</v>
          </cell>
          <cell r="F904">
            <v>10</v>
          </cell>
          <cell r="G904">
            <v>1382893</v>
          </cell>
          <cell r="H904" t="str">
            <v>LC-012:BTL VR1 CRMLCOAT P/GLASTNG PTI60B</v>
          </cell>
          <cell r="I904">
            <v>23000</v>
          </cell>
          <cell r="J904" t="str">
            <v>UN</v>
          </cell>
          <cell r="K904">
            <v>45920</v>
          </cell>
        </row>
        <row r="905">
          <cell r="A905" t="str">
            <v>50800519520</v>
          </cell>
          <cell r="B905" t="str">
            <v>ZMFD</v>
          </cell>
          <cell r="C905">
            <v>45497</v>
          </cell>
          <cell r="D905" t="str">
            <v>Not delivered</v>
          </cell>
          <cell r="E905">
            <v>508005195</v>
          </cell>
          <cell r="F905">
            <v>20</v>
          </cell>
          <cell r="G905">
            <v>1385814</v>
          </cell>
          <cell r="H905" t="str">
            <v>LC-012:CAP VM BRWN WIP GLASTING PTI 20F</v>
          </cell>
          <cell r="I905">
            <v>23000</v>
          </cell>
          <cell r="J905" t="str">
            <v>UN</v>
          </cell>
          <cell r="K905">
            <v>45920</v>
          </cell>
        </row>
        <row r="906">
          <cell r="A906" t="str">
            <v>50800519530</v>
          </cell>
          <cell r="B906" t="str">
            <v>ZMFD</v>
          </cell>
          <cell r="C906">
            <v>45497</v>
          </cell>
          <cell r="D906" t="str">
            <v>Not delivered</v>
          </cell>
          <cell r="E906">
            <v>508005195</v>
          </cell>
          <cell r="F906">
            <v>30</v>
          </cell>
          <cell r="G906">
            <v>1382893</v>
          </cell>
          <cell r="H906" t="str">
            <v>LC-012:BTL VR1 CRMLCOAT P/GLASTNG PTI60B</v>
          </cell>
          <cell r="I906">
            <v>75000</v>
          </cell>
          <cell r="J906" t="str">
            <v>UN</v>
          </cell>
          <cell r="K906">
            <v>45920</v>
          </cell>
        </row>
        <row r="907">
          <cell r="A907" t="str">
            <v>50800519540</v>
          </cell>
          <cell r="B907" t="str">
            <v>ZMFD</v>
          </cell>
          <cell r="C907">
            <v>45497</v>
          </cell>
          <cell r="D907" t="str">
            <v>Not delivered</v>
          </cell>
          <cell r="E907">
            <v>508005195</v>
          </cell>
          <cell r="F907">
            <v>40</v>
          </cell>
          <cell r="G907">
            <v>1385814</v>
          </cell>
          <cell r="H907" t="str">
            <v>LC-012:CAP VM BRWN WIP GLASTING PTI 20F</v>
          </cell>
          <cell r="I907">
            <v>75000</v>
          </cell>
          <cell r="J907" t="str">
            <v>UN</v>
          </cell>
          <cell r="K907">
            <v>45920</v>
          </cell>
        </row>
        <row r="908">
          <cell r="A908" t="str">
            <v>50800519610</v>
          </cell>
          <cell r="B908" t="str">
            <v>ZMFD</v>
          </cell>
          <cell r="C908">
            <v>45497</v>
          </cell>
          <cell r="D908" t="str">
            <v>Not delivered</v>
          </cell>
          <cell r="E908">
            <v>508005196</v>
          </cell>
          <cell r="F908">
            <v>10</v>
          </cell>
          <cell r="G908">
            <v>1382935</v>
          </cell>
          <cell r="H908" t="str">
            <v>LC-012:BTL VR2 PEACHPLS P/GLASTNG PTI60B</v>
          </cell>
          <cell r="I908">
            <v>13000</v>
          </cell>
          <cell r="J908" t="str">
            <v>UN</v>
          </cell>
          <cell r="K908">
            <v>45920</v>
          </cell>
        </row>
        <row r="909">
          <cell r="A909" t="str">
            <v>50800519620</v>
          </cell>
          <cell r="B909" t="str">
            <v>ZMFD</v>
          </cell>
          <cell r="C909">
            <v>45497</v>
          </cell>
          <cell r="D909" t="str">
            <v>Not delivered</v>
          </cell>
          <cell r="E909">
            <v>508005196</v>
          </cell>
          <cell r="F909">
            <v>20</v>
          </cell>
          <cell r="G909">
            <v>1385814</v>
          </cell>
          <cell r="H909" t="str">
            <v>LC-012:CAP VM BRWN WIP GLASTING PTI 20F</v>
          </cell>
          <cell r="I909">
            <v>13000</v>
          </cell>
          <cell r="J909" t="str">
            <v>UN</v>
          </cell>
          <cell r="K909">
            <v>45920</v>
          </cell>
        </row>
        <row r="910">
          <cell r="A910" t="str">
            <v>50800519630</v>
          </cell>
          <cell r="B910" t="str">
            <v>ZMFD</v>
          </cell>
          <cell r="C910">
            <v>45497</v>
          </cell>
          <cell r="D910" t="str">
            <v>Not delivered</v>
          </cell>
          <cell r="E910">
            <v>508005196</v>
          </cell>
          <cell r="F910">
            <v>30</v>
          </cell>
          <cell r="G910">
            <v>1382935</v>
          </cell>
          <cell r="H910" t="str">
            <v>LC-012:BTL VR2 PEACHPLS P/GLASTNG PTI60B</v>
          </cell>
          <cell r="I910">
            <v>50000</v>
          </cell>
          <cell r="J910" t="str">
            <v>UN</v>
          </cell>
          <cell r="K910">
            <v>45920</v>
          </cell>
        </row>
        <row r="911">
          <cell r="A911" t="str">
            <v>50800519640</v>
          </cell>
          <cell r="B911" t="str">
            <v>ZMFD</v>
          </cell>
          <cell r="C911">
            <v>45497</v>
          </cell>
          <cell r="D911" t="str">
            <v>Not delivered</v>
          </cell>
          <cell r="E911">
            <v>508005196</v>
          </cell>
          <cell r="F911">
            <v>40</v>
          </cell>
          <cell r="G911">
            <v>1385814</v>
          </cell>
          <cell r="H911" t="str">
            <v>LC-012:CAP VM BRWN WIP GLASTING PTI 20F</v>
          </cell>
          <cell r="I911">
            <v>50000</v>
          </cell>
          <cell r="J911" t="str">
            <v>UN</v>
          </cell>
          <cell r="K911">
            <v>45920</v>
          </cell>
        </row>
        <row r="912">
          <cell r="A912" t="str">
            <v>50800519650</v>
          </cell>
          <cell r="B912" t="str">
            <v>ZMFD</v>
          </cell>
          <cell r="C912">
            <v>45497</v>
          </cell>
          <cell r="D912" t="str">
            <v>Not delivered</v>
          </cell>
          <cell r="E912">
            <v>508005196</v>
          </cell>
          <cell r="F912">
            <v>50</v>
          </cell>
          <cell r="G912">
            <v>1382935</v>
          </cell>
          <cell r="H912" t="str">
            <v>LC-012:BTL VR2 PEACHPLS P/GLASTNG PTI60B</v>
          </cell>
          <cell r="I912">
            <v>50000</v>
          </cell>
          <cell r="J912" t="str">
            <v>UN</v>
          </cell>
          <cell r="K912">
            <v>45920</v>
          </cell>
        </row>
        <row r="913">
          <cell r="A913" t="str">
            <v>50800519660</v>
          </cell>
          <cell r="B913" t="str">
            <v>ZMFD</v>
          </cell>
          <cell r="C913">
            <v>45497</v>
          </cell>
          <cell r="D913" t="str">
            <v>Not delivered</v>
          </cell>
          <cell r="E913">
            <v>508005196</v>
          </cell>
          <cell r="F913">
            <v>60</v>
          </cell>
          <cell r="G913">
            <v>1385814</v>
          </cell>
          <cell r="H913" t="str">
            <v>LC-012:CAP VM BRWN WIP GLASTING PTI 20F</v>
          </cell>
          <cell r="I913">
            <v>50000</v>
          </cell>
          <cell r="J913" t="str">
            <v>UN</v>
          </cell>
          <cell r="K913">
            <v>45920</v>
          </cell>
        </row>
        <row r="914">
          <cell r="A914" t="str">
            <v>50800519710</v>
          </cell>
          <cell r="B914" t="str">
            <v>ZMFD</v>
          </cell>
          <cell r="C914">
            <v>45497</v>
          </cell>
          <cell r="D914" t="str">
            <v>Not delivered</v>
          </cell>
          <cell r="E914">
            <v>508005197</v>
          </cell>
          <cell r="F914">
            <v>10</v>
          </cell>
          <cell r="G914">
            <v>1385811</v>
          </cell>
          <cell r="H914" t="str">
            <v>LC-012:BTL VR4 ROSEWOOD P/GLASTNG PTI60B</v>
          </cell>
          <cell r="I914">
            <v>25000</v>
          </cell>
          <cell r="J914" t="str">
            <v>UN</v>
          </cell>
          <cell r="K914">
            <v>45920</v>
          </cell>
        </row>
        <row r="915">
          <cell r="A915" t="str">
            <v>50800519720</v>
          </cell>
          <cell r="B915" t="str">
            <v>ZMFD</v>
          </cell>
          <cell r="C915">
            <v>45497</v>
          </cell>
          <cell r="D915" t="str">
            <v>Not delivered</v>
          </cell>
          <cell r="E915">
            <v>508005197</v>
          </cell>
          <cell r="F915">
            <v>20</v>
          </cell>
          <cell r="G915">
            <v>1385814</v>
          </cell>
          <cell r="H915" t="str">
            <v>LC-012:CAP VM BRWN WIP GLASTING PTI 20F</v>
          </cell>
          <cell r="I915">
            <v>25000</v>
          </cell>
          <cell r="J915" t="str">
            <v>UN</v>
          </cell>
          <cell r="K915">
            <v>45920</v>
          </cell>
        </row>
        <row r="916">
          <cell r="A916" t="str">
            <v>50800519730</v>
          </cell>
          <cell r="B916" t="str">
            <v>ZMFD</v>
          </cell>
          <cell r="C916">
            <v>45497</v>
          </cell>
          <cell r="D916" t="str">
            <v>Not delivered</v>
          </cell>
          <cell r="E916">
            <v>508005197</v>
          </cell>
          <cell r="F916">
            <v>30</v>
          </cell>
          <cell r="G916">
            <v>1385811</v>
          </cell>
          <cell r="H916" t="str">
            <v>LC-012:BTL VR4 ROSEWOOD P/GLASTNG PTI60B</v>
          </cell>
          <cell r="I916">
            <v>50000</v>
          </cell>
          <cell r="J916" t="str">
            <v>UN</v>
          </cell>
          <cell r="K916">
            <v>45920</v>
          </cell>
        </row>
        <row r="917">
          <cell r="A917" t="str">
            <v>50800519740</v>
          </cell>
          <cell r="B917" t="str">
            <v>ZMFD</v>
          </cell>
          <cell r="C917">
            <v>45497</v>
          </cell>
          <cell r="D917" t="str">
            <v>Not delivered</v>
          </cell>
          <cell r="E917">
            <v>508005197</v>
          </cell>
          <cell r="F917">
            <v>40</v>
          </cell>
          <cell r="G917">
            <v>1385814</v>
          </cell>
          <cell r="H917" t="str">
            <v>LC-012:CAP VM BRWN WIP GLASTING PTI 20F</v>
          </cell>
          <cell r="I917">
            <v>50000</v>
          </cell>
          <cell r="J917" t="str">
            <v>UN</v>
          </cell>
          <cell r="K917">
            <v>45920</v>
          </cell>
        </row>
        <row r="918">
          <cell r="A918" t="str">
            <v>50800519750</v>
          </cell>
          <cell r="B918" t="str">
            <v>ZMFD</v>
          </cell>
          <cell r="C918">
            <v>45497</v>
          </cell>
          <cell r="D918" t="str">
            <v>Not delivered</v>
          </cell>
          <cell r="E918">
            <v>508005197</v>
          </cell>
          <cell r="F918">
            <v>50</v>
          </cell>
          <cell r="G918">
            <v>1385811</v>
          </cell>
          <cell r="H918" t="str">
            <v>LC-012:BTL VR4 ROSEWOOD P/GLASTNG PTI60B</v>
          </cell>
          <cell r="I918">
            <v>75000</v>
          </cell>
          <cell r="J918" t="str">
            <v>UN</v>
          </cell>
          <cell r="K918">
            <v>45920</v>
          </cell>
        </row>
        <row r="919">
          <cell r="A919" t="str">
            <v>50800519760</v>
          </cell>
          <cell r="B919" t="str">
            <v>ZMFD</v>
          </cell>
          <cell r="C919">
            <v>45497</v>
          </cell>
          <cell r="D919" t="str">
            <v>Not delivered</v>
          </cell>
          <cell r="E919">
            <v>508005197</v>
          </cell>
          <cell r="F919">
            <v>60</v>
          </cell>
          <cell r="G919">
            <v>1385814</v>
          </cell>
          <cell r="H919" t="str">
            <v>LC-012:CAP VM BRWN WIP GLASTING PTI 20F</v>
          </cell>
          <cell r="I919">
            <v>75000</v>
          </cell>
          <cell r="J919" t="str">
            <v>UN</v>
          </cell>
          <cell r="K919">
            <v>45920</v>
          </cell>
        </row>
        <row r="920">
          <cell r="A920" t="str">
            <v>50800519770</v>
          </cell>
          <cell r="B920" t="str">
            <v>ZMFD</v>
          </cell>
          <cell r="C920">
            <v>45497</v>
          </cell>
          <cell r="D920" t="str">
            <v>Not delivered</v>
          </cell>
          <cell r="E920">
            <v>508005197</v>
          </cell>
          <cell r="F920">
            <v>70</v>
          </cell>
          <cell r="G920">
            <v>1385811</v>
          </cell>
          <cell r="H920" t="str">
            <v>LC-012:BTL VR4 ROSEWOOD P/GLASTNG PTI60B</v>
          </cell>
          <cell r="I920">
            <v>75000</v>
          </cell>
          <cell r="J920" t="str">
            <v>UN</v>
          </cell>
          <cell r="K920">
            <v>45920</v>
          </cell>
        </row>
        <row r="921">
          <cell r="A921" t="str">
            <v>50800519780</v>
          </cell>
          <cell r="B921" t="str">
            <v>ZMFD</v>
          </cell>
          <cell r="C921">
            <v>45497</v>
          </cell>
          <cell r="D921" t="str">
            <v>Not delivered</v>
          </cell>
          <cell r="E921">
            <v>508005197</v>
          </cell>
          <cell r="F921">
            <v>80</v>
          </cell>
          <cell r="G921">
            <v>1385814</v>
          </cell>
          <cell r="H921" t="str">
            <v>LC-012:CAP VM BRWN WIP GLASTING PTI 20F</v>
          </cell>
          <cell r="I921">
            <v>75000</v>
          </cell>
          <cell r="J921" t="str">
            <v>UN</v>
          </cell>
          <cell r="K921">
            <v>45920</v>
          </cell>
        </row>
        <row r="922">
          <cell r="A922" t="str">
            <v>50800519810</v>
          </cell>
          <cell r="B922" t="str">
            <v>ZMFD</v>
          </cell>
          <cell r="C922">
            <v>45497</v>
          </cell>
          <cell r="D922" t="str">
            <v>Not delivered</v>
          </cell>
          <cell r="E922">
            <v>508005198</v>
          </cell>
          <cell r="F922">
            <v>10</v>
          </cell>
          <cell r="G922">
            <v>1390981</v>
          </cell>
          <cell r="H922" t="str">
            <v>LC-012:BTL VR5 GLAZBERY P/GLASTNG PTI60B</v>
          </cell>
          <cell r="I922">
            <v>80000</v>
          </cell>
          <cell r="J922" t="str">
            <v>UN</v>
          </cell>
          <cell r="K922">
            <v>45920</v>
          </cell>
        </row>
        <row r="923">
          <cell r="A923" t="str">
            <v>50800519820</v>
          </cell>
          <cell r="B923" t="str">
            <v>ZMFD</v>
          </cell>
          <cell r="C923">
            <v>45497</v>
          </cell>
          <cell r="D923" t="str">
            <v>Not delivered</v>
          </cell>
          <cell r="E923">
            <v>508005198</v>
          </cell>
          <cell r="F923">
            <v>20</v>
          </cell>
          <cell r="G923">
            <v>1385814</v>
          </cell>
          <cell r="H923" t="str">
            <v>LC-012:CAP VM BRWN WIP GLASTING PTI 20F</v>
          </cell>
          <cell r="I923">
            <v>80000</v>
          </cell>
          <cell r="J923" t="str">
            <v>UN</v>
          </cell>
          <cell r="K923">
            <v>45920</v>
          </cell>
        </row>
        <row r="924">
          <cell r="A924" t="str">
            <v>50800519910</v>
          </cell>
          <cell r="B924" t="str">
            <v>ZMFD</v>
          </cell>
          <cell r="C924">
            <v>45497</v>
          </cell>
          <cell r="D924" t="str">
            <v>Not delivered</v>
          </cell>
          <cell r="E924">
            <v>508005199</v>
          </cell>
          <cell r="F924">
            <v>10</v>
          </cell>
          <cell r="G924">
            <v>1390058</v>
          </cell>
          <cell r="H924" t="str">
            <v>LC-012:BTL VR6 RUBYSPAR P/GLASTNG PTI60B</v>
          </cell>
          <cell r="I924">
            <v>23000</v>
          </cell>
          <cell r="J924" t="str">
            <v>UN</v>
          </cell>
          <cell r="K924">
            <v>45920</v>
          </cell>
        </row>
        <row r="925">
          <cell r="A925" t="str">
            <v>50800519920</v>
          </cell>
          <cell r="B925" t="str">
            <v>ZMFD</v>
          </cell>
          <cell r="C925">
            <v>45497</v>
          </cell>
          <cell r="D925" t="str">
            <v>Not delivered</v>
          </cell>
          <cell r="E925">
            <v>508005199</v>
          </cell>
          <cell r="F925">
            <v>20</v>
          </cell>
          <cell r="G925">
            <v>1385814</v>
          </cell>
          <cell r="H925" t="str">
            <v>LC-012:CAP VM BRWN WIP GLASTING PTI 20F</v>
          </cell>
          <cell r="I925">
            <v>23000</v>
          </cell>
          <cell r="J925" t="str">
            <v>UN</v>
          </cell>
          <cell r="K925">
            <v>45920</v>
          </cell>
        </row>
        <row r="926">
          <cell r="A926" t="str">
            <v>50800519930</v>
          </cell>
          <cell r="B926" t="str">
            <v>ZMFD</v>
          </cell>
          <cell r="C926">
            <v>45497</v>
          </cell>
          <cell r="D926" t="str">
            <v>Not delivered</v>
          </cell>
          <cell r="E926">
            <v>508005199</v>
          </cell>
          <cell r="F926">
            <v>30</v>
          </cell>
          <cell r="G926">
            <v>1390058</v>
          </cell>
          <cell r="H926" t="str">
            <v>LC-012:BTL VR6 RUBYSPAR P/GLASTNG PTI60B</v>
          </cell>
          <cell r="I926">
            <v>50000</v>
          </cell>
          <cell r="J926" t="str">
            <v>UN</v>
          </cell>
          <cell r="K926">
            <v>45920</v>
          </cell>
        </row>
        <row r="927">
          <cell r="A927" t="str">
            <v>50800519940</v>
          </cell>
          <cell r="B927" t="str">
            <v>ZMFD</v>
          </cell>
          <cell r="C927">
            <v>45497</v>
          </cell>
          <cell r="D927" t="str">
            <v>Not delivered</v>
          </cell>
          <cell r="E927">
            <v>508005199</v>
          </cell>
          <cell r="F927">
            <v>40</v>
          </cell>
          <cell r="G927">
            <v>1385814</v>
          </cell>
          <cell r="H927" t="str">
            <v>LC-012:CAP VM BRWN WIP GLASTING PTI 20F</v>
          </cell>
          <cell r="I927">
            <v>50000</v>
          </cell>
          <cell r="J927" t="str">
            <v>UN</v>
          </cell>
          <cell r="K927">
            <v>45920</v>
          </cell>
        </row>
        <row r="928">
          <cell r="A928" t="str">
            <v>50800520010</v>
          </cell>
          <cell r="B928" t="str">
            <v>ZMFD</v>
          </cell>
          <cell r="C928">
            <v>45497</v>
          </cell>
          <cell r="D928" t="str">
            <v>Not delivered</v>
          </cell>
          <cell r="E928">
            <v>508005200</v>
          </cell>
          <cell r="F928">
            <v>10</v>
          </cell>
          <cell r="G928">
            <v>1405278</v>
          </cell>
          <cell r="H928" t="str">
            <v>LC-012:BTL VR07 P/GLASTNG PTI60B</v>
          </cell>
          <cell r="I928">
            <v>25000</v>
          </cell>
          <cell r="J928" t="str">
            <v>UN</v>
          </cell>
          <cell r="K928">
            <v>45920</v>
          </cell>
        </row>
        <row r="929">
          <cell r="A929" t="str">
            <v>50800520020</v>
          </cell>
          <cell r="B929" t="str">
            <v>ZMFD</v>
          </cell>
          <cell r="C929">
            <v>45497</v>
          </cell>
          <cell r="D929" t="str">
            <v>Not delivered</v>
          </cell>
          <cell r="E929">
            <v>508005200</v>
          </cell>
          <cell r="F929">
            <v>20</v>
          </cell>
          <cell r="G929">
            <v>1385814</v>
          </cell>
          <cell r="H929" t="str">
            <v>LC-012:CAP VM BRWN WIP GLASTING PTI 20F</v>
          </cell>
          <cell r="I929">
            <v>25000</v>
          </cell>
          <cell r="J929" t="str">
            <v>UN</v>
          </cell>
          <cell r="K929">
            <v>45920</v>
          </cell>
        </row>
        <row r="930">
          <cell r="A930" t="str">
            <v>50800520030</v>
          </cell>
          <cell r="B930" t="str">
            <v>ZMFD</v>
          </cell>
          <cell r="C930">
            <v>45497</v>
          </cell>
          <cell r="D930" t="str">
            <v>Not delivered</v>
          </cell>
          <cell r="E930">
            <v>508005200</v>
          </cell>
          <cell r="F930">
            <v>30</v>
          </cell>
          <cell r="G930">
            <v>1405278</v>
          </cell>
          <cell r="H930" t="str">
            <v>LC-012:BTL VR07 P/GLASTNG PTI60B</v>
          </cell>
          <cell r="I930">
            <v>50000</v>
          </cell>
          <cell r="J930" t="str">
            <v>UN</v>
          </cell>
          <cell r="K930">
            <v>45920</v>
          </cell>
        </row>
        <row r="931">
          <cell r="A931" t="str">
            <v>50800520040</v>
          </cell>
          <cell r="B931" t="str">
            <v>ZMFD</v>
          </cell>
          <cell r="C931">
            <v>45497</v>
          </cell>
          <cell r="D931" t="str">
            <v>Not delivered</v>
          </cell>
          <cell r="E931">
            <v>508005200</v>
          </cell>
          <cell r="F931">
            <v>40</v>
          </cell>
          <cell r="G931">
            <v>1385814</v>
          </cell>
          <cell r="H931" t="str">
            <v>LC-012:CAP VM BRWN WIP GLASTING PTI 20F</v>
          </cell>
          <cell r="I931">
            <v>50000</v>
          </cell>
          <cell r="J931" t="str">
            <v>UN</v>
          </cell>
          <cell r="K931">
            <v>45920</v>
          </cell>
        </row>
        <row r="932">
          <cell r="A932" t="str">
            <v>50800520130</v>
          </cell>
          <cell r="B932" t="str">
            <v>ZMFD</v>
          </cell>
          <cell r="C932">
            <v>45497</v>
          </cell>
          <cell r="D932" t="str">
            <v>Not delivered</v>
          </cell>
          <cell r="E932">
            <v>508005201</v>
          </cell>
          <cell r="F932">
            <v>30</v>
          </cell>
          <cell r="G932">
            <v>1405658</v>
          </cell>
          <cell r="H932" t="str">
            <v>LC-012:BTL VR08 P/GLASTNG PTI60B</v>
          </cell>
          <cell r="I932">
            <v>25000</v>
          </cell>
          <cell r="J932" t="str">
            <v>UN</v>
          </cell>
          <cell r="K932">
            <v>45920</v>
          </cell>
        </row>
        <row r="933">
          <cell r="A933" t="str">
            <v>50800520140</v>
          </cell>
          <cell r="B933" t="str">
            <v>ZMFD</v>
          </cell>
          <cell r="C933">
            <v>45497</v>
          </cell>
          <cell r="D933" t="str">
            <v>Not delivered</v>
          </cell>
          <cell r="E933">
            <v>508005201</v>
          </cell>
          <cell r="F933">
            <v>40</v>
          </cell>
          <cell r="G933">
            <v>1385814</v>
          </cell>
          <cell r="H933" t="str">
            <v>LC-012:CAP VM BRWN WIP GLASTING PTI 20F</v>
          </cell>
          <cell r="I933">
            <v>25000</v>
          </cell>
          <cell r="J933" t="str">
            <v>UN</v>
          </cell>
          <cell r="K933">
            <v>45920</v>
          </cell>
        </row>
        <row r="934">
          <cell r="A934" t="str">
            <v>50800520150</v>
          </cell>
          <cell r="B934" t="str">
            <v>ZMFD</v>
          </cell>
          <cell r="C934">
            <v>45497</v>
          </cell>
          <cell r="D934" t="str">
            <v>Not delivered</v>
          </cell>
          <cell r="E934">
            <v>508005201</v>
          </cell>
          <cell r="F934">
            <v>50</v>
          </cell>
          <cell r="G934">
            <v>1405658</v>
          </cell>
          <cell r="H934" t="str">
            <v>LC-012:BTL VR08 P/GLASTNG PTI60B</v>
          </cell>
          <cell r="I934">
            <v>25000</v>
          </cell>
          <cell r="J934" t="str">
            <v>UN</v>
          </cell>
          <cell r="K934">
            <v>45920</v>
          </cell>
        </row>
        <row r="935">
          <cell r="A935" t="str">
            <v>50800520160</v>
          </cell>
          <cell r="B935" t="str">
            <v>ZMFD</v>
          </cell>
          <cell r="C935">
            <v>45497</v>
          </cell>
          <cell r="D935" t="str">
            <v>Not delivered</v>
          </cell>
          <cell r="E935">
            <v>508005201</v>
          </cell>
          <cell r="F935">
            <v>60</v>
          </cell>
          <cell r="G935">
            <v>1385814</v>
          </cell>
          <cell r="H935" t="str">
            <v>LC-012:CAP VM BRWN WIP GLASTING PTI 20F</v>
          </cell>
          <cell r="I935">
            <v>25000</v>
          </cell>
          <cell r="J935" t="str">
            <v>UN</v>
          </cell>
          <cell r="K935">
            <v>45920</v>
          </cell>
        </row>
        <row r="936">
          <cell r="A936" t="str">
            <v>50800520230</v>
          </cell>
          <cell r="B936" t="str">
            <v>ZMFD</v>
          </cell>
          <cell r="C936">
            <v>45497</v>
          </cell>
          <cell r="D936" t="str">
            <v>Not delivered</v>
          </cell>
          <cell r="E936">
            <v>508005202</v>
          </cell>
          <cell r="F936">
            <v>30</v>
          </cell>
          <cell r="G936">
            <v>1405884</v>
          </cell>
          <cell r="H936" t="str">
            <v>LC-012:BTL VR10 P/GLASTNG PTI60B</v>
          </cell>
          <cell r="I936">
            <v>25000</v>
          </cell>
          <cell r="J936" t="str">
            <v>UN</v>
          </cell>
          <cell r="K936">
            <v>45920</v>
          </cell>
        </row>
        <row r="937">
          <cell r="A937" t="str">
            <v>50800520240</v>
          </cell>
          <cell r="B937" t="str">
            <v>ZMFD</v>
          </cell>
          <cell r="C937">
            <v>45497</v>
          </cell>
          <cell r="D937" t="str">
            <v>Not delivered</v>
          </cell>
          <cell r="E937">
            <v>508005202</v>
          </cell>
          <cell r="F937">
            <v>40</v>
          </cell>
          <cell r="G937">
            <v>1385814</v>
          </cell>
          <cell r="H937" t="str">
            <v>LC-012:CAP VM BRWN WIP GLASTING PTI 20F</v>
          </cell>
          <cell r="I937">
            <v>25000</v>
          </cell>
          <cell r="J937" t="str">
            <v>UN</v>
          </cell>
          <cell r="K937">
            <v>45920</v>
          </cell>
        </row>
        <row r="938">
          <cell r="A938" t="str">
            <v>50800520250</v>
          </cell>
          <cell r="B938" t="str">
            <v>ZMFD</v>
          </cell>
          <cell r="C938">
            <v>45497</v>
          </cell>
          <cell r="D938" t="str">
            <v>Not delivered</v>
          </cell>
          <cell r="E938">
            <v>508005202</v>
          </cell>
          <cell r="F938">
            <v>50</v>
          </cell>
          <cell r="G938">
            <v>1405884</v>
          </cell>
          <cell r="H938" t="str">
            <v>LC-012:BTL VR10 P/GLASTNG PTI60B</v>
          </cell>
          <cell r="I938">
            <v>25000</v>
          </cell>
          <cell r="J938" t="str">
            <v>UN</v>
          </cell>
          <cell r="K938">
            <v>45920</v>
          </cell>
        </row>
        <row r="939">
          <cell r="A939" t="str">
            <v>50800520260</v>
          </cell>
          <cell r="B939" t="str">
            <v>ZMFD</v>
          </cell>
          <cell r="C939">
            <v>45497</v>
          </cell>
          <cell r="D939" t="str">
            <v>Not delivered</v>
          </cell>
          <cell r="E939">
            <v>508005202</v>
          </cell>
          <cell r="F939">
            <v>60</v>
          </cell>
          <cell r="G939">
            <v>1385814</v>
          </cell>
          <cell r="H939" t="str">
            <v>LC-012:CAP VM BRWN WIP GLASTING PTI 20F</v>
          </cell>
          <cell r="I939">
            <v>25000</v>
          </cell>
          <cell r="J939" t="str">
            <v>UN</v>
          </cell>
          <cell r="K939">
            <v>45920</v>
          </cell>
        </row>
        <row r="940">
          <cell r="A940" t="str">
            <v>50800520270</v>
          </cell>
          <cell r="B940" t="str">
            <v>ZMFD</v>
          </cell>
          <cell r="C940">
            <v>45497</v>
          </cell>
          <cell r="D940" t="str">
            <v>Not delivered</v>
          </cell>
          <cell r="E940">
            <v>508005202</v>
          </cell>
          <cell r="F940">
            <v>70</v>
          </cell>
          <cell r="G940">
            <v>1405884</v>
          </cell>
          <cell r="H940" t="str">
            <v>LC-012:BTL VR10 P/GLASTNG PTI60B</v>
          </cell>
          <cell r="I940">
            <v>25000</v>
          </cell>
          <cell r="J940" t="str">
            <v>UN</v>
          </cell>
          <cell r="K940">
            <v>45920</v>
          </cell>
        </row>
        <row r="941">
          <cell r="A941" t="str">
            <v>50800520280</v>
          </cell>
          <cell r="B941" t="str">
            <v>ZMFD</v>
          </cell>
          <cell r="C941">
            <v>45497</v>
          </cell>
          <cell r="D941" t="str">
            <v>Not delivered</v>
          </cell>
          <cell r="E941">
            <v>508005202</v>
          </cell>
          <cell r="F941">
            <v>80</v>
          </cell>
          <cell r="G941">
            <v>1385814</v>
          </cell>
          <cell r="H941" t="str">
            <v>LC-012:CAP VM BRWN WIP GLASTING PTI 20F</v>
          </cell>
          <cell r="I941">
            <v>25000</v>
          </cell>
          <cell r="J941" t="str">
            <v>UN</v>
          </cell>
          <cell r="K941">
            <v>45920</v>
          </cell>
        </row>
        <row r="942">
          <cell r="A942" t="str">
            <v>50800520330</v>
          </cell>
          <cell r="B942" t="str">
            <v>ZMFD</v>
          </cell>
          <cell r="C942">
            <v>45497</v>
          </cell>
          <cell r="D942" t="str">
            <v>Not delivered</v>
          </cell>
          <cell r="E942">
            <v>508005203</v>
          </cell>
          <cell r="F942">
            <v>30</v>
          </cell>
          <cell r="G942">
            <v>1405377</v>
          </cell>
          <cell r="H942" t="str">
            <v>LC-012:BTL VR11 P/GLASTNG PTI60B</v>
          </cell>
          <cell r="I942">
            <v>25000</v>
          </cell>
          <cell r="J942" t="str">
            <v>UN</v>
          </cell>
          <cell r="K942">
            <v>45920</v>
          </cell>
        </row>
        <row r="943">
          <cell r="A943" t="str">
            <v>50800520340</v>
          </cell>
          <cell r="B943" t="str">
            <v>ZMFD</v>
          </cell>
          <cell r="C943">
            <v>45497</v>
          </cell>
          <cell r="D943" t="str">
            <v>Not delivered</v>
          </cell>
          <cell r="E943">
            <v>508005203</v>
          </cell>
          <cell r="F943">
            <v>40</v>
          </cell>
          <cell r="G943">
            <v>1385814</v>
          </cell>
          <cell r="H943" t="str">
            <v>LC-012:CAP VM BRWN WIP GLASTING PTI 20F</v>
          </cell>
          <cell r="I943">
            <v>25000</v>
          </cell>
          <cell r="J943" t="str">
            <v>UN</v>
          </cell>
          <cell r="K943">
            <v>45920</v>
          </cell>
        </row>
        <row r="944">
          <cell r="A944" t="str">
            <v>50800520350</v>
          </cell>
          <cell r="B944" t="str">
            <v>ZMFD</v>
          </cell>
          <cell r="C944">
            <v>45497</v>
          </cell>
          <cell r="D944" t="str">
            <v>Not delivered</v>
          </cell>
          <cell r="E944">
            <v>508005203</v>
          </cell>
          <cell r="F944">
            <v>50</v>
          </cell>
          <cell r="G944">
            <v>1405377</v>
          </cell>
          <cell r="H944" t="str">
            <v>LC-012:BTL VR11 P/GLASTNG PTI60B</v>
          </cell>
          <cell r="I944">
            <v>50000</v>
          </cell>
          <cell r="J944" t="str">
            <v>UN</v>
          </cell>
          <cell r="K944">
            <v>45920</v>
          </cell>
        </row>
        <row r="945">
          <cell r="A945" t="str">
            <v>50800520360</v>
          </cell>
          <cell r="B945" t="str">
            <v>ZMFD</v>
          </cell>
          <cell r="C945">
            <v>45497</v>
          </cell>
          <cell r="D945" t="str">
            <v>Not delivered</v>
          </cell>
          <cell r="E945">
            <v>508005203</v>
          </cell>
          <cell r="F945">
            <v>60</v>
          </cell>
          <cell r="G945">
            <v>1385814</v>
          </cell>
          <cell r="H945" t="str">
            <v>LC-012:CAP VM BRWN WIP GLASTING PTI 20F</v>
          </cell>
          <cell r="I945">
            <v>50000</v>
          </cell>
          <cell r="J945" t="str">
            <v>UN</v>
          </cell>
          <cell r="K945">
            <v>45920</v>
          </cell>
        </row>
        <row r="946">
          <cell r="A946" t="str">
            <v>50800520410</v>
          </cell>
          <cell r="B946" t="str">
            <v>ZMFD</v>
          </cell>
          <cell r="C946">
            <v>45497</v>
          </cell>
          <cell r="D946" t="str">
            <v>Not delivered</v>
          </cell>
          <cell r="E946">
            <v>508005204</v>
          </cell>
          <cell r="F946">
            <v>10</v>
          </cell>
          <cell r="G946">
            <v>1405883</v>
          </cell>
          <cell r="H946" t="str">
            <v>LC-012:BTL VR13 P/GLASTNG PTI60B</v>
          </cell>
          <cell r="I946">
            <v>25000</v>
          </cell>
          <cell r="J946" t="str">
            <v>UN</v>
          </cell>
          <cell r="K946">
            <v>45920</v>
          </cell>
        </row>
        <row r="947">
          <cell r="A947" t="str">
            <v>50800520420</v>
          </cell>
          <cell r="B947" t="str">
            <v>ZMFD</v>
          </cell>
          <cell r="C947">
            <v>45497</v>
          </cell>
          <cell r="D947" t="str">
            <v>Not delivered</v>
          </cell>
          <cell r="E947">
            <v>508005204</v>
          </cell>
          <cell r="F947">
            <v>20</v>
          </cell>
          <cell r="G947">
            <v>1385814</v>
          </cell>
          <cell r="H947" t="str">
            <v>LC-012:CAP VM BRWN WIP GLASTING PTI 20F</v>
          </cell>
          <cell r="I947">
            <v>25000</v>
          </cell>
          <cell r="J947" t="str">
            <v>UN</v>
          </cell>
          <cell r="K947">
            <v>45920</v>
          </cell>
        </row>
        <row r="948">
          <cell r="A948" t="str">
            <v>50800520450</v>
          </cell>
          <cell r="B948" t="str">
            <v>ZMFD</v>
          </cell>
          <cell r="C948">
            <v>45497</v>
          </cell>
          <cell r="D948" t="str">
            <v>Not delivered</v>
          </cell>
          <cell r="E948">
            <v>508005204</v>
          </cell>
          <cell r="F948">
            <v>50</v>
          </cell>
          <cell r="G948">
            <v>1405883</v>
          </cell>
          <cell r="H948" t="str">
            <v>LC-012:BTL VR13 P/GLASTNG PTI60B</v>
          </cell>
          <cell r="I948">
            <v>25000</v>
          </cell>
          <cell r="J948" t="str">
            <v>UN</v>
          </cell>
          <cell r="K948">
            <v>45920</v>
          </cell>
        </row>
        <row r="949">
          <cell r="A949" t="str">
            <v>50800520460</v>
          </cell>
          <cell r="B949" t="str">
            <v>ZMFD</v>
          </cell>
          <cell r="C949">
            <v>45497</v>
          </cell>
          <cell r="D949" t="str">
            <v>Not delivered</v>
          </cell>
          <cell r="E949">
            <v>508005204</v>
          </cell>
          <cell r="F949">
            <v>60</v>
          </cell>
          <cell r="G949">
            <v>1385814</v>
          </cell>
          <cell r="H949" t="str">
            <v>LC-012:CAP VM BRWN WIP GLASTING PTI 20F</v>
          </cell>
          <cell r="I949">
            <v>25000</v>
          </cell>
          <cell r="J949" t="str">
            <v>UN</v>
          </cell>
          <cell r="K949">
            <v>45920</v>
          </cell>
        </row>
        <row r="950">
          <cell r="A950" t="str">
            <v>50714252610</v>
          </cell>
          <cell r="B950" t="str">
            <v>ZMTD</v>
          </cell>
          <cell r="C950">
            <v>45488</v>
          </cell>
          <cell r="D950" t="str">
            <v>Not delivered</v>
          </cell>
          <cell r="E950">
            <v>507142526</v>
          </cell>
          <cell r="F950">
            <v>10</v>
          </cell>
          <cell r="G950">
            <v>1382946</v>
          </cell>
          <cell r="H950" t="str">
            <v>LC-012:BTL VR3 DAZLEMAP P/GLASTNG PTI60B</v>
          </cell>
          <cell r="I950">
            <v>50274</v>
          </cell>
          <cell r="J950" t="str">
            <v>UN</v>
          </cell>
          <cell r="K950">
            <v>45920</v>
          </cell>
        </row>
        <row r="951">
          <cell r="A951" t="str">
            <v>50714252620</v>
          </cell>
          <cell r="B951" t="str">
            <v>ZMTD</v>
          </cell>
          <cell r="C951">
            <v>45488</v>
          </cell>
          <cell r="D951" t="str">
            <v>Not delivered</v>
          </cell>
          <cell r="E951">
            <v>507142526</v>
          </cell>
          <cell r="F951">
            <v>20</v>
          </cell>
          <cell r="G951">
            <v>1385814</v>
          </cell>
          <cell r="H951" t="str">
            <v>LC-012:CAP VM BRWN WIP GLASTING PTI 20F</v>
          </cell>
          <cell r="I951">
            <v>50274</v>
          </cell>
          <cell r="J951" t="str">
            <v>UN</v>
          </cell>
          <cell r="K951">
            <v>45920</v>
          </cell>
        </row>
        <row r="952">
          <cell r="A952" t="str">
            <v>50714252710</v>
          </cell>
          <cell r="B952" t="str">
            <v>ZMTD</v>
          </cell>
          <cell r="C952">
            <v>45488</v>
          </cell>
          <cell r="D952" t="str">
            <v>Not delivered</v>
          </cell>
          <cell r="E952">
            <v>507142527</v>
          </cell>
          <cell r="F952">
            <v>10</v>
          </cell>
          <cell r="G952">
            <v>1385814</v>
          </cell>
          <cell r="H952" t="str">
            <v>LC-012:CAP VM BRWN WIP GLASTING PTI 20F</v>
          </cell>
          <cell r="I952">
            <v>53298</v>
          </cell>
          <cell r="J952" t="str">
            <v>UN</v>
          </cell>
          <cell r="K952">
            <v>45920</v>
          </cell>
        </row>
        <row r="953">
          <cell r="A953" t="str">
            <v>50714252720</v>
          </cell>
          <cell r="B953" t="str">
            <v>ZMTD</v>
          </cell>
          <cell r="C953">
            <v>45488</v>
          </cell>
          <cell r="D953" t="str">
            <v>Not delivered</v>
          </cell>
          <cell r="E953">
            <v>507142527</v>
          </cell>
          <cell r="F953">
            <v>20</v>
          </cell>
          <cell r="G953">
            <v>1382935</v>
          </cell>
          <cell r="H953" t="str">
            <v>LC-012:BTL VR2 PEACHPLS P/GLASTNG PTI60B</v>
          </cell>
          <cell r="I953">
            <v>53298</v>
          </cell>
          <cell r="J953" t="str">
            <v>UN</v>
          </cell>
          <cell r="K953">
            <v>45920</v>
          </cell>
        </row>
        <row r="954">
          <cell r="A954" t="str">
            <v>50714248910</v>
          </cell>
          <cell r="B954" t="str">
            <v>ZMTD</v>
          </cell>
          <cell r="C954">
            <v>45485</v>
          </cell>
          <cell r="D954" t="str">
            <v>Not delivered</v>
          </cell>
          <cell r="E954">
            <v>507142489</v>
          </cell>
          <cell r="F954">
            <v>10</v>
          </cell>
          <cell r="G954">
            <v>1385814</v>
          </cell>
          <cell r="H954" t="str">
            <v>LC-012:CAP VM BRWN WIP GLASTING PTI 20F</v>
          </cell>
          <cell r="I954">
            <v>25326</v>
          </cell>
          <cell r="J954" t="str">
            <v>UN</v>
          </cell>
          <cell r="K954">
            <v>45920</v>
          </cell>
        </row>
        <row r="955">
          <cell r="A955" t="str">
            <v>50714248920</v>
          </cell>
          <cell r="B955" t="str">
            <v>ZMTD</v>
          </cell>
          <cell r="C955">
            <v>45485</v>
          </cell>
          <cell r="D955" t="str">
            <v>Not delivered</v>
          </cell>
          <cell r="E955">
            <v>507142489</v>
          </cell>
          <cell r="F955">
            <v>20</v>
          </cell>
          <cell r="G955">
            <v>1390058</v>
          </cell>
          <cell r="H955" t="str">
            <v>LC-012:BTL VR6 RUBYSPAR P/GLASTNG PTI60B</v>
          </cell>
          <cell r="I955">
            <v>25326</v>
          </cell>
          <cell r="J955" t="str">
            <v>UN</v>
          </cell>
          <cell r="K955">
            <v>45920</v>
          </cell>
        </row>
        <row r="956">
          <cell r="A956" t="str">
            <v>50714248930</v>
          </cell>
          <cell r="B956" t="str">
            <v>ZMTD</v>
          </cell>
          <cell r="C956">
            <v>45485</v>
          </cell>
          <cell r="D956" t="str">
            <v>Not delivered</v>
          </cell>
          <cell r="E956">
            <v>507142489</v>
          </cell>
          <cell r="F956">
            <v>30</v>
          </cell>
          <cell r="G956">
            <v>1385814</v>
          </cell>
          <cell r="H956" t="str">
            <v>LC-012:CAP VM BRWN WIP GLASTING PTI 20F</v>
          </cell>
          <cell r="I956">
            <v>27972</v>
          </cell>
          <cell r="J956" t="str">
            <v>UN</v>
          </cell>
          <cell r="K956">
            <v>45920</v>
          </cell>
        </row>
        <row r="957">
          <cell r="A957" t="str">
            <v>50714248940</v>
          </cell>
          <cell r="B957" t="str">
            <v>ZMTD</v>
          </cell>
          <cell r="C957">
            <v>45485</v>
          </cell>
          <cell r="D957" t="str">
            <v>Not delivered</v>
          </cell>
          <cell r="E957">
            <v>507142489</v>
          </cell>
          <cell r="F957">
            <v>40</v>
          </cell>
          <cell r="G957">
            <v>1390058</v>
          </cell>
          <cell r="H957" t="str">
            <v>LC-012:BTL VR6 RUBYSPAR P/GLASTNG PTI60B</v>
          </cell>
          <cell r="I957">
            <v>27972</v>
          </cell>
          <cell r="J957" t="str">
            <v>UN</v>
          </cell>
          <cell r="K957">
            <v>45920</v>
          </cell>
        </row>
        <row r="958">
          <cell r="A958" t="str">
            <v>50714249310</v>
          </cell>
          <cell r="B958" t="str">
            <v>ZMTD</v>
          </cell>
          <cell r="C958">
            <v>45485</v>
          </cell>
          <cell r="D958" t="str">
            <v>Not delivered</v>
          </cell>
          <cell r="E958">
            <v>507142493</v>
          </cell>
          <cell r="F958">
            <v>10</v>
          </cell>
          <cell r="G958">
            <v>1385814</v>
          </cell>
          <cell r="H958" t="str">
            <v>LC-012:CAP VM BRWN WIP GLASTING PTI 20F</v>
          </cell>
          <cell r="I958">
            <v>14364</v>
          </cell>
          <cell r="J958" t="str">
            <v>UN</v>
          </cell>
          <cell r="K958">
            <v>45920</v>
          </cell>
        </row>
        <row r="959">
          <cell r="A959" t="str">
            <v>50714249320</v>
          </cell>
          <cell r="B959" t="str">
            <v>ZMTD</v>
          </cell>
          <cell r="C959">
            <v>45485</v>
          </cell>
          <cell r="D959" t="str">
            <v>Not delivered</v>
          </cell>
          <cell r="E959">
            <v>507142493</v>
          </cell>
          <cell r="F959">
            <v>20</v>
          </cell>
          <cell r="G959">
            <v>1385811</v>
          </cell>
          <cell r="H959" t="str">
            <v>LC-012:BTL VR4 ROSEWOOD P/GLASTNG PTI60B</v>
          </cell>
          <cell r="I959">
            <v>14364</v>
          </cell>
          <cell r="J959" t="str">
            <v>UN</v>
          </cell>
          <cell r="K959">
            <v>45920</v>
          </cell>
        </row>
        <row r="960">
          <cell r="A960" t="str">
            <v>50714249330</v>
          </cell>
          <cell r="B960" t="str">
            <v>ZMTD</v>
          </cell>
          <cell r="C960">
            <v>45485</v>
          </cell>
          <cell r="D960" t="str">
            <v>Not delivered</v>
          </cell>
          <cell r="E960">
            <v>507142493</v>
          </cell>
          <cell r="F960">
            <v>30</v>
          </cell>
          <cell r="G960">
            <v>1385814</v>
          </cell>
          <cell r="H960" t="str">
            <v>LC-012:CAP VM BRWN WIP GLASTING PTI 20F</v>
          </cell>
          <cell r="I960">
            <v>38934</v>
          </cell>
          <cell r="J960" t="str">
            <v>UN</v>
          </cell>
          <cell r="K960">
            <v>45920</v>
          </cell>
        </row>
        <row r="961">
          <cell r="A961" t="str">
            <v>50714249340</v>
          </cell>
          <cell r="B961" t="str">
            <v>ZMTD</v>
          </cell>
          <cell r="C961">
            <v>45485</v>
          </cell>
          <cell r="D961" t="str">
            <v>Not delivered</v>
          </cell>
          <cell r="E961">
            <v>507142493</v>
          </cell>
          <cell r="F961">
            <v>40</v>
          </cell>
          <cell r="G961">
            <v>1385811</v>
          </cell>
          <cell r="H961" t="str">
            <v>LC-012:BTL VR4 ROSEWOOD P/GLASTNG PTI60B</v>
          </cell>
          <cell r="I961">
            <v>38934</v>
          </cell>
          <cell r="J961" t="str">
            <v>UN</v>
          </cell>
          <cell r="K961">
            <v>45920</v>
          </cell>
        </row>
        <row r="962">
          <cell r="A962" t="str">
            <v>50714248710</v>
          </cell>
          <cell r="B962" t="str">
            <v>ZMTD</v>
          </cell>
          <cell r="C962">
            <v>45484</v>
          </cell>
          <cell r="D962" t="str">
            <v>Not delivered</v>
          </cell>
          <cell r="E962">
            <v>507142487</v>
          </cell>
          <cell r="F962">
            <v>10</v>
          </cell>
          <cell r="G962">
            <v>1405377</v>
          </cell>
          <cell r="H962" t="str">
            <v>LC-012:BTL VR11 P/GLASTNG PTI60B</v>
          </cell>
          <cell r="I962">
            <v>53298</v>
          </cell>
          <cell r="J962" t="str">
            <v>UN</v>
          </cell>
          <cell r="K962">
            <v>45920</v>
          </cell>
        </row>
        <row r="963">
          <cell r="A963" t="str">
            <v>50714248720</v>
          </cell>
          <cell r="B963" t="str">
            <v>ZMTD</v>
          </cell>
          <cell r="C963">
            <v>45484</v>
          </cell>
          <cell r="D963" t="str">
            <v>Not delivered</v>
          </cell>
          <cell r="E963">
            <v>507142487</v>
          </cell>
          <cell r="F963">
            <v>20</v>
          </cell>
          <cell r="G963">
            <v>1385814</v>
          </cell>
          <cell r="H963" t="str">
            <v>LC-012:CAP VM BRWN WIP GLASTING PTI 20F</v>
          </cell>
          <cell r="I963">
            <v>53298</v>
          </cell>
          <cell r="J963" t="str">
            <v>UN</v>
          </cell>
          <cell r="K963">
            <v>45920</v>
          </cell>
        </row>
        <row r="964">
          <cell r="A964" t="str">
            <v>50714247030</v>
          </cell>
          <cell r="B964" t="str">
            <v>ZMTD</v>
          </cell>
          <cell r="C964">
            <v>45482</v>
          </cell>
          <cell r="D964" t="str">
            <v>Not delivered</v>
          </cell>
          <cell r="E964">
            <v>507142470</v>
          </cell>
          <cell r="F964">
            <v>30</v>
          </cell>
          <cell r="G964">
            <v>1390981</v>
          </cell>
          <cell r="H964" t="str">
            <v>LC-012:BTL VR5 GLAZBERY P/GLASTNG PTI60B</v>
          </cell>
          <cell r="I964">
            <v>24948</v>
          </cell>
          <cell r="J964" t="str">
            <v>UN</v>
          </cell>
          <cell r="K964">
            <v>45920</v>
          </cell>
        </row>
        <row r="965">
          <cell r="A965" t="str">
            <v>50714247040</v>
          </cell>
          <cell r="B965" t="str">
            <v>ZMTD</v>
          </cell>
          <cell r="C965">
            <v>45482</v>
          </cell>
          <cell r="D965" t="str">
            <v>Not delivered</v>
          </cell>
          <cell r="E965">
            <v>507142470</v>
          </cell>
          <cell r="F965">
            <v>40</v>
          </cell>
          <cell r="G965">
            <v>1385814</v>
          </cell>
          <cell r="H965" t="str">
            <v>LC-012:CAP VM BRWN WIP GLASTING PTI 20F</v>
          </cell>
          <cell r="I965">
            <v>24948</v>
          </cell>
          <cell r="J965" t="str">
            <v>UN</v>
          </cell>
          <cell r="K965">
            <v>45920</v>
          </cell>
        </row>
        <row r="966">
          <cell r="A966" t="str">
            <v>50714247310</v>
          </cell>
          <cell r="B966" t="str">
            <v>ZMTD</v>
          </cell>
          <cell r="C966">
            <v>45482</v>
          </cell>
          <cell r="D966" t="str">
            <v>Not delivered</v>
          </cell>
          <cell r="E966">
            <v>507142473</v>
          </cell>
          <cell r="F966">
            <v>10</v>
          </cell>
          <cell r="G966">
            <v>1382946</v>
          </cell>
          <cell r="H966" t="str">
            <v>LC-012:BTL VR3 DAZLEMAP P/GLASTNG PTI60B</v>
          </cell>
          <cell r="I966">
            <v>50274</v>
          </cell>
          <cell r="J966" t="str">
            <v>UN</v>
          </cell>
          <cell r="K966">
            <v>45920</v>
          </cell>
        </row>
        <row r="967">
          <cell r="A967" t="str">
            <v>50714247320</v>
          </cell>
          <cell r="B967" t="str">
            <v>ZMTD</v>
          </cell>
          <cell r="C967">
            <v>45482</v>
          </cell>
          <cell r="D967" t="str">
            <v>Not delivered</v>
          </cell>
          <cell r="E967">
            <v>507142473</v>
          </cell>
          <cell r="F967">
            <v>20</v>
          </cell>
          <cell r="G967">
            <v>1385814</v>
          </cell>
          <cell r="H967" t="str">
            <v>LC-012:CAP VM BRWN WIP GLASTING PTI 20F</v>
          </cell>
          <cell r="I967">
            <v>50274</v>
          </cell>
          <cell r="J967" t="str">
            <v>UN</v>
          </cell>
          <cell r="K967">
            <v>45920</v>
          </cell>
        </row>
        <row r="968">
          <cell r="A968" t="str">
            <v>50714245810</v>
          </cell>
          <cell r="B968" t="str">
            <v>ZMTD</v>
          </cell>
          <cell r="C968">
            <v>45481</v>
          </cell>
          <cell r="D968" t="str">
            <v>Not delivered</v>
          </cell>
          <cell r="E968">
            <v>507142458</v>
          </cell>
          <cell r="F968">
            <v>10</v>
          </cell>
          <cell r="G968">
            <v>1385814</v>
          </cell>
          <cell r="H968" t="str">
            <v>LC-012:CAP VM BRWN WIP GLASTING PTI 20F</v>
          </cell>
          <cell r="I968">
            <v>25326</v>
          </cell>
          <cell r="J968" t="str">
            <v>UN</v>
          </cell>
          <cell r="K968">
            <v>45920</v>
          </cell>
        </row>
        <row r="969">
          <cell r="A969" t="str">
            <v>50714245820</v>
          </cell>
          <cell r="B969" t="str">
            <v>ZMTD</v>
          </cell>
          <cell r="C969">
            <v>45481</v>
          </cell>
          <cell r="D969" t="str">
            <v>Not delivered</v>
          </cell>
          <cell r="E969">
            <v>507142458</v>
          </cell>
          <cell r="F969">
            <v>20</v>
          </cell>
          <cell r="G969">
            <v>1405883</v>
          </cell>
          <cell r="H969" t="str">
            <v>LC-012:BTL VR13 P/GLASTNG PTI60B</v>
          </cell>
          <cell r="I969">
            <v>25326</v>
          </cell>
          <cell r="J969" t="str">
            <v>UN</v>
          </cell>
          <cell r="K969">
            <v>45920</v>
          </cell>
        </row>
        <row r="970">
          <cell r="A970" t="str">
            <v>50714245830</v>
          </cell>
          <cell r="B970" t="str">
            <v>ZMTD</v>
          </cell>
          <cell r="C970">
            <v>45481</v>
          </cell>
          <cell r="D970" t="str">
            <v>Not delivered</v>
          </cell>
          <cell r="E970">
            <v>507142458</v>
          </cell>
          <cell r="F970">
            <v>30</v>
          </cell>
          <cell r="G970">
            <v>1385814</v>
          </cell>
          <cell r="H970" t="str">
            <v>LC-012:CAP VM BRWN WIP GLASTING PTI 20F</v>
          </cell>
          <cell r="I970">
            <v>24948</v>
          </cell>
          <cell r="J970" t="str">
            <v>UN</v>
          </cell>
          <cell r="K970">
            <v>45920</v>
          </cell>
        </row>
        <row r="971">
          <cell r="A971" t="str">
            <v>50714245840</v>
          </cell>
          <cell r="B971" t="str">
            <v>ZMTD</v>
          </cell>
          <cell r="C971">
            <v>45481</v>
          </cell>
          <cell r="D971" t="str">
            <v>Not delivered</v>
          </cell>
          <cell r="E971">
            <v>507142458</v>
          </cell>
          <cell r="F971">
            <v>40</v>
          </cell>
          <cell r="G971">
            <v>1405883</v>
          </cell>
          <cell r="H971" t="str">
            <v>LC-012:BTL VR13 P/GLASTNG PTI60B</v>
          </cell>
          <cell r="I971">
            <v>24948</v>
          </cell>
          <cell r="J971" t="str">
            <v>UN</v>
          </cell>
          <cell r="K971">
            <v>45920</v>
          </cell>
        </row>
        <row r="972">
          <cell r="A972" t="str">
            <v>50714246510</v>
          </cell>
          <cell r="B972" t="str">
            <v>ZMTD</v>
          </cell>
          <cell r="C972">
            <v>45481</v>
          </cell>
          <cell r="D972" t="str">
            <v>Not delivered</v>
          </cell>
          <cell r="E972">
            <v>507142465</v>
          </cell>
          <cell r="F972">
            <v>10</v>
          </cell>
          <cell r="G972">
            <v>1382893</v>
          </cell>
          <cell r="H972" t="str">
            <v>LC-012:BTL VR1 CRMLCOAT P/GLASTNG PTI60B</v>
          </cell>
          <cell r="I972">
            <v>25326</v>
          </cell>
          <cell r="J972" t="str">
            <v>UN</v>
          </cell>
          <cell r="K972">
            <v>45920</v>
          </cell>
        </row>
        <row r="973">
          <cell r="A973" t="str">
            <v>50714246520</v>
          </cell>
          <cell r="B973" t="str">
            <v>ZMTD</v>
          </cell>
          <cell r="C973">
            <v>45481</v>
          </cell>
          <cell r="D973" t="str">
            <v>Not delivered</v>
          </cell>
          <cell r="E973">
            <v>507142465</v>
          </cell>
          <cell r="F973">
            <v>20</v>
          </cell>
          <cell r="G973">
            <v>1385814</v>
          </cell>
          <cell r="H973" t="str">
            <v>LC-012:CAP VM BRWN WIP GLASTING PTI 20F</v>
          </cell>
          <cell r="I973">
            <v>25326</v>
          </cell>
          <cell r="J973" t="str">
            <v>UN</v>
          </cell>
          <cell r="K973">
            <v>45920</v>
          </cell>
        </row>
        <row r="974">
          <cell r="A974" t="str">
            <v>50714246530</v>
          </cell>
          <cell r="B974" t="str">
            <v>ZMTD</v>
          </cell>
          <cell r="C974">
            <v>45481</v>
          </cell>
          <cell r="D974" t="str">
            <v>Not delivered</v>
          </cell>
          <cell r="E974">
            <v>507142465</v>
          </cell>
          <cell r="F974">
            <v>30</v>
          </cell>
          <cell r="G974">
            <v>1382893</v>
          </cell>
          <cell r="H974" t="str">
            <v>LC-012:BTL VR1 CRMLCOAT P/GLASTNG PTI60B</v>
          </cell>
          <cell r="I974">
            <v>52920</v>
          </cell>
          <cell r="J974" t="str">
            <v>UN</v>
          </cell>
          <cell r="K974">
            <v>45920</v>
          </cell>
        </row>
        <row r="975">
          <cell r="A975" t="str">
            <v>50714246540</v>
          </cell>
          <cell r="B975" t="str">
            <v>ZMTD</v>
          </cell>
          <cell r="C975">
            <v>45481</v>
          </cell>
          <cell r="D975" t="str">
            <v>Not delivered</v>
          </cell>
          <cell r="E975">
            <v>507142465</v>
          </cell>
          <cell r="F975">
            <v>40</v>
          </cell>
          <cell r="G975">
            <v>1385814</v>
          </cell>
          <cell r="H975" t="str">
            <v>LC-012:CAP VM BRWN WIP GLASTING PTI 20F</v>
          </cell>
          <cell r="I975">
            <v>52920</v>
          </cell>
          <cell r="J975" t="str">
            <v>UN</v>
          </cell>
          <cell r="K975">
            <v>45920</v>
          </cell>
        </row>
        <row r="976">
          <cell r="A976" t="str">
            <v>50714246550</v>
          </cell>
          <cell r="B976" t="str">
            <v>ZMTD</v>
          </cell>
          <cell r="C976">
            <v>45481</v>
          </cell>
          <cell r="D976" t="str">
            <v>Not delivered</v>
          </cell>
          <cell r="E976">
            <v>507142465</v>
          </cell>
          <cell r="F976">
            <v>50</v>
          </cell>
          <cell r="G976">
            <v>1382893</v>
          </cell>
          <cell r="H976" t="str">
            <v>LC-012:BTL VR1 CRMLCOAT P/GLASTNG PTI60B</v>
          </cell>
          <cell r="I976">
            <v>27972</v>
          </cell>
          <cell r="J976" t="str">
            <v>UN</v>
          </cell>
          <cell r="K976">
            <v>45920</v>
          </cell>
        </row>
        <row r="977">
          <cell r="A977" t="str">
            <v>50714246560</v>
          </cell>
          <cell r="B977" t="str">
            <v>ZMTD</v>
          </cell>
          <cell r="C977">
            <v>45481</v>
          </cell>
          <cell r="D977" t="str">
            <v>Not delivered</v>
          </cell>
          <cell r="E977">
            <v>507142465</v>
          </cell>
          <cell r="F977">
            <v>60</v>
          </cell>
          <cell r="G977">
            <v>1385814</v>
          </cell>
          <cell r="H977" t="str">
            <v>LC-012:CAP VM BRWN WIP GLASTING PTI 20F</v>
          </cell>
          <cell r="I977">
            <v>27972</v>
          </cell>
          <cell r="J977" t="str">
            <v>UN</v>
          </cell>
          <cell r="K977">
            <v>45920</v>
          </cell>
        </row>
        <row r="978">
          <cell r="A978" t="str">
            <v>50714240910</v>
          </cell>
          <cell r="B978" t="str">
            <v>ZMTD</v>
          </cell>
          <cell r="C978">
            <v>45470</v>
          </cell>
          <cell r="D978" t="str">
            <v>Not delivered</v>
          </cell>
          <cell r="E978">
            <v>507142409</v>
          </cell>
          <cell r="F978">
            <v>10</v>
          </cell>
          <cell r="G978">
            <v>1382935</v>
          </cell>
          <cell r="H978" t="str">
            <v>LC-012:BTL VR2 PEACHPLS P/GLASTNG PTI60B</v>
          </cell>
          <cell r="I978">
            <v>37422</v>
          </cell>
          <cell r="J978" t="str">
            <v>UN</v>
          </cell>
          <cell r="K978">
            <v>45920</v>
          </cell>
        </row>
        <row r="979">
          <cell r="A979" t="str">
            <v>50714240920</v>
          </cell>
          <cell r="B979" t="str">
            <v>ZMTD</v>
          </cell>
          <cell r="C979">
            <v>45470</v>
          </cell>
          <cell r="D979" t="str">
            <v>Not delivered</v>
          </cell>
          <cell r="E979">
            <v>507142409</v>
          </cell>
          <cell r="F979">
            <v>20</v>
          </cell>
          <cell r="G979">
            <v>1385814</v>
          </cell>
          <cell r="H979" t="str">
            <v>LC-012:CAP VM BRWN WIP GLASTING PTI 20F</v>
          </cell>
          <cell r="I979">
            <v>37422</v>
          </cell>
          <cell r="J979" t="str">
            <v>UN</v>
          </cell>
          <cell r="K979">
            <v>45920</v>
          </cell>
        </row>
        <row r="980">
          <cell r="A980" t="str">
            <v>50714241210</v>
          </cell>
          <cell r="B980" t="str">
            <v>ZMTD</v>
          </cell>
          <cell r="C980">
            <v>45470</v>
          </cell>
          <cell r="D980" t="str">
            <v>Partially delivered</v>
          </cell>
          <cell r="E980">
            <v>507142412</v>
          </cell>
          <cell r="F980">
            <v>10</v>
          </cell>
          <cell r="G980">
            <v>1385814</v>
          </cell>
          <cell r="H980" t="str">
            <v>LC-012:CAP VM BRWN WIP GLASTING PTI 20F</v>
          </cell>
          <cell r="I980">
            <v>53298</v>
          </cell>
          <cell r="J980" t="str">
            <v>UN</v>
          </cell>
          <cell r="K980">
            <v>45920</v>
          </cell>
        </row>
        <row r="981">
          <cell r="A981" t="str">
            <v>50714241220</v>
          </cell>
          <cell r="B981" t="str">
            <v>ZMTD</v>
          </cell>
          <cell r="C981">
            <v>45470</v>
          </cell>
          <cell r="D981" t="str">
            <v>Partially delivered</v>
          </cell>
          <cell r="E981">
            <v>507142412</v>
          </cell>
          <cell r="F981">
            <v>20</v>
          </cell>
          <cell r="G981">
            <v>1405377</v>
          </cell>
          <cell r="H981" t="str">
            <v>LC-012:BTL VR11 P/GLASTNG PTI60B</v>
          </cell>
          <cell r="I981">
            <v>53298</v>
          </cell>
          <cell r="J981" t="str">
            <v>UN</v>
          </cell>
          <cell r="K981">
            <v>45920</v>
          </cell>
        </row>
        <row r="982">
          <cell r="A982" t="str">
            <v>50714241310</v>
          </cell>
          <cell r="B982" t="str">
            <v>ZMTD</v>
          </cell>
          <cell r="C982">
            <v>45470</v>
          </cell>
          <cell r="D982" t="str">
            <v>Not delivered</v>
          </cell>
          <cell r="E982">
            <v>507142413</v>
          </cell>
          <cell r="F982">
            <v>10</v>
          </cell>
          <cell r="G982">
            <v>1382946</v>
          </cell>
          <cell r="H982" t="str">
            <v>LC-012:BTL VR3 DAZLEMAP P/GLASTNG PTI60B</v>
          </cell>
          <cell r="I982">
            <v>50274</v>
          </cell>
          <cell r="J982" t="str">
            <v>UN</v>
          </cell>
          <cell r="K982">
            <v>45920</v>
          </cell>
        </row>
        <row r="983">
          <cell r="A983" t="str">
            <v>50714241320</v>
          </cell>
          <cell r="B983" t="str">
            <v>ZMTD</v>
          </cell>
          <cell r="C983">
            <v>45470</v>
          </cell>
          <cell r="D983" t="str">
            <v>Not delivered</v>
          </cell>
          <cell r="E983">
            <v>507142413</v>
          </cell>
          <cell r="F983">
            <v>20</v>
          </cell>
          <cell r="G983">
            <v>1385814</v>
          </cell>
          <cell r="H983" t="str">
            <v>LC-012:CAP VM BRWN WIP GLASTING PTI 20F</v>
          </cell>
          <cell r="I983">
            <v>50274</v>
          </cell>
          <cell r="J983" t="str">
            <v>UN</v>
          </cell>
          <cell r="K983">
            <v>45920</v>
          </cell>
        </row>
        <row r="984">
          <cell r="A984" t="str">
            <v>50714229430</v>
          </cell>
          <cell r="B984" t="str">
            <v>ZMTD</v>
          </cell>
          <cell r="C984">
            <v>45448</v>
          </cell>
          <cell r="D984" t="str">
            <v>Partially delivered</v>
          </cell>
          <cell r="E984">
            <v>507142294</v>
          </cell>
          <cell r="F984">
            <v>30</v>
          </cell>
          <cell r="G984">
            <v>1385814</v>
          </cell>
          <cell r="H984" t="str">
            <v>LC-012:CAP VM BRWN WIP GLASTING PTI 20F</v>
          </cell>
          <cell r="I984">
            <v>52920</v>
          </cell>
          <cell r="J984" t="str">
            <v>UN</v>
          </cell>
          <cell r="K984">
            <v>45920</v>
          </cell>
        </row>
        <row r="985">
          <cell r="A985" t="str">
            <v>50714229440</v>
          </cell>
          <cell r="B985" t="str">
            <v>ZMTD</v>
          </cell>
          <cell r="C985">
            <v>45448</v>
          </cell>
          <cell r="D985" t="str">
            <v>Partially delivered</v>
          </cell>
          <cell r="E985">
            <v>507142294</v>
          </cell>
          <cell r="F985">
            <v>40</v>
          </cell>
          <cell r="G985">
            <v>1390058</v>
          </cell>
          <cell r="H985" t="str">
            <v>LC-012:BTL VR6 RUBYSPAR P/GLASTNG PTI60B</v>
          </cell>
          <cell r="I985">
            <v>52920</v>
          </cell>
          <cell r="J985" t="str">
            <v>UN</v>
          </cell>
          <cell r="K985">
            <v>45920</v>
          </cell>
        </row>
        <row r="986">
          <cell r="A986" t="str">
            <v>50800530670</v>
          </cell>
          <cell r="B986" t="str">
            <v>ZMFD</v>
          </cell>
          <cell r="C986">
            <v>45569</v>
          </cell>
          <cell r="D986" t="str">
            <v>Not delivered</v>
          </cell>
          <cell r="E986">
            <v>508005306</v>
          </cell>
          <cell r="F986">
            <v>70</v>
          </cell>
          <cell r="G986">
            <v>1419488</v>
          </cell>
          <cell r="H986" t="str">
            <v>CP-063R:SPOUT CAP WHITE LOREAL 12A</v>
          </cell>
          <cell r="I986">
            <v>1890000</v>
          </cell>
          <cell r="J986" t="str">
            <v>UN</v>
          </cell>
          <cell r="K986">
            <v>45947</v>
          </cell>
        </row>
        <row r="987">
          <cell r="A987" t="str">
            <v>50800530680</v>
          </cell>
          <cell r="B987" t="str">
            <v>ZMFD</v>
          </cell>
          <cell r="C987">
            <v>45569</v>
          </cell>
          <cell r="D987" t="str">
            <v>Not delivered</v>
          </cell>
          <cell r="E987">
            <v>508005306</v>
          </cell>
          <cell r="F987">
            <v>80</v>
          </cell>
          <cell r="G987">
            <v>1419488</v>
          </cell>
          <cell r="H987" t="str">
            <v>CP-063R:SPOUT CAP WHITE LOREAL 12A</v>
          </cell>
          <cell r="I987">
            <v>1890000</v>
          </cell>
          <cell r="J987" t="str">
            <v>UN</v>
          </cell>
          <cell r="K987">
            <v>45947</v>
          </cell>
        </row>
        <row r="988">
          <cell r="A988" t="str">
            <v>50800530690</v>
          </cell>
          <cell r="B988" t="str">
            <v>ZMFD</v>
          </cell>
          <cell r="C988">
            <v>45569</v>
          </cell>
          <cell r="D988" t="str">
            <v>Not delivered</v>
          </cell>
          <cell r="E988">
            <v>508005306</v>
          </cell>
          <cell r="F988">
            <v>90</v>
          </cell>
          <cell r="G988">
            <v>1419488</v>
          </cell>
          <cell r="H988" t="str">
            <v>CP-063R:SPOUT CAP WHITE LOREAL 12A</v>
          </cell>
          <cell r="I988">
            <v>1890000</v>
          </cell>
          <cell r="J988" t="str">
            <v>UN</v>
          </cell>
          <cell r="K988">
            <v>45951</v>
          </cell>
        </row>
        <row r="989">
          <cell r="A989" t="str">
            <v>50800514920</v>
          </cell>
          <cell r="B989" t="str">
            <v>ZMFD</v>
          </cell>
          <cell r="C989">
            <v>45464</v>
          </cell>
          <cell r="D989" t="str">
            <v>Not delivered</v>
          </cell>
          <cell r="E989">
            <v>508005149</v>
          </cell>
          <cell r="F989">
            <v>20</v>
          </cell>
          <cell r="G989">
            <v>1378563</v>
          </cell>
          <cell r="H989" t="str">
            <v>CP-093:CAP D50 MT BLACK Ø.5 YASULOR 12A</v>
          </cell>
          <cell r="I989">
            <v>600000</v>
          </cell>
          <cell r="J989" t="str">
            <v>UN</v>
          </cell>
          <cell r="K989">
            <v>45988</v>
          </cell>
        </row>
        <row r="990">
          <cell r="A990" t="str">
            <v>50800514930</v>
          </cell>
          <cell r="B990" t="str">
            <v>ZMFD</v>
          </cell>
          <cell r="C990">
            <v>45464</v>
          </cell>
          <cell r="D990" t="str">
            <v>Not delivered</v>
          </cell>
          <cell r="E990">
            <v>508005149</v>
          </cell>
          <cell r="F990">
            <v>30</v>
          </cell>
          <cell r="G990">
            <v>1378563</v>
          </cell>
          <cell r="H990" t="str">
            <v>CP-093:CAP D50 MT BLACK Ø.5 YASULOR 12A</v>
          </cell>
          <cell r="I990">
            <v>600000</v>
          </cell>
          <cell r="J990" t="str">
            <v>UN</v>
          </cell>
          <cell r="K990">
            <v>45993</v>
          </cell>
        </row>
        <row r="991">
          <cell r="A991" t="str">
            <v>50800514940</v>
          </cell>
          <cell r="B991" t="str">
            <v>ZMFD</v>
          </cell>
          <cell r="C991">
            <v>45464</v>
          </cell>
          <cell r="D991" t="str">
            <v>Not delivered</v>
          </cell>
          <cell r="E991">
            <v>508005149</v>
          </cell>
          <cell r="F991">
            <v>40</v>
          </cell>
          <cell r="G991">
            <v>1378563</v>
          </cell>
          <cell r="H991" t="str">
            <v>CP-093:CAP D50 MT BLACK Ø.5 YASULOR 12A</v>
          </cell>
          <cell r="I991">
            <v>600000</v>
          </cell>
          <cell r="J991" t="str">
            <v>UN</v>
          </cell>
          <cell r="K991">
            <v>46000</v>
          </cell>
        </row>
        <row r="992">
          <cell r="A992" t="str">
            <v>50714150830</v>
          </cell>
          <cell r="B992" t="str">
            <v>ZMTD</v>
          </cell>
          <cell r="C992">
            <v>45282</v>
          </cell>
          <cell r="D992" t="str">
            <v>Not delivered</v>
          </cell>
          <cell r="E992">
            <v>507141508</v>
          </cell>
          <cell r="F992">
            <v>30</v>
          </cell>
          <cell r="G992">
            <v>1171684</v>
          </cell>
          <cell r="H992" t="str">
            <v>LS-091:CVR WHT HTF NATURAL ROHTO60C</v>
          </cell>
          <cell r="I992">
            <v>38532</v>
          </cell>
          <cell r="J992" t="str">
            <v>UN</v>
          </cell>
          <cell r="K992">
            <v>46015</v>
          </cell>
        </row>
        <row r="993">
          <cell r="A993" t="str">
            <v>50714150860</v>
          </cell>
          <cell r="B993" t="str">
            <v>ZMTD</v>
          </cell>
          <cell r="C993">
            <v>45282</v>
          </cell>
          <cell r="D993" t="str">
            <v>Not delivered</v>
          </cell>
          <cell r="E993">
            <v>507141508</v>
          </cell>
          <cell r="F993">
            <v>60</v>
          </cell>
          <cell r="G993">
            <v>1243794</v>
          </cell>
          <cell r="H993" t="str">
            <v>LS-091:BS PINK P/SHEER CLR NEW ROHTO 60B</v>
          </cell>
          <cell r="I993">
            <v>38856</v>
          </cell>
          <cell r="J993" t="str">
            <v>UN</v>
          </cell>
          <cell r="K993">
            <v>46015</v>
          </cell>
        </row>
        <row r="994">
          <cell r="A994" t="str">
            <v>50714150950</v>
          </cell>
          <cell r="B994" t="str">
            <v>ZMTD</v>
          </cell>
          <cell r="C994">
            <v>45282</v>
          </cell>
          <cell r="D994" t="str">
            <v>Not delivered</v>
          </cell>
          <cell r="E994">
            <v>507141509</v>
          </cell>
          <cell r="F994">
            <v>50</v>
          </cell>
          <cell r="G994">
            <v>1194708</v>
          </cell>
          <cell r="H994" t="str">
            <v>LS-091:CVR WHT HTF APPLE ROHTO 60C</v>
          </cell>
          <cell r="I994">
            <v>9880</v>
          </cell>
          <cell r="J994" t="str">
            <v>UN</v>
          </cell>
          <cell r="K994">
            <v>46015</v>
          </cell>
        </row>
        <row r="995">
          <cell r="A995" t="str">
            <v>50714150960</v>
          </cell>
          <cell r="B995" t="str">
            <v>ZMTD</v>
          </cell>
          <cell r="C995">
            <v>45282</v>
          </cell>
          <cell r="D995" t="str">
            <v>Not delivered</v>
          </cell>
          <cell r="E995">
            <v>507141509</v>
          </cell>
          <cell r="F995">
            <v>60</v>
          </cell>
          <cell r="G995">
            <v>1243794</v>
          </cell>
          <cell r="H995" t="str">
            <v>LS-091:BS PINK P/SHEER CLR NEW ROHTO 60B</v>
          </cell>
          <cell r="I995">
            <v>9880</v>
          </cell>
          <cell r="J995" t="str">
            <v>UN</v>
          </cell>
          <cell r="K995">
            <v>46015</v>
          </cell>
        </row>
        <row r="996">
          <cell r="A996" t="str">
            <v>50714150970</v>
          </cell>
          <cell r="B996" t="str">
            <v>ZMTD</v>
          </cell>
          <cell r="C996">
            <v>45282</v>
          </cell>
          <cell r="D996" t="str">
            <v>Not delivered</v>
          </cell>
          <cell r="E996">
            <v>507141509</v>
          </cell>
          <cell r="F996">
            <v>70</v>
          </cell>
          <cell r="G996">
            <v>1173392</v>
          </cell>
          <cell r="H996" t="str">
            <v>LS-091:CVR WHT HTF ORANGE ROHTO60C</v>
          </cell>
          <cell r="I996">
            <v>9880</v>
          </cell>
          <cell r="J996" t="str">
            <v>UN</v>
          </cell>
          <cell r="K996">
            <v>46015</v>
          </cell>
        </row>
        <row r="997">
          <cell r="A997" t="str">
            <v>50714150980</v>
          </cell>
          <cell r="B997" t="str">
            <v>ZMTD</v>
          </cell>
          <cell r="C997">
            <v>45282</v>
          </cell>
          <cell r="D997" t="str">
            <v>Not delivered</v>
          </cell>
          <cell r="E997">
            <v>507141509</v>
          </cell>
          <cell r="F997">
            <v>80</v>
          </cell>
          <cell r="G997">
            <v>1243794</v>
          </cell>
          <cell r="H997" t="str">
            <v>LS-091:BS PINK P/SHEER CLR NEW ROHTO 60B</v>
          </cell>
          <cell r="I997">
            <v>9880</v>
          </cell>
          <cell r="J997" t="str">
            <v>UN</v>
          </cell>
          <cell r="K997">
            <v>46015</v>
          </cell>
        </row>
        <row r="998">
          <cell r="A998" t="str">
            <v>50714150990</v>
          </cell>
          <cell r="B998" t="str">
            <v>ZMTD</v>
          </cell>
          <cell r="C998">
            <v>45282</v>
          </cell>
          <cell r="D998" t="str">
            <v>Not delivered</v>
          </cell>
          <cell r="E998">
            <v>507141509</v>
          </cell>
          <cell r="F998">
            <v>90</v>
          </cell>
          <cell r="G998">
            <v>1170054</v>
          </cell>
          <cell r="H998" t="str">
            <v>LS-091:CVR WHT HTF BUBLEGUM ROHTO 60C</v>
          </cell>
          <cell r="I998">
            <v>9880</v>
          </cell>
          <cell r="J998" t="str">
            <v>UN</v>
          </cell>
          <cell r="K998">
            <v>46015</v>
          </cell>
        </row>
        <row r="999">
          <cell r="A999" t="str">
            <v>507141509100</v>
          </cell>
          <cell r="B999" t="str">
            <v>ZMTD</v>
          </cell>
          <cell r="C999">
            <v>45282</v>
          </cell>
          <cell r="D999" t="str">
            <v>Not delivered</v>
          </cell>
          <cell r="E999">
            <v>507141509</v>
          </cell>
          <cell r="F999">
            <v>100</v>
          </cell>
          <cell r="G999">
            <v>1243794</v>
          </cell>
          <cell r="H999" t="str">
            <v>LS-091:BS PINK P/SHEER CLR NEW ROHTO 60B</v>
          </cell>
          <cell r="I999">
            <v>9880</v>
          </cell>
          <cell r="J999" t="str">
            <v>UN</v>
          </cell>
          <cell r="K999">
            <v>46015</v>
          </cell>
        </row>
        <row r="1000">
          <cell r="A1000" t="str">
            <v>50714150050</v>
          </cell>
          <cell r="B1000" t="str">
            <v>ZMTD</v>
          </cell>
          <cell r="C1000">
            <v>45281</v>
          </cell>
          <cell r="D1000" t="str">
            <v>Not delivered</v>
          </cell>
          <cell r="E1000">
            <v>507141500</v>
          </cell>
          <cell r="F1000">
            <v>50</v>
          </cell>
          <cell r="G1000">
            <v>1173392</v>
          </cell>
          <cell r="H1000" t="str">
            <v>LS-091:CVR WHT HTF ORANGE ROHTO60C</v>
          </cell>
          <cell r="I1000">
            <v>15808</v>
          </cell>
          <cell r="J1000" t="str">
            <v>UN</v>
          </cell>
          <cell r="K1000">
            <v>46015</v>
          </cell>
        </row>
        <row r="1001">
          <cell r="A1001" t="str">
            <v>507141500130</v>
          </cell>
          <cell r="B1001" t="str">
            <v>ZMTD</v>
          </cell>
          <cell r="C1001">
            <v>45281</v>
          </cell>
          <cell r="D1001" t="str">
            <v>Not delivered</v>
          </cell>
          <cell r="E1001">
            <v>507141500</v>
          </cell>
          <cell r="F1001">
            <v>130</v>
          </cell>
          <cell r="G1001">
            <v>1194708</v>
          </cell>
          <cell r="H1001" t="str">
            <v>LS-091:CVR WHT HTF APPLE ROHTO 60C</v>
          </cell>
          <cell r="I1001">
            <v>7408</v>
          </cell>
          <cell r="J1001" t="str">
            <v>UN</v>
          </cell>
          <cell r="K1001">
            <v>46015</v>
          </cell>
        </row>
        <row r="1002">
          <cell r="A1002" t="str">
            <v>507141500140</v>
          </cell>
          <cell r="B1002" t="str">
            <v>ZMTD</v>
          </cell>
          <cell r="C1002">
            <v>45281</v>
          </cell>
          <cell r="D1002" t="str">
            <v>Not delivered</v>
          </cell>
          <cell r="E1002">
            <v>507141500</v>
          </cell>
          <cell r="F1002">
            <v>140</v>
          </cell>
          <cell r="G1002">
            <v>1170054</v>
          </cell>
          <cell r="H1002" t="str">
            <v>LS-091:CVR WHT HTF BUBLEGUM ROHTO 60C</v>
          </cell>
          <cell r="I1002">
            <v>3908</v>
          </cell>
          <cell r="J1002" t="str">
            <v>UN</v>
          </cell>
          <cell r="K1002">
            <v>46015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Material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PLPV"/>
      <sheetName val="Summary"/>
      <sheetName val="VA05"/>
      <sheetName val="OpenSOwDel"/>
      <sheetName val="MB52FG"/>
      <sheetName val="ZEPLSOALL"/>
      <sheetName val="Ref2"/>
      <sheetName val="REFERENCE"/>
      <sheetName val="Routing"/>
      <sheetName val="UAP"/>
      <sheetName val="LIST MN BM"/>
      <sheetName val="Plot"/>
      <sheetName val="Work Center"/>
    </sheetNames>
    <sheetDataSet>
      <sheetData sheetId="0"/>
      <sheetData sheetId="1"/>
      <sheetData sheetId="2">
        <row r="1">
          <cell r="A1" t="str">
            <v>SORef2</v>
          </cell>
          <cell r="B1" t="str">
            <v>SaTy</v>
          </cell>
          <cell r="C1" t="str">
            <v>Doc. Date</v>
          </cell>
          <cell r="D1" t="str">
            <v>Status</v>
          </cell>
          <cell r="E1" t="str">
            <v>Document</v>
          </cell>
          <cell r="F1" t="str">
            <v>Item</v>
          </cell>
          <cell r="G1" t="str">
            <v>Material</v>
          </cell>
          <cell r="H1" t="str">
            <v>Description</v>
          </cell>
          <cell r="I1" t="str">
            <v xml:space="preserve">     Order Qty</v>
          </cell>
          <cell r="J1" t="str">
            <v>BUn</v>
          </cell>
          <cell r="K1" t="str">
            <v>GI Date</v>
          </cell>
        </row>
        <row r="2">
          <cell r="A2" t="str">
            <v>50714131980</v>
          </cell>
          <cell r="B2" t="str">
            <v>ZMTD</v>
          </cell>
          <cell r="C2">
            <v>45247</v>
          </cell>
          <cell r="D2" t="str">
            <v>Not delivered</v>
          </cell>
          <cell r="E2">
            <v>507141319</v>
          </cell>
          <cell r="F2">
            <v>80</v>
          </cell>
          <cell r="G2">
            <v>1393667</v>
          </cell>
          <cell r="H2" t="str">
            <v>CM-105:BLACK NO DC GENERAL 10A</v>
          </cell>
          <cell r="I2">
            <v>960</v>
          </cell>
          <cell r="J2" t="str">
            <v>UN</v>
          </cell>
          <cell r="K2">
            <v>45294</v>
          </cell>
        </row>
        <row r="3">
          <cell r="A3" t="str">
            <v>507141319130</v>
          </cell>
          <cell r="B3" t="str">
            <v>ZMTD</v>
          </cell>
          <cell r="C3">
            <v>45247</v>
          </cell>
          <cell r="D3" t="str">
            <v>Not delivered</v>
          </cell>
          <cell r="E3">
            <v>507141319</v>
          </cell>
          <cell r="F3">
            <v>130</v>
          </cell>
          <cell r="G3">
            <v>1395395</v>
          </cell>
          <cell r="H3" t="str">
            <v>FP-014:BS CLEAR NO DC GENERAL 12A</v>
          </cell>
          <cell r="I3">
            <v>1530</v>
          </cell>
          <cell r="J3" t="str">
            <v>UN</v>
          </cell>
          <cell r="K3">
            <v>45301</v>
          </cell>
        </row>
        <row r="4">
          <cell r="A4" t="str">
            <v>507141319140</v>
          </cell>
          <cell r="B4" t="str">
            <v>ZMTD</v>
          </cell>
          <cell r="C4">
            <v>45247</v>
          </cell>
          <cell r="D4" t="str">
            <v>Not delivered</v>
          </cell>
          <cell r="E4">
            <v>507141319</v>
          </cell>
          <cell r="F4">
            <v>140</v>
          </cell>
          <cell r="G4">
            <v>1395396</v>
          </cell>
          <cell r="H4" t="str">
            <v>FP-014:CVR BLCK NO DC GENERAL 12A</v>
          </cell>
          <cell r="I4">
            <v>1530</v>
          </cell>
          <cell r="J4" t="str">
            <v>UN</v>
          </cell>
          <cell r="K4">
            <v>45301</v>
          </cell>
        </row>
        <row r="5">
          <cell r="A5" t="str">
            <v>507141319150</v>
          </cell>
          <cell r="B5" t="str">
            <v>ZMTD</v>
          </cell>
          <cell r="C5">
            <v>45247</v>
          </cell>
          <cell r="D5" t="str">
            <v>Not delivered</v>
          </cell>
          <cell r="E5">
            <v>507141319</v>
          </cell>
          <cell r="F5">
            <v>150</v>
          </cell>
          <cell r="G5">
            <v>1395397</v>
          </cell>
          <cell r="H5" t="str">
            <v>FP-014:SFTR NAT W/ LABEL NODC GENERAL12A</v>
          </cell>
          <cell r="I5">
            <v>1530</v>
          </cell>
          <cell r="J5" t="str">
            <v>UN</v>
          </cell>
          <cell r="K5">
            <v>45301</v>
          </cell>
        </row>
        <row r="6">
          <cell r="A6" t="str">
            <v>507141319240</v>
          </cell>
          <cell r="B6" t="str">
            <v>ZMTD</v>
          </cell>
          <cell r="C6">
            <v>45247</v>
          </cell>
          <cell r="D6" t="str">
            <v>Not delivered</v>
          </cell>
          <cell r="E6">
            <v>507141319</v>
          </cell>
          <cell r="F6">
            <v>240</v>
          </cell>
          <cell r="G6">
            <v>1394201</v>
          </cell>
          <cell r="H6" t="str">
            <v>PT-099:BS-CVR BEIGE INS WHT12.5G GNRL12A</v>
          </cell>
          <cell r="I6">
            <v>2400</v>
          </cell>
          <cell r="J6" t="str">
            <v>UN</v>
          </cell>
          <cell r="K6">
            <v>45318</v>
          </cell>
        </row>
        <row r="7">
          <cell r="A7" t="str">
            <v>507141319250</v>
          </cell>
          <cell r="B7" t="str">
            <v>ZMTD</v>
          </cell>
          <cell r="C7">
            <v>45247</v>
          </cell>
          <cell r="D7" t="str">
            <v>Not delivered</v>
          </cell>
          <cell r="E7">
            <v>507141319</v>
          </cell>
          <cell r="F7">
            <v>250</v>
          </cell>
          <cell r="G7">
            <v>1174578</v>
          </cell>
          <cell r="H7" t="str">
            <v>FP-008:CVR WHT S/SLV NO DC,BASE WHT IMM</v>
          </cell>
          <cell r="I7">
            <v>1600</v>
          </cell>
          <cell r="J7" t="str">
            <v>UN</v>
          </cell>
          <cell r="K7">
            <v>45320</v>
          </cell>
        </row>
        <row r="8">
          <cell r="A8" t="str">
            <v>507141319260</v>
          </cell>
          <cell r="B8" t="str">
            <v>ZMTD</v>
          </cell>
          <cell r="C8">
            <v>45247</v>
          </cell>
          <cell r="D8" t="str">
            <v>Not delivered</v>
          </cell>
          <cell r="E8">
            <v>507141319</v>
          </cell>
          <cell r="F8">
            <v>260</v>
          </cell>
          <cell r="G8">
            <v>1173473</v>
          </cell>
          <cell r="H8" t="str">
            <v>FP-008:SIFTER NAT LIVINGHINGE W/LBL IMM</v>
          </cell>
          <cell r="I8">
            <v>1600</v>
          </cell>
          <cell r="J8" t="str">
            <v>UN</v>
          </cell>
          <cell r="K8">
            <v>45320</v>
          </cell>
        </row>
        <row r="9">
          <cell r="A9" t="str">
            <v>50714085410</v>
          </cell>
          <cell r="B9" t="str">
            <v>ZMTD</v>
          </cell>
          <cell r="C9">
            <v>45120</v>
          </cell>
          <cell r="D9" t="str">
            <v>Not delivered</v>
          </cell>
          <cell r="E9">
            <v>507140854</v>
          </cell>
          <cell r="F9">
            <v>10</v>
          </cell>
          <cell r="G9">
            <v>1319568</v>
          </cell>
          <cell r="H9" t="str">
            <v>FP-041:CVR WHT BS CLR SFTR W/LBL NDC 12A</v>
          </cell>
          <cell r="I9">
            <v>1056</v>
          </cell>
          <cell r="J9" t="str">
            <v>UN</v>
          </cell>
          <cell r="K9">
            <v>45322</v>
          </cell>
        </row>
        <row r="10">
          <cell r="A10" t="str">
            <v>507141319270</v>
          </cell>
          <cell r="B10" t="str">
            <v>ZMTD</v>
          </cell>
          <cell r="C10">
            <v>45247</v>
          </cell>
          <cell r="D10" t="str">
            <v>Not delivered</v>
          </cell>
          <cell r="E10">
            <v>507141319</v>
          </cell>
          <cell r="F10">
            <v>270</v>
          </cell>
          <cell r="G10">
            <v>1395871</v>
          </cell>
          <cell r="H10" t="str">
            <v>CL-003:CAP BEIGE WIPNAT NODC GENERAL 12A</v>
          </cell>
          <cell r="I10">
            <v>2772</v>
          </cell>
          <cell r="J10" t="str">
            <v>UN</v>
          </cell>
          <cell r="K10">
            <v>45331</v>
          </cell>
        </row>
        <row r="11">
          <cell r="A11" t="str">
            <v>507141319280</v>
          </cell>
          <cell r="B11" t="str">
            <v>ZMTD</v>
          </cell>
          <cell r="C11">
            <v>45247</v>
          </cell>
          <cell r="D11" t="str">
            <v>Not delivered</v>
          </cell>
          <cell r="E11">
            <v>507141319</v>
          </cell>
          <cell r="F11">
            <v>280</v>
          </cell>
          <cell r="G11">
            <v>1395831</v>
          </cell>
          <cell r="H11" t="str">
            <v>CL-003:BTL CLR COL BEIGE NODC GENERAL12A</v>
          </cell>
          <cell r="I11">
            <v>2772</v>
          </cell>
          <cell r="J11" t="str">
            <v>UN</v>
          </cell>
          <cell r="K11">
            <v>45331</v>
          </cell>
        </row>
        <row r="12">
          <cell r="A12" t="str">
            <v>507141319290</v>
          </cell>
          <cell r="B12" t="str">
            <v>ZMTD</v>
          </cell>
          <cell r="C12">
            <v>45247</v>
          </cell>
          <cell r="D12" t="str">
            <v>Not delivered</v>
          </cell>
          <cell r="E12">
            <v>507141319</v>
          </cell>
          <cell r="F12">
            <v>290</v>
          </cell>
          <cell r="G12">
            <v>1394095</v>
          </cell>
          <cell r="H12" t="str">
            <v>CM-133:CVR/BS GREN NODC GENERAL 12A</v>
          </cell>
          <cell r="I12">
            <v>960</v>
          </cell>
          <cell r="J12" t="str">
            <v>UN</v>
          </cell>
          <cell r="K12">
            <v>45332</v>
          </cell>
        </row>
        <row r="13">
          <cell r="A13" t="str">
            <v>507141319300</v>
          </cell>
          <cell r="B13" t="str">
            <v>ZMTD</v>
          </cell>
          <cell r="C13">
            <v>45247</v>
          </cell>
          <cell r="D13" t="str">
            <v>Not delivered</v>
          </cell>
          <cell r="E13">
            <v>507141319</v>
          </cell>
          <cell r="F13">
            <v>300</v>
          </cell>
          <cell r="G13">
            <v>1394099</v>
          </cell>
          <cell r="H13" t="str">
            <v>CM-253:CV CLR BS PINK NODC GENERAL 12A</v>
          </cell>
          <cell r="I13">
            <v>1620</v>
          </cell>
          <cell r="J13" t="str">
            <v>UN</v>
          </cell>
          <cell r="K13">
            <v>45337</v>
          </cell>
        </row>
        <row r="14">
          <cell r="A14" t="str">
            <v>50714131910</v>
          </cell>
          <cell r="B14" t="str">
            <v>ZMTD</v>
          </cell>
          <cell r="C14">
            <v>45247</v>
          </cell>
          <cell r="D14" t="str">
            <v>Not delivered</v>
          </cell>
          <cell r="E14">
            <v>507141319</v>
          </cell>
          <cell r="F14">
            <v>10</v>
          </cell>
          <cell r="G14">
            <v>1393662</v>
          </cell>
          <cell r="H14" t="str">
            <v>CM-290:1PC CVR/BS BEIGE NODC GENERAL 12A</v>
          </cell>
          <cell r="I14">
            <v>840</v>
          </cell>
          <cell r="J14" t="str">
            <v>UN</v>
          </cell>
          <cell r="K14">
            <v>45387</v>
          </cell>
        </row>
        <row r="15">
          <cell r="A15" t="str">
            <v>50714131920</v>
          </cell>
          <cell r="B15" t="str">
            <v>ZMTD</v>
          </cell>
          <cell r="C15">
            <v>45247</v>
          </cell>
          <cell r="D15" t="str">
            <v>Not delivered</v>
          </cell>
          <cell r="E15">
            <v>507141319</v>
          </cell>
          <cell r="F15">
            <v>20</v>
          </cell>
          <cell r="G15">
            <v>1393665</v>
          </cell>
          <cell r="H15" t="str">
            <v>CM-290:ENGINE BEIGE GENERAL 12A</v>
          </cell>
          <cell r="I15">
            <v>840</v>
          </cell>
          <cell r="J15" t="str">
            <v>UN</v>
          </cell>
          <cell r="K15">
            <v>45387</v>
          </cell>
        </row>
        <row r="16">
          <cell r="A16" t="str">
            <v>50714131930</v>
          </cell>
          <cell r="B16" t="str">
            <v>ZMTD</v>
          </cell>
          <cell r="C16">
            <v>45247</v>
          </cell>
          <cell r="D16" t="str">
            <v>Not delivered</v>
          </cell>
          <cell r="E16">
            <v>507141319</v>
          </cell>
          <cell r="F16">
            <v>30</v>
          </cell>
          <cell r="G16">
            <v>1393666</v>
          </cell>
          <cell r="H16" t="str">
            <v>CM-290:RING BEIGE GENERAL 12A</v>
          </cell>
          <cell r="I16">
            <v>1080</v>
          </cell>
          <cell r="J16" t="str">
            <v>UN</v>
          </cell>
          <cell r="K16">
            <v>45387</v>
          </cell>
        </row>
        <row r="17">
          <cell r="A17" t="str">
            <v>50714131940</v>
          </cell>
          <cell r="B17" t="str">
            <v>ZMTD</v>
          </cell>
          <cell r="C17">
            <v>45247</v>
          </cell>
          <cell r="D17" t="str">
            <v>Not delivered</v>
          </cell>
          <cell r="E17">
            <v>507141319</v>
          </cell>
          <cell r="F17">
            <v>40</v>
          </cell>
          <cell r="G17">
            <v>1183641</v>
          </cell>
          <cell r="H17" t="str">
            <v>PT-073:CV BS GOLD PEARL S/LIST SLV JHONY</v>
          </cell>
          <cell r="I17">
            <v>1200</v>
          </cell>
          <cell r="J17" t="str">
            <v>UN</v>
          </cell>
          <cell r="K17">
            <v>45399</v>
          </cell>
        </row>
        <row r="18">
          <cell r="A18" t="str">
            <v>50714131950</v>
          </cell>
          <cell r="B18" t="str">
            <v>ZMTD</v>
          </cell>
          <cell r="C18">
            <v>45247</v>
          </cell>
          <cell r="D18" t="str">
            <v>Not delivered</v>
          </cell>
          <cell r="E18">
            <v>507141319</v>
          </cell>
          <cell r="F18">
            <v>50</v>
          </cell>
          <cell r="G18">
            <v>1307478</v>
          </cell>
          <cell r="H18" t="str">
            <v>LS-085:BS CVR WHT NODC CEC 12A</v>
          </cell>
          <cell r="I18">
            <v>1815</v>
          </cell>
          <cell r="J18" t="str">
            <v>UN</v>
          </cell>
          <cell r="K18">
            <v>45401</v>
          </cell>
        </row>
        <row r="19">
          <cell r="A19" t="str">
            <v>50714175210</v>
          </cell>
          <cell r="B19" t="str">
            <v>ZMTD</v>
          </cell>
          <cell r="C19">
            <v>45342</v>
          </cell>
          <cell r="D19" t="str">
            <v>Partially delivered</v>
          </cell>
          <cell r="E19">
            <v>507141752</v>
          </cell>
          <cell r="F19">
            <v>10</v>
          </cell>
          <cell r="G19">
            <v>1333155</v>
          </cell>
          <cell r="H19" t="str">
            <v>LC-003:CAP P7605C VMRSGLD ESNZA 20V</v>
          </cell>
          <cell r="I19">
            <v>51660</v>
          </cell>
          <cell r="J19" t="str">
            <v>UN</v>
          </cell>
          <cell r="K19">
            <v>45429</v>
          </cell>
        </row>
        <row r="20">
          <cell r="A20" t="str">
            <v>50714175220</v>
          </cell>
          <cell r="B20" t="str">
            <v>ZMTD</v>
          </cell>
          <cell r="C20">
            <v>45342</v>
          </cell>
          <cell r="D20" t="str">
            <v>Partially delivered</v>
          </cell>
          <cell r="E20">
            <v>507141752</v>
          </cell>
          <cell r="F20">
            <v>20</v>
          </cell>
          <cell r="G20">
            <v>1333156</v>
          </cell>
          <cell r="H20" t="str">
            <v>LC-003:BTL CLR COL VMRSGLD P/MAHATIC 20X</v>
          </cell>
          <cell r="I20">
            <v>51660</v>
          </cell>
          <cell r="J20" t="str">
            <v>UN</v>
          </cell>
          <cell r="K20">
            <v>45429</v>
          </cell>
        </row>
        <row r="21">
          <cell r="A21" t="str">
            <v>50714100170</v>
          </cell>
          <cell r="B21" t="str">
            <v>ZMTD</v>
          </cell>
          <cell r="C21">
            <v>45161</v>
          </cell>
          <cell r="D21" t="str">
            <v>Not delivered</v>
          </cell>
          <cell r="E21">
            <v>507141001</v>
          </cell>
          <cell r="F21">
            <v>70</v>
          </cell>
          <cell r="G21">
            <v>1179792</v>
          </cell>
          <cell r="H21" t="str">
            <v>LC-003:BTL CLR COL WHT NO DC GENERAL 12A</v>
          </cell>
          <cell r="I21">
            <v>3070</v>
          </cell>
          <cell r="J21" t="str">
            <v>UN</v>
          </cell>
          <cell r="K21">
            <v>45455</v>
          </cell>
        </row>
        <row r="22">
          <cell r="A22" t="str">
            <v>50714100180</v>
          </cell>
          <cell r="B22" t="str">
            <v>ZMTD</v>
          </cell>
          <cell r="C22">
            <v>45161</v>
          </cell>
          <cell r="D22" t="str">
            <v>Not delivered</v>
          </cell>
          <cell r="E22">
            <v>507141001</v>
          </cell>
          <cell r="F22">
            <v>80</v>
          </cell>
          <cell r="G22">
            <v>1179769</v>
          </cell>
          <cell r="H22" t="str">
            <v>LC-003:CVR WHT NO DC WIP NAT GENERAL 12A</v>
          </cell>
          <cell r="I22">
            <v>3070</v>
          </cell>
          <cell r="J22" t="str">
            <v>UN</v>
          </cell>
          <cell r="K22">
            <v>45455</v>
          </cell>
        </row>
        <row r="23">
          <cell r="A23" t="str">
            <v>50714108010</v>
          </cell>
          <cell r="B23" t="str">
            <v>ZMTD</v>
          </cell>
          <cell r="C23">
            <v>45187</v>
          </cell>
          <cell r="D23" t="str">
            <v>Not delivered</v>
          </cell>
          <cell r="E23">
            <v>507141080</v>
          </cell>
          <cell r="F23">
            <v>10</v>
          </cell>
          <cell r="G23">
            <v>1194582</v>
          </cell>
          <cell r="H23" t="str">
            <v>LC-002:BTL CLR COL WHT NO DC GENERAL</v>
          </cell>
          <cell r="I23">
            <v>1404</v>
          </cell>
          <cell r="J23" t="str">
            <v>UN</v>
          </cell>
          <cell r="K23">
            <v>45498</v>
          </cell>
        </row>
        <row r="24">
          <cell r="A24" t="str">
            <v>50714108020</v>
          </cell>
          <cell r="B24" t="str">
            <v>ZMTD</v>
          </cell>
          <cell r="C24">
            <v>45187</v>
          </cell>
          <cell r="D24" t="str">
            <v>Not delivered</v>
          </cell>
          <cell r="E24">
            <v>507141080</v>
          </cell>
          <cell r="F24">
            <v>20</v>
          </cell>
          <cell r="G24">
            <v>1194581</v>
          </cell>
          <cell r="H24" t="str">
            <v>LC-002:CAP WHT NO DC WIPER NAT GENERAL</v>
          </cell>
          <cell r="I24">
            <v>1404</v>
          </cell>
          <cell r="J24" t="str">
            <v>UN</v>
          </cell>
          <cell r="K24">
            <v>45498</v>
          </cell>
        </row>
        <row r="25">
          <cell r="A25" t="str">
            <v>50714253910</v>
          </cell>
          <cell r="B25" t="str">
            <v>ZMTD</v>
          </cell>
          <cell r="C25">
            <v>45490</v>
          </cell>
          <cell r="D25" t="str">
            <v>Partially delivered</v>
          </cell>
          <cell r="E25">
            <v>507142539</v>
          </cell>
          <cell r="F25">
            <v>10</v>
          </cell>
          <cell r="G25">
            <v>1169047</v>
          </cell>
          <cell r="H25" t="str">
            <v>LS-285:B V/SL P/1PS SLEV H/SL BLM PTI20R</v>
          </cell>
          <cell r="I25">
            <v>25536</v>
          </cell>
          <cell r="J25" t="str">
            <v>UN</v>
          </cell>
          <cell r="K25">
            <v>45510</v>
          </cell>
        </row>
        <row r="26">
          <cell r="A26" t="str">
            <v>50714253920</v>
          </cell>
          <cell r="B26" t="str">
            <v>ZMTD</v>
          </cell>
          <cell r="C26">
            <v>45490</v>
          </cell>
          <cell r="D26" t="str">
            <v>Partially delivered</v>
          </cell>
          <cell r="E26">
            <v>507142539</v>
          </cell>
          <cell r="F26">
            <v>20</v>
          </cell>
          <cell r="G26">
            <v>1171873</v>
          </cell>
          <cell r="H26" t="str">
            <v>LS-285:CV TRANS MATE 6 P/1PS VAR5 PTI40H</v>
          </cell>
          <cell r="I26">
            <v>25536</v>
          </cell>
          <cell r="J26" t="str">
            <v>UN</v>
          </cell>
          <cell r="K26">
            <v>45510</v>
          </cell>
        </row>
        <row r="27">
          <cell r="A27" t="str">
            <v>50714108030</v>
          </cell>
          <cell r="B27" t="str">
            <v>ZMTD</v>
          </cell>
          <cell r="C27">
            <v>45187</v>
          </cell>
          <cell r="D27" t="str">
            <v>Not delivered</v>
          </cell>
          <cell r="E27">
            <v>507141080</v>
          </cell>
          <cell r="F27">
            <v>30</v>
          </cell>
          <cell r="G27">
            <v>1181519</v>
          </cell>
          <cell r="H27" t="str">
            <v>LC-002:BTL CLR COL BLK NO DC GENERAL</v>
          </cell>
          <cell r="I27">
            <v>17904</v>
          </cell>
          <cell r="J27" t="str">
            <v>UN</v>
          </cell>
          <cell r="K27">
            <v>45523</v>
          </cell>
        </row>
        <row r="28">
          <cell r="A28" t="str">
            <v>50714108040</v>
          </cell>
          <cell r="B28" t="str">
            <v>ZMTD</v>
          </cell>
          <cell r="C28">
            <v>45187</v>
          </cell>
          <cell r="D28" t="str">
            <v>Not delivered</v>
          </cell>
          <cell r="E28">
            <v>507141080</v>
          </cell>
          <cell r="F28">
            <v>40</v>
          </cell>
          <cell r="G28">
            <v>1194673</v>
          </cell>
          <cell r="H28" t="str">
            <v>LC-002:CAP BLK NO DC WIPER NAT GENERAL</v>
          </cell>
          <cell r="I28">
            <v>17904</v>
          </cell>
          <cell r="J28" t="str">
            <v>UN</v>
          </cell>
          <cell r="K28">
            <v>45523</v>
          </cell>
        </row>
        <row r="29">
          <cell r="A29" t="str">
            <v>50900099710</v>
          </cell>
          <cell r="B29" t="str">
            <v>ZMRX</v>
          </cell>
          <cell r="C29">
            <v>45525</v>
          </cell>
          <cell r="D29" t="str">
            <v>Not delivered</v>
          </cell>
          <cell r="E29">
            <v>509000997</v>
          </cell>
          <cell r="F29">
            <v>10</v>
          </cell>
          <cell r="G29">
            <v>1279676</v>
          </cell>
          <cell r="H29" t="str">
            <v>CM-290:CVR/BS YELOW P/EMINA DAILY PTI60B</v>
          </cell>
          <cell r="I29">
            <v>2248</v>
          </cell>
          <cell r="J29" t="str">
            <v>UN</v>
          </cell>
          <cell r="K29">
            <v>45526</v>
          </cell>
        </row>
        <row r="30">
          <cell r="A30" t="str">
            <v>50900099810</v>
          </cell>
          <cell r="B30" t="str">
            <v>ZMRX</v>
          </cell>
          <cell r="C30">
            <v>45525</v>
          </cell>
          <cell r="D30" t="str">
            <v>Not delivered</v>
          </cell>
          <cell r="E30">
            <v>509000998</v>
          </cell>
          <cell r="F30">
            <v>10</v>
          </cell>
          <cell r="G30">
            <v>1279676</v>
          </cell>
          <cell r="H30" t="str">
            <v>CM-290:CVR/BS YELOW P/EMINA DAILY PTI60B</v>
          </cell>
          <cell r="I30">
            <v>3295</v>
          </cell>
          <cell r="J30" t="str">
            <v>UN</v>
          </cell>
          <cell r="K30">
            <v>45526</v>
          </cell>
        </row>
        <row r="31">
          <cell r="A31" t="str">
            <v>50714253310</v>
          </cell>
          <cell r="B31" t="str">
            <v>ZMTD</v>
          </cell>
          <cell r="C31">
            <v>45488</v>
          </cell>
          <cell r="D31" t="str">
            <v>Partially delivered</v>
          </cell>
          <cell r="E31">
            <v>507142533</v>
          </cell>
          <cell r="F31">
            <v>10</v>
          </cell>
          <cell r="G31">
            <v>1425323</v>
          </cell>
          <cell r="H31" t="str">
            <v>CM-290:ENGINE BLACK RIDHA 12A</v>
          </cell>
          <cell r="I31">
            <v>10000</v>
          </cell>
          <cell r="J31" t="str">
            <v>UN</v>
          </cell>
          <cell r="K31">
            <v>45530</v>
          </cell>
        </row>
        <row r="32">
          <cell r="A32" t="str">
            <v>50714253320</v>
          </cell>
          <cell r="B32" t="str">
            <v>ZMTD</v>
          </cell>
          <cell r="C32">
            <v>45488</v>
          </cell>
          <cell r="D32" t="str">
            <v>Partially delivered</v>
          </cell>
          <cell r="E32">
            <v>507142533</v>
          </cell>
          <cell r="F32">
            <v>20</v>
          </cell>
          <cell r="G32">
            <v>1425324</v>
          </cell>
          <cell r="H32" t="str">
            <v>CM-290:RING BLACK RIDHA 12A</v>
          </cell>
          <cell r="I32">
            <v>10000</v>
          </cell>
          <cell r="J32" t="str">
            <v>UN</v>
          </cell>
          <cell r="K32">
            <v>45530</v>
          </cell>
        </row>
        <row r="33">
          <cell r="A33" t="str">
            <v>50714253330</v>
          </cell>
          <cell r="B33" t="str">
            <v>ZMTD</v>
          </cell>
          <cell r="C33">
            <v>45488</v>
          </cell>
          <cell r="D33" t="str">
            <v>Partially delivered</v>
          </cell>
          <cell r="E33">
            <v>507142533</v>
          </cell>
          <cell r="F33">
            <v>30</v>
          </cell>
          <cell r="G33">
            <v>1425325</v>
          </cell>
          <cell r="H33" t="str">
            <v>CM-290:1PC CV/BS BLCK P/FLAWLES RIDHA60B</v>
          </cell>
          <cell r="I33">
            <v>10000</v>
          </cell>
          <cell r="J33" t="str">
            <v>UN</v>
          </cell>
          <cell r="K33">
            <v>45530</v>
          </cell>
        </row>
        <row r="34">
          <cell r="A34" t="str">
            <v>50714221010</v>
          </cell>
          <cell r="B34" t="str">
            <v>ZMTD</v>
          </cell>
          <cell r="C34">
            <v>45434</v>
          </cell>
          <cell r="D34" t="str">
            <v>Partially delivered</v>
          </cell>
          <cell r="E34">
            <v>507142210</v>
          </cell>
          <cell r="F34">
            <v>10</v>
          </cell>
          <cell r="G34">
            <v>1383924</v>
          </cell>
          <cell r="H34" t="str">
            <v>LS-087:BS MTPEACH P/BLP L.BULET CSMAX40H</v>
          </cell>
          <cell r="I34">
            <v>25750</v>
          </cell>
          <cell r="J34" t="str">
            <v>UN</v>
          </cell>
          <cell r="K34">
            <v>45533</v>
          </cell>
        </row>
        <row r="35">
          <cell r="A35" t="str">
            <v>50714255610</v>
          </cell>
          <cell r="B35" t="str">
            <v>ZMTD</v>
          </cell>
          <cell r="C35">
            <v>45495</v>
          </cell>
          <cell r="D35" t="str">
            <v>Not delivered</v>
          </cell>
          <cell r="E35">
            <v>507142556</v>
          </cell>
          <cell r="F35">
            <v>10</v>
          </cell>
          <cell r="G35">
            <v>1429645</v>
          </cell>
          <cell r="H35" t="str">
            <v>PT-055:BD CV D.BLUE P/100-1080 INVBIO60B</v>
          </cell>
          <cell r="I35">
            <v>5000</v>
          </cell>
          <cell r="J35" t="str">
            <v>UN</v>
          </cell>
          <cell r="K35">
            <v>45538</v>
          </cell>
        </row>
        <row r="36">
          <cell r="A36" t="str">
            <v>50714255620</v>
          </cell>
          <cell r="B36" t="str">
            <v>ZMTD</v>
          </cell>
          <cell r="C36">
            <v>45495</v>
          </cell>
          <cell r="D36" t="str">
            <v>Not delivered</v>
          </cell>
          <cell r="E36">
            <v>507142556</v>
          </cell>
          <cell r="F36">
            <v>20</v>
          </cell>
          <cell r="G36">
            <v>1282199</v>
          </cell>
          <cell r="H36" t="str">
            <v>PT-055:PLUG D.BLUE NO DC INVBIOCARE</v>
          </cell>
          <cell r="I36">
            <v>5000</v>
          </cell>
          <cell r="J36" t="str">
            <v>UN</v>
          </cell>
          <cell r="K36">
            <v>45538</v>
          </cell>
        </row>
        <row r="37">
          <cell r="A37" t="str">
            <v>50714270410</v>
          </cell>
          <cell r="B37" t="str">
            <v>ZMTD</v>
          </cell>
          <cell r="C37">
            <v>45534</v>
          </cell>
          <cell r="D37" t="str">
            <v>Not delivered</v>
          </cell>
          <cell r="E37">
            <v>507142704</v>
          </cell>
          <cell r="F37">
            <v>10</v>
          </cell>
          <cell r="G37">
            <v>1255664</v>
          </cell>
          <cell r="H37" t="str">
            <v>LC-002:BTL MT VAR14 P/WRDH B.MARK PTI40H</v>
          </cell>
          <cell r="I37">
            <v>25200</v>
          </cell>
          <cell r="J37" t="str">
            <v>UN</v>
          </cell>
          <cell r="K37">
            <v>45540</v>
          </cell>
        </row>
        <row r="38">
          <cell r="A38" t="str">
            <v>50714270420</v>
          </cell>
          <cell r="B38" t="str">
            <v>ZMTD</v>
          </cell>
          <cell r="C38">
            <v>45534</v>
          </cell>
          <cell r="D38" t="str">
            <v>Not delivered</v>
          </cell>
          <cell r="E38">
            <v>507142704</v>
          </cell>
          <cell r="F38">
            <v>20</v>
          </cell>
          <cell r="G38">
            <v>1264032</v>
          </cell>
          <cell r="H38" t="str">
            <v>LC-002:CP S/MT VAR14 STM-WHT WNAT PTI40D</v>
          </cell>
          <cell r="I38">
            <v>25200</v>
          </cell>
          <cell r="J38" t="str">
            <v>UN</v>
          </cell>
          <cell r="K38">
            <v>45540</v>
          </cell>
        </row>
        <row r="39">
          <cell r="A39" t="str">
            <v>50800526510</v>
          </cell>
          <cell r="B39" t="str">
            <v>ZMFD</v>
          </cell>
          <cell r="C39">
            <v>45530</v>
          </cell>
          <cell r="D39" t="str">
            <v>Not delivered</v>
          </cell>
          <cell r="E39">
            <v>508005265</v>
          </cell>
          <cell r="F39">
            <v>10</v>
          </cell>
          <cell r="G39">
            <v>1413967</v>
          </cell>
          <cell r="H39" t="str">
            <v>CM-323:VM SILVER DIOR JUMBO M080</v>
          </cell>
          <cell r="I39">
            <v>6000</v>
          </cell>
          <cell r="J39" t="str">
            <v>UN</v>
          </cell>
          <cell r="K39">
            <v>45540</v>
          </cell>
        </row>
        <row r="40">
          <cell r="A40" t="str">
            <v>50714250210</v>
          </cell>
          <cell r="B40" t="str">
            <v>ZMTD</v>
          </cell>
          <cell r="C40">
            <v>45485</v>
          </cell>
          <cell r="D40" t="str">
            <v>Partially delivered</v>
          </cell>
          <cell r="E40">
            <v>507142502</v>
          </cell>
          <cell r="F40">
            <v>10</v>
          </cell>
          <cell r="G40">
            <v>1209355</v>
          </cell>
          <cell r="H40" t="str">
            <v>CP-092:VM SLVR WRDH TREAT ESSENCE PTI20F</v>
          </cell>
          <cell r="I40">
            <v>25200</v>
          </cell>
          <cell r="J40" t="str">
            <v>UN</v>
          </cell>
          <cell r="K40">
            <v>45540</v>
          </cell>
        </row>
        <row r="41">
          <cell r="A41" t="str">
            <v>50714226910</v>
          </cell>
          <cell r="B41" t="str">
            <v>ZMTD</v>
          </cell>
          <cell r="C41">
            <v>45443</v>
          </cell>
          <cell r="D41" t="str">
            <v>Partially delivered</v>
          </cell>
          <cell r="E41">
            <v>507142269</v>
          </cell>
          <cell r="F41">
            <v>10</v>
          </cell>
          <cell r="G41">
            <v>1187758</v>
          </cell>
          <cell r="H41" t="str">
            <v>CM-105:VM RAINBOW P/ULTIMA II RUDYS 40C</v>
          </cell>
          <cell r="I41">
            <v>22000</v>
          </cell>
          <cell r="J41" t="str">
            <v>UN</v>
          </cell>
          <cell r="K41">
            <v>45540</v>
          </cell>
        </row>
        <row r="42">
          <cell r="A42" t="str">
            <v>50714235110</v>
          </cell>
          <cell r="B42" t="str">
            <v>ZMTD</v>
          </cell>
          <cell r="C42">
            <v>45462</v>
          </cell>
          <cell r="D42" t="str">
            <v>Partially delivered</v>
          </cell>
          <cell r="E42">
            <v>507142351</v>
          </cell>
          <cell r="F42">
            <v>10</v>
          </cell>
          <cell r="G42">
            <v>1388326</v>
          </cell>
          <cell r="H42" t="str">
            <v>CM-253:CV BS MTPEACH P/C.BLSH RV1 PTI40H</v>
          </cell>
          <cell r="I42">
            <v>15120</v>
          </cell>
          <cell r="J42" t="str">
            <v>UN</v>
          </cell>
          <cell r="K42">
            <v>45545</v>
          </cell>
        </row>
        <row r="43">
          <cell r="A43" t="str">
            <v>50714159630</v>
          </cell>
          <cell r="B43" t="str">
            <v>ZMTD</v>
          </cell>
          <cell r="C43">
            <v>45308</v>
          </cell>
          <cell r="D43" t="str">
            <v>Not delivered</v>
          </cell>
          <cell r="E43">
            <v>507141596</v>
          </cell>
          <cell r="F43">
            <v>30</v>
          </cell>
          <cell r="G43">
            <v>1194713</v>
          </cell>
          <cell r="H43" t="str">
            <v>LC-003:BTL CLR COL BLK NO DC GENERAL 12A</v>
          </cell>
          <cell r="I43">
            <v>1180</v>
          </cell>
          <cell r="J43" t="str">
            <v>UN</v>
          </cell>
          <cell r="K43">
            <v>45546</v>
          </cell>
        </row>
        <row r="44">
          <cell r="A44" t="str">
            <v>50714159640</v>
          </cell>
          <cell r="B44" t="str">
            <v>ZMTD</v>
          </cell>
          <cell r="C44">
            <v>45308</v>
          </cell>
          <cell r="D44" t="str">
            <v>Not delivered</v>
          </cell>
          <cell r="E44">
            <v>507141596</v>
          </cell>
          <cell r="F44">
            <v>40</v>
          </cell>
          <cell r="G44">
            <v>1173440</v>
          </cell>
          <cell r="H44" t="str">
            <v>LC-003:CVR BLK NO DC WIP NAT GENERAL 12A</v>
          </cell>
          <cell r="I44">
            <v>1180</v>
          </cell>
          <cell r="J44" t="str">
            <v>UN</v>
          </cell>
          <cell r="K44">
            <v>45546</v>
          </cell>
        </row>
        <row r="45">
          <cell r="A45" t="str">
            <v>50714234410</v>
          </cell>
          <cell r="B45" t="str">
            <v>ZMTD</v>
          </cell>
          <cell r="C45">
            <v>45462</v>
          </cell>
          <cell r="D45" t="str">
            <v>Partially delivered</v>
          </cell>
          <cell r="E45">
            <v>507142344</v>
          </cell>
          <cell r="F45">
            <v>10</v>
          </cell>
          <cell r="G45">
            <v>1420605</v>
          </cell>
          <cell r="H45" t="str">
            <v>CM-253:CV BS MT BRICK 06 P/C.BLSH PTI40H</v>
          </cell>
          <cell r="I45">
            <v>50220</v>
          </cell>
          <cell r="J45" t="str">
            <v>UN</v>
          </cell>
          <cell r="K45">
            <v>45547</v>
          </cell>
        </row>
        <row r="46">
          <cell r="A46" t="str">
            <v>50714226620</v>
          </cell>
          <cell r="B46" t="str">
            <v>ZMTD</v>
          </cell>
          <cell r="C46">
            <v>45443</v>
          </cell>
          <cell r="D46" t="str">
            <v>Partially delivered</v>
          </cell>
          <cell r="E46">
            <v>507142266</v>
          </cell>
          <cell r="F46">
            <v>20</v>
          </cell>
          <cell r="G46">
            <v>1215637</v>
          </cell>
          <cell r="H46" t="str">
            <v>CM-105:UV DBRW P/P8022C WWGLAM RUDYS 40C</v>
          </cell>
          <cell r="I46">
            <v>10000</v>
          </cell>
          <cell r="J46" t="str">
            <v>UN</v>
          </cell>
          <cell r="K46">
            <v>45547</v>
          </cell>
        </row>
        <row r="47">
          <cell r="A47" t="str">
            <v>50714212010</v>
          </cell>
          <cell r="B47" t="str">
            <v>ZMTD</v>
          </cell>
          <cell r="C47">
            <v>45425</v>
          </cell>
          <cell r="D47" t="str">
            <v>Partially delivered</v>
          </cell>
          <cell r="E47">
            <v>507142120</v>
          </cell>
          <cell r="F47">
            <v>10</v>
          </cell>
          <cell r="G47">
            <v>1420101</v>
          </cell>
          <cell r="H47" t="str">
            <v>LS-091:BS RED P/RED FRTY CHERRY NEW 60B</v>
          </cell>
          <cell r="I47">
            <v>14820</v>
          </cell>
          <cell r="J47" t="str">
            <v>UN</v>
          </cell>
          <cell r="K47">
            <v>45548</v>
          </cell>
        </row>
        <row r="48">
          <cell r="A48" t="str">
            <v>50714180350</v>
          </cell>
          <cell r="B48" t="str">
            <v>ZMTD</v>
          </cell>
          <cell r="C48">
            <v>45349</v>
          </cell>
          <cell r="D48" t="str">
            <v>Partially delivered</v>
          </cell>
          <cell r="E48">
            <v>507141803</v>
          </cell>
          <cell r="F48">
            <v>50</v>
          </cell>
          <cell r="G48">
            <v>1404888</v>
          </cell>
          <cell r="H48" t="str">
            <v>LS-091:BS MGNTA P/SHEER COLOR ROHTO 60B</v>
          </cell>
          <cell r="I48">
            <v>27664</v>
          </cell>
          <cell r="J48" t="str">
            <v>UN</v>
          </cell>
          <cell r="K48">
            <v>45548</v>
          </cell>
        </row>
        <row r="49">
          <cell r="A49" t="str">
            <v>50714180360</v>
          </cell>
          <cell r="B49" t="str">
            <v>ZMTD</v>
          </cell>
          <cell r="C49">
            <v>45349</v>
          </cell>
          <cell r="D49" t="str">
            <v>Partially delivered</v>
          </cell>
          <cell r="E49">
            <v>507141803</v>
          </cell>
          <cell r="F49">
            <v>60</v>
          </cell>
          <cell r="G49">
            <v>1404885</v>
          </cell>
          <cell r="H49" t="str">
            <v>LS-091:CVR MGNTA GRAD UV P/NATURAL ROHTO</v>
          </cell>
          <cell r="I49">
            <v>27664</v>
          </cell>
          <cell r="J49" t="str">
            <v>UN</v>
          </cell>
          <cell r="K49">
            <v>45548</v>
          </cell>
        </row>
        <row r="50">
          <cell r="A50" t="str">
            <v>50714212020</v>
          </cell>
          <cell r="B50" t="str">
            <v>ZMTD</v>
          </cell>
          <cell r="C50">
            <v>45425</v>
          </cell>
          <cell r="D50" t="str">
            <v>Partially delivered</v>
          </cell>
          <cell r="E50">
            <v>507142120</v>
          </cell>
          <cell r="F50">
            <v>20</v>
          </cell>
          <cell r="G50">
            <v>1420102</v>
          </cell>
          <cell r="H50" t="str">
            <v>LS-091:CV WHT P/ICE FRUITY CHERRY 60B</v>
          </cell>
          <cell r="I50">
            <v>14820</v>
          </cell>
          <cell r="J50" t="str">
            <v>UN</v>
          </cell>
          <cell r="K50">
            <v>45551</v>
          </cell>
        </row>
        <row r="51">
          <cell r="A51" t="str">
            <v>50714271520</v>
          </cell>
          <cell r="B51" t="str">
            <v>ZMTD</v>
          </cell>
          <cell r="C51">
            <v>45538</v>
          </cell>
          <cell r="D51" t="str">
            <v>Partially delivered</v>
          </cell>
          <cell r="E51">
            <v>507142715</v>
          </cell>
          <cell r="F51">
            <v>20</v>
          </cell>
          <cell r="G51">
            <v>1382368</v>
          </cell>
          <cell r="H51" t="str">
            <v>CP-067R:FT CAP35 SNAP BLK MATTE  Ø5 LRL</v>
          </cell>
          <cell r="I51">
            <v>300000</v>
          </cell>
          <cell r="J51" t="str">
            <v>UN</v>
          </cell>
          <cell r="K51">
            <v>45552</v>
          </cell>
        </row>
        <row r="52">
          <cell r="A52" t="str">
            <v>50714260110</v>
          </cell>
          <cell r="B52" t="str">
            <v>ZMTD</v>
          </cell>
          <cell r="C52">
            <v>45509</v>
          </cell>
          <cell r="D52" t="str">
            <v>Not delivered</v>
          </cell>
          <cell r="E52">
            <v>507142601</v>
          </cell>
          <cell r="F52">
            <v>10</v>
          </cell>
          <cell r="G52">
            <v>1158837</v>
          </cell>
          <cell r="H52" t="str">
            <v>SD-007:SM16 WH SLDR D40 SCREW ORI7.5</v>
          </cell>
          <cell r="I52">
            <v>252000</v>
          </cell>
          <cell r="J52" t="str">
            <v>UN</v>
          </cell>
          <cell r="K52">
            <v>45552</v>
          </cell>
        </row>
        <row r="53">
          <cell r="A53" t="str">
            <v>50714259410</v>
          </cell>
          <cell r="B53" t="str">
            <v>ZMTD</v>
          </cell>
          <cell r="C53">
            <v>45505</v>
          </cell>
          <cell r="D53" t="str">
            <v>Not delivered</v>
          </cell>
          <cell r="E53">
            <v>507142594</v>
          </cell>
          <cell r="F53">
            <v>10</v>
          </cell>
          <cell r="G53">
            <v>1307478</v>
          </cell>
          <cell r="H53" t="str">
            <v>LS-085:BS CVR WHT NODC CEC 12A</v>
          </cell>
          <cell r="I53">
            <v>5000</v>
          </cell>
          <cell r="J53" t="str">
            <v>UN</v>
          </cell>
          <cell r="K53">
            <v>45552</v>
          </cell>
        </row>
        <row r="54">
          <cell r="A54" t="str">
            <v>50714259420</v>
          </cell>
          <cell r="B54" t="str">
            <v>ZMTD</v>
          </cell>
          <cell r="C54">
            <v>45505</v>
          </cell>
          <cell r="D54" t="str">
            <v>Not delivered</v>
          </cell>
          <cell r="E54">
            <v>507142594</v>
          </cell>
          <cell r="F54">
            <v>20</v>
          </cell>
          <cell r="G54">
            <v>1307478</v>
          </cell>
          <cell r="H54" t="str">
            <v>LS-085:BS CVR WHT NODC CEC 12A</v>
          </cell>
          <cell r="I54">
            <v>5000</v>
          </cell>
          <cell r="J54" t="str">
            <v>UN</v>
          </cell>
          <cell r="K54">
            <v>45552</v>
          </cell>
        </row>
        <row r="55">
          <cell r="A55" t="str">
            <v>50714272210</v>
          </cell>
          <cell r="B55" t="str">
            <v>ZMTD</v>
          </cell>
          <cell r="C55">
            <v>45541</v>
          </cell>
          <cell r="D55" t="str">
            <v>Not delivered</v>
          </cell>
          <cell r="E55">
            <v>507142722</v>
          </cell>
          <cell r="F55">
            <v>10</v>
          </cell>
          <cell r="G55">
            <v>1361869</v>
          </cell>
          <cell r="H55" t="str">
            <v>CP-091:NATURAL BETTS</v>
          </cell>
          <cell r="I55">
            <v>51300</v>
          </cell>
          <cell r="J55" t="str">
            <v>UN</v>
          </cell>
          <cell r="K55">
            <v>45553</v>
          </cell>
        </row>
        <row r="56">
          <cell r="A56" t="str">
            <v>50714269810</v>
          </cell>
          <cell r="B56" t="str">
            <v>ZMTD</v>
          </cell>
          <cell r="C56">
            <v>45533</v>
          </cell>
          <cell r="D56" t="str">
            <v>Not delivered</v>
          </cell>
          <cell r="E56">
            <v>507142698</v>
          </cell>
          <cell r="F56">
            <v>10</v>
          </cell>
          <cell r="G56">
            <v>1408740</v>
          </cell>
          <cell r="H56" t="str">
            <v>PT-097B:BDSR.2 BLU HOUS WHT TRNS PTI12A</v>
          </cell>
          <cell r="I56">
            <v>110160</v>
          </cell>
          <cell r="J56" t="str">
            <v>UN</v>
          </cell>
          <cell r="K56">
            <v>45553</v>
          </cell>
        </row>
        <row r="57">
          <cell r="A57" t="str">
            <v>50714269820</v>
          </cell>
          <cell r="B57" t="str">
            <v>ZMTD</v>
          </cell>
          <cell r="C57">
            <v>45533</v>
          </cell>
          <cell r="D57" t="str">
            <v>Not delivered</v>
          </cell>
          <cell r="E57">
            <v>507142698</v>
          </cell>
          <cell r="F57">
            <v>20</v>
          </cell>
          <cell r="G57">
            <v>1408739</v>
          </cell>
          <cell r="H57" t="str">
            <v>PT-097B:CAP SR.2 BLUE TRANS PTI 12A</v>
          </cell>
          <cell r="I57">
            <v>110160</v>
          </cell>
          <cell r="J57" t="str">
            <v>UN</v>
          </cell>
          <cell r="K57">
            <v>45553</v>
          </cell>
        </row>
        <row r="58">
          <cell r="A58" t="str">
            <v>50714260910</v>
          </cell>
          <cell r="B58" t="str">
            <v>ZMTD</v>
          </cell>
          <cell r="C58">
            <v>45509</v>
          </cell>
          <cell r="D58" t="str">
            <v>Partially delivered</v>
          </cell>
          <cell r="E58">
            <v>507142609</v>
          </cell>
          <cell r="F58">
            <v>10</v>
          </cell>
          <cell r="G58">
            <v>1432505</v>
          </cell>
          <cell r="H58" t="str">
            <v>CP-091:CAP D40 BLACK GLOSSY 12A</v>
          </cell>
          <cell r="I58">
            <v>59400</v>
          </cell>
          <cell r="J58" t="str">
            <v>UN</v>
          </cell>
          <cell r="K58">
            <v>45553</v>
          </cell>
        </row>
        <row r="59">
          <cell r="A59" t="str">
            <v>50714159610</v>
          </cell>
          <cell r="B59" t="str">
            <v>ZMTD</v>
          </cell>
          <cell r="C59">
            <v>45308</v>
          </cell>
          <cell r="D59" t="str">
            <v>Not delivered</v>
          </cell>
          <cell r="E59">
            <v>507141596</v>
          </cell>
          <cell r="F59">
            <v>10</v>
          </cell>
          <cell r="G59">
            <v>1187151</v>
          </cell>
          <cell r="H59" t="str">
            <v>LC-004:BTL CLR COL BLK NO DC GENERAL 12A</v>
          </cell>
          <cell r="I59">
            <v>8966</v>
          </cell>
          <cell r="J59" t="str">
            <v>UN</v>
          </cell>
          <cell r="K59">
            <v>45554</v>
          </cell>
        </row>
        <row r="60">
          <cell r="A60" t="str">
            <v>50714159620</v>
          </cell>
          <cell r="B60" t="str">
            <v>ZMTD</v>
          </cell>
          <cell r="C60">
            <v>45308</v>
          </cell>
          <cell r="D60" t="str">
            <v>Not delivered</v>
          </cell>
          <cell r="E60">
            <v>507141596</v>
          </cell>
          <cell r="F60">
            <v>20</v>
          </cell>
          <cell r="G60">
            <v>1187152</v>
          </cell>
          <cell r="H60" t="str">
            <v>LC-004:CVR BLK NO DC WIP NAT GENERAL 12A</v>
          </cell>
          <cell r="I60">
            <v>8966</v>
          </cell>
          <cell r="J60" t="str">
            <v>UN</v>
          </cell>
          <cell r="K60">
            <v>45554</v>
          </cell>
        </row>
        <row r="61">
          <cell r="A61" t="str">
            <v>50714159650</v>
          </cell>
          <cell r="B61" t="str">
            <v>ZMTD</v>
          </cell>
          <cell r="C61">
            <v>45308</v>
          </cell>
          <cell r="D61" t="str">
            <v>Not delivered</v>
          </cell>
          <cell r="E61">
            <v>507141596</v>
          </cell>
          <cell r="F61">
            <v>50</v>
          </cell>
          <cell r="G61">
            <v>1173704</v>
          </cell>
          <cell r="H61" t="str">
            <v>LC-004:BTL CLR COL WHT NO DC GENERAL 12A</v>
          </cell>
          <cell r="I61">
            <v>8912</v>
          </cell>
          <cell r="J61" t="str">
            <v>UN</v>
          </cell>
          <cell r="K61">
            <v>45554</v>
          </cell>
        </row>
        <row r="62">
          <cell r="A62" t="str">
            <v>50714159660</v>
          </cell>
          <cell r="B62" t="str">
            <v>ZMTD</v>
          </cell>
          <cell r="C62">
            <v>45308</v>
          </cell>
          <cell r="D62" t="str">
            <v>Not delivered</v>
          </cell>
          <cell r="E62">
            <v>507141596</v>
          </cell>
          <cell r="F62">
            <v>60</v>
          </cell>
          <cell r="G62">
            <v>1173705</v>
          </cell>
          <cell r="H62" t="str">
            <v>LC-004:CAP WHT NO DC WIP NAT GENERAL 12A</v>
          </cell>
          <cell r="I62">
            <v>8912</v>
          </cell>
          <cell r="J62" t="str">
            <v>UN</v>
          </cell>
          <cell r="K62">
            <v>45554</v>
          </cell>
        </row>
        <row r="63">
          <cell r="A63" t="str">
            <v>50714271530</v>
          </cell>
          <cell r="B63" t="str">
            <v>ZMTD</v>
          </cell>
          <cell r="C63">
            <v>45538</v>
          </cell>
          <cell r="D63" t="str">
            <v>Not delivered</v>
          </cell>
          <cell r="E63">
            <v>507142715</v>
          </cell>
          <cell r="F63">
            <v>30</v>
          </cell>
          <cell r="G63">
            <v>1382368</v>
          </cell>
          <cell r="H63" t="str">
            <v>CP-067R:FT CAP35 SNAP BLK MATTE  Ø5 LRL</v>
          </cell>
          <cell r="I63">
            <v>400000</v>
          </cell>
          <cell r="J63" t="str">
            <v>UN</v>
          </cell>
          <cell r="K63">
            <v>45558</v>
          </cell>
        </row>
        <row r="64">
          <cell r="A64" t="str">
            <v>50714268910</v>
          </cell>
          <cell r="B64" t="str">
            <v>ZMTD</v>
          </cell>
          <cell r="C64">
            <v>45532</v>
          </cell>
          <cell r="D64" t="str">
            <v>Not delivered</v>
          </cell>
          <cell r="E64">
            <v>507142689</v>
          </cell>
          <cell r="F64">
            <v>10</v>
          </cell>
          <cell r="G64">
            <v>1168132</v>
          </cell>
          <cell r="H64" t="str">
            <v>LS-285:BS WHT NO DC WARDAH</v>
          </cell>
          <cell r="I64">
            <v>75544</v>
          </cell>
          <cell r="J64" t="str">
            <v>UN</v>
          </cell>
          <cell r="K64">
            <v>45558</v>
          </cell>
        </row>
        <row r="65">
          <cell r="A65" t="str">
            <v>50714268920</v>
          </cell>
          <cell r="B65" t="str">
            <v>ZMTD</v>
          </cell>
          <cell r="C65">
            <v>45532</v>
          </cell>
          <cell r="D65" t="str">
            <v>Not delivered</v>
          </cell>
          <cell r="E65">
            <v>507142689</v>
          </cell>
          <cell r="F65">
            <v>20</v>
          </cell>
          <cell r="G65">
            <v>1421418</v>
          </cell>
          <cell r="H65" t="str">
            <v>LS-285:CV RED P/WHT UV STRAWBERY PTI 30O</v>
          </cell>
          <cell r="I65">
            <v>75544</v>
          </cell>
          <cell r="J65" t="str">
            <v>UN</v>
          </cell>
          <cell r="K65">
            <v>45558</v>
          </cell>
        </row>
        <row r="66">
          <cell r="A66" t="str">
            <v>50714244410</v>
          </cell>
          <cell r="B66" t="str">
            <v>ZMTD</v>
          </cell>
          <cell r="C66">
            <v>45476</v>
          </cell>
          <cell r="D66" t="str">
            <v>Partially delivered</v>
          </cell>
          <cell r="E66">
            <v>507142444</v>
          </cell>
          <cell r="F66">
            <v>10</v>
          </cell>
          <cell r="G66">
            <v>1430485</v>
          </cell>
          <cell r="H66" t="str">
            <v>LS-091:CVR GREEN P/BUTTER MATCHA 60C</v>
          </cell>
          <cell r="I66">
            <v>15808</v>
          </cell>
          <cell r="J66" t="str">
            <v>UN</v>
          </cell>
          <cell r="K66">
            <v>45558</v>
          </cell>
        </row>
        <row r="67">
          <cell r="A67" t="str">
            <v>50714244420</v>
          </cell>
          <cell r="B67" t="str">
            <v>ZMTD</v>
          </cell>
          <cell r="C67">
            <v>45476</v>
          </cell>
          <cell r="D67" t="str">
            <v>Partially delivered</v>
          </cell>
          <cell r="E67">
            <v>507142444</v>
          </cell>
          <cell r="F67">
            <v>20</v>
          </cell>
          <cell r="G67">
            <v>1430486</v>
          </cell>
          <cell r="H67" t="str">
            <v>LS-091:BS GREEN P/WHITE MATCHA ROHTO 12A</v>
          </cell>
          <cell r="I67">
            <v>15808</v>
          </cell>
          <cell r="J67" t="str">
            <v>UN</v>
          </cell>
          <cell r="K67">
            <v>45558</v>
          </cell>
        </row>
        <row r="68">
          <cell r="A68" t="str">
            <v>50714240410</v>
          </cell>
          <cell r="B68" t="str">
            <v>ZMTD</v>
          </cell>
          <cell r="C68">
            <v>45470</v>
          </cell>
          <cell r="D68" t="str">
            <v>Partially delivered</v>
          </cell>
          <cell r="E68">
            <v>507142404</v>
          </cell>
          <cell r="F68">
            <v>10</v>
          </cell>
          <cell r="G68">
            <v>1425748</v>
          </cell>
          <cell r="H68" t="str">
            <v>FP-011:COVER DG/HTF ACNEACT RV2 ERHA 40L</v>
          </cell>
          <cell r="I68">
            <v>30000</v>
          </cell>
          <cell r="J68" t="str">
            <v>UN</v>
          </cell>
          <cell r="K68">
            <v>45558</v>
          </cell>
        </row>
        <row r="69">
          <cell r="A69" t="str">
            <v>50714240420</v>
          </cell>
          <cell r="B69" t="str">
            <v>ZMTD</v>
          </cell>
          <cell r="C69">
            <v>45470</v>
          </cell>
          <cell r="D69" t="str">
            <v>Partially delivered</v>
          </cell>
          <cell r="E69">
            <v>507142404</v>
          </cell>
          <cell r="F69">
            <v>20</v>
          </cell>
          <cell r="G69">
            <v>1187674</v>
          </cell>
          <cell r="H69" t="str">
            <v>FP-011:BASE WHITE NO DECO ERHA DERMATO</v>
          </cell>
          <cell r="I69">
            <v>30000</v>
          </cell>
          <cell r="J69" t="str">
            <v>UN</v>
          </cell>
          <cell r="K69">
            <v>45558</v>
          </cell>
        </row>
        <row r="70">
          <cell r="A70" t="str">
            <v>50714240430</v>
          </cell>
          <cell r="B70" t="str">
            <v>ZMTD</v>
          </cell>
          <cell r="C70">
            <v>45470</v>
          </cell>
          <cell r="D70" t="str">
            <v>Partially delivered</v>
          </cell>
          <cell r="E70">
            <v>507142404</v>
          </cell>
          <cell r="F70">
            <v>30</v>
          </cell>
          <cell r="G70">
            <v>1187675</v>
          </cell>
          <cell r="H70" t="str">
            <v>FP-011:SIFTER NAT W/LABEL NO DECO ERHA D</v>
          </cell>
          <cell r="I70">
            <v>30000</v>
          </cell>
          <cell r="J70" t="str">
            <v>UN</v>
          </cell>
          <cell r="K70">
            <v>45558</v>
          </cell>
        </row>
        <row r="71">
          <cell r="A71" t="str">
            <v>50714270210</v>
          </cell>
          <cell r="B71" t="str">
            <v>ZMTD</v>
          </cell>
          <cell r="C71">
            <v>45534</v>
          </cell>
          <cell r="D71" t="str">
            <v>Partially delivered</v>
          </cell>
          <cell r="E71">
            <v>507142702</v>
          </cell>
          <cell r="F71">
            <v>10</v>
          </cell>
          <cell r="G71">
            <v>1255656</v>
          </cell>
          <cell r="H71" t="str">
            <v>LC-002:BTL MT VAR6 P/WRDH B.MARK PTI40H</v>
          </cell>
          <cell r="I71">
            <v>25200</v>
          </cell>
          <cell r="J71" t="str">
            <v>UN</v>
          </cell>
          <cell r="K71">
            <v>45559</v>
          </cell>
        </row>
        <row r="72">
          <cell r="A72" t="str">
            <v>50714270220</v>
          </cell>
          <cell r="B72" t="str">
            <v>ZMTD</v>
          </cell>
          <cell r="C72">
            <v>45534</v>
          </cell>
          <cell r="D72" t="str">
            <v>Partially delivered</v>
          </cell>
          <cell r="E72">
            <v>507142702</v>
          </cell>
          <cell r="F72">
            <v>20</v>
          </cell>
          <cell r="G72">
            <v>1264018</v>
          </cell>
          <cell r="H72" t="str">
            <v>LC-002:CAP S/MTVAR6 STM-WHT WPNAT PTI40D</v>
          </cell>
          <cell r="I72">
            <v>25200</v>
          </cell>
          <cell r="J72" t="str">
            <v>UN</v>
          </cell>
          <cell r="K72">
            <v>45559</v>
          </cell>
        </row>
        <row r="73">
          <cell r="A73" t="str">
            <v>50714222910</v>
          </cell>
          <cell r="B73" t="str">
            <v>ZMTD</v>
          </cell>
          <cell r="C73">
            <v>45436</v>
          </cell>
          <cell r="D73" t="str">
            <v>Partially delivered</v>
          </cell>
          <cell r="E73">
            <v>507142229</v>
          </cell>
          <cell r="F73">
            <v>10</v>
          </cell>
          <cell r="G73">
            <v>1331787</v>
          </cell>
          <cell r="H73" t="str">
            <v>CM-216:TRUE MATCH BLUSH W/O BRUSH LOR US</v>
          </cell>
          <cell r="I73">
            <v>159400</v>
          </cell>
          <cell r="J73" t="str">
            <v>UN</v>
          </cell>
          <cell r="K73">
            <v>45559</v>
          </cell>
        </row>
        <row r="74">
          <cell r="A74" t="str">
            <v>50714276510</v>
          </cell>
          <cell r="B74" t="str">
            <v>ZMTD</v>
          </cell>
          <cell r="C74">
            <v>45552</v>
          </cell>
          <cell r="D74" t="str">
            <v>Not delivered</v>
          </cell>
          <cell r="E74">
            <v>507142765</v>
          </cell>
          <cell r="F74">
            <v>10</v>
          </cell>
          <cell r="G74">
            <v>1398383</v>
          </cell>
          <cell r="H74" t="str">
            <v>CM-319:WHITE P/BLACK UV MATTE NARS</v>
          </cell>
          <cell r="I74">
            <v>10080</v>
          </cell>
          <cell r="J74" t="str">
            <v>UN</v>
          </cell>
          <cell r="K74">
            <v>45560</v>
          </cell>
        </row>
        <row r="75">
          <cell r="A75" t="str">
            <v>50714276610</v>
          </cell>
          <cell r="B75" t="str">
            <v>ZMTD</v>
          </cell>
          <cell r="C75">
            <v>45552</v>
          </cell>
          <cell r="D75" t="str">
            <v>Not delivered</v>
          </cell>
          <cell r="E75">
            <v>507142766</v>
          </cell>
          <cell r="F75">
            <v>10</v>
          </cell>
          <cell r="G75">
            <v>1398763</v>
          </cell>
          <cell r="H75" t="str">
            <v>CM-320:WHITE S/BLACK UV MATTE NARS</v>
          </cell>
          <cell r="I75">
            <v>10260</v>
          </cell>
          <cell r="J75" t="str">
            <v>UN</v>
          </cell>
          <cell r="K75">
            <v>45560</v>
          </cell>
        </row>
        <row r="76">
          <cell r="A76" t="str">
            <v>50714263850</v>
          </cell>
          <cell r="B76" t="str">
            <v>ZMTD</v>
          </cell>
          <cell r="C76">
            <v>45519</v>
          </cell>
          <cell r="D76" t="str">
            <v>Partially delivered</v>
          </cell>
          <cell r="E76">
            <v>507142638</v>
          </cell>
          <cell r="F76">
            <v>50</v>
          </cell>
          <cell r="G76">
            <v>1361170</v>
          </cell>
          <cell r="H76" t="str">
            <v>PT-097:BODY BLACK HOUSE WHT TRANS PTI12A</v>
          </cell>
          <cell r="I76">
            <v>109890</v>
          </cell>
          <cell r="J76" t="str">
            <v>UN</v>
          </cell>
          <cell r="K76">
            <v>45560</v>
          </cell>
        </row>
        <row r="77">
          <cell r="A77" t="str">
            <v>50714263860</v>
          </cell>
          <cell r="B77" t="str">
            <v>ZMTD</v>
          </cell>
          <cell r="C77">
            <v>45519</v>
          </cell>
          <cell r="D77" t="str">
            <v>Partially delivered</v>
          </cell>
          <cell r="E77">
            <v>507142638</v>
          </cell>
          <cell r="F77">
            <v>60</v>
          </cell>
          <cell r="G77">
            <v>1361175</v>
          </cell>
          <cell r="H77" t="str">
            <v>PT-097:CAP BLACK TRANS PTI 12A</v>
          </cell>
          <cell r="I77">
            <v>109890</v>
          </cell>
          <cell r="J77" t="str">
            <v>UN</v>
          </cell>
          <cell r="K77">
            <v>45560</v>
          </cell>
        </row>
        <row r="78">
          <cell r="A78" t="str">
            <v>50714241720</v>
          </cell>
          <cell r="B78" t="str">
            <v>ZMTD</v>
          </cell>
          <cell r="C78">
            <v>45474</v>
          </cell>
          <cell r="D78" t="str">
            <v>Not delivered</v>
          </cell>
          <cell r="E78">
            <v>507142417</v>
          </cell>
          <cell r="F78">
            <v>20</v>
          </cell>
          <cell r="G78">
            <v>1405657</v>
          </cell>
          <cell r="H78" t="str">
            <v>CM-273:CV UV BS BRONZE P/PIXYSLKY RV130L</v>
          </cell>
          <cell r="I78">
            <v>10000</v>
          </cell>
          <cell r="J78" t="str">
            <v>UN</v>
          </cell>
          <cell r="K78">
            <v>45560</v>
          </cell>
        </row>
        <row r="79">
          <cell r="A79" t="str">
            <v>50714262520</v>
          </cell>
          <cell r="B79" t="str">
            <v>ZMTD</v>
          </cell>
          <cell r="C79">
            <v>45513</v>
          </cell>
          <cell r="D79" t="str">
            <v>Not delivered</v>
          </cell>
          <cell r="E79">
            <v>507142625</v>
          </cell>
          <cell r="F79">
            <v>20</v>
          </cell>
          <cell r="G79">
            <v>1305089</v>
          </cell>
          <cell r="H79" t="str">
            <v>CM-207:VM SHY SLV P/MATTE ZGH6010038 EL</v>
          </cell>
          <cell r="I79">
            <v>25920</v>
          </cell>
          <cell r="J79" t="str">
            <v>UN</v>
          </cell>
          <cell r="K79">
            <v>45561</v>
          </cell>
        </row>
        <row r="80">
          <cell r="A80" t="str">
            <v>50714256530</v>
          </cell>
          <cell r="B80" t="str">
            <v>ZMTD</v>
          </cell>
          <cell r="C80">
            <v>45497</v>
          </cell>
          <cell r="D80" t="str">
            <v>Not delivered</v>
          </cell>
          <cell r="E80">
            <v>507142565</v>
          </cell>
          <cell r="F80">
            <v>30</v>
          </cell>
          <cell r="G80">
            <v>1313073</v>
          </cell>
          <cell r="H80" t="str">
            <v>PT-055:PLUG BEIGE CASHMERE INTERPARFUM</v>
          </cell>
          <cell r="I80">
            <v>78570</v>
          </cell>
          <cell r="J80" t="str">
            <v>UN</v>
          </cell>
          <cell r="K80">
            <v>45561</v>
          </cell>
        </row>
        <row r="81">
          <cell r="A81" t="str">
            <v>50714256610</v>
          </cell>
          <cell r="B81" t="str">
            <v>ZMTD</v>
          </cell>
          <cell r="C81">
            <v>45497</v>
          </cell>
          <cell r="D81" t="str">
            <v>Not delivered</v>
          </cell>
          <cell r="E81">
            <v>507142566</v>
          </cell>
          <cell r="F81">
            <v>10</v>
          </cell>
          <cell r="G81">
            <v>1428697</v>
          </cell>
          <cell r="H81" t="str">
            <v>PT-055:BD DK ANTI-PERS 94025-BS3 INTPRF</v>
          </cell>
          <cell r="I81">
            <v>20385</v>
          </cell>
          <cell r="J81" t="str">
            <v>UN</v>
          </cell>
          <cell r="K81">
            <v>45561</v>
          </cell>
        </row>
        <row r="82">
          <cell r="A82" t="str">
            <v>50714256720</v>
          </cell>
          <cell r="B82" t="str">
            <v>ZMTD</v>
          </cell>
          <cell r="C82">
            <v>45497</v>
          </cell>
          <cell r="D82" t="str">
            <v>Not delivered</v>
          </cell>
          <cell r="E82">
            <v>507142567</v>
          </cell>
          <cell r="F82">
            <v>20</v>
          </cell>
          <cell r="G82">
            <v>1313073</v>
          </cell>
          <cell r="H82" t="str">
            <v>PT-055:PLUG BEIGE CASHMERE INTERPARFUM</v>
          </cell>
          <cell r="I82">
            <v>16200</v>
          </cell>
          <cell r="J82" t="str">
            <v>UN</v>
          </cell>
          <cell r="K82">
            <v>45561</v>
          </cell>
        </row>
        <row r="83">
          <cell r="A83" t="str">
            <v>50714256730</v>
          </cell>
          <cell r="B83" t="str">
            <v>ZMTD</v>
          </cell>
          <cell r="C83">
            <v>45497</v>
          </cell>
          <cell r="D83" t="str">
            <v>Not delivered</v>
          </cell>
          <cell r="E83">
            <v>507142567</v>
          </cell>
          <cell r="F83">
            <v>30</v>
          </cell>
          <cell r="G83">
            <v>1432260</v>
          </cell>
          <cell r="H83" t="str">
            <v>PT-055:BD BEIGE 94440-BS INTERPARFUM</v>
          </cell>
          <cell r="I83">
            <v>15390</v>
          </cell>
          <cell r="J83" t="str">
            <v>UN</v>
          </cell>
          <cell r="K83">
            <v>45561</v>
          </cell>
        </row>
        <row r="84">
          <cell r="A84" t="str">
            <v>50714276620</v>
          </cell>
          <cell r="B84" t="str">
            <v>ZMTD</v>
          </cell>
          <cell r="C84">
            <v>45552</v>
          </cell>
          <cell r="D84" t="str">
            <v>Not delivered</v>
          </cell>
          <cell r="E84">
            <v>507142766</v>
          </cell>
          <cell r="F84">
            <v>20</v>
          </cell>
          <cell r="G84">
            <v>1398763</v>
          </cell>
          <cell r="H84" t="str">
            <v>CM-320:WHITE S/BLACK UV MATTE NARS</v>
          </cell>
          <cell r="I84">
            <v>20520</v>
          </cell>
          <cell r="J84" t="str">
            <v>UN</v>
          </cell>
          <cell r="K84">
            <v>45562</v>
          </cell>
        </row>
        <row r="85">
          <cell r="A85" t="str">
            <v>50900099910</v>
          </cell>
          <cell r="B85" t="str">
            <v>ZMRX</v>
          </cell>
          <cell r="C85">
            <v>45560</v>
          </cell>
          <cell r="D85" t="str">
            <v>Not delivered</v>
          </cell>
          <cell r="E85">
            <v>509000999</v>
          </cell>
          <cell r="F85">
            <v>10</v>
          </cell>
          <cell r="G85">
            <v>1169047</v>
          </cell>
          <cell r="H85" t="str">
            <v>LS-285:B V/SL P/1PS SLEV H/SL BLM PTI20R</v>
          </cell>
          <cell r="I85">
            <v>11704</v>
          </cell>
          <cell r="J85" t="str">
            <v>UN</v>
          </cell>
          <cell r="K85">
            <v>45565</v>
          </cell>
        </row>
        <row r="86">
          <cell r="A86" t="str">
            <v>50900099920</v>
          </cell>
          <cell r="B86" t="str">
            <v>ZMRX</v>
          </cell>
          <cell r="C86">
            <v>45560</v>
          </cell>
          <cell r="D86" t="str">
            <v>Not delivered</v>
          </cell>
          <cell r="E86">
            <v>509000999</v>
          </cell>
          <cell r="F86">
            <v>20</v>
          </cell>
          <cell r="G86">
            <v>1171160</v>
          </cell>
          <cell r="H86" t="str">
            <v>LS-285:CV TRANS LONG 9 P/1PS VAR7 PTI40H</v>
          </cell>
          <cell r="I86">
            <v>11704</v>
          </cell>
          <cell r="J86" t="str">
            <v>UN</v>
          </cell>
          <cell r="K86">
            <v>45565</v>
          </cell>
        </row>
        <row r="87">
          <cell r="A87" t="str">
            <v>50900100010</v>
          </cell>
          <cell r="B87" t="str">
            <v>ZMRX</v>
          </cell>
          <cell r="C87">
            <v>45560</v>
          </cell>
          <cell r="D87" t="str">
            <v>Not delivered</v>
          </cell>
          <cell r="E87">
            <v>509001000</v>
          </cell>
          <cell r="F87">
            <v>10</v>
          </cell>
          <cell r="G87">
            <v>1375593</v>
          </cell>
          <cell r="H87" t="str">
            <v>LC-009:CAP REDTRANS WIP S/OMG PTIPT 60B</v>
          </cell>
          <cell r="I87">
            <v>630</v>
          </cell>
          <cell r="J87" t="str">
            <v>UN</v>
          </cell>
          <cell r="K87">
            <v>45565</v>
          </cell>
        </row>
        <row r="88">
          <cell r="A88" t="str">
            <v>50714271110</v>
          </cell>
          <cell r="B88" t="str">
            <v>ZMTD</v>
          </cell>
          <cell r="C88">
            <v>45534</v>
          </cell>
          <cell r="D88" t="str">
            <v>Not delivered</v>
          </cell>
          <cell r="E88">
            <v>507142711</v>
          </cell>
          <cell r="F88">
            <v>10</v>
          </cell>
          <cell r="G88">
            <v>1313402</v>
          </cell>
          <cell r="H88" t="str">
            <v>LC-004:BTL COL MTGRAD P/SWETBRWN MLA40H</v>
          </cell>
          <cell r="I88">
            <v>32700</v>
          </cell>
          <cell r="J88" t="str">
            <v>UN</v>
          </cell>
          <cell r="K88">
            <v>45565</v>
          </cell>
        </row>
        <row r="89">
          <cell r="A89" t="str">
            <v>50714271120</v>
          </cell>
          <cell r="B89" t="str">
            <v>ZMTD</v>
          </cell>
          <cell r="C89">
            <v>45534</v>
          </cell>
          <cell r="D89" t="str">
            <v>Not delivered</v>
          </cell>
          <cell r="E89">
            <v>507142711</v>
          </cell>
          <cell r="F89">
            <v>20</v>
          </cell>
          <cell r="G89">
            <v>1313403</v>
          </cell>
          <cell r="H89" t="str">
            <v>LC-004:CAP MTBRWN WIPNAT SWETBRWN MLA40D</v>
          </cell>
          <cell r="I89">
            <v>32700</v>
          </cell>
          <cell r="J89" t="str">
            <v>UN</v>
          </cell>
          <cell r="K89">
            <v>45565</v>
          </cell>
        </row>
        <row r="90">
          <cell r="A90" t="str">
            <v>50714264710</v>
          </cell>
          <cell r="B90" t="str">
            <v>ZMTD</v>
          </cell>
          <cell r="C90">
            <v>45523</v>
          </cell>
          <cell r="D90" t="str">
            <v>Partially delivered</v>
          </cell>
          <cell r="E90">
            <v>507142647</v>
          </cell>
          <cell r="F90">
            <v>10</v>
          </cell>
          <cell r="G90">
            <v>1168132</v>
          </cell>
          <cell r="H90" t="str">
            <v>LS-285:BS WHT NO DC WARDAH</v>
          </cell>
          <cell r="I90">
            <v>53200</v>
          </cell>
          <cell r="J90" t="str">
            <v>UN</v>
          </cell>
          <cell r="K90">
            <v>45565</v>
          </cell>
        </row>
        <row r="91">
          <cell r="A91" t="str">
            <v>50714264720</v>
          </cell>
          <cell r="B91" t="str">
            <v>ZMTD</v>
          </cell>
          <cell r="C91">
            <v>45523</v>
          </cell>
          <cell r="D91" t="str">
            <v>Partially delivered</v>
          </cell>
          <cell r="E91">
            <v>507142647</v>
          </cell>
          <cell r="F91">
            <v>20</v>
          </cell>
          <cell r="G91">
            <v>1421418</v>
          </cell>
          <cell r="H91" t="str">
            <v>LS-285:CV RED P/WHT UV STRAWBERY PTI 30O</v>
          </cell>
          <cell r="I91">
            <v>53200</v>
          </cell>
          <cell r="J91" t="str">
            <v>UN</v>
          </cell>
          <cell r="K91">
            <v>45565</v>
          </cell>
        </row>
        <row r="92">
          <cell r="A92" t="str">
            <v>50714264210</v>
          </cell>
          <cell r="B92" t="str">
            <v>ZMTD</v>
          </cell>
          <cell r="C92">
            <v>45520</v>
          </cell>
          <cell r="D92" t="str">
            <v>Not delivered</v>
          </cell>
          <cell r="E92">
            <v>507142642</v>
          </cell>
          <cell r="F92">
            <v>10</v>
          </cell>
          <cell r="G92">
            <v>1434087</v>
          </cell>
          <cell r="H92" t="str">
            <v>LC-002:CAP MT PINK NODC NACIFIC CSMX 40D</v>
          </cell>
          <cell r="I92">
            <v>15246</v>
          </cell>
          <cell r="J92" t="str">
            <v>UN</v>
          </cell>
          <cell r="K92">
            <v>45565</v>
          </cell>
        </row>
        <row r="93">
          <cell r="A93" t="str">
            <v>50714264220</v>
          </cell>
          <cell r="B93" t="str">
            <v>ZMTD</v>
          </cell>
          <cell r="C93">
            <v>45520</v>
          </cell>
          <cell r="D93" t="str">
            <v>Not delivered</v>
          </cell>
          <cell r="E93">
            <v>507142642</v>
          </cell>
          <cell r="F93">
            <v>20</v>
          </cell>
          <cell r="G93">
            <v>1434088</v>
          </cell>
          <cell r="H93" t="str">
            <v>LC-002:BTL/COL MTPINK P/NACIFIC CSMX 40H</v>
          </cell>
          <cell r="I93">
            <v>15246</v>
          </cell>
          <cell r="J93" t="str">
            <v>UN</v>
          </cell>
          <cell r="K93">
            <v>45565</v>
          </cell>
        </row>
        <row r="94">
          <cell r="A94" t="str">
            <v>50714241730</v>
          </cell>
          <cell r="B94" t="str">
            <v>ZMTD</v>
          </cell>
          <cell r="C94">
            <v>45474</v>
          </cell>
          <cell r="D94" t="str">
            <v>Not delivered</v>
          </cell>
          <cell r="E94">
            <v>507142417</v>
          </cell>
          <cell r="F94">
            <v>30</v>
          </cell>
          <cell r="G94">
            <v>1405657</v>
          </cell>
          <cell r="H94" t="str">
            <v>CM-273:CV UV BS BRONZE P/PIXYSLKY RV130L</v>
          </cell>
          <cell r="I94">
            <v>10000</v>
          </cell>
          <cell r="J94" t="str">
            <v>UN</v>
          </cell>
          <cell r="K94">
            <v>45565</v>
          </cell>
        </row>
        <row r="95">
          <cell r="A95" t="str">
            <v>50714227010</v>
          </cell>
          <cell r="B95" t="str">
            <v>ZMTD</v>
          </cell>
          <cell r="C95">
            <v>45443</v>
          </cell>
          <cell r="D95" t="str">
            <v>Not delivered</v>
          </cell>
          <cell r="E95">
            <v>507142270</v>
          </cell>
          <cell r="F95">
            <v>10</v>
          </cell>
          <cell r="G95">
            <v>1187758</v>
          </cell>
          <cell r="H95" t="str">
            <v>CM-105:VM RAINBOW P/ULTIMA II RUDYS 40C</v>
          </cell>
          <cell r="I95">
            <v>5000</v>
          </cell>
          <cell r="J95" t="str">
            <v>UN</v>
          </cell>
          <cell r="K95">
            <v>45565</v>
          </cell>
        </row>
        <row r="96">
          <cell r="A96" t="str">
            <v>50714227020</v>
          </cell>
          <cell r="B96" t="str">
            <v>ZMTD</v>
          </cell>
          <cell r="C96">
            <v>45443</v>
          </cell>
          <cell r="D96" t="str">
            <v>Not delivered</v>
          </cell>
          <cell r="E96">
            <v>507142270</v>
          </cell>
          <cell r="F96">
            <v>20</v>
          </cell>
          <cell r="G96">
            <v>1187758</v>
          </cell>
          <cell r="H96" t="str">
            <v>CM-105:VM RAINBOW P/ULTIMA II RUDYS 40C</v>
          </cell>
          <cell r="I96">
            <v>15000</v>
          </cell>
          <cell r="J96" t="str">
            <v>UN</v>
          </cell>
          <cell r="K96">
            <v>45565</v>
          </cell>
        </row>
        <row r="97">
          <cell r="A97" t="str">
            <v>50714275650</v>
          </cell>
          <cell r="B97" t="str">
            <v>ZMTD</v>
          </cell>
          <cell r="C97">
            <v>45547</v>
          </cell>
          <cell r="D97" t="str">
            <v>Not delivered</v>
          </cell>
          <cell r="E97">
            <v>507142756</v>
          </cell>
          <cell r="F97">
            <v>50</v>
          </cell>
          <cell r="G97">
            <v>1411899</v>
          </cell>
          <cell r="H97" t="str">
            <v>PT-100:BS/INS GREEN P/WHT KAHF PTI 60B</v>
          </cell>
          <cell r="I97">
            <v>20224</v>
          </cell>
          <cell r="J97" t="str">
            <v>UN</v>
          </cell>
          <cell r="K97">
            <v>45566</v>
          </cell>
        </row>
        <row r="98">
          <cell r="A98" t="str">
            <v>50714275660</v>
          </cell>
          <cell r="B98" t="str">
            <v>ZMTD</v>
          </cell>
          <cell r="C98">
            <v>45547</v>
          </cell>
          <cell r="D98" t="str">
            <v>Not delivered</v>
          </cell>
          <cell r="E98">
            <v>507142756</v>
          </cell>
          <cell r="F98">
            <v>60</v>
          </cell>
          <cell r="G98">
            <v>1411898</v>
          </cell>
          <cell r="H98" t="str">
            <v>PT-100:CVR MT.GREEN EMBOS KAHF PTI 40D</v>
          </cell>
          <cell r="I98">
            <v>20224</v>
          </cell>
          <cell r="J98" t="str">
            <v>UN</v>
          </cell>
          <cell r="K98">
            <v>45566</v>
          </cell>
        </row>
        <row r="99">
          <cell r="A99" t="str">
            <v>50714269620</v>
          </cell>
          <cell r="B99" t="str">
            <v>ZMTD</v>
          </cell>
          <cell r="C99">
            <v>45533</v>
          </cell>
          <cell r="D99" t="str">
            <v>Not delivered</v>
          </cell>
          <cell r="E99">
            <v>507142696</v>
          </cell>
          <cell r="F99">
            <v>20</v>
          </cell>
          <cell r="G99">
            <v>1340516</v>
          </cell>
          <cell r="H99" t="str">
            <v>CM-133:CVR BS MTLC GRN UV DP S/WARDH 30T</v>
          </cell>
          <cell r="I99">
            <v>10080</v>
          </cell>
          <cell r="J99" t="str">
            <v>UN</v>
          </cell>
          <cell r="K99">
            <v>45566</v>
          </cell>
        </row>
        <row r="100">
          <cell r="A100" t="str">
            <v>50714263610</v>
          </cell>
          <cell r="B100" t="str">
            <v>ZMTD</v>
          </cell>
          <cell r="C100">
            <v>45518</v>
          </cell>
          <cell r="D100" t="str">
            <v>Partially delivered</v>
          </cell>
          <cell r="E100">
            <v>507142636</v>
          </cell>
          <cell r="F100">
            <v>10</v>
          </cell>
          <cell r="G100">
            <v>1437046</v>
          </cell>
          <cell r="H100" t="str">
            <v>PT-085:BS MTGRN CV BRWNPLZ P/HNI HRBA40H</v>
          </cell>
          <cell r="I100">
            <v>50000</v>
          </cell>
          <cell r="J100" t="str">
            <v>UN</v>
          </cell>
          <cell r="K100">
            <v>45566</v>
          </cell>
        </row>
        <row r="101">
          <cell r="A101" t="str">
            <v>50714250810</v>
          </cell>
          <cell r="B101" t="str">
            <v>ZMTD</v>
          </cell>
          <cell r="C101">
            <v>45488</v>
          </cell>
          <cell r="D101" t="str">
            <v>Not delivered</v>
          </cell>
          <cell r="E101">
            <v>507142508</v>
          </cell>
          <cell r="F101">
            <v>10</v>
          </cell>
          <cell r="G101">
            <v>1255663</v>
          </cell>
          <cell r="H101" t="str">
            <v>LC-002:BTL MT VAR13 P/WRDH B.MARK PTI40H</v>
          </cell>
          <cell r="I101">
            <v>25200</v>
          </cell>
          <cell r="J101" t="str">
            <v>UN</v>
          </cell>
          <cell r="K101">
            <v>45566</v>
          </cell>
        </row>
        <row r="102">
          <cell r="A102" t="str">
            <v>50714250820</v>
          </cell>
          <cell r="B102" t="str">
            <v>ZMTD</v>
          </cell>
          <cell r="C102">
            <v>45488</v>
          </cell>
          <cell r="D102" t="str">
            <v>Not delivered</v>
          </cell>
          <cell r="E102">
            <v>507142508</v>
          </cell>
          <cell r="F102">
            <v>20</v>
          </cell>
          <cell r="G102">
            <v>1173170</v>
          </cell>
          <cell r="H102" t="str">
            <v>LC-002:CP S/MT VAR13 STM-WHT WNAT PTI40D</v>
          </cell>
          <cell r="I102">
            <v>25200</v>
          </cell>
          <cell r="J102" t="str">
            <v>UN</v>
          </cell>
          <cell r="K102">
            <v>45566</v>
          </cell>
        </row>
        <row r="103">
          <cell r="A103" t="str">
            <v>50714248610</v>
          </cell>
          <cell r="B103" t="str">
            <v>ZMTD</v>
          </cell>
          <cell r="C103">
            <v>45484</v>
          </cell>
          <cell r="D103" t="str">
            <v>Not delivered</v>
          </cell>
          <cell r="E103">
            <v>507142486</v>
          </cell>
          <cell r="F103">
            <v>10</v>
          </cell>
          <cell r="G103">
            <v>1225724</v>
          </cell>
          <cell r="H103" t="str">
            <v>CL-003:BTL CLR COL BEIGE P/EMINA PTI 60B</v>
          </cell>
          <cell r="I103">
            <v>25641</v>
          </cell>
          <cell r="J103" t="str">
            <v>UN</v>
          </cell>
          <cell r="K103">
            <v>45566</v>
          </cell>
        </row>
        <row r="104">
          <cell r="A104" t="str">
            <v>50714248620</v>
          </cell>
          <cell r="B104" t="str">
            <v>ZMTD</v>
          </cell>
          <cell r="C104">
            <v>45484</v>
          </cell>
          <cell r="D104" t="str">
            <v>Not delivered</v>
          </cell>
          <cell r="E104">
            <v>507142486</v>
          </cell>
          <cell r="F104">
            <v>20</v>
          </cell>
          <cell r="G104">
            <v>1225723</v>
          </cell>
          <cell r="H104" t="str">
            <v>CL-003:CAP BEIGE P/EMINA WIP NAT PTI 60B</v>
          </cell>
          <cell r="I104">
            <v>25641</v>
          </cell>
          <cell r="J104" t="str">
            <v>UN</v>
          </cell>
          <cell r="K104">
            <v>45566</v>
          </cell>
        </row>
        <row r="105">
          <cell r="A105" t="str">
            <v>50714234510</v>
          </cell>
          <cell r="B105" t="str">
            <v>ZMTD</v>
          </cell>
          <cell r="C105">
            <v>45462</v>
          </cell>
          <cell r="D105" t="str">
            <v>Not delivered</v>
          </cell>
          <cell r="E105">
            <v>507142345</v>
          </cell>
          <cell r="F105">
            <v>10</v>
          </cell>
          <cell r="G105">
            <v>1418416</v>
          </cell>
          <cell r="H105" t="str">
            <v>FP-010:WHITE BASE S/LIST SILVR NATASHA</v>
          </cell>
          <cell r="I105">
            <v>10000</v>
          </cell>
          <cell r="J105" t="str">
            <v>UN</v>
          </cell>
          <cell r="K105">
            <v>45566</v>
          </cell>
        </row>
        <row r="106">
          <cell r="A106" t="str">
            <v>50714180710</v>
          </cell>
          <cell r="B106" t="str">
            <v>ZMTD</v>
          </cell>
          <cell r="C106">
            <v>45350</v>
          </cell>
          <cell r="D106" t="str">
            <v>Not delivered</v>
          </cell>
          <cell r="E106">
            <v>507141807</v>
          </cell>
          <cell r="F106">
            <v>10</v>
          </cell>
          <cell r="G106">
            <v>1404888</v>
          </cell>
          <cell r="H106" t="str">
            <v>LS-091:BS MGNTA P/SHEER COLOR ROHTO 60B</v>
          </cell>
          <cell r="I106">
            <v>27664</v>
          </cell>
          <cell r="J106" t="str">
            <v>UN</v>
          </cell>
          <cell r="K106">
            <v>45566</v>
          </cell>
        </row>
        <row r="107">
          <cell r="A107" t="str">
            <v>50714180720</v>
          </cell>
          <cell r="B107" t="str">
            <v>ZMTD</v>
          </cell>
          <cell r="C107">
            <v>45350</v>
          </cell>
          <cell r="D107" t="str">
            <v>Not delivered</v>
          </cell>
          <cell r="E107">
            <v>507141807</v>
          </cell>
          <cell r="F107">
            <v>20</v>
          </cell>
          <cell r="G107">
            <v>1407563</v>
          </cell>
          <cell r="H107" t="str">
            <v>LS-091:CVR MGNTA GRAD UV P/STRWBRY ROHTO</v>
          </cell>
          <cell r="I107">
            <v>27664</v>
          </cell>
          <cell r="J107" t="str">
            <v>UN</v>
          </cell>
          <cell r="K107">
            <v>45566</v>
          </cell>
        </row>
        <row r="108">
          <cell r="A108" t="str">
            <v>50714273710</v>
          </cell>
          <cell r="B108" t="str">
            <v>ZMTD</v>
          </cell>
          <cell r="C108">
            <v>45544</v>
          </cell>
          <cell r="D108" t="str">
            <v>Not delivered</v>
          </cell>
          <cell r="E108">
            <v>507142737</v>
          </cell>
          <cell r="F108">
            <v>10</v>
          </cell>
          <cell r="G108">
            <v>1264031</v>
          </cell>
          <cell r="H108" t="str">
            <v>LC-002:CP S/MT VAR9 STM-WHT WNAT PTI40D</v>
          </cell>
          <cell r="I108">
            <v>25200</v>
          </cell>
          <cell r="J108" t="str">
            <v>UN</v>
          </cell>
          <cell r="K108">
            <v>45567</v>
          </cell>
        </row>
        <row r="109">
          <cell r="A109" t="str">
            <v>50714273720</v>
          </cell>
          <cell r="B109" t="str">
            <v>ZMTD</v>
          </cell>
          <cell r="C109">
            <v>45544</v>
          </cell>
          <cell r="D109" t="str">
            <v>Not delivered</v>
          </cell>
          <cell r="E109">
            <v>507142737</v>
          </cell>
          <cell r="F109">
            <v>20</v>
          </cell>
          <cell r="G109">
            <v>1255659</v>
          </cell>
          <cell r="H109" t="str">
            <v>LC-002:BTL MT VAR9 P/WRDH B.MARK PTI40H</v>
          </cell>
          <cell r="I109">
            <v>25200</v>
          </cell>
          <cell r="J109" t="str">
            <v>UN</v>
          </cell>
          <cell r="K109">
            <v>45567</v>
          </cell>
        </row>
        <row r="110">
          <cell r="A110" t="str">
            <v>50714273810</v>
          </cell>
          <cell r="B110" t="str">
            <v>ZMTD</v>
          </cell>
          <cell r="C110">
            <v>45544</v>
          </cell>
          <cell r="D110" t="str">
            <v>Not delivered</v>
          </cell>
          <cell r="E110">
            <v>507142738</v>
          </cell>
          <cell r="F110">
            <v>10</v>
          </cell>
          <cell r="G110">
            <v>1361170</v>
          </cell>
          <cell r="H110" t="str">
            <v>PT-097:BODY BLACK HOUSE WHT TRANS PTI12A</v>
          </cell>
          <cell r="I110">
            <v>110160</v>
          </cell>
          <cell r="J110" t="str">
            <v>UN</v>
          </cell>
          <cell r="K110">
            <v>45567</v>
          </cell>
        </row>
        <row r="111">
          <cell r="A111" t="str">
            <v>50714273820</v>
          </cell>
          <cell r="B111" t="str">
            <v>ZMTD</v>
          </cell>
          <cell r="C111">
            <v>45544</v>
          </cell>
          <cell r="D111" t="str">
            <v>Not delivered</v>
          </cell>
          <cell r="E111">
            <v>507142738</v>
          </cell>
          <cell r="F111">
            <v>20</v>
          </cell>
          <cell r="G111">
            <v>1361175</v>
          </cell>
          <cell r="H111" t="str">
            <v>PT-097:CAP BLACK TRANS PTI 12A</v>
          </cell>
          <cell r="I111">
            <v>110160</v>
          </cell>
          <cell r="J111" t="str">
            <v>UN</v>
          </cell>
          <cell r="K111">
            <v>45567</v>
          </cell>
        </row>
        <row r="112">
          <cell r="A112" t="str">
            <v>50714270610</v>
          </cell>
          <cell r="B112" t="str">
            <v>ZMTD</v>
          </cell>
          <cell r="C112">
            <v>45534</v>
          </cell>
          <cell r="D112" t="str">
            <v>Not delivered</v>
          </cell>
          <cell r="E112">
            <v>507142706</v>
          </cell>
          <cell r="F112">
            <v>10</v>
          </cell>
          <cell r="G112">
            <v>1207621</v>
          </cell>
          <cell r="H112" t="str">
            <v>CP-090:CAP DELCATE MTPINK NOEMBOS PTI40D</v>
          </cell>
          <cell r="I112">
            <v>10044</v>
          </cell>
          <cell r="J112" t="str">
            <v>UN</v>
          </cell>
          <cell r="K112">
            <v>45567</v>
          </cell>
        </row>
        <row r="113">
          <cell r="A113" t="str">
            <v>50714269510</v>
          </cell>
          <cell r="B113" t="str">
            <v>ZMTD</v>
          </cell>
          <cell r="C113">
            <v>45533</v>
          </cell>
          <cell r="D113" t="str">
            <v>Partially delivered</v>
          </cell>
          <cell r="E113">
            <v>507142695</v>
          </cell>
          <cell r="F113">
            <v>10</v>
          </cell>
          <cell r="G113">
            <v>1420925</v>
          </cell>
          <cell r="H113" t="str">
            <v>CM-253:CV BS MT ROSE 04 P/C.BLSH PTI40H</v>
          </cell>
          <cell r="I113">
            <v>15120</v>
          </cell>
          <cell r="J113" t="str">
            <v>UN</v>
          </cell>
          <cell r="K113">
            <v>45567</v>
          </cell>
        </row>
        <row r="114">
          <cell r="A114" t="str">
            <v>50714269830</v>
          </cell>
          <cell r="B114" t="str">
            <v>ZMTD</v>
          </cell>
          <cell r="C114">
            <v>45533</v>
          </cell>
          <cell r="D114" t="str">
            <v>Not delivered</v>
          </cell>
          <cell r="E114">
            <v>507142698</v>
          </cell>
          <cell r="F114">
            <v>30</v>
          </cell>
          <cell r="G114">
            <v>1408740</v>
          </cell>
          <cell r="H114" t="str">
            <v>PT-097B:BDSR.2 BLU HOUS WHT TRNS PTI12A</v>
          </cell>
          <cell r="I114">
            <v>109890</v>
          </cell>
          <cell r="J114" t="str">
            <v>UN</v>
          </cell>
          <cell r="K114">
            <v>45567</v>
          </cell>
        </row>
        <row r="115">
          <cell r="A115" t="str">
            <v>50714269840</v>
          </cell>
          <cell r="B115" t="str">
            <v>ZMTD</v>
          </cell>
          <cell r="C115">
            <v>45533</v>
          </cell>
          <cell r="D115" t="str">
            <v>Not delivered</v>
          </cell>
          <cell r="E115">
            <v>507142698</v>
          </cell>
          <cell r="F115">
            <v>40</v>
          </cell>
          <cell r="G115">
            <v>1408739</v>
          </cell>
          <cell r="H115" t="str">
            <v>PT-097B:CAP SR.2 BLUE TRANS PTI 12A</v>
          </cell>
          <cell r="I115">
            <v>109890</v>
          </cell>
          <cell r="J115" t="str">
            <v>UN</v>
          </cell>
          <cell r="K115">
            <v>45567</v>
          </cell>
        </row>
        <row r="116">
          <cell r="A116" t="str">
            <v>50714268810</v>
          </cell>
          <cell r="B116" t="str">
            <v>ZMTD</v>
          </cell>
          <cell r="C116">
            <v>45532</v>
          </cell>
          <cell r="D116" t="str">
            <v>Partially delivered</v>
          </cell>
          <cell r="E116">
            <v>507142688</v>
          </cell>
          <cell r="F116">
            <v>10</v>
          </cell>
          <cell r="G116">
            <v>1430094</v>
          </cell>
          <cell r="H116" t="str">
            <v>LS-285:BS BLUE NO DC WARDAH PTI 12A</v>
          </cell>
          <cell r="I116">
            <v>120232</v>
          </cell>
          <cell r="J116" t="str">
            <v>UN</v>
          </cell>
          <cell r="K116">
            <v>45567</v>
          </cell>
        </row>
        <row r="117">
          <cell r="A117" t="str">
            <v>50714268820</v>
          </cell>
          <cell r="B117" t="str">
            <v>ZMTD</v>
          </cell>
          <cell r="C117">
            <v>45532</v>
          </cell>
          <cell r="D117" t="str">
            <v>Partially delivered</v>
          </cell>
          <cell r="E117">
            <v>507142688</v>
          </cell>
          <cell r="F117">
            <v>20</v>
          </cell>
          <cell r="G117">
            <v>1430093</v>
          </cell>
          <cell r="H117" t="str">
            <v>LS-285:CV MT.TR BLUE P/SHERCLEAR PTI 40H</v>
          </cell>
          <cell r="I117">
            <v>120232</v>
          </cell>
          <cell r="J117" t="str">
            <v>UN</v>
          </cell>
          <cell r="K117">
            <v>45567</v>
          </cell>
        </row>
        <row r="118">
          <cell r="A118" t="str">
            <v>50714269230</v>
          </cell>
          <cell r="B118" t="str">
            <v>ZMTD</v>
          </cell>
          <cell r="C118">
            <v>45532</v>
          </cell>
          <cell r="D118" t="str">
            <v>Partially delivered</v>
          </cell>
          <cell r="E118">
            <v>507142692</v>
          </cell>
          <cell r="F118">
            <v>30</v>
          </cell>
          <cell r="G118">
            <v>1367372</v>
          </cell>
          <cell r="H118" t="str">
            <v>PT-097:BODY GREN HOUSE WHT TRANS PTI 12A</v>
          </cell>
          <cell r="I118">
            <v>99900</v>
          </cell>
          <cell r="J118" t="str">
            <v>UN</v>
          </cell>
          <cell r="K118">
            <v>45567</v>
          </cell>
        </row>
        <row r="119">
          <cell r="A119" t="str">
            <v>50714269240</v>
          </cell>
          <cell r="B119" t="str">
            <v>ZMTD</v>
          </cell>
          <cell r="C119">
            <v>45532</v>
          </cell>
          <cell r="D119" t="str">
            <v>Partially delivered</v>
          </cell>
          <cell r="E119">
            <v>507142692</v>
          </cell>
          <cell r="F119">
            <v>40</v>
          </cell>
          <cell r="G119">
            <v>1367370</v>
          </cell>
          <cell r="H119" t="str">
            <v>PT-097:CAP GREN TRANS PTI 12A</v>
          </cell>
          <cell r="I119">
            <v>99900</v>
          </cell>
          <cell r="J119" t="str">
            <v>UN</v>
          </cell>
          <cell r="K119">
            <v>45567</v>
          </cell>
        </row>
        <row r="120">
          <cell r="A120" t="str">
            <v>50714246110</v>
          </cell>
          <cell r="B120" t="str">
            <v>ZMTD</v>
          </cell>
          <cell r="C120">
            <v>45481</v>
          </cell>
          <cell r="D120" t="str">
            <v>Partially delivered</v>
          </cell>
          <cell r="E120">
            <v>507142461</v>
          </cell>
          <cell r="F120">
            <v>10</v>
          </cell>
          <cell r="G120">
            <v>1169047</v>
          </cell>
          <cell r="H120" t="str">
            <v>LS-285:B V/SL P/1PS SLEV H/SL BLM PTI20R</v>
          </cell>
          <cell r="I120">
            <v>25536</v>
          </cell>
          <cell r="J120" t="str">
            <v>UN</v>
          </cell>
          <cell r="K120">
            <v>45567</v>
          </cell>
        </row>
        <row r="121">
          <cell r="A121" t="str">
            <v>50714246120</v>
          </cell>
          <cell r="B121" t="str">
            <v>ZMTD</v>
          </cell>
          <cell r="C121">
            <v>45481</v>
          </cell>
          <cell r="D121" t="str">
            <v>Partially delivered</v>
          </cell>
          <cell r="E121">
            <v>507142461</v>
          </cell>
          <cell r="F121">
            <v>20</v>
          </cell>
          <cell r="G121">
            <v>1171165</v>
          </cell>
          <cell r="H121" t="str">
            <v>LS-285:CV TRANS MATE 3 P/1PS VAR3 PTI40H</v>
          </cell>
          <cell r="I121">
            <v>25536</v>
          </cell>
          <cell r="J121" t="str">
            <v>UN</v>
          </cell>
          <cell r="K121">
            <v>45567</v>
          </cell>
        </row>
        <row r="122">
          <cell r="A122" t="str">
            <v>50714180330</v>
          </cell>
          <cell r="B122" t="str">
            <v>ZMTD</v>
          </cell>
          <cell r="C122">
            <v>45349</v>
          </cell>
          <cell r="D122" t="str">
            <v>Partially delivered</v>
          </cell>
          <cell r="E122">
            <v>507141803</v>
          </cell>
          <cell r="F122">
            <v>30</v>
          </cell>
          <cell r="G122">
            <v>1404888</v>
          </cell>
          <cell r="H122" t="str">
            <v>LS-091:BS MGNTA P/SHEER COLOR ROHTO 60B</v>
          </cell>
          <cell r="I122">
            <v>27664</v>
          </cell>
          <cell r="J122" t="str">
            <v>UN</v>
          </cell>
          <cell r="K122">
            <v>45567</v>
          </cell>
        </row>
        <row r="123">
          <cell r="A123" t="str">
            <v>50714180340</v>
          </cell>
          <cell r="B123" t="str">
            <v>ZMTD</v>
          </cell>
          <cell r="C123">
            <v>45349</v>
          </cell>
          <cell r="D123" t="str">
            <v>Partially delivered</v>
          </cell>
          <cell r="E123">
            <v>507141803</v>
          </cell>
          <cell r="F123">
            <v>40</v>
          </cell>
          <cell r="G123">
            <v>1407563</v>
          </cell>
          <cell r="H123" t="str">
            <v>LS-091:CVR MGNTA GRAD UV P/STRWBRY ROHTO</v>
          </cell>
          <cell r="I123">
            <v>27664</v>
          </cell>
          <cell r="J123" t="str">
            <v>UN</v>
          </cell>
          <cell r="K123">
            <v>45567</v>
          </cell>
        </row>
        <row r="124">
          <cell r="A124" t="str">
            <v>50714273910</v>
          </cell>
          <cell r="B124" t="str">
            <v>ZMTD</v>
          </cell>
          <cell r="C124">
            <v>45544</v>
          </cell>
          <cell r="D124" t="str">
            <v>Partially delivered</v>
          </cell>
          <cell r="E124">
            <v>507142739</v>
          </cell>
          <cell r="F124">
            <v>10</v>
          </cell>
          <cell r="G124">
            <v>1409881</v>
          </cell>
          <cell r="H124" t="str">
            <v>CM-315:CVR/BS BLACK P/CVRLAST OMG RV160B</v>
          </cell>
          <cell r="I124">
            <v>21868</v>
          </cell>
          <cell r="J124" t="str">
            <v>UN</v>
          </cell>
          <cell r="K124">
            <v>45568</v>
          </cell>
        </row>
        <row r="125">
          <cell r="A125" t="str">
            <v>50714266310</v>
          </cell>
          <cell r="B125" t="str">
            <v>ZMTD</v>
          </cell>
          <cell r="C125">
            <v>45525</v>
          </cell>
          <cell r="D125" t="str">
            <v>Not delivered</v>
          </cell>
          <cell r="E125">
            <v>507142663</v>
          </cell>
          <cell r="F125">
            <v>10</v>
          </cell>
          <cell r="G125">
            <v>1216572</v>
          </cell>
          <cell r="H125" t="str">
            <v>CM-216:TRUE MATCH CV PF S/SLV LOR (SEA)</v>
          </cell>
          <cell r="I125">
            <v>57600</v>
          </cell>
          <cell r="J125" t="str">
            <v>UN</v>
          </cell>
          <cell r="K125">
            <v>45568</v>
          </cell>
        </row>
        <row r="126">
          <cell r="A126" t="str">
            <v>50714262530</v>
          </cell>
          <cell r="B126" t="str">
            <v>ZMTD</v>
          </cell>
          <cell r="C126">
            <v>45513</v>
          </cell>
          <cell r="D126" t="str">
            <v>Not delivered</v>
          </cell>
          <cell r="E126">
            <v>507142625</v>
          </cell>
          <cell r="F126">
            <v>30</v>
          </cell>
          <cell r="G126">
            <v>1305089</v>
          </cell>
          <cell r="H126" t="str">
            <v>CM-207:VM SHY SLV P/MATTE ZGH6010038 EL</v>
          </cell>
          <cell r="I126">
            <v>25920</v>
          </cell>
          <cell r="J126" t="str">
            <v>UN</v>
          </cell>
          <cell r="K126">
            <v>45568</v>
          </cell>
        </row>
        <row r="127">
          <cell r="A127" t="str">
            <v>50714180730</v>
          </cell>
          <cell r="B127" t="str">
            <v>ZMTD</v>
          </cell>
          <cell r="C127">
            <v>45350</v>
          </cell>
          <cell r="D127" t="str">
            <v>Not delivered</v>
          </cell>
          <cell r="E127">
            <v>507141807</v>
          </cell>
          <cell r="F127">
            <v>30</v>
          </cell>
          <cell r="G127">
            <v>1404888</v>
          </cell>
          <cell r="H127" t="str">
            <v>LS-091:BS MGNTA P/SHEER COLOR ROHTO 60B</v>
          </cell>
          <cell r="I127">
            <v>14820</v>
          </cell>
          <cell r="J127" t="str">
            <v>UN</v>
          </cell>
          <cell r="K127">
            <v>45568</v>
          </cell>
        </row>
        <row r="128">
          <cell r="A128" t="str">
            <v>50714180740</v>
          </cell>
          <cell r="B128" t="str">
            <v>ZMTD</v>
          </cell>
          <cell r="C128">
            <v>45350</v>
          </cell>
          <cell r="D128" t="str">
            <v>Not delivered</v>
          </cell>
          <cell r="E128">
            <v>507141807</v>
          </cell>
          <cell r="F128">
            <v>40</v>
          </cell>
          <cell r="G128">
            <v>1404887</v>
          </cell>
          <cell r="H128" t="str">
            <v>LS-091:CVR MGNTA GRAD UV P/APPLE ROHTO</v>
          </cell>
          <cell r="I128">
            <v>14820</v>
          </cell>
          <cell r="J128" t="str">
            <v>UN</v>
          </cell>
          <cell r="K128">
            <v>45568</v>
          </cell>
        </row>
        <row r="129">
          <cell r="A129" t="str">
            <v>50714276530</v>
          </cell>
          <cell r="B129" t="str">
            <v>ZMTD</v>
          </cell>
          <cell r="C129">
            <v>45552</v>
          </cell>
          <cell r="D129" t="str">
            <v>Not delivered</v>
          </cell>
          <cell r="E129">
            <v>507142765</v>
          </cell>
          <cell r="F129">
            <v>30</v>
          </cell>
          <cell r="G129">
            <v>1398383</v>
          </cell>
          <cell r="H129" t="str">
            <v>CM-319:WHITE P/BLACK UV MATTE NARS</v>
          </cell>
          <cell r="I129">
            <v>30720</v>
          </cell>
          <cell r="J129" t="str">
            <v>UN</v>
          </cell>
          <cell r="K129">
            <v>45569</v>
          </cell>
        </row>
        <row r="130">
          <cell r="A130" t="str">
            <v>50714273510</v>
          </cell>
          <cell r="B130" t="str">
            <v>ZMTD</v>
          </cell>
          <cell r="C130">
            <v>45544</v>
          </cell>
          <cell r="D130" t="str">
            <v>Not delivered</v>
          </cell>
          <cell r="E130">
            <v>507142735</v>
          </cell>
          <cell r="F130">
            <v>10</v>
          </cell>
          <cell r="G130">
            <v>1417990</v>
          </cell>
          <cell r="H130" t="str">
            <v>LC-009:BTL #2#3 INNER CLR P/OMG PTIPT60B</v>
          </cell>
          <cell r="I130">
            <v>400050</v>
          </cell>
          <cell r="J130" t="str">
            <v>UN</v>
          </cell>
          <cell r="K130">
            <v>45569</v>
          </cell>
        </row>
        <row r="131">
          <cell r="A131" t="str">
            <v>50714273520</v>
          </cell>
          <cell r="B131" t="str">
            <v>ZMTD</v>
          </cell>
          <cell r="C131">
            <v>45544</v>
          </cell>
          <cell r="D131" t="str">
            <v>Not delivered</v>
          </cell>
          <cell r="E131">
            <v>507142735</v>
          </cell>
          <cell r="F131">
            <v>20</v>
          </cell>
          <cell r="G131">
            <v>1417978</v>
          </cell>
          <cell r="H131" t="str">
            <v>LC-009:CAP #2#3 REDTR WIP S/OMG PTIPT60B</v>
          </cell>
          <cell r="I131">
            <v>400050</v>
          </cell>
          <cell r="J131" t="str">
            <v>UN</v>
          </cell>
          <cell r="K131">
            <v>45569</v>
          </cell>
        </row>
        <row r="132">
          <cell r="A132" t="str">
            <v>50714271610</v>
          </cell>
          <cell r="B132" t="str">
            <v>ZMTD</v>
          </cell>
          <cell r="C132">
            <v>45538</v>
          </cell>
          <cell r="D132" t="str">
            <v>Not delivered</v>
          </cell>
          <cell r="E132">
            <v>507142716</v>
          </cell>
          <cell r="F132">
            <v>10</v>
          </cell>
          <cell r="G132">
            <v>1232979</v>
          </cell>
          <cell r="H132" t="str">
            <v>LC-004:CAP BLK WIP NAT NODC MLA 12A</v>
          </cell>
          <cell r="I132">
            <v>18000</v>
          </cell>
          <cell r="J132" t="str">
            <v>UN</v>
          </cell>
          <cell r="K132">
            <v>45569</v>
          </cell>
        </row>
        <row r="133">
          <cell r="A133" t="str">
            <v>50714271620</v>
          </cell>
          <cell r="B133" t="str">
            <v>ZMTD</v>
          </cell>
          <cell r="C133">
            <v>45538</v>
          </cell>
          <cell r="D133" t="str">
            <v>Not delivered</v>
          </cell>
          <cell r="E133">
            <v>507142716</v>
          </cell>
          <cell r="F133">
            <v>20</v>
          </cell>
          <cell r="G133">
            <v>1233020</v>
          </cell>
          <cell r="H133" t="str">
            <v>LC-004:BTL CLR CL BLK P/SR12MATTE MLA60B</v>
          </cell>
          <cell r="I133">
            <v>18000</v>
          </cell>
          <cell r="J133" t="str">
            <v>UN</v>
          </cell>
          <cell r="K133">
            <v>45569</v>
          </cell>
        </row>
        <row r="134">
          <cell r="A134" t="str">
            <v>50714270070</v>
          </cell>
          <cell r="B134" t="str">
            <v>ZMTD</v>
          </cell>
          <cell r="C134">
            <v>45533</v>
          </cell>
          <cell r="D134" t="str">
            <v>Not delivered</v>
          </cell>
          <cell r="E134">
            <v>507142700</v>
          </cell>
          <cell r="F134">
            <v>70</v>
          </cell>
          <cell r="G134">
            <v>1417990</v>
          </cell>
          <cell r="H134" t="str">
            <v>LC-009:BTL #2#3 INNER CLR P/OMG PTIPT60B</v>
          </cell>
          <cell r="I134">
            <v>200970</v>
          </cell>
          <cell r="J134" t="str">
            <v>UN</v>
          </cell>
          <cell r="K134">
            <v>45569</v>
          </cell>
        </row>
        <row r="135">
          <cell r="A135" t="str">
            <v>50714270080</v>
          </cell>
          <cell r="B135" t="str">
            <v>ZMTD</v>
          </cell>
          <cell r="C135">
            <v>45533</v>
          </cell>
          <cell r="D135" t="str">
            <v>Not delivered</v>
          </cell>
          <cell r="E135">
            <v>507142700</v>
          </cell>
          <cell r="F135">
            <v>80</v>
          </cell>
          <cell r="G135">
            <v>1417978</v>
          </cell>
          <cell r="H135" t="str">
            <v>LC-009:CAP #2#3 REDTR WIP S/OMG PTIPT60B</v>
          </cell>
          <cell r="I135">
            <v>200970</v>
          </cell>
          <cell r="J135" t="str">
            <v>UN</v>
          </cell>
          <cell r="K135">
            <v>45569</v>
          </cell>
        </row>
        <row r="136">
          <cell r="A136" t="str">
            <v>50714269010</v>
          </cell>
          <cell r="B136" t="str">
            <v>ZMTD</v>
          </cell>
          <cell r="C136">
            <v>45532</v>
          </cell>
          <cell r="D136" t="str">
            <v>Partially delivered</v>
          </cell>
          <cell r="E136">
            <v>507142690</v>
          </cell>
          <cell r="F136">
            <v>10</v>
          </cell>
          <cell r="G136">
            <v>1285116</v>
          </cell>
          <cell r="H136" t="str">
            <v>CM-292:CV/BS MTBLK LENS S/SLV MO PTI 40C</v>
          </cell>
          <cell r="I136">
            <v>49968</v>
          </cell>
          <cell r="J136" t="str">
            <v>UN</v>
          </cell>
          <cell r="K136">
            <v>45569</v>
          </cell>
        </row>
        <row r="137">
          <cell r="A137" t="str">
            <v>50714269110</v>
          </cell>
          <cell r="B137" t="str">
            <v>ZMTD</v>
          </cell>
          <cell r="C137">
            <v>45532</v>
          </cell>
          <cell r="D137" t="str">
            <v>Partially delivered</v>
          </cell>
          <cell r="E137">
            <v>507142691</v>
          </cell>
          <cell r="F137">
            <v>10</v>
          </cell>
          <cell r="G137">
            <v>1168132</v>
          </cell>
          <cell r="H137" t="str">
            <v>LS-285:BS WHT NO DC WARDAH</v>
          </cell>
          <cell r="I137">
            <v>50008</v>
          </cell>
          <cell r="J137" t="str">
            <v>UN</v>
          </cell>
          <cell r="K137">
            <v>45569</v>
          </cell>
        </row>
        <row r="138">
          <cell r="A138" t="str">
            <v>50714269120</v>
          </cell>
          <cell r="B138" t="str">
            <v>ZMTD</v>
          </cell>
          <cell r="C138">
            <v>45532</v>
          </cell>
          <cell r="D138" t="str">
            <v>Partially delivered</v>
          </cell>
          <cell r="E138">
            <v>507142691</v>
          </cell>
          <cell r="F138">
            <v>20</v>
          </cell>
          <cell r="G138">
            <v>1421510</v>
          </cell>
          <cell r="H138" t="str">
            <v>LS-285:CV PINK P/WHT UV P.BLOSOM PTI 30O</v>
          </cell>
          <cell r="I138">
            <v>50008</v>
          </cell>
          <cell r="J138" t="str">
            <v>UN</v>
          </cell>
          <cell r="K138">
            <v>45569</v>
          </cell>
        </row>
        <row r="139">
          <cell r="A139" t="str">
            <v>50714227610</v>
          </cell>
          <cell r="B139" t="str">
            <v>ZMTD</v>
          </cell>
          <cell r="C139">
            <v>45447</v>
          </cell>
          <cell r="D139" t="str">
            <v>Not delivered</v>
          </cell>
          <cell r="E139">
            <v>507142276</v>
          </cell>
          <cell r="F139">
            <v>10</v>
          </cell>
          <cell r="G139">
            <v>1419488</v>
          </cell>
          <cell r="H139" t="str">
            <v>CP-063R:SPOUT CAP WHITE LOREAL 12A</v>
          </cell>
          <cell r="I139">
            <v>1890000</v>
          </cell>
          <cell r="J139" t="str">
            <v>UN</v>
          </cell>
          <cell r="K139">
            <v>45569</v>
          </cell>
        </row>
        <row r="140">
          <cell r="A140" t="str">
            <v>50714211020</v>
          </cell>
          <cell r="B140" t="str">
            <v>ZMTD</v>
          </cell>
          <cell r="C140">
            <v>45422</v>
          </cell>
          <cell r="D140" t="str">
            <v>Partially delivered</v>
          </cell>
          <cell r="E140">
            <v>507142110</v>
          </cell>
          <cell r="F140">
            <v>20</v>
          </cell>
          <cell r="G140">
            <v>1419205</v>
          </cell>
          <cell r="H140" t="str">
            <v>PT-099:CVR GREN BS PINK 12.5G CHARSM 12A</v>
          </cell>
          <cell r="I140">
            <v>26592</v>
          </cell>
          <cell r="J140" t="str">
            <v>UN</v>
          </cell>
          <cell r="K140">
            <v>45569</v>
          </cell>
        </row>
        <row r="141">
          <cell r="A141" t="str">
            <v>50714276210</v>
          </cell>
          <cell r="B141" t="str">
            <v>ZMTD</v>
          </cell>
          <cell r="C141">
            <v>45552</v>
          </cell>
          <cell r="D141" t="str">
            <v>Partially delivered</v>
          </cell>
          <cell r="E141">
            <v>507142762</v>
          </cell>
          <cell r="F141">
            <v>10</v>
          </cell>
          <cell r="G141">
            <v>1191832</v>
          </cell>
          <cell r="H141" t="str">
            <v>PT-085:BS CP INS 15GR WHITE ND 12A</v>
          </cell>
          <cell r="I141">
            <v>40000</v>
          </cell>
          <cell r="J141" t="str">
            <v>UN</v>
          </cell>
          <cell r="K141">
            <v>45570</v>
          </cell>
        </row>
        <row r="142">
          <cell r="A142" t="str">
            <v>50714267810</v>
          </cell>
          <cell r="B142" t="str">
            <v>ZMTD</v>
          </cell>
          <cell r="C142">
            <v>45527</v>
          </cell>
          <cell r="D142" t="str">
            <v>Not delivered</v>
          </cell>
          <cell r="E142">
            <v>507142678</v>
          </cell>
          <cell r="F142">
            <v>10</v>
          </cell>
          <cell r="G142">
            <v>1378563</v>
          </cell>
          <cell r="H142" t="str">
            <v>CP-093:CAP D50 MT BLACK Ø.5 YASULOR 12A</v>
          </cell>
          <cell r="I142">
            <v>450000</v>
          </cell>
          <cell r="J142" t="str">
            <v>UN</v>
          </cell>
          <cell r="K142">
            <v>45570</v>
          </cell>
        </row>
        <row r="143">
          <cell r="A143" t="str">
            <v>50714263220</v>
          </cell>
          <cell r="B143" t="str">
            <v>ZMTD</v>
          </cell>
          <cell r="C143">
            <v>45517</v>
          </cell>
          <cell r="D143" t="str">
            <v>Not delivered</v>
          </cell>
          <cell r="E143">
            <v>507142632</v>
          </cell>
          <cell r="F143">
            <v>20</v>
          </cell>
          <cell r="G143">
            <v>1371896</v>
          </cell>
          <cell r="H143" t="str">
            <v>RX-056:CM-316 CVR BLUE P/WHT SP/MTCLR</v>
          </cell>
          <cell r="I143">
            <v>110016</v>
          </cell>
          <cell r="J143" t="str">
            <v>UN</v>
          </cell>
          <cell r="K143">
            <v>45570</v>
          </cell>
        </row>
        <row r="144">
          <cell r="A144" t="str">
            <v>50714275710</v>
          </cell>
          <cell r="B144" t="str">
            <v>ZMTD</v>
          </cell>
          <cell r="C144">
            <v>45547</v>
          </cell>
          <cell r="D144" t="str">
            <v>Partially delivered</v>
          </cell>
          <cell r="E144">
            <v>507142757</v>
          </cell>
          <cell r="F144">
            <v>10</v>
          </cell>
          <cell r="G144">
            <v>1411701</v>
          </cell>
          <cell r="H144" t="str">
            <v>PT-100:BS/INS BLUE P/WHT KAHF PTI 60B</v>
          </cell>
          <cell r="I144">
            <v>70144</v>
          </cell>
          <cell r="J144" t="str">
            <v>UN</v>
          </cell>
          <cell r="K144">
            <v>45572</v>
          </cell>
        </row>
        <row r="145">
          <cell r="A145" t="str">
            <v>50714275720</v>
          </cell>
          <cell r="B145" t="str">
            <v>ZMTD</v>
          </cell>
          <cell r="C145">
            <v>45547</v>
          </cell>
          <cell r="D145" t="str">
            <v>Partially delivered</v>
          </cell>
          <cell r="E145">
            <v>507142757</v>
          </cell>
          <cell r="F145">
            <v>20</v>
          </cell>
          <cell r="G145">
            <v>1411700</v>
          </cell>
          <cell r="H145" t="str">
            <v>PT-100:CVR MT.BLUE EMBOS KAHF PTI 40D</v>
          </cell>
          <cell r="I145">
            <v>70144</v>
          </cell>
          <cell r="J145" t="str">
            <v>UN</v>
          </cell>
          <cell r="K145">
            <v>45572</v>
          </cell>
        </row>
        <row r="146">
          <cell r="A146" t="str">
            <v>50714275110</v>
          </cell>
          <cell r="B146" t="str">
            <v>ZMTD</v>
          </cell>
          <cell r="C146">
            <v>45545</v>
          </cell>
          <cell r="D146" t="str">
            <v>Partially delivered</v>
          </cell>
          <cell r="E146">
            <v>507142751</v>
          </cell>
          <cell r="F146">
            <v>10</v>
          </cell>
          <cell r="G146">
            <v>1141323</v>
          </cell>
          <cell r="H146" t="str">
            <v>CP-063:SPOUT CAP LOREAL</v>
          </cell>
          <cell r="I146">
            <v>840000</v>
          </cell>
          <cell r="J146" t="str">
            <v>UN</v>
          </cell>
          <cell r="K146">
            <v>45572</v>
          </cell>
        </row>
        <row r="147">
          <cell r="A147" t="str">
            <v>50714273410</v>
          </cell>
          <cell r="B147" t="str">
            <v>ZMTD</v>
          </cell>
          <cell r="C147">
            <v>45544</v>
          </cell>
          <cell r="D147" t="str">
            <v>Partially delivered</v>
          </cell>
          <cell r="E147">
            <v>507142734</v>
          </cell>
          <cell r="F147">
            <v>10</v>
          </cell>
          <cell r="G147">
            <v>1388036</v>
          </cell>
          <cell r="H147" t="str">
            <v>CM-253:CV BS MTMAUVE P/C.BLSH RV1 PTI40H</v>
          </cell>
          <cell r="I147">
            <v>15120</v>
          </cell>
          <cell r="J147" t="str">
            <v>UN</v>
          </cell>
          <cell r="K147">
            <v>45572</v>
          </cell>
        </row>
        <row r="148">
          <cell r="A148" t="str">
            <v>50714269610</v>
          </cell>
          <cell r="B148" t="str">
            <v>ZMTD</v>
          </cell>
          <cell r="C148">
            <v>45533</v>
          </cell>
          <cell r="D148" t="str">
            <v>Partially delivered</v>
          </cell>
          <cell r="E148">
            <v>507142696</v>
          </cell>
          <cell r="F148">
            <v>10</v>
          </cell>
          <cell r="G148">
            <v>1340516</v>
          </cell>
          <cell r="H148" t="str">
            <v>CM-133:CVR BS MTLC GRN UV DP S/WARDH 30T</v>
          </cell>
          <cell r="I148">
            <v>10080</v>
          </cell>
          <cell r="J148" t="str">
            <v>UN</v>
          </cell>
          <cell r="K148">
            <v>45572</v>
          </cell>
        </row>
        <row r="149">
          <cell r="A149" t="str">
            <v>50714270050</v>
          </cell>
          <cell r="B149" t="str">
            <v>ZMTD</v>
          </cell>
          <cell r="C149">
            <v>45533</v>
          </cell>
          <cell r="D149" t="str">
            <v>Partially delivered</v>
          </cell>
          <cell r="E149">
            <v>507142700</v>
          </cell>
          <cell r="F149">
            <v>50</v>
          </cell>
          <cell r="G149">
            <v>1417990</v>
          </cell>
          <cell r="H149" t="str">
            <v>LC-009:BTL #2#3 INNER CLR P/OMG PTIPT60B</v>
          </cell>
          <cell r="I149">
            <v>400050</v>
          </cell>
          <cell r="J149" t="str">
            <v>UN</v>
          </cell>
          <cell r="K149">
            <v>45572</v>
          </cell>
        </row>
        <row r="150">
          <cell r="A150" t="str">
            <v>50714270060</v>
          </cell>
          <cell r="B150" t="str">
            <v>ZMTD</v>
          </cell>
          <cell r="C150">
            <v>45533</v>
          </cell>
          <cell r="D150" t="str">
            <v>Partially delivered</v>
          </cell>
          <cell r="E150">
            <v>507142700</v>
          </cell>
          <cell r="F150">
            <v>60</v>
          </cell>
          <cell r="G150">
            <v>1417978</v>
          </cell>
          <cell r="H150" t="str">
            <v>LC-009:CAP #2#3 REDTR WIP S/OMG PTIPT60B</v>
          </cell>
          <cell r="I150">
            <v>400050</v>
          </cell>
          <cell r="J150" t="str">
            <v>UN</v>
          </cell>
          <cell r="K150">
            <v>45572</v>
          </cell>
        </row>
        <row r="151">
          <cell r="A151" t="str">
            <v>50714268510</v>
          </cell>
          <cell r="B151" t="str">
            <v>ZMTD</v>
          </cell>
          <cell r="C151">
            <v>45532</v>
          </cell>
          <cell r="D151" t="str">
            <v>Partially delivered</v>
          </cell>
          <cell r="E151">
            <v>507142685</v>
          </cell>
          <cell r="F151">
            <v>10</v>
          </cell>
          <cell r="G151">
            <v>1167571</v>
          </cell>
          <cell r="H151" t="str">
            <v>FP-014:BS CLEAR NO DC PTI</v>
          </cell>
          <cell r="I151">
            <v>30240</v>
          </cell>
          <cell r="J151" t="str">
            <v>UN</v>
          </cell>
          <cell r="K151">
            <v>45572</v>
          </cell>
        </row>
        <row r="152">
          <cell r="A152" t="str">
            <v>50714268520</v>
          </cell>
          <cell r="B152" t="str">
            <v>ZMTD</v>
          </cell>
          <cell r="C152">
            <v>45532</v>
          </cell>
          <cell r="D152" t="str">
            <v>Partially delivered</v>
          </cell>
          <cell r="E152">
            <v>507142685</v>
          </cell>
          <cell r="F152">
            <v>20</v>
          </cell>
          <cell r="G152">
            <v>1174020</v>
          </cell>
          <cell r="H152" t="str">
            <v>FP-014:CVR BLCK COAT P/DC MAKE OVER  PTI</v>
          </cell>
          <cell r="I152">
            <v>30240</v>
          </cell>
          <cell r="J152" t="str">
            <v>UN</v>
          </cell>
          <cell r="K152">
            <v>45572</v>
          </cell>
        </row>
        <row r="153">
          <cell r="A153" t="str">
            <v>50714268530</v>
          </cell>
          <cell r="B153" t="str">
            <v>ZMTD</v>
          </cell>
          <cell r="C153">
            <v>45532</v>
          </cell>
          <cell r="D153" t="str">
            <v>Partially delivered</v>
          </cell>
          <cell r="E153">
            <v>507142685</v>
          </cell>
          <cell r="F153">
            <v>30</v>
          </cell>
          <cell r="G153">
            <v>1167434</v>
          </cell>
          <cell r="H153" t="str">
            <v>FP-014:SFTR NATURAL W/ LABEL POLOS PTI</v>
          </cell>
          <cell r="I153">
            <v>30240</v>
          </cell>
          <cell r="J153" t="str">
            <v>UN</v>
          </cell>
          <cell r="K153">
            <v>45572</v>
          </cell>
        </row>
        <row r="154">
          <cell r="A154" t="str">
            <v>50714269330</v>
          </cell>
          <cell r="B154" t="str">
            <v>ZMTD</v>
          </cell>
          <cell r="C154">
            <v>45532</v>
          </cell>
          <cell r="D154" t="str">
            <v>Partially delivered</v>
          </cell>
          <cell r="E154">
            <v>507142693</v>
          </cell>
          <cell r="F154">
            <v>30</v>
          </cell>
          <cell r="G154">
            <v>1375595</v>
          </cell>
          <cell r="H154" t="str">
            <v>LC-009:BTL/INNER CLEAR P/OMG PTIPT 60B</v>
          </cell>
          <cell r="I154">
            <v>150570</v>
          </cell>
          <cell r="J154" t="str">
            <v>UN</v>
          </cell>
          <cell r="K154">
            <v>45572</v>
          </cell>
        </row>
        <row r="155">
          <cell r="A155" t="str">
            <v>50714269340</v>
          </cell>
          <cell r="B155" t="str">
            <v>ZMTD</v>
          </cell>
          <cell r="C155">
            <v>45532</v>
          </cell>
          <cell r="D155" t="str">
            <v>Partially delivered</v>
          </cell>
          <cell r="E155">
            <v>507142693</v>
          </cell>
          <cell r="F155">
            <v>40</v>
          </cell>
          <cell r="G155">
            <v>1375593</v>
          </cell>
          <cell r="H155" t="str">
            <v>LC-009:CAP REDTRANS WIP S/OMG PTIPT 60B</v>
          </cell>
          <cell r="I155">
            <v>150570</v>
          </cell>
          <cell r="J155" t="str">
            <v>UN</v>
          </cell>
          <cell r="K155">
            <v>45572</v>
          </cell>
        </row>
        <row r="156">
          <cell r="A156" t="str">
            <v>50714268030</v>
          </cell>
          <cell r="B156" t="str">
            <v>ZMTD</v>
          </cell>
          <cell r="C156">
            <v>45530</v>
          </cell>
          <cell r="D156" t="str">
            <v>Partially delivered</v>
          </cell>
          <cell r="E156">
            <v>507142680</v>
          </cell>
          <cell r="F156">
            <v>30</v>
          </cell>
          <cell r="G156">
            <v>1209411</v>
          </cell>
          <cell r="H156" t="str">
            <v>FP-014:CV BLK SLV/QUEEN BS M.CLR VTPR</v>
          </cell>
          <cell r="I156">
            <v>24960</v>
          </cell>
          <cell r="J156" t="str">
            <v>UN</v>
          </cell>
          <cell r="K156">
            <v>45572</v>
          </cell>
        </row>
        <row r="157">
          <cell r="A157" t="str">
            <v>50714268040</v>
          </cell>
          <cell r="B157" t="str">
            <v>ZMTD</v>
          </cell>
          <cell r="C157">
            <v>45530</v>
          </cell>
          <cell r="D157" t="str">
            <v>Partially delivered</v>
          </cell>
          <cell r="E157">
            <v>507142680</v>
          </cell>
          <cell r="F157">
            <v>40</v>
          </cell>
          <cell r="G157">
            <v>1209412</v>
          </cell>
          <cell r="H157" t="str">
            <v>FP-014:SFTR W/ WHITE LABEL VTPHARM</v>
          </cell>
          <cell r="I157">
            <v>24960</v>
          </cell>
          <cell r="J157" t="str">
            <v>UN</v>
          </cell>
          <cell r="K157">
            <v>45572</v>
          </cell>
        </row>
        <row r="158">
          <cell r="A158" t="str">
            <v>50714267710</v>
          </cell>
          <cell r="B158" t="str">
            <v>ZMTD</v>
          </cell>
          <cell r="C158">
            <v>45527</v>
          </cell>
          <cell r="D158" t="str">
            <v>Partially delivered</v>
          </cell>
          <cell r="E158">
            <v>507142677</v>
          </cell>
          <cell r="F158">
            <v>10</v>
          </cell>
          <cell r="G158">
            <v>1378563</v>
          </cell>
          <cell r="H158" t="str">
            <v>CP-093:CAP D50 MT BLACK Ø.5 YASULOR 12A</v>
          </cell>
          <cell r="I158">
            <v>800000</v>
          </cell>
          <cell r="J158" t="str">
            <v>UN</v>
          </cell>
          <cell r="K158">
            <v>45572</v>
          </cell>
        </row>
        <row r="159">
          <cell r="A159" t="str">
            <v>50714265710</v>
          </cell>
          <cell r="B159" t="str">
            <v>ZMTD</v>
          </cell>
          <cell r="C159">
            <v>45524</v>
          </cell>
          <cell r="D159" t="str">
            <v>Not delivered</v>
          </cell>
          <cell r="E159">
            <v>507142657</v>
          </cell>
          <cell r="F159">
            <v>10</v>
          </cell>
          <cell r="G159">
            <v>1163327</v>
          </cell>
          <cell r="H159" t="str">
            <v>CM-246:CVR S.SLV PAN WHITE 6MPY 01 0034</v>
          </cell>
          <cell r="I159">
            <v>25056</v>
          </cell>
          <cell r="J159" t="str">
            <v>UN</v>
          </cell>
          <cell r="K159">
            <v>45572</v>
          </cell>
        </row>
        <row r="160">
          <cell r="A160" t="str">
            <v>50714263750</v>
          </cell>
          <cell r="B160" t="str">
            <v>ZMTD</v>
          </cell>
          <cell r="C160">
            <v>45519</v>
          </cell>
          <cell r="D160" t="str">
            <v>Partially delivered</v>
          </cell>
          <cell r="E160">
            <v>507142637</v>
          </cell>
          <cell r="F160">
            <v>50</v>
          </cell>
          <cell r="G160">
            <v>1408740</v>
          </cell>
          <cell r="H160" t="str">
            <v>PT-097B:BDSR.2 BLU HOUS WHT TRNS PTI12A</v>
          </cell>
          <cell r="I160">
            <v>109890</v>
          </cell>
          <cell r="J160" t="str">
            <v>UN</v>
          </cell>
          <cell r="K160">
            <v>45572</v>
          </cell>
        </row>
        <row r="161">
          <cell r="A161" t="str">
            <v>50714263760</v>
          </cell>
          <cell r="B161" t="str">
            <v>ZMTD</v>
          </cell>
          <cell r="C161">
            <v>45519</v>
          </cell>
          <cell r="D161" t="str">
            <v>Partially delivered</v>
          </cell>
          <cell r="E161">
            <v>507142637</v>
          </cell>
          <cell r="F161">
            <v>60</v>
          </cell>
          <cell r="G161">
            <v>1408739</v>
          </cell>
          <cell r="H161" t="str">
            <v>PT-097B:CAP SR.2 BLUE TRANS PTI 12A</v>
          </cell>
          <cell r="I161">
            <v>109890</v>
          </cell>
          <cell r="J161" t="str">
            <v>UN</v>
          </cell>
          <cell r="K161">
            <v>45572</v>
          </cell>
        </row>
        <row r="162">
          <cell r="A162" t="str">
            <v>50714263210</v>
          </cell>
          <cell r="B162" t="str">
            <v>ZMTD</v>
          </cell>
          <cell r="C162">
            <v>45517</v>
          </cell>
          <cell r="D162" t="str">
            <v>Partially delivered</v>
          </cell>
          <cell r="E162">
            <v>507142632</v>
          </cell>
          <cell r="F162">
            <v>10</v>
          </cell>
          <cell r="G162">
            <v>1371896</v>
          </cell>
          <cell r="H162" t="str">
            <v>RX-056:CM-316 CVR BLUE P/WHT SP/MTCLR</v>
          </cell>
          <cell r="I162">
            <v>110016</v>
          </cell>
          <cell r="J162" t="str">
            <v>UN</v>
          </cell>
          <cell r="K162">
            <v>45572</v>
          </cell>
        </row>
        <row r="163">
          <cell r="A163" t="str">
            <v>50714261610</v>
          </cell>
          <cell r="B163" t="str">
            <v>ZMTD</v>
          </cell>
          <cell r="C163">
            <v>45511</v>
          </cell>
          <cell r="D163" t="str">
            <v>Not delivered</v>
          </cell>
          <cell r="E163">
            <v>507142616</v>
          </cell>
          <cell r="F163">
            <v>10</v>
          </cell>
          <cell r="G163">
            <v>1229927</v>
          </cell>
          <cell r="H163" t="str">
            <v>CM-273:INJ WHT 1PHS PURP PRSNAL COLCTION</v>
          </cell>
          <cell r="I163">
            <v>50000</v>
          </cell>
          <cell r="J163" t="str">
            <v>UN</v>
          </cell>
          <cell r="K163">
            <v>45572</v>
          </cell>
        </row>
        <row r="164">
          <cell r="A164" t="str">
            <v>50714259810</v>
          </cell>
          <cell r="B164" t="str">
            <v>ZMTD</v>
          </cell>
          <cell r="C164">
            <v>45509</v>
          </cell>
          <cell r="D164" t="str">
            <v>Partially delivered</v>
          </cell>
          <cell r="E164">
            <v>507142598</v>
          </cell>
          <cell r="F164">
            <v>10</v>
          </cell>
          <cell r="G164">
            <v>1233451</v>
          </cell>
          <cell r="H164" t="str">
            <v>CM-260:EYSHDW CVR BLKSPRY S/GLD VIVA 40C</v>
          </cell>
          <cell r="I164">
            <v>15120</v>
          </cell>
          <cell r="J164" t="str">
            <v>UN</v>
          </cell>
          <cell r="K164">
            <v>45572</v>
          </cell>
        </row>
        <row r="165">
          <cell r="A165" t="str">
            <v>50714258410</v>
          </cell>
          <cell r="B165" t="str">
            <v>ZMTD</v>
          </cell>
          <cell r="C165">
            <v>45502</v>
          </cell>
          <cell r="D165" t="str">
            <v>Partially delivered</v>
          </cell>
          <cell r="E165">
            <v>507142584</v>
          </cell>
          <cell r="F165">
            <v>10</v>
          </cell>
          <cell r="G165">
            <v>1388034</v>
          </cell>
          <cell r="H165" t="str">
            <v>CM-253:CV BS MTCORL P/C.BLSH RV1 PTI40H</v>
          </cell>
          <cell r="I165">
            <v>27000</v>
          </cell>
          <cell r="J165" t="str">
            <v>UN</v>
          </cell>
          <cell r="K165">
            <v>45572</v>
          </cell>
        </row>
        <row r="166">
          <cell r="A166" t="str">
            <v>50714254710</v>
          </cell>
          <cell r="B166" t="str">
            <v>ZMTD</v>
          </cell>
          <cell r="C166">
            <v>45492</v>
          </cell>
          <cell r="D166" t="str">
            <v>Partially delivered</v>
          </cell>
          <cell r="E166">
            <v>507142547</v>
          </cell>
          <cell r="F166">
            <v>10</v>
          </cell>
          <cell r="G166">
            <v>1159912</v>
          </cell>
          <cell r="H166" t="str">
            <v>CP-064:CAP 25 SCREW BLK MT L'OREAL</v>
          </cell>
          <cell r="I166">
            <v>102000</v>
          </cell>
          <cell r="J166" t="str">
            <v>UN</v>
          </cell>
          <cell r="K166">
            <v>45572</v>
          </cell>
        </row>
        <row r="167">
          <cell r="A167" t="str">
            <v>50714241410</v>
          </cell>
          <cell r="B167" t="str">
            <v>ZMTD</v>
          </cell>
          <cell r="C167">
            <v>45471</v>
          </cell>
          <cell r="D167" t="str">
            <v>Partially delivered</v>
          </cell>
          <cell r="E167">
            <v>507142414</v>
          </cell>
          <cell r="F167">
            <v>10</v>
          </cell>
          <cell r="G167">
            <v>1379003</v>
          </cell>
          <cell r="H167" t="str">
            <v>PT-096:CVR WHITE INEZ 12A</v>
          </cell>
          <cell r="I167">
            <v>25000</v>
          </cell>
          <cell r="J167" t="str">
            <v>UN</v>
          </cell>
          <cell r="K167">
            <v>45572</v>
          </cell>
        </row>
        <row r="168">
          <cell r="A168" t="str">
            <v>50714241420</v>
          </cell>
          <cell r="B168" t="str">
            <v>ZMTD</v>
          </cell>
          <cell r="C168">
            <v>45471</v>
          </cell>
          <cell r="D168" t="str">
            <v>Partially delivered</v>
          </cell>
          <cell r="E168">
            <v>507142414</v>
          </cell>
          <cell r="F168">
            <v>20</v>
          </cell>
          <cell r="G168">
            <v>1379004</v>
          </cell>
          <cell r="H168" t="str">
            <v>PT-096:BS MT BLUETRANS P/WHT BEAUTY INEZ</v>
          </cell>
          <cell r="I168">
            <v>25000</v>
          </cell>
          <cell r="J168" t="str">
            <v>UN</v>
          </cell>
          <cell r="K168">
            <v>45572</v>
          </cell>
        </row>
        <row r="169">
          <cell r="A169" t="str">
            <v>50714180810</v>
          </cell>
          <cell r="B169" t="str">
            <v>ZMTD</v>
          </cell>
          <cell r="C169">
            <v>45350</v>
          </cell>
          <cell r="D169" t="str">
            <v>Not delivered</v>
          </cell>
          <cell r="E169">
            <v>507141808</v>
          </cell>
          <cell r="F169">
            <v>10</v>
          </cell>
          <cell r="G169">
            <v>1404888</v>
          </cell>
          <cell r="H169" t="str">
            <v>LS-091:BS MGNTA P/SHEER COLOR ROHTO 60B</v>
          </cell>
          <cell r="I169">
            <v>14820</v>
          </cell>
          <cell r="J169" t="str">
            <v>UN</v>
          </cell>
          <cell r="K169">
            <v>45572</v>
          </cell>
        </row>
        <row r="170">
          <cell r="A170" t="str">
            <v>50714180820</v>
          </cell>
          <cell r="B170" t="str">
            <v>ZMTD</v>
          </cell>
          <cell r="C170">
            <v>45350</v>
          </cell>
          <cell r="D170" t="str">
            <v>Not delivered</v>
          </cell>
          <cell r="E170">
            <v>507141808</v>
          </cell>
          <cell r="F170">
            <v>20</v>
          </cell>
          <cell r="G170">
            <v>1404886</v>
          </cell>
          <cell r="H170" t="str">
            <v>LS-091:CVR MGNTA GRAD UV P/CHERRY ROHTO</v>
          </cell>
          <cell r="I170">
            <v>14820</v>
          </cell>
          <cell r="J170" t="str">
            <v>UN</v>
          </cell>
          <cell r="K170">
            <v>45572</v>
          </cell>
        </row>
        <row r="171">
          <cell r="A171" t="str">
            <v>50714273610</v>
          </cell>
          <cell r="B171" t="str">
            <v>ZMTD</v>
          </cell>
          <cell r="C171">
            <v>45544</v>
          </cell>
          <cell r="D171" t="str">
            <v>Not delivered</v>
          </cell>
          <cell r="E171">
            <v>507142736</v>
          </cell>
          <cell r="F171">
            <v>10</v>
          </cell>
          <cell r="G171">
            <v>1408740</v>
          </cell>
          <cell r="H171" t="str">
            <v>PT-097B:BDSR.2 BLU HOUS WHT TRNS PTI12A</v>
          </cell>
          <cell r="I171">
            <v>110160</v>
          </cell>
          <cell r="J171" t="str">
            <v>UN</v>
          </cell>
          <cell r="K171">
            <v>45573</v>
          </cell>
        </row>
        <row r="172">
          <cell r="A172" t="str">
            <v>50714273620</v>
          </cell>
          <cell r="B172" t="str">
            <v>ZMTD</v>
          </cell>
          <cell r="C172">
            <v>45544</v>
          </cell>
          <cell r="D172" t="str">
            <v>Not delivered</v>
          </cell>
          <cell r="E172">
            <v>507142736</v>
          </cell>
          <cell r="F172">
            <v>20</v>
          </cell>
          <cell r="G172">
            <v>1408739</v>
          </cell>
          <cell r="H172" t="str">
            <v>PT-097B:CAP SR.2 BLUE TRANS PTI 12A</v>
          </cell>
          <cell r="I172">
            <v>110160</v>
          </cell>
          <cell r="J172" t="str">
            <v>UN</v>
          </cell>
          <cell r="K172">
            <v>45573</v>
          </cell>
        </row>
        <row r="173">
          <cell r="A173" t="str">
            <v>50714273920</v>
          </cell>
          <cell r="B173" t="str">
            <v>ZMTD</v>
          </cell>
          <cell r="C173">
            <v>45544</v>
          </cell>
          <cell r="D173" t="str">
            <v>Not delivered</v>
          </cell>
          <cell r="E173">
            <v>507142739</v>
          </cell>
          <cell r="F173">
            <v>20</v>
          </cell>
          <cell r="G173">
            <v>1409881</v>
          </cell>
          <cell r="H173" t="str">
            <v>CM-315:CVR/BS BLACK P/CVRLAST OMG RV160B</v>
          </cell>
          <cell r="I173">
            <v>50204</v>
          </cell>
          <cell r="J173" t="str">
            <v>UN</v>
          </cell>
          <cell r="K173">
            <v>45573</v>
          </cell>
        </row>
        <row r="174">
          <cell r="A174" t="str">
            <v>50714274010</v>
          </cell>
          <cell r="B174" t="str">
            <v>ZMTD</v>
          </cell>
          <cell r="C174">
            <v>45544</v>
          </cell>
          <cell r="D174" t="str">
            <v>Not delivered</v>
          </cell>
          <cell r="E174">
            <v>507142740</v>
          </cell>
          <cell r="F174">
            <v>10</v>
          </cell>
          <cell r="G174">
            <v>1340516</v>
          </cell>
          <cell r="H174" t="str">
            <v>CM-133:CVR BS MTLC GRN UV DP S/WARDH 30T</v>
          </cell>
          <cell r="I174">
            <v>10080</v>
          </cell>
          <cell r="J174" t="str">
            <v>UN</v>
          </cell>
          <cell r="K174">
            <v>45573</v>
          </cell>
        </row>
        <row r="175">
          <cell r="A175" t="str">
            <v>50714272510</v>
          </cell>
          <cell r="B175" t="str">
            <v>ZMTD</v>
          </cell>
          <cell r="C175">
            <v>45541</v>
          </cell>
          <cell r="D175" t="str">
            <v>Not delivered</v>
          </cell>
          <cell r="E175">
            <v>507142725</v>
          </cell>
          <cell r="F175">
            <v>10</v>
          </cell>
          <cell r="G175">
            <v>1420605</v>
          </cell>
          <cell r="H175" t="str">
            <v>CM-253:CV BS MT BRICK 06 P/C.BLSH PTI40H</v>
          </cell>
          <cell r="I175">
            <v>15120</v>
          </cell>
          <cell r="J175" t="str">
            <v>UN</v>
          </cell>
          <cell r="K175">
            <v>45573</v>
          </cell>
        </row>
        <row r="176">
          <cell r="A176" t="str">
            <v>50714268610</v>
          </cell>
          <cell r="B176" t="str">
            <v>ZMTD</v>
          </cell>
          <cell r="C176">
            <v>45532</v>
          </cell>
          <cell r="D176" t="str">
            <v>Partially delivered</v>
          </cell>
          <cell r="E176">
            <v>507142686</v>
          </cell>
          <cell r="F176">
            <v>10</v>
          </cell>
          <cell r="G176">
            <v>1420861</v>
          </cell>
          <cell r="H176" t="str">
            <v>CM-253:CV BS MT PLUM 05  P/C.BLSH PTI40H</v>
          </cell>
          <cell r="I176">
            <v>15120</v>
          </cell>
          <cell r="J176" t="str">
            <v>UN</v>
          </cell>
          <cell r="K176">
            <v>45573</v>
          </cell>
        </row>
        <row r="177">
          <cell r="A177" t="str">
            <v>50714257810</v>
          </cell>
          <cell r="B177" t="str">
            <v>ZMTD</v>
          </cell>
          <cell r="C177">
            <v>45502</v>
          </cell>
          <cell r="D177" t="str">
            <v>Partially delivered</v>
          </cell>
          <cell r="E177">
            <v>507142578</v>
          </cell>
          <cell r="F177">
            <v>10</v>
          </cell>
          <cell r="G177">
            <v>1432954</v>
          </cell>
          <cell r="H177" t="str">
            <v>LC-002:CAP RED P/SPICYCHARM RAMA 60B</v>
          </cell>
          <cell r="I177">
            <v>31000</v>
          </cell>
          <cell r="J177" t="str">
            <v>UN</v>
          </cell>
          <cell r="K177">
            <v>45573</v>
          </cell>
        </row>
        <row r="178">
          <cell r="A178" t="str">
            <v>50714257820</v>
          </cell>
          <cell r="B178" t="str">
            <v>ZMTD</v>
          </cell>
          <cell r="C178">
            <v>45502</v>
          </cell>
          <cell r="D178" t="str">
            <v>Partially delivered</v>
          </cell>
          <cell r="E178">
            <v>507142578</v>
          </cell>
          <cell r="F178">
            <v>20</v>
          </cell>
          <cell r="G178">
            <v>1433095</v>
          </cell>
          <cell r="H178" t="str">
            <v>LC-002:BTL CLR HTF/SPICY CHRM CHILI RAMA</v>
          </cell>
          <cell r="I178">
            <v>31000</v>
          </cell>
          <cell r="J178" t="str">
            <v>UN</v>
          </cell>
          <cell r="K178">
            <v>45573</v>
          </cell>
        </row>
        <row r="179">
          <cell r="A179" t="str">
            <v>50714257830</v>
          </cell>
          <cell r="B179" t="str">
            <v>ZMTD</v>
          </cell>
          <cell r="C179">
            <v>45502</v>
          </cell>
          <cell r="D179" t="str">
            <v>Partially delivered</v>
          </cell>
          <cell r="E179">
            <v>507142578</v>
          </cell>
          <cell r="F179">
            <v>30</v>
          </cell>
          <cell r="G179">
            <v>1433092</v>
          </cell>
          <cell r="H179" t="str">
            <v>LC-002:CAP PINK P/BLUSH BLSOM RAMA 60B</v>
          </cell>
          <cell r="I179">
            <v>31000</v>
          </cell>
          <cell r="J179" t="str">
            <v>UN</v>
          </cell>
          <cell r="K179">
            <v>45573</v>
          </cell>
        </row>
        <row r="180">
          <cell r="A180" t="str">
            <v>50714257840</v>
          </cell>
          <cell r="B180" t="str">
            <v>ZMTD</v>
          </cell>
          <cell r="C180">
            <v>45502</v>
          </cell>
          <cell r="D180" t="str">
            <v>Partially delivered</v>
          </cell>
          <cell r="E180">
            <v>507142578</v>
          </cell>
          <cell r="F180">
            <v>40</v>
          </cell>
          <cell r="G180">
            <v>1432953</v>
          </cell>
          <cell r="H180" t="str">
            <v>LC-002:BTL CLR HTF/BLUSH BLSOMCHILI RAMA</v>
          </cell>
          <cell r="I180">
            <v>31000</v>
          </cell>
          <cell r="J180" t="str">
            <v>UN</v>
          </cell>
          <cell r="K180">
            <v>45573</v>
          </cell>
        </row>
        <row r="181">
          <cell r="A181" t="str">
            <v>50714257850</v>
          </cell>
          <cell r="B181" t="str">
            <v>ZMTD</v>
          </cell>
          <cell r="C181">
            <v>45502</v>
          </cell>
          <cell r="D181" t="str">
            <v>Partially delivered</v>
          </cell>
          <cell r="E181">
            <v>507142578</v>
          </cell>
          <cell r="F181">
            <v>50</v>
          </cell>
          <cell r="G181">
            <v>1433012</v>
          </cell>
          <cell r="H181" t="str">
            <v>LC-002:CAP ORANGE P/SUNKISTOMATO RAMA60B</v>
          </cell>
          <cell r="I181">
            <v>31000</v>
          </cell>
          <cell r="J181" t="str">
            <v>UN</v>
          </cell>
          <cell r="K181">
            <v>45573</v>
          </cell>
        </row>
        <row r="182">
          <cell r="A182" t="str">
            <v>50714257860</v>
          </cell>
          <cell r="B182" t="str">
            <v>ZMTD</v>
          </cell>
          <cell r="C182">
            <v>45502</v>
          </cell>
          <cell r="D182" t="str">
            <v>Partially delivered</v>
          </cell>
          <cell r="E182">
            <v>507142578</v>
          </cell>
          <cell r="F182">
            <v>60</v>
          </cell>
          <cell r="G182">
            <v>1433011</v>
          </cell>
          <cell r="H182" t="str">
            <v>LC-002:BTL CLR HTF/SUNKISSEDTOMATO RAMA</v>
          </cell>
          <cell r="I182">
            <v>31000</v>
          </cell>
          <cell r="J182" t="str">
            <v>UN</v>
          </cell>
          <cell r="K182">
            <v>45573</v>
          </cell>
        </row>
        <row r="183">
          <cell r="A183" t="str">
            <v>50714256230</v>
          </cell>
          <cell r="B183" t="str">
            <v>ZMTD</v>
          </cell>
          <cell r="C183">
            <v>45496</v>
          </cell>
          <cell r="D183" t="str">
            <v>Not delivered</v>
          </cell>
          <cell r="E183">
            <v>507142562</v>
          </cell>
          <cell r="F183">
            <v>30</v>
          </cell>
          <cell r="G183">
            <v>1428696</v>
          </cell>
          <cell r="H183" t="str">
            <v>PT-055:BD ANTI-PERS 94006-BS2 INERPARFUM</v>
          </cell>
          <cell r="I183">
            <v>81675</v>
          </cell>
          <cell r="J183" t="str">
            <v>UN</v>
          </cell>
          <cell r="K183">
            <v>45573</v>
          </cell>
        </row>
        <row r="184">
          <cell r="A184" t="str">
            <v>50714256240</v>
          </cell>
          <cell r="B184" t="str">
            <v>ZMTD</v>
          </cell>
          <cell r="C184">
            <v>45496</v>
          </cell>
          <cell r="D184" t="str">
            <v>Not delivered</v>
          </cell>
          <cell r="E184">
            <v>507142562</v>
          </cell>
          <cell r="F184">
            <v>40</v>
          </cell>
          <cell r="G184">
            <v>1313073</v>
          </cell>
          <cell r="H184" t="str">
            <v>PT-055:PLUG BEIGE CASHMERE INTERPARFUM</v>
          </cell>
          <cell r="I184">
            <v>83430</v>
          </cell>
          <cell r="J184" t="str">
            <v>UN</v>
          </cell>
          <cell r="K184">
            <v>45573</v>
          </cell>
        </row>
        <row r="185">
          <cell r="A185" t="str">
            <v>50714241630</v>
          </cell>
          <cell r="B185" t="str">
            <v>ZMTD</v>
          </cell>
          <cell r="C185">
            <v>45474</v>
          </cell>
          <cell r="D185" t="str">
            <v>Not delivered</v>
          </cell>
          <cell r="E185">
            <v>507142416</v>
          </cell>
          <cell r="F185">
            <v>30</v>
          </cell>
          <cell r="G185">
            <v>1376248</v>
          </cell>
          <cell r="H185" t="str">
            <v>FP-008:CVR L.PINK P/BLK MANDOM RV1 12A</v>
          </cell>
          <cell r="I185">
            <v>10000</v>
          </cell>
          <cell r="J185" t="str">
            <v>UN</v>
          </cell>
          <cell r="K185">
            <v>45573</v>
          </cell>
        </row>
        <row r="186">
          <cell r="A186" t="str">
            <v>50714241640</v>
          </cell>
          <cell r="B186" t="str">
            <v>ZMTD</v>
          </cell>
          <cell r="C186">
            <v>45474</v>
          </cell>
          <cell r="D186" t="str">
            <v>Not delivered</v>
          </cell>
          <cell r="E186">
            <v>507142416</v>
          </cell>
          <cell r="F186">
            <v>40</v>
          </cell>
          <cell r="G186">
            <v>1171179</v>
          </cell>
          <cell r="H186" t="str">
            <v>FP-008:BS INJ BLK NO DC MANDOM</v>
          </cell>
          <cell r="I186">
            <v>10000</v>
          </cell>
          <cell r="J186" t="str">
            <v>UN</v>
          </cell>
          <cell r="K186">
            <v>45573</v>
          </cell>
        </row>
        <row r="187">
          <cell r="A187" t="str">
            <v>50714241650</v>
          </cell>
          <cell r="B187" t="str">
            <v>ZMTD</v>
          </cell>
          <cell r="C187">
            <v>45474</v>
          </cell>
          <cell r="D187" t="str">
            <v>Not delivered</v>
          </cell>
          <cell r="E187">
            <v>507142416</v>
          </cell>
          <cell r="F187">
            <v>50</v>
          </cell>
          <cell r="G187">
            <v>1172027</v>
          </cell>
          <cell r="H187" t="str">
            <v>FP-008:SFT NAT L.HINGE W/LBL NO DC MDM</v>
          </cell>
          <cell r="I187">
            <v>10000</v>
          </cell>
          <cell r="J187" t="str">
            <v>UN</v>
          </cell>
          <cell r="K187">
            <v>45573</v>
          </cell>
        </row>
        <row r="188">
          <cell r="A188" t="str">
            <v>507142416120</v>
          </cell>
          <cell r="B188" t="str">
            <v>ZMTD</v>
          </cell>
          <cell r="C188">
            <v>45474</v>
          </cell>
          <cell r="D188" t="str">
            <v>Not delivered</v>
          </cell>
          <cell r="E188">
            <v>507142416</v>
          </cell>
          <cell r="F188">
            <v>120</v>
          </cell>
          <cell r="G188">
            <v>1255971</v>
          </cell>
          <cell r="H188" t="str">
            <v>LS-285:COVER PINK PX LCC NO DC MNDOM 12A</v>
          </cell>
          <cell r="I188">
            <v>10000</v>
          </cell>
          <cell r="J188" t="str">
            <v>UN</v>
          </cell>
          <cell r="K188">
            <v>45573</v>
          </cell>
        </row>
        <row r="189">
          <cell r="A189" t="str">
            <v>507142416130</v>
          </cell>
          <cell r="B189" t="str">
            <v>ZMTD</v>
          </cell>
          <cell r="C189">
            <v>45474</v>
          </cell>
          <cell r="D189" t="str">
            <v>Not delivered</v>
          </cell>
          <cell r="E189">
            <v>507142416</v>
          </cell>
          <cell r="F189">
            <v>130</v>
          </cell>
          <cell r="G189">
            <v>1393255</v>
          </cell>
          <cell r="H189" t="str">
            <v>LS-285:BS PINK PX LCC P/BLK MNDOM RV160B</v>
          </cell>
          <cell r="I189">
            <v>10000</v>
          </cell>
          <cell r="J189" t="str">
            <v>UN</v>
          </cell>
          <cell r="K189">
            <v>45573</v>
          </cell>
        </row>
        <row r="190">
          <cell r="A190" t="str">
            <v>50714227710</v>
          </cell>
          <cell r="B190" t="str">
            <v>ZMTD</v>
          </cell>
          <cell r="C190">
            <v>45447</v>
          </cell>
          <cell r="D190" t="str">
            <v>Not delivered</v>
          </cell>
          <cell r="E190">
            <v>507142277</v>
          </cell>
          <cell r="F190">
            <v>10</v>
          </cell>
          <cell r="G190">
            <v>1419488</v>
          </cell>
          <cell r="H190" t="str">
            <v>CP-063R:SPOUT CAP WHITE LOREAL 12A</v>
          </cell>
          <cell r="I190">
            <v>1890000</v>
          </cell>
          <cell r="J190" t="str">
            <v>UN</v>
          </cell>
          <cell r="K190">
            <v>45573</v>
          </cell>
        </row>
        <row r="191">
          <cell r="A191" t="str">
            <v>50714275730</v>
          </cell>
          <cell r="B191" t="str">
            <v>ZMTD</v>
          </cell>
          <cell r="C191">
            <v>45547</v>
          </cell>
          <cell r="D191" t="str">
            <v>Not delivered</v>
          </cell>
          <cell r="E191">
            <v>507142757</v>
          </cell>
          <cell r="F191">
            <v>30</v>
          </cell>
          <cell r="G191">
            <v>1411701</v>
          </cell>
          <cell r="H191" t="str">
            <v>PT-100:BS/INS BLUE P/WHT KAHF PTI 60B</v>
          </cell>
          <cell r="I191">
            <v>120064</v>
          </cell>
          <cell r="J191" t="str">
            <v>UN</v>
          </cell>
          <cell r="K191">
            <v>45574</v>
          </cell>
        </row>
        <row r="192">
          <cell r="A192" t="str">
            <v>50714275740</v>
          </cell>
          <cell r="B192" t="str">
            <v>ZMTD</v>
          </cell>
          <cell r="C192">
            <v>45547</v>
          </cell>
          <cell r="D192" t="str">
            <v>Not delivered</v>
          </cell>
          <cell r="E192">
            <v>507142757</v>
          </cell>
          <cell r="F192">
            <v>40</v>
          </cell>
          <cell r="G192">
            <v>1411700</v>
          </cell>
          <cell r="H192" t="str">
            <v>PT-100:CVR MT.BLUE EMBOS KAHF PTI 40D</v>
          </cell>
          <cell r="I192">
            <v>120064</v>
          </cell>
          <cell r="J192" t="str">
            <v>UN</v>
          </cell>
          <cell r="K192">
            <v>45574</v>
          </cell>
        </row>
        <row r="193">
          <cell r="A193" t="str">
            <v>50714273210</v>
          </cell>
          <cell r="B193" t="str">
            <v>ZMTD</v>
          </cell>
          <cell r="C193">
            <v>45544</v>
          </cell>
          <cell r="D193" t="str">
            <v>Partially delivered</v>
          </cell>
          <cell r="E193">
            <v>507142732</v>
          </cell>
          <cell r="F193">
            <v>10</v>
          </cell>
          <cell r="G193">
            <v>1411213</v>
          </cell>
          <cell r="H193" t="str">
            <v>CM-105:BLCK COAT P/MAKE OVER PTI RV1 40H</v>
          </cell>
          <cell r="I193">
            <v>20160</v>
          </cell>
          <cell r="J193" t="str">
            <v>UN</v>
          </cell>
          <cell r="K193">
            <v>45574</v>
          </cell>
        </row>
        <row r="194">
          <cell r="A194" t="str">
            <v>50714269350</v>
          </cell>
          <cell r="B194" t="str">
            <v>ZMTD</v>
          </cell>
          <cell r="C194">
            <v>45532</v>
          </cell>
          <cell r="D194" t="str">
            <v>Not delivered</v>
          </cell>
          <cell r="E194">
            <v>507142693</v>
          </cell>
          <cell r="F194">
            <v>50</v>
          </cell>
          <cell r="G194">
            <v>1375595</v>
          </cell>
          <cell r="H194" t="str">
            <v>LC-009:BTL/INNER CLEAR P/OMG PTIPT 60B</v>
          </cell>
          <cell r="I194">
            <v>149310</v>
          </cell>
          <cell r="J194" t="str">
            <v>UN</v>
          </cell>
          <cell r="K194">
            <v>45574</v>
          </cell>
        </row>
        <row r="195">
          <cell r="A195" t="str">
            <v>50714269360</v>
          </cell>
          <cell r="B195" t="str">
            <v>ZMTD</v>
          </cell>
          <cell r="C195">
            <v>45532</v>
          </cell>
          <cell r="D195" t="str">
            <v>Not delivered</v>
          </cell>
          <cell r="E195">
            <v>507142693</v>
          </cell>
          <cell r="F195">
            <v>60</v>
          </cell>
          <cell r="G195">
            <v>1375593</v>
          </cell>
          <cell r="H195" t="str">
            <v>LC-009:CAP REDTRANS WIP S/OMG PTIPT 60B</v>
          </cell>
          <cell r="I195">
            <v>149310</v>
          </cell>
          <cell r="J195" t="str">
            <v>UN</v>
          </cell>
          <cell r="K195">
            <v>45574</v>
          </cell>
        </row>
        <row r="196">
          <cell r="A196" t="str">
            <v>50714260310</v>
          </cell>
          <cell r="B196" t="str">
            <v>ZMTD</v>
          </cell>
          <cell r="C196">
            <v>45509</v>
          </cell>
          <cell r="D196" t="str">
            <v>Not delivered</v>
          </cell>
          <cell r="E196">
            <v>507142603</v>
          </cell>
          <cell r="F196">
            <v>10</v>
          </cell>
          <cell r="G196">
            <v>1217479</v>
          </cell>
          <cell r="H196" t="str">
            <v>CM-172:8W UV SLV P/ S.CLNQ 6P40010031 EL</v>
          </cell>
          <cell r="I196">
            <v>25080</v>
          </cell>
          <cell r="J196" t="str">
            <v>UN</v>
          </cell>
          <cell r="K196">
            <v>45574</v>
          </cell>
        </row>
        <row r="197">
          <cell r="A197" t="str">
            <v>50714257910</v>
          </cell>
          <cell r="B197" t="str">
            <v>ZMTD</v>
          </cell>
          <cell r="C197">
            <v>45502</v>
          </cell>
          <cell r="D197" t="str">
            <v>Not delivered</v>
          </cell>
          <cell r="E197">
            <v>507142579</v>
          </cell>
          <cell r="F197">
            <v>10</v>
          </cell>
          <cell r="G197">
            <v>1159912</v>
          </cell>
          <cell r="H197" t="str">
            <v>CP-064:CAP 25 SCREW BLK MT L'OREAL</v>
          </cell>
          <cell r="I197">
            <v>48000</v>
          </cell>
          <cell r="J197" t="str">
            <v>UN</v>
          </cell>
          <cell r="K197">
            <v>45574</v>
          </cell>
        </row>
        <row r="198">
          <cell r="A198" t="str">
            <v>50714250620</v>
          </cell>
          <cell r="B198" t="str">
            <v>ZMTD</v>
          </cell>
          <cell r="C198">
            <v>45488</v>
          </cell>
          <cell r="D198" t="str">
            <v>Partially delivered</v>
          </cell>
          <cell r="E198">
            <v>507142506</v>
          </cell>
          <cell r="F198">
            <v>20</v>
          </cell>
          <cell r="G198">
            <v>1276491</v>
          </cell>
          <cell r="H198" t="str">
            <v>CM-105:CV VM RSGLD BS MT P/INSTA PTI 20X</v>
          </cell>
          <cell r="I198">
            <v>24960</v>
          </cell>
          <cell r="J198" t="str">
            <v>UN</v>
          </cell>
          <cell r="K198">
            <v>45574</v>
          </cell>
        </row>
        <row r="199">
          <cell r="A199" t="str">
            <v>50714286310</v>
          </cell>
          <cell r="B199" t="str">
            <v>ZMTD</v>
          </cell>
          <cell r="C199">
            <v>45574</v>
          </cell>
          <cell r="D199" t="str">
            <v>Not delivered</v>
          </cell>
          <cell r="E199">
            <v>507142863</v>
          </cell>
          <cell r="F199">
            <v>10</v>
          </cell>
          <cell r="G199">
            <v>1414554</v>
          </cell>
          <cell r="H199" t="str">
            <v>SPIRAL SPRING MO SS304,11G,54.5MM PTI(T)</v>
          </cell>
          <cell r="I199">
            <v>361600</v>
          </cell>
          <cell r="J199" t="str">
            <v>UN</v>
          </cell>
          <cell r="K199">
            <v>45575</v>
          </cell>
        </row>
        <row r="200">
          <cell r="A200" t="str">
            <v>50714277010</v>
          </cell>
          <cell r="B200" t="str">
            <v>ZMTD</v>
          </cell>
          <cell r="C200">
            <v>45554</v>
          </cell>
          <cell r="D200" t="str">
            <v>Not delivered</v>
          </cell>
          <cell r="E200">
            <v>507142770</v>
          </cell>
          <cell r="F200">
            <v>10</v>
          </cell>
          <cell r="G200">
            <v>1378563</v>
          </cell>
          <cell r="H200" t="str">
            <v>CP-093:CAP D50 MT BLACK Ø.5 YASULOR 12A</v>
          </cell>
          <cell r="I200">
            <v>600000</v>
          </cell>
          <cell r="J200" t="str">
            <v>UN</v>
          </cell>
          <cell r="K200">
            <v>45575</v>
          </cell>
        </row>
        <row r="201">
          <cell r="A201" t="str">
            <v>50714276910</v>
          </cell>
          <cell r="B201" t="str">
            <v>ZMTD</v>
          </cell>
          <cell r="C201">
            <v>45553</v>
          </cell>
          <cell r="D201" t="str">
            <v>Not delivered</v>
          </cell>
          <cell r="E201">
            <v>507142769</v>
          </cell>
          <cell r="F201">
            <v>10</v>
          </cell>
          <cell r="G201">
            <v>1167571</v>
          </cell>
          <cell r="H201" t="str">
            <v>FP-014:BS CLEAR NO DC PTI</v>
          </cell>
          <cell r="I201">
            <v>30096</v>
          </cell>
          <cell r="J201" t="str">
            <v>UN</v>
          </cell>
          <cell r="K201">
            <v>45575</v>
          </cell>
        </row>
        <row r="202">
          <cell r="A202" t="str">
            <v>50714276920</v>
          </cell>
          <cell r="B202" t="str">
            <v>ZMTD</v>
          </cell>
          <cell r="C202">
            <v>45553</v>
          </cell>
          <cell r="D202" t="str">
            <v>Not delivered</v>
          </cell>
          <cell r="E202">
            <v>507142769</v>
          </cell>
          <cell r="F202">
            <v>20</v>
          </cell>
          <cell r="G202">
            <v>1174020</v>
          </cell>
          <cell r="H202" t="str">
            <v>FP-014:CVR BLCK COAT P/DC MAKE OVER  PTI</v>
          </cell>
          <cell r="I202">
            <v>30096</v>
          </cell>
          <cell r="J202" t="str">
            <v>UN</v>
          </cell>
          <cell r="K202">
            <v>45575</v>
          </cell>
        </row>
        <row r="203">
          <cell r="A203" t="str">
            <v>50714276930</v>
          </cell>
          <cell r="B203" t="str">
            <v>ZMTD</v>
          </cell>
          <cell r="C203">
            <v>45553</v>
          </cell>
          <cell r="D203" t="str">
            <v>Not delivered</v>
          </cell>
          <cell r="E203">
            <v>507142769</v>
          </cell>
          <cell r="F203">
            <v>30</v>
          </cell>
          <cell r="G203">
            <v>1167434</v>
          </cell>
          <cell r="H203" t="str">
            <v>FP-014:SFTR NATURAL W/ LABEL POLOS PTI</v>
          </cell>
          <cell r="I203">
            <v>30096</v>
          </cell>
          <cell r="J203" t="str">
            <v>UN</v>
          </cell>
          <cell r="K203">
            <v>45575</v>
          </cell>
        </row>
        <row r="204">
          <cell r="A204" t="str">
            <v>50714274210</v>
          </cell>
          <cell r="B204" t="str">
            <v>ZMTD</v>
          </cell>
          <cell r="C204">
            <v>45544</v>
          </cell>
          <cell r="D204" t="str">
            <v>Partially delivered</v>
          </cell>
          <cell r="E204">
            <v>507142742</v>
          </cell>
          <cell r="F204">
            <v>10</v>
          </cell>
          <cell r="G204">
            <v>1437039</v>
          </cell>
          <cell r="H204" t="str">
            <v>CM-290:1PC BS CV MT.BLK S/ EMBOS OMG 40C</v>
          </cell>
          <cell r="I204">
            <v>28560</v>
          </cell>
          <cell r="J204" t="str">
            <v>UN</v>
          </cell>
          <cell r="K204">
            <v>45575</v>
          </cell>
        </row>
        <row r="205">
          <cell r="A205" t="str">
            <v>50714274220</v>
          </cell>
          <cell r="B205" t="str">
            <v>ZMTD</v>
          </cell>
          <cell r="C205">
            <v>45544</v>
          </cell>
          <cell r="D205" t="str">
            <v>Partially delivered</v>
          </cell>
          <cell r="E205">
            <v>507142742</v>
          </cell>
          <cell r="F205">
            <v>20</v>
          </cell>
          <cell r="G205">
            <v>1437140</v>
          </cell>
          <cell r="H205" t="str">
            <v>CM-290:ENGINE CV RED, BS BLK OMG PTI 12A</v>
          </cell>
          <cell r="I205">
            <v>35112</v>
          </cell>
          <cell r="J205" t="str">
            <v>UN</v>
          </cell>
          <cell r="K205">
            <v>45575</v>
          </cell>
        </row>
        <row r="206">
          <cell r="A206" t="str">
            <v>50714274230</v>
          </cell>
          <cell r="B206" t="str">
            <v>ZMTD</v>
          </cell>
          <cell r="C206">
            <v>45544</v>
          </cell>
          <cell r="D206" t="str">
            <v>Partially delivered</v>
          </cell>
          <cell r="E206">
            <v>507142742</v>
          </cell>
          <cell r="F206">
            <v>30</v>
          </cell>
          <cell r="G206">
            <v>1437141</v>
          </cell>
          <cell r="H206" t="str">
            <v>CM-290:RING BLACK OMG PTI 12A</v>
          </cell>
          <cell r="I206">
            <v>35112</v>
          </cell>
          <cell r="J206" t="str">
            <v>UN</v>
          </cell>
          <cell r="K206">
            <v>45575</v>
          </cell>
        </row>
        <row r="207">
          <cell r="A207" t="str">
            <v>50714274310</v>
          </cell>
          <cell r="B207" t="str">
            <v>ZMTD</v>
          </cell>
          <cell r="C207">
            <v>45544</v>
          </cell>
          <cell r="D207" t="str">
            <v>Not delivered</v>
          </cell>
          <cell r="E207">
            <v>507142743</v>
          </cell>
          <cell r="F207">
            <v>10</v>
          </cell>
          <cell r="G207">
            <v>1388036</v>
          </cell>
          <cell r="H207" t="str">
            <v>CM-253:CV BS MTMAUVE P/C.BLSH RV1 PTI40H</v>
          </cell>
          <cell r="I207">
            <v>15120</v>
          </cell>
          <cell r="J207" t="str">
            <v>UN</v>
          </cell>
          <cell r="K207">
            <v>45575</v>
          </cell>
        </row>
        <row r="208">
          <cell r="A208" t="str">
            <v>50714272710</v>
          </cell>
          <cell r="B208" t="str">
            <v>ZMTD</v>
          </cell>
          <cell r="C208">
            <v>45541</v>
          </cell>
          <cell r="D208" t="str">
            <v>Not delivered</v>
          </cell>
          <cell r="E208">
            <v>507142727</v>
          </cell>
          <cell r="F208">
            <v>10</v>
          </cell>
          <cell r="G208">
            <v>1285453</v>
          </cell>
          <cell r="H208" t="str">
            <v>CM-216:TRUE MATCH PP CV PF S/SLV LOR US</v>
          </cell>
          <cell r="I208">
            <v>125400</v>
          </cell>
          <cell r="J208" t="str">
            <v>UN</v>
          </cell>
          <cell r="K208">
            <v>45575</v>
          </cell>
        </row>
        <row r="209">
          <cell r="A209" t="str">
            <v>50714257410</v>
          </cell>
          <cell r="B209" t="str">
            <v>ZMTD</v>
          </cell>
          <cell r="C209">
            <v>45499</v>
          </cell>
          <cell r="D209" t="str">
            <v>Not delivered</v>
          </cell>
          <cell r="E209">
            <v>507142574</v>
          </cell>
          <cell r="F209">
            <v>10</v>
          </cell>
          <cell r="G209">
            <v>1431860</v>
          </cell>
          <cell r="H209" t="str">
            <v>PT6029R CAP GARNIER 18ML WHITE PLZ (553)</v>
          </cell>
          <cell r="I209">
            <v>52080</v>
          </cell>
          <cell r="J209" t="str">
            <v>UN</v>
          </cell>
          <cell r="K209">
            <v>45575</v>
          </cell>
        </row>
        <row r="210">
          <cell r="A210" t="str">
            <v>50714256110</v>
          </cell>
          <cell r="B210" t="str">
            <v>ZMTD</v>
          </cell>
          <cell r="C210">
            <v>45496</v>
          </cell>
          <cell r="D210" t="str">
            <v>Not delivered</v>
          </cell>
          <cell r="E210">
            <v>507142561</v>
          </cell>
          <cell r="F210">
            <v>10</v>
          </cell>
          <cell r="G210">
            <v>1279282</v>
          </cell>
          <cell r="H210" t="str">
            <v>VT:TG-001 IXPE 560X357X2 MM US</v>
          </cell>
          <cell r="I210">
            <v>22260</v>
          </cell>
          <cell r="J210" t="str">
            <v>UN</v>
          </cell>
          <cell r="K210">
            <v>45575</v>
          </cell>
        </row>
        <row r="211">
          <cell r="A211" t="str">
            <v>50714276540</v>
          </cell>
          <cell r="B211" t="str">
            <v>ZMTD</v>
          </cell>
          <cell r="C211">
            <v>45552</v>
          </cell>
          <cell r="D211" t="str">
            <v>Not delivered</v>
          </cell>
          <cell r="E211">
            <v>507142765</v>
          </cell>
          <cell r="F211">
            <v>40</v>
          </cell>
          <cell r="G211">
            <v>1398383</v>
          </cell>
          <cell r="H211" t="str">
            <v>CM-319:WHITE P/BLACK UV MATTE NARS</v>
          </cell>
          <cell r="I211">
            <v>30960</v>
          </cell>
          <cell r="J211" t="str">
            <v>UN</v>
          </cell>
          <cell r="K211">
            <v>45576</v>
          </cell>
        </row>
        <row r="212">
          <cell r="A212" t="str">
            <v>50714255410</v>
          </cell>
          <cell r="B212" t="str">
            <v>ZMTD</v>
          </cell>
          <cell r="C212">
            <v>45495</v>
          </cell>
          <cell r="D212" t="str">
            <v>Not delivered</v>
          </cell>
          <cell r="E212">
            <v>507142554</v>
          </cell>
          <cell r="F212">
            <v>10</v>
          </cell>
          <cell r="G212">
            <v>1432356</v>
          </cell>
          <cell r="H212" t="str">
            <v>CM-280:BS/CV BO BLUE UV P/S/INEZ FTC 30M</v>
          </cell>
          <cell r="I212">
            <v>30000</v>
          </cell>
          <cell r="J212" t="str">
            <v>UN</v>
          </cell>
          <cell r="K212">
            <v>45576</v>
          </cell>
        </row>
        <row r="213">
          <cell r="A213" t="str">
            <v>50714254310</v>
          </cell>
          <cell r="B213" t="str">
            <v>ZMTD</v>
          </cell>
          <cell r="C213">
            <v>45491</v>
          </cell>
          <cell r="D213" t="str">
            <v>Not delivered</v>
          </cell>
          <cell r="E213">
            <v>507142543</v>
          </cell>
          <cell r="F213">
            <v>10</v>
          </cell>
          <cell r="G213">
            <v>1278860</v>
          </cell>
          <cell r="H213" t="str">
            <v>CM-296:WHT P/L.AGELES W/O HOLE COTY TAOR</v>
          </cell>
          <cell r="I213">
            <v>72000</v>
          </cell>
          <cell r="J213" t="str">
            <v>UN</v>
          </cell>
          <cell r="K213">
            <v>45576</v>
          </cell>
        </row>
        <row r="214">
          <cell r="A214" t="str">
            <v>50714241660</v>
          </cell>
          <cell r="B214" t="str">
            <v>ZMTD</v>
          </cell>
          <cell r="C214">
            <v>45474</v>
          </cell>
          <cell r="D214" t="str">
            <v>Not delivered</v>
          </cell>
          <cell r="E214">
            <v>507142416</v>
          </cell>
          <cell r="F214">
            <v>60</v>
          </cell>
          <cell r="G214">
            <v>1376248</v>
          </cell>
          <cell r="H214" t="str">
            <v>FP-008:CVR L.PINK P/BLK MANDOM RV1 12A</v>
          </cell>
          <cell r="I214">
            <v>10000</v>
          </cell>
          <cell r="J214" t="str">
            <v>UN</v>
          </cell>
          <cell r="K214">
            <v>45576</v>
          </cell>
        </row>
        <row r="215">
          <cell r="A215" t="str">
            <v>50714241670</v>
          </cell>
          <cell r="B215" t="str">
            <v>ZMTD</v>
          </cell>
          <cell r="C215">
            <v>45474</v>
          </cell>
          <cell r="D215" t="str">
            <v>Not delivered</v>
          </cell>
          <cell r="E215">
            <v>507142416</v>
          </cell>
          <cell r="F215">
            <v>70</v>
          </cell>
          <cell r="G215">
            <v>1171179</v>
          </cell>
          <cell r="H215" t="str">
            <v>FP-008:BS INJ BLK NO DC MANDOM</v>
          </cell>
          <cell r="I215">
            <v>10000</v>
          </cell>
          <cell r="J215" t="str">
            <v>UN</v>
          </cell>
          <cell r="K215">
            <v>45576</v>
          </cell>
        </row>
        <row r="216">
          <cell r="A216" t="str">
            <v>50714241680</v>
          </cell>
          <cell r="B216" t="str">
            <v>ZMTD</v>
          </cell>
          <cell r="C216">
            <v>45474</v>
          </cell>
          <cell r="D216" t="str">
            <v>Not delivered</v>
          </cell>
          <cell r="E216">
            <v>507142416</v>
          </cell>
          <cell r="F216">
            <v>80</v>
          </cell>
          <cell r="G216">
            <v>1172027</v>
          </cell>
          <cell r="H216" t="str">
            <v>FP-008:SFT NAT L.HINGE W/LBL NO DC MDM</v>
          </cell>
          <cell r="I216">
            <v>10000</v>
          </cell>
          <cell r="J216" t="str">
            <v>UN</v>
          </cell>
          <cell r="K216">
            <v>45576</v>
          </cell>
        </row>
        <row r="217">
          <cell r="A217" t="str">
            <v>507142416140</v>
          </cell>
          <cell r="B217" t="str">
            <v>ZMTD</v>
          </cell>
          <cell r="C217">
            <v>45474</v>
          </cell>
          <cell r="D217" t="str">
            <v>Not delivered</v>
          </cell>
          <cell r="E217">
            <v>507142416</v>
          </cell>
          <cell r="F217">
            <v>140</v>
          </cell>
          <cell r="G217">
            <v>1269316</v>
          </cell>
          <cell r="H217" t="str">
            <v>LS-285:COVER PX LIP COND NO DC MNDOM 12A</v>
          </cell>
          <cell r="I217">
            <v>10000</v>
          </cell>
          <cell r="J217" t="str">
            <v>UN</v>
          </cell>
          <cell r="K217">
            <v>45576</v>
          </cell>
        </row>
        <row r="218">
          <cell r="A218" t="str">
            <v>507142416150</v>
          </cell>
          <cell r="B218" t="str">
            <v>ZMTD</v>
          </cell>
          <cell r="C218">
            <v>45474</v>
          </cell>
          <cell r="D218" t="str">
            <v>Not delivered</v>
          </cell>
          <cell r="E218">
            <v>507142416</v>
          </cell>
          <cell r="F218">
            <v>150</v>
          </cell>
          <cell r="G218">
            <v>1393258</v>
          </cell>
          <cell r="H218" t="str">
            <v>LS-285:BS PX LIP COND P/BLK MNDOM RV160B</v>
          </cell>
          <cell r="I218">
            <v>10000</v>
          </cell>
          <cell r="J218" t="str">
            <v>UN</v>
          </cell>
          <cell r="K218">
            <v>45576</v>
          </cell>
        </row>
        <row r="219">
          <cell r="A219" t="str">
            <v>50714226510</v>
          </cell>
          <cell r="B219" t="str">
            <v>ZMTD</v>
          </cell>
          <cell r="C219">
            <v>45442</v>
          </cell>
          <cell r="D219" t="str">
            <v>Not delivered</v>
          </cell>
          <cell r="E219">
            <v>507142265</v>
          </cell>
          <cell r="F219">
            <v>10</v>
          </cell>
          <cell r="G219">
            <v>1187960</v>
          </cell>
          <cell r="H219" t="str">
            <v>FP-014:CVR VMRAINBOW P/ULTM II RUDYS 40C</v>
          </cell>
          <cell r="I219">
            <v>40000</v>
          </cell>
          <cell r="J219" t="str">
            <v>UN</v>
          </cell>
          <cell r="K219">
            <v>45576</v>
          </cell>
        </row>
        <row r="220">
          <cell r="A220" t="str">
            <v>50714226520</v>
          </cell>
          <cell r="B220" t="str">
            <v>ZMTD</v>
          </cell>
          <cell r="C220">
            <v>45442</v>
          </cell>
          <cell r="D220" t="str">
            <v>Not delivered</v>
          </cell>
          <cell r="E220">
            <v>507142265</v>
          </cell>
          <cell r="F220">
            <v>20</v>
          </cell>
          <cell r="G220">
            <v>1172318</v>
          </cell>
          <cell r="H220" t="str">
            <v>FP-014:BASE CLEAR NO DC ULTIMA II RUDY S</v>
          </cell>
          <cell r="I220">
            <v>40000</v>
          </cell>
          <cell r="J220" t="str">
            <v>UN</v>
          </cell>
          <cell r="K220">
            <v>45576</v>
          </cell>
        </row>
        <row r="221">
          <cell r="A221" t="str">
            <v>50714226530</v>
          </cell>
          <cell r="B221" t="str">
            <v>ZMTD</v>
          </cell>
          <cell r="C221">
            <v>45442</v>
          </cell>
          <cell r="D221" t="str">
            <v>Not delivered</v>
          </cell>
          <cell r="E221">
            <v>507142265</v>
          </cell>
          <cell r="F221">
            <v>30</v>
          </cell>
          <cell r="G221">
            <v>1170826</v>
          </cell>
          <cell r="H221" t="str">
            <v>FP-014:SIFTER NT W/LBL NO DECO ULTIMA II</v>
          </cell>
          <cell r="I221">
            <v>40000</v>
          </cell>
          <cell r="J221" t="str">
            <v>UN</v>
          </cell>
          <cell r="K221">
            <v>45576</v>
          </cell>
        </row>
        <row r="222">
          <cell r="A222" t="str">
            <v>50714277710</v>
          </cell>
          <cell r="B222" t="str">
            <v>ZMTD</v>
          </cell>
          <cell r="C222">
            <v>45554</v>
          </cell>
          <cell r="D222" t="str">
            <v>Not delivered</v>
          </cell>
          <cell r="E222">
            <v>507142777</v>
          </cell>
          <cell r="F222">
            <v>10</v>
          </cell>
          <cell r="G222">
            <v>1435311</v>
          </cell>
          <cell r="H222" t="str">
            <v>LC-002:BTL/COL MTGRAD SLV AZURA LION 40D</v>
          </cell>
          <cell r="I222">
            <v>50589</v>
          </cell>
          <cell r="J222" t="str">
            <v>UN</v>
          </cell>
          <cell r="K222">
            <v>45577</v>
          </cell>
        </row>
        <row r="223">
          <cell r="A223" t="str">
            <v>50714277720</v>
          </cell>
          <cell r="B223" t="str">
            <v>ZMTD</v>
          </cell>
          <cell r="C223">
            <v>45554</v>
          </cell>
          <cell r="D223" t="str">
            <v>Not delivered</v>
          </cell>
          <cell r="E223">
            <v>507142777</v>
          </cell>
          <cell r="F223">
            <v>20</v>
          </cell>
          <cell r="G223">
            <v>1435313</v>
          </cell>
          <cell r="H223" t="str">
            <v>LC-002:CAP MT SILVER S/AZURA LION 40C</v>
          </cell>
          <cell r="I223">
            <v>50589</v>
          </cell>
          <cell r="J223" t="str">
            <v>UN</v>
          </cell>
          <cell r="K223">
            <v>45577</v>
          </cell>
        </row>
        <row r="224">
          <cell r="A224" t="str">
            <v>50714274510</v>
          </cell>
          <cell r="B224" t="str">
            <v>ZMTD</v>
          </cell>
          <cell r="C224">
            <v>45545</v>
          </cell>
          <cell r="D224" t="str">
            <v>Partially delivered</v>
          </cell>
          <cell r="E224">
            <v>507142745</v>
          </cell>
          <cell r="F224">
            <v>10</v>
          </cell>
          <cell r="G224">
            <v>1141319</v>
          </cell>
          <cell r="H224" t="str">
            <v>CP-089:FTCAP D40 OVAL PONDS FC WH UNIL</v>
          </cell>
          <cell r="I224">
            <v>801000</v>
          </cell>
          <cell r="J224" t="str">
            <v>UN</v>
          </cell>
          <cell r="K224">
            <v>45577</v>
          </cell>
        </row>
        <row r="225">
          <cell r="A225" t="str">
            <v>50714263230</v>
          </cell>
          <cell r="B225" t="str">
            <v>ZMTD</v>
          </cell>
          <cell r="C225">
            <v>45517</v>
          </cell>
          <cell r="D225" t="str">
            <v>Not delivered</v>
          </cell>
          <cell r="E225">
            <v>507142632</v>
          </cell>
          <cell r="F225">
            <v>30</v>
          </cell>
          <cell r="G225">
            <v>1371896</v>
          </cell>
          <cell r="H225" t="str">
            <v>RX-056:CM-316 CVR BLUE P/WHT SP/MTCLR</v>
          </cell>
          <cell r="I225">
            <v>109968</v>
          </cell>
          <cell r="J225" t="str">
            <v>UN</v>
          </cell>
          <cell r="K225">
            <v>45577</v>
          </cell>
        </row>
        <row r="226">
          <cell r="A226" t="str">
            <v>50714283910</v>
          </cell>
          <cell r="B226" t="str">
            <v>ZMTD</v>
          </cell>
          <cell r="C226">
            <v>45562</v>
          </cell>
          <cell r="D226" t="str">
            <v>Not delivered</v>
          </cell>
          <cell r="E226">
            <v>507142839</v>
          </cell>
          <cell r="F226">
            <v>10</v>
          </cell>
          <cell r="G226">
            <v>1424980</v>
          </cell>
          <cell r="H226" t="str">
            <v>CP-093R:CAP D50 MT.YELOW Ø.5 YASULOR 12A</v>
          </cell>
          <cell r="I226">
            <v>110000</v>
          </cell>
          <cell r="J226" t="str">
            <v>UN</v>
          </cell>
          <cell r="K226">
            <v>45579</v>
          </cell>
        </row>
        <row r="227">
          <cell r="A227" t="str">
            <v>50714280810</v>
          </cell>
          <cell r="B227" t="str">
            <v>ZMTD</v>
          </cell>
          <cell r="C227">
            <v>45559</v>
          </cell>
          <cell r="D227" t="str">
            <v>Not delivered</v>
          </cell>
          <cell r="E227">
            <v>507142808</v>
          </cell>
          <cell r="F227">
            <v>10</v>
          </cell>
          <cell r="G227">
            <v>1169703</v>
          </cell>
          <cell r="H227" t="str">
            <v>CP-064:CAP 25 SCREW WHITE MT TR L'OREAL</v>
          </cell>
          <cell r="I227">
            <v>204000</v>
          </cell>
          <cell r="J227" t="str">
            <v>UN</v>
          </cell>
          <cell r="K227">
            <v>45579</v>
          </cell>
        </row>
        <row r="228">
          <cell r="A228" t="str">
            <v>50714280910</v>
          </cell>
          <cell r="B228" t="str">
            <v>ZMTD</v>
          </cell>
          <cell r="C228">
            <v>45559</v>
          </cell>
          <cell r="D228" t="str">
            <v>Not delivered</v>
          </cell>
          <cell r="E228">
            <v>507142809</v>
          </cell>
          <cell r="F228">
            <v>10</v>
          </cell>
          <cell r="G228">
            <v>1159912</v>
          </cell>
          <cell r="H228" t="str">
            <v>CP-064:CAP 25 SCREW BLK MT L'OREAL</v>
          </cell>
          <cell r="I228">
            <v>150000</v>
          </cell>
          <cell r="J228" t="str">
            <v>UN</v>
          </cell>
          <cell r="K228">
            <v>45579</v>
          </cell>
        </row>
        <row r="229">
          <cell r="A229" t="str">
            <v>50714279610</v>
          </cell>
          <cell r="B229" t="str">
            <v>ZMTD</v>
          </cell>
          <cell r="C229">
            <v>45558</v>
          </cell>
          <cell r="D229" t="str">
            <v>Not delivered</v>
          </cell>
          <cell r="E229">
            <v>507142796</v>
          </cell>
          <cell r="F229">
            <v>10</v>
          </cell>
          <cell r="G229">
            <v>1170578</v>
          </cell>
          <cell r="H229" t="str">
            <v>FP-029:CAP VM GOLD S/MATTE REEY010073</v>
          </cell>
          <cell r="I229">
            <v>25080</v>
          </cell>
          <cell r="J229" t="str">
            <v>UN</v>
          </cell>
          <cell r="K229">
            <v>45579</v>
          </cell>
        </row>
        <row r="230">
          <cell r="A230" t="str">
            <v>50714265810</v>
          </cell>
          <cell r="B230" t="str">
            <v>ZMTD</v>
          </cell>
          <cell r="C230">
            <v>45524</v>
          </cell>
          <cell r="D230" t="str">
            <v>Not delivered</v>
          </cell>
          <cell r="E230">
            <v>507142658</v>
          </cell>
          <cell r="F230">
            <v>10</v>
          </cell>
          <cell r="G230">
            <v>1331630</v>
          </cell>
          <cell r="H230" t="str">
            <v>CM-216:INFAILLIBLE HIGHLIGHTER L'OREAL</v>
          </cell>
          <cell r="I230">
            <v>100000</v>
          </cell>
          <cell r="J230" t="str">
            <v>UN</v>
          </cell>
          <cell r="K230">
            <v>45579</v>
          </cell>
        </row>
        <row r="231">
          <cell r="A231" t="str">
            <v>50714261710</v>
          </cell>
          <cell r="B231" t="str">
            <v>ZMTD</v>
          </cell>
          <cell r="C231">
            <v>45511</v>
          </cell>
          <cell r="D231" t="str">
            <v>Not delivered</v>
          </cell>
          <cell r="E231">
            <v>507142617</v>
          </cell>
          <cell r="F231">
            <v>10</v>
          </cell>
          <cell r="G231">
            <v>1181524</v>
          </cell>
          <cell r="H231" t="str">
            <v>CM-297:WHITE PERFECT LIGHT PP BOOTS</v>
          </cell>
          <cell r="I231">
            <v>25032</v>
          </cell>
          <cell r="J231" t="str">
            <v>UN</v>
          </cell>
          <cell r="K231">
            <v>45579</v>
          </cell>
        </row>
        <row r="232">
          <cell r="A232" t="str">
            <v>50714254510</v>
          </cell>
          <cell r="B232" t="str">
            <v>ZMTD</v>
          </cell>
          <cell r="C232">
            <v>45491</v>
          </cell>
          <cell r="D232" t="str">
            <v>Not delivered</v>
          </cell>
          <cell r="E232">
            <v>507142545</v>
          </cell>
          <cell r="F232">
            <v>10</v>
          </cell>
          <cell r="G232">
            <v>1338042</v>
          </cell>
          <cell r="H232" t="str">
            <v>CM-301:COTY LANCASTER BROWN SP PRL UV</v>
          </cell>
          <cell r="I232">
            <v>51840</v>
          </cell>
          <cell r="J232" t="str">
            <v>UN</v>
          </cell>
          <cell r="K232">
            <v>45579</v>
          </cell>
        </row>
        <row r="233">
          <cell r="A233" t="str">
            <v>50714246810</v>
          </cell>
          <cell r="B233" t="str">
            <v>ZMTD</v>
          </cell>
          <cell r="C233">
            <v>45482</v>
          </cell>
          <cell r="D233" t="str">
            <v>Not delivered</v>
          </cell>
          <cell r="E233">
            <v>507142468</v>
          </cell>
          <cell r="F233">
            <v>10</v>
          </cell>
          <cell r="G233">
            <v>1388326</v>
          </cell>
          <cell r="H233" t="str">
            <v>CM-253:CV BS MTPEACH P/C.BLSH RV1 PTI40H</v>
          </cell>
          <cell r="I233">
            <v>15120</v>
          </cell>
          <cell r="J233" t="str">
            <v>UN</v>
          </cell>
          <cell r="K233">
            <v>45579</v>
          </cell>
        </row>
        <row r="234">
          <cell r="A234" t="str">
            <v>507142416160</v>
          </cell>
          <cell r="B234" t="str">
            <v>ZMTD</v>
          </cell>
          <cell r="C234">
            <v>45474</v>
          </cell>
          <cell r="D234" t="str">
            <v>Partially delivered</v>
          </cell>
          <cell r="E234">
            <v>507142416</v>
          </cell>
          <cell r="F234">
            <v>160</v>
          </cell>
          <cell r="G234">
            <v>1267279</v>
          </cell>
          <cell r="H234" t="str">
            <v>LS-285:CVR ORANGE PX LCC NO DC MNDOM 12A</v>
          </cell>
          <cell r="I234">
            <v>10000</v>
          </cell>
          <cell r="J234" t="str">
            <v>UN</v>
          </cell>
          <cell r="K234">
            <v>45579</v>
          </cell>
        </row>
        <row r="235">
          <cell r="A235" t="str">
            <v>507142416170</v>
          </cell>
          <cell r="B235" t="str">
            <v>ZMTD</v>
          </cell>
          <cell r="C235">
            <v>45474</v>
          </cell>
          <cell r="D235" t="str">
            <v>Partially delivered</v>
          </cell>
          <cell r="E235">
            <v>507142416</v>
          </cell>
          <cell r="F235">
            <v>170</v>
          </cell>
          <cell r="G235">
            <v>1393254</v>
          </cell>
          <cell r="H235" t="str">
            <v>LS-285:BS ORNG PX LCC P/BLK MNDOM RV160B</v>
          </cell>
          <cell r="I235">
            <v>10000</v>
          </cell>
          <cell r="J235" t="str">
            <v>UN</v>
          </cell>
          <cell r="K235">
            <v>45579</v>
          </cell>
        </row>
        <row r="236">
          <cell r="A236" t="str">
            <v>50714239710</v>
          </cell>
          <cell r="B236" t="str">
            <v>ZMTD</v>
          </cell>
          <cell r="C236">
            <v>45468</v>
          </cell>
          <cell r="D236" t="str">
            <v>Not delivered</v>
          </cell>
          <cell r="E236">
            <v>507142397</v>
          </cell>
          <cell r="F236">
            <v>10</v>
          </cell>
          <cell r="G236">
            <v>1195535</v>
          </cell>
          <cell r="H236" t="str">
            <v>FP-039:BASE SAN CLEAR HS KIKO PREMIER</v>
          </cell>
          <cell r="I236">
            <v>60480</v>
          </cell>
          <cell r="J236" t="str">
            <v>UN</v>
          </cell>
          <cell r="K236">
            <v>45579</v>
          </cell>
        </row>
        <row r="237">
          <cell r="A237" t="str">
            <v>50714239810</v>
          </cell>
          <cell r="B237" t="str">
            <v>ZMTD</v>
          </cell>
          <cell r="C237">
            <v>45468</v>
          </cell>
          <cell r="D237" t="str">
            <v>Not delivered</v>
          </cell>
          <cell r="E237">
            <v>507142398</v>
          </cell>
          <cell r="F237">
            <v>10</v>
          </cell>
          <cell r="G237">
            <v>1191869</v>
          </cell>
          <cell r="H237" t="str">
            <v>FP-039:CVR WHITE VM DARK SILVER  KIKO</v>
          </cell>
          <cell r="I237">
            <v>61440</v>
          </cell>
          <cell r="J237" t="str">
            <v>UN</v>
          </cell>
          <cell r="K237">
            <v>45579</v>
          </cell>
        </row>
        <row r="238">
          <cell r="A238" t="str">
            <v>50714227810</v>
          </cell>
          <cell r="B238" t="str">
            <v>ZMTD</v>
          </cell>
          <cell r="C238">
            <v>45447</v>
          </cell>
          <cell r="D238" t="str">
            <v>Not delivered</v>
          </cell>
          <cell r="E238">
            <v>507142278</v>
          </cell>
          <cell r="F238">
            <v>10</v>
          </cell>
          <cell r="G238">
            <v>1419488</v>
          </cell>
          <cell r="H238" t="str">
            <v>CP-063R:SPOUT CAP WHITE LOREAL 12A</v>
          </cell>
          <cell r="I238">
            <v>1890000</v>
          </cell>
          <cell r="J238" t="str">
            <v>UN</v>
          </cell>
          <cell r="K238">
            <v>45579</v>
          </cell>
        </row>
        <row r="239">
          <cell r="A239" t="str">
            <v>50714277610</v>
          </cell>
          <cell r="B239" t="str">
            <v>ZMTD</v>
          </cell>
          <cell r="C239">
            <v>45554</v>
          </cell>
          <cell r="D239" t="str">
            <v>Not delivered</v>
          </cell>
          <cell r="E239">
            <v>507142776</v>
          </cell>
          <cell r="F239">
            <v>10</v>
          </cell>
          <cell r="G239">
            <v>1331787</v>
          </cell>
          <cell r="H239" t="str">
            <v>CM-216:TRUE MATCH BLUSH W/O BRUSH LOR US</v>
          </cell>
          <cell r="I239">
            <v>75800</v>
          </cell>
          <cell r="J239" t="str">
            <v>UN</v>
          </cell>
          <cell r="K239">
            <v>45580</v>
          </cell>
        </row>
        <row r="240">
          <cell r="A240" t="str">
            <v>50714277910</v>
          </cell>
          <cell r="B240" t="str">
            <v>ZMTD</v>
          </cell>
          <cell r="C240">
            <v>45554</v>
          </cell>
          <cell r="D240" t="str">
            <v>Not delivered</v>
          </cell>
          <cell r="E240">
            <v>507142779</v>
          </cell>
          <cell r="F240">
            <v>10</v>
          </cell>
          <cell r="G240">
            <v>1174001</v>
          </cell>
          <cell r="H240" t="str">
            <v>CM-133:CVR/BS MTLC GREN UV S/SLV WRDH30C</v>
          </cell>
          <cell r="I240">
            <v>10080</v>
          </cell>
          <cell r="J240" t="str">
            <v>UN</v>
          </cell>
          <cell r="K240">
            <v>45580</v>
          </cell>
        </row>
        <row r="241">
          <cell r="A241" t="str">
            <v>50714278010</v>
          </cell>
          <cell r="B241" t="str">
            <v>ZMTD</v>
          </cell>
          <cell r="C241">
            <v>45554</v>
          </cell>
          <cell r="D241" t="str">
            <v>Not delivered</v>
          </cell>
          <cell r="E241">
            <v>507142780</v>
          </cell>
          <cell r="F241">
            <v>10</v>
          </cell>
          <cell r="G241">
            <v>1409881</v>
          </cell>
          <cell r="H241" t="str">
            <v>CM-315:CVR/BS BLACK P/CVRLAST OMG RV160B</v>
          </cell>
          <cell r="I241">
            <v>31724</v>
          </cell>
          <cell r="J241" t="str">
            <v>UN</v>
          </cell>
          <cell r="K241">
            <v>45580</v>
          </cell>
        </row>
        <row r="242">
          <cell r="A242" t="str">
            <v>50714278410</v>
          </cell>
          <cell r="B242" t="str">
            <v>ZMTD</v>
          </cell>
          <cell r="C242">
            <v>45554</v>
          </cell>
          <cell r="D242" t="str">
            <v>Not delivered</v>
          </cell>
          <cell r="E242">
            <v>507142784</v>
          </cell>
          <cell r="F242">
            <v>10</v>
          </cell>
          <cell r="G242">
            <v>1340516</v>
          </cell>
          <cell r="H242" t="str">
            <v>CM-133:CVR BS MTLC GRN UV DP S/WARDH 30T</v>
          </cell>
          <cell r="I242">
            <v>10080</v>
          </cell>
          <cell r="J242" t="str">
            <v>UN</v>
          </cell>
          <cell r="K242">
            <v>45580</v>
          </cell>
        </row>
        <row r="243">
          <cell r="A243" t="str">
            <v>50714273930</v>
          </cell>
          <cell r="B243" t="str">
            <v>ZMTD</v>
          </cell>
          <cell r="C243">
            <v>45544</v>
          </cell>
          <cell r="D243" t="str">
            <v>Not delivered</v>
          </cell>
          <cell r="E243">
            <v>507142739</v>
          </cell>
          <cell r="F243">
            <v>30</v>
          </cell>
          <cell r="G243">
            <v>1409881</v>
          </cell>
          <cell r="H243" t="str">
            <v>CM-315:CVR/BS BLACK P/CVRLAST OMG RV160B</v>
          </cell>
          <cell r="I243">
            <v>28028</v>
          </cell>
          <cell r="J243" t="str">
            <v>UN</v>
          </cell>
          <cell r="K243">
            <v>45580</v>
          </cell>
        </row>
        <row r="244">
          <cell r="A244" t="str">
            <v>50714274240</v>
          </cell>
          <cell r="B244" t="str">
            <v>ZMTD</v>
          </cell>
          <cell r="C244">
            <v>45544</v>
          </cell>
          <cell r="D244" t="str">
            <v>Not delivered</v>
          </cell>
          <cell r="E244">
            <v>507142742</v>
          </cell>
          <cell r="F244">
            <v>40</v>
          </cell>
          <cell r="G244">
            <v>1437039</v>
          </cell>
          <cell r="H244" t="str">
            <v>CM-290:1PC BS CV MT.BLK S/ EMBOS OMG 40C</v>
          </cell>
          <cell r="I244">
            <v>35112</v>
          </cell>
          <cell r="J244" t="str">
            <v>UN</v>
          </cell>
          <cell r="K244">
            <v>45580</v>
          </cell>
        </row>
        <row r="245">
          <cell r="A245" t="str">
            <v>50714274250</v>
          </cell>
          <cell r="B245" t="str">
            <v>ZMTD</v>
          </cell>
          <cell r="C245">
            <v>45544</v>
          </cell>
          <cell r="D245" t="str">
            <v>Not delivered</v>
          </cell>
          <cell r="E245">
            <v>507142742</v>
          </cell>
          <cell r="F245">
            <v>50</v>
          </cell>
          <cell r="G245">
            <v>1437140</v>
          </cell>
          <cell r="H245" t="str">
            <v>CM-290:ENGINE CV RED, BS BLK OMG PTI 12A</v>
          </cell>
          <cell r="I245">
            <v>35112</v>
          </cell>
          <cell r="J245" t="str">
            <v>UN</v>
          </cell>
          <cell r="K245">
            <v>45580</v>
          </cell>
        </row>
        <row r="246">
          <cell r="A246" t="str">
            <v>50714274260</v>
          </cell>
          <cell r="B246" t="str">
            <v>ZMTD</v>
          </cell>
          <cell r="C246">
            <v>45544</v>
          </cell>
          <cell r="D246" t="str">
            <v>Not delivered</v>
          </cell>
          <cell r="E246">
            <v>507142742</v>
          </cell>
          <cell r="F246">
            <v>60</v>
          </cell>
          <cell r="G246">
            <v>1437141</v>
          </cell>
          <cell r="H246" t="str">
            <v>CM-290:RING BLACK OMG PTI 12A</v>
          </cell>
          <cell r="I246">
            <v>35112</v>
          </cell>
          <cell r="J246" t="str">
            <v>UN</v>
          </cell>
          <cell r="K246">
            <v>45580</v>
          </cell>
        </row>
        <row r="247">
          <cell r="A247" t="str">
            <v>50714273010</v>
          </cell>
          <cell r="B247" t="str">
            <v>ZMTD</v>
          </cell>
          <cell r="C247">
            <v>45541</v>
          </cell>
          <cell r="D247" t="str">
            <v>Not delivered</v>
          </cell>
          <cell r="E247">
            <v>507142730</v>
          </cell>
          <cell r="F247">
            <v>10</v>
          </cell>
          <cell r="G247">
            <v>1371896</v>
          </cell>
          <cell r="H247" t="str">
            <v>RX-056:CM-316 CVR BLUE P/WHT SP/MTCLR</v>
          </cell>
          <cell r="I247">
            <v>110016</v>
          </cell>
          <cell r="J247" t="str">
            <v>UN</v>
          </cell>
          <cell r="K247">
            <v>45580</v>
          </cell>
        </row>
        <row r="248">
          <cell r="A248" t="str">
            <v>50714256520</v>
          </cell>
          <cell r="B248" t="str">
            <v>ZMTD</v>
          </cell>
          <cell r="C248">
            <v>45497</v>
          </cell>
          <cell r="D248" t="str">
            <v>Not delivered</v>
          </cell>
          <cell r="E248">
            <v>507142565</v>
          </cell>
          <cell r="F248">
            <v>20</v>
          </cell>
          <cell r="G248">
            <v>1428516</v>
          </cell>
          <cell r="H248" t="str">
            <v>PT-055:BD BEIGE 94101-BS2 INTERPARFUM</v>
          </cell>
          <cell r="I248">
            <v>76545</v>
          </cell>
          <cell r="J248" t="str">
            <v>UN</v>
          </cell>
          <cell r="K248">
            <v>45580</v>
          </cell>
        </row>
        <row r="249">
          <cell r="A249" t="str">
            <v>50714255420</v>
          </cell>
          <cell r="B249" t="str">
            <v>ZMTD</v>
          </cell>
          <cell r="C249">
            <v>45495</v>
          </cell>
          <cell r="D249" t="str">
            <v>Not delivered</v>
          </cell>
          <cell r="E249">
            <v>507142554</v>
          </cell>
          <cell r="F249">
            <v>20</v>
          </cell>
          <cell r="G249">
            <v>1432080</v>
          </cell>
          <cell r="H249" t="str">
            <v>CM-281:BS/CV TWC BLUE UV P/S/INEZ FTC30M</v>
          </cell>
          <cell r="I249">
            <v>25000</v>
          </cell>
          <cell r="J249" t="str">
            <v>UN</v>
          </cell>
          <cell r="K249">
            <v>45580</v>
          </cell>
        </row>
        <row r="250">
          <cell r="A250" t="str">
            <v>50714241690</v>
          </cell>
          <cell r="B250" t="str">
            <v>ZMTD</v>
          </cell>
          <cell r="C250">
            <v>45474</v>
          </cell>
          <cell r="D250" t="str">
            <v>Not delivered</v>
          </cell>
          <cell r="E250">
            <v>507142416</v>
          </cell>
          <cell r="F250">
            <v>90</v>
          </cell>
          <cell r="G250">
            <v>1376248</v>
          </cell>
          <cell r="H250" t="str">
            <v>FP-008:CVR L.PINK P/BLK MANDOM RV1 12A</v>
          </cell>
          <cell r="I250">
            <v>10000</v>
          </cell>
          <cell r="J250" t="str">
            <v>UN</v>
          </cell>
          <cell r="K250">
            <v>45580</v>
          </cell>
        </row>
        <row r="251">
          <cell r="A251" t="str">
            <v>507142416100</v>
          </cell>
          <cell r="B251" t="str">
            <v>ZMTD</v>
          </cell>
          <cell r="C251">
            <v>45474</v>
          </cell>
          <cell r="D251" t="str">
            <v>Not delivered</v>
          </cell>
          <cell r="E251">
            <v>507142416</v>
          </cell>
          <cell r="F251">
            <v>100</v>
          </cell>
          <cell r="G251">
            <v>1171179</v>
          </cell>
          <cell r="H251" t="str">
            <v>FP-008:BS INJ BLK NO DC MANDOM</v>
          </cell>
          <cell r="I251">
            <v>10000</v>
          </cell>
          <cell r="J251" t="str">
            <v>UN</v>
          </cell>
          <cell r="K251">
            <v>45580</v>
          </cell>
        </row>
        <row r="252">
          <cell r="A252" t="str">
            <v>507142416110</v>
          </cell>
          <cell r="B252" t="str">
            <v>ZMTD</v>
          </cell>
          <cell r="C252">
            <v>45474</v>
          </cell>
          <cell r="D252" t="str">
            <v>Not delivered</v>
          </cell>
          <cell r="E252">
            <v>507142416</v>
          </cell>
          <cell r="F252">
            <v>110</v>
          </cell>
          <cell r="G252">
            <v>1172027</v>
          </cell>
          <cell r="H252" t="str">
            <v>FP-008:SFT NAT L.HINGE W/LBL NO DC MDM</v>
          </cell>
          <cell r="I252">
            <v>10000</v>
          </cell>
          <cell r="J252" t="str">
            <v>UN</v>
          </cell>
          <cell r="K252">
            <v>45580</v>
          </cell>
        </row>
        <row r="253">
          <cell r="A253" t="str">
            <v>50714281910</v>
          </cell>
          <cell r="B253" t="str">
            <v>ZMTD</v>
          </cell>
          <cell r="C253">
            <v>45560</v>
          </cell>
          <cell r="D253" t="str">
            <v>Not delivered</v>
          </cell>
          <cell r="E253">
            <v>507142819</v>
          </cell>
          <cell r="F253">
            <v>10</v>
          </cell>
          <cell r="G253">
            <v>1402678</v>
          </cell>
          <cell r="H253" t="str">
            <v>LS-285:BS GREEN NO DC WARDAH 12A</v>
          </cell>
          <cell r="I253">
            <v>10640</v>
          </cell>
          <cell r="J253" t="str">
            <v>UN</v>
          </cell>
          <cell r="K253">
            <v>45581</v>
          </cell>
        </row>
        <row r="254">
          <cell r="A254" t="str">
            <v>50714281920</v>
          </cell>
          <cell r="B254" t="str">
            <v>ZMTD</v>
          </cell>
          <cell r="C254">
            <v>45560</v>
          </cell>
          <cell r="D254" t="str">
            <v>Not delivered</v>
          </cell>
          <cell r="E254">
            <v>507142819</v>
          </cell>
          <cell r="F254">
            <v>20</v>
          </cell>
          <cell r="G254">
            <v>1402740</v>
          </cell>
          <cell r="H254" t="str">
            <v>LS-285:CV MTWHT P/WRDH LIPBLMHAJJ PTI40H</v>
          </cell>
          <cell r="I254">
            <v>10640</v>
          </cell>
          <cell r="J254" t="str">
            <v>UN</v>
          </cell>
          <cell r="K254">
            <v>45581</v>
          </cell>
        </row>
        <row r="255">
          <cell r="A255" t="str">
            <v>50714277810</v>
          </cell>
          <cell r="B255" t="str">
            <v>ZMTD</v>
          </cell>
          <cell r="C255">
            <v>45554</v>
          </cell>
          <cell r="D255" t="str">
            <v>Not delivered</v>
          </cell>
          <cell r="E255">
            <v>507142778</v>
          </cell>
          <cell r="F255">
            <v>10</v>
          </cell>
          <cell r="G255">
            <v>1417990</v>
          </cell>
          <cell r="H255" t="str">
            <v>LC-009:BTL #2#3 INNER CLR P/OMG PTIPT60B</v>
          </cell>
          <cell r="I255">
            <v>400050</v>
          </cell>
          <cell r="J255" t="str">
            <v>UN</v>
          </cell>
          <cell r="K255">
            <v>45581</v>
          </cell>
        </row>
        <row r="256">
          <cell r="A256" t="str">
            <v>50714277820</v>
          </cell>
          <cell r="B256" t="str">
            <v>ZMTD</v>
          </cell>
          <cell r="C256">
            <v>45554</v>
          </cell>
          <cell r="D256" t="str">
            <v>Not delivered</v>
          </cell>
          <cell r="E256">
            <v>507142778</v>
          </cell>
          <cell r="F256">
            <v>20</v>
          </cell>
          <cell r="G256">
            <v>1417978</v>
          </cell>
          <cell r="H256" t="str">
            <v>LC-009:CAP #2#3 REDTR WIP S/OMG PTIPT60B</v>
          </cell>
          <cell r="I256">
            <v>400050</v>
          </cell>
          <cell r="J256" t="str">
            <v>UN</v>
          </cell>
          <cell r="K256">
            <v>45581</v>
          </cell>
        </row>
        <row r="257">
          <cell r="A257" t="str">
            <v>50714278610</v>
          </cell>
          <cell r="B257" t="str">
            <v>ZMTD</v>
          </cell>
          <cell r="C257">
            <v>45554</v>
          </cell>
          <cell r="D257" t="str">
            <v>Partially delivered</v>
          </cell>
          <cell r="E257">
            <v>507142786</v>
          </cell>
          <cell r="F257">
            <v>10</v>
          </cell>
          <cell r="G257">
            <v>1304094</v>
          </cell>
          <cell r="H257" t="str">
            <v>CM-253:CV CLR BS M.PINK P/EMINA C.LIT40H</v>
          </cell>
          <cell r="I257">
            <v>25380</v>
          </cell>
          <cell r="J257" t="str">
            <v>UN</v>
          </cell>
          <cell r="K257">
            <v>45581</v>
          </cell>
        </row>
        <row r="258">
          <cell r="A258" t="str">
            <v>50714273310</v>
          </cell>
          <cell r="B258" t="str">
            <v>ZMTD</v>
          </cell>
          <cell r="C258">
            <v>45544</v>
          </cell>
          <cell r="D258" t="str">
            <v>Not delivered</v>
          </cell>
          <cell r="E258">
            <v>507142733</v>
          </cell>
          <cell r="F258">
            <v>10</v>
          </cell>
          <cell r="G258">
            <v>1375595</v>
          </cell>
          <cell r="H258" t="str">
            <v>LC-009:BTL/INNER CLEAR P/OMG PTIPT 60B</v>
          </cell>
          <cell r="I258">
            <v>150570</v>
          </cell>
          <cell r="J258" t="str">
            <v>UN</v>
          </cell>
          <cell r="K258">
            <v>45581</v>
          </cell>
        </row>
        <row r="259">
          <cell r="A259" t="str">
            <v>50714273320</v>
          </cell>
          <cell r="B259" t="str">
            <v>ZMTD</v>
          </cell>
          <cell r="C259">
            <v>45544</v>
          </cell>
          <cell r="D259" t="str">
            <v>Not delivered</v>
          </cell>
          <cell r="E259">
            <v>507142733</v>
          </cell>
          <cell r="F259">
            <v>20</v>
          </cell>
          <cell r="G259">
            <v>1375593</v>
          </cell>
          <cell r="H259" t="str">
            <v>LC-009:CAP REDTRANS WIP S/OMG PTIPT 60B</v>
          </cell>
          <cell r="I259">
            <v>150570</v>
          </cell>
          <cell r="J259" t="str">
            <v>UN</v>
          </cell>
          <cell r="K259">
            <v>45581</v>
          </cell>
        </row>
        <row r="260">
          <cell r="A260" t="str">
            <v>50714272310</v>
          </cell>
          <cell r="B260" t="str">
            <v>ZMTD</v>
          </cell>
          <cell r="C260">
            <v>45541</v>
          </cell>
          <cell r="D260" t="str">
            <v>Not delivered</v>
          </cell>
          <cell r="E260">
            <v>507142723</v>
          </cell>
          <cell r="F260">
            <v>10</v>
          </cell>
          <cell r="G260">
            <v>1409850</v>
          </cell>
          <cell r="H260" t="str">
            <v>RX-068:BT8445 VENUS 60ML MATCLR 40D</v>
          </cell>
          <cell r="I260">
            <v>33000</v>
          </cell>
          <cell r="J260" t="str">
            <v>UN</v>
          </cell>
          <cell r="K260">
            <v>45581</v>
          </cell>
        </row>
        <row r="261">
          <cell r="A261" t="str">
            <v>50714264830</v>
          </cell>
          <cell r="B261" t="str">
            <v>ZMTD</v>
          </cell>
          <cell r="C261">
            <v>45523</v>
          </cell>
          <cell r="D261" t="str">
            <v>Partially delivered</v>
          </cell>
          <cell r="E261">
            <v>507142648</v>
          </cell>
          <cell r="F261">
            <v>30</v>
          </cell>
          <cell r="G261">
            <v>1168132</v>
          </cell>
          <cell r="H261" t="str">
            <v>LS-285:BS WHT NO DC WARDAH</v>
          </cell>
          <cell r="I261">
            <v>70224</v>
          </cell>
          <cell r="J261" t="str">
            <v>UN</v>
          </cell>
          <cell r="K261">
            <v>45581</v>
          </cell>
        </row>
        <row r="262">
          <cell r="A262" t="str">
            <v>50714264840</v>
          </cell>
          <cell r="B262" t="str">
            <v>ZMTD</v>
          </cell>
          <cell r="C262">
            <v>45523</v>
          </cell>
          <cell r="D262" t="str">
            <v>Partially delivered</v>
          </cell>
          <cell r="E262">
            <v>507142648</v>
          </cell>
          <cell r="F262">
            <v>40</v>
          </cell>
          <cell r="G262">
            <v>1421509</v>
          </cell>
          <cell r="H262" t="str">
            <v>LS-285:CV ORNG P/WHT UV ORGSQUEZE PTI30O</v>
          </cell>
          <cell r="I262">
            <v>70224</v>
          </cell>
          <cell r="J262" t="str">
            <v>UN</v>
          </cell>
          <cell r="K262">
            <v>45581</v>
          </cell>
        </row>
        <row r="263">
          <cell r="A263" t="str">
            <v>50714260410</v>
          </cell>
          <cell r="B263" t="str">
            <v>ZMTD</v>
          </cell>
          <cell r="C263">
            <v>45509</v>
          </cell>
          <cell r="D263" t="str">
            <v>Not delivered</v>
          </cell>
          <cell r="E263">
            <v>507142604</v>
          </cell>
          <cell r="F263">
            <v>10</v>
          </cell>
          <cell r="G263">
            <v>1171241</v>
          </cell>
          <cell r="H263" t="str">
            <v>CP-059:60ML UV GOLD WHT LN 7712010071 EL</v>
          </cell>
          <cell r="I263">
            <v>25080</v>
          </cell>
          <cell r="J263" t="str">
            <v>UN</v>
          </cell>
          <cell r="K263">
            <v>45581</v>
          </cell>
        </row>
        <row r="264">
          <cell r="A264" t="str">
            <v>50714227910</v>
          </cell>
          <cell r="B264" t="str">
            <v>ZMTD</v>
          </cell>
          <cell r="C264">
            <v>45447</v>
          </cell>
          <cell r="D264" t="str">
            <v>Not delivered</v>
          </cell>
          <cell r="E264">
            <v>507142279</v>
          </cell>
          <cell r="F264">
            <v>10</v>
          </cell>
          <cell r="G264">
            <v>1419488</v>
          </cell>
          <cell r="H264" t="str">
            <v>CP-063R:SPOUT CAP WHITE LOREAL 12A</v>
          </cell>
          <cell r="I264">
            <v>1890000</v>
          </cell>
          <cell r="J264" t="str">
            <v>UN</v>
          </cell>
          <cell r="K264">
            <v>45581</v>
          </cell>
        </row>
        <row r="265">
          <cell r="A265" t="str">
            <v>50714282610</v>
          </cell>
          <cell r="B265" t="str">
            <v>ZMTD</v>
          </cell>
          <cell r="C265">
            <v>45560</v>
          </cell>
          <cell r="D265" t="str">
            <v>Not delivered</v>
          </cell>
          <cell r="E265">
            <v>507142826</v>
          </cell>
          <cell r="F265">
            <v>10</v>
          </cell>
          <cell r="G265">
            <v>1442332</v>
          </cell>
          <cell r="H265" t="str">
            <v>CM-256:BS CV PF TRNS BRWN MTCLR P/KUSUMA</v>
          </cell>
          <cell r="I265">
            <v>10000</v>
          </cell>
          <cell r="J265" t="str">
            <v>UN</v>
          </cell>
          <cell r="K265">
            <v>45582</v>
          </cell>
        </row>
        <row r="266">
          <cell r="A266" t="str">
            <v>50714282910</v>
          </cell>
          <cell r="B266" t="str">
            <v>ZMTD</v>
          </cell>
          <cell r="C266">
            <v>45560</v>
          </cell>
          <cell r="D266" t="str">
            <v>Not delivered</v>
          </cell>
          <cell r="E266">
            <v>507142829</v>
          </cell>
          <cell r="F266">
            <v>10</v>
          </cell>
          <cell r="G266">
            <v>1340516</v>
          </cell>
          <cell r="H266" t="str">
            <v>CM-133:CVR BS MTLC GRN UV DP S/WARDH 30T</v>
          </cell>
          <cell r="I266">
            <v>10080</v>
          </cell>
          <cell r="J266" t="str">
            <v>UN</v>
          </cell>
          <cell r="K266">
            <v>45582</v>
          </cell>
        </row>
        <row r="267">
          <cell r="A267" t="str">
            <v>50714278310</v>
          </cell>
          <cell r="B267" t="str">
            <v>ZMTD</v>
          </cell>
          <cell r="C267">
            <v>45554</v>
          </cell>
          <cell r="D267" t="str">
            <v>Not delivered</v>
          </cell>
          <cell r="E267">
            <v>507142783</v>
          </cell>
          <cell r="F267">
            <v>10</v>
          </cell>
          <cell r="G267">
            <v>1255658</v>
          </cell>
          <cell r="H267" t="str">
            <v>LC-002:BTL MT VAR8 P/WRDH B.MARK PTI40H</v>
          </cell>
          <cell r="I267">
            <v>25200</v>
          </cell>
          <cell r="J267" t="str">
            <v>UN</v>
          </cell>
          <cell r="K267">
            <v>45582</v>
          </cell>
        </row>
        <row r="268">
          <cell r="A268" t="str">
            <v>50714278320</v>
          </cell>
          <cell r="B268" t="str">
            <v>ZMTD</v>
          </cell>
          <cell r="C268">
            <v>45554</v>
          </cell>
          <cell r="D268" t="str">
            <v>Not delivered</v>
          </cell>
          <cell r="E268">
            <v>507142783</v>
          </cell>
          <cell r="F268">
            <v>20</v>
          </cell>
          <cell r="G268">
            <v>1264030</v>
          </cell>
          <cell r="H268" t="str">
            <v>LC-002:CAP S/MTVAR8 STM-WHT WPNAT PTI40D</v>
          </cell>
          <cell r="I268">
            <v>25200</v>
          </cell>
          <cell r="J268" t="str">
            <v>UN</v>
          </cell>
          <cell r="K268">
            <v>45582</v>
          </cell>
        </row>
        <row r="269">
          <cell r="A269" t="str">
            <v>50714278710</v>
          </cell>
          <cell r="B269" t="str">
            <v>ZMTD</v>
          </cell>
          <cell r="C269">
            <v>45554</v>
          </cell>
          <cell r="D269" t="str">
            <v>Not delivered</v>
          </cell>
          <cell r="E269">
            <v>507142787</v>
          </cell>
          <cell r="F269">
            <v>10</v>
          </cell>
          <cell r="G269">
            <v>1336783</v>
          </cell>
          <cell r="H269" t="str">
            <v>LC-003:BTL CLR CLVM P/S/INSTSUEDE PTI20Y</v>
          </cell>
          <cell r="I269">
            <v>25200</v>
          </cell>
          <cell r="J269" t="str">
            <v>UN</v>
          </cell>
          <cell r="K269">
            <v>45582</v>
          </cell>
        </row>
        <row r="270">
          <cell r="A270" t="str">
            <v>50714278720</v>
          </cell>
          <cell r="B270" t="str">
            <v>ZMTD</v>
          </cell>
          <cell r="C270">
            <v>45554</v>
          </cell>
          <cell r="D270" t="str">
            <v>Not delivered</v>
          </cell>
          <cell r="E270">
            <v>507142787</v>
          </cell>
          <cell r="F270">
            <v>20</v>
          </cell>
          <cell r="G270">
            <v>1378266</v>
          </cell>
          <cell r="H270" t="str">
            <v>LC-003:CAP VM RS PINK INSTASUEDE PTI 20F</v>
          </cell>
          <cell r="I270">
            <v>25200</v>
          </cell>
          <cell r="J270" t="str">
            <v>UN</v>
          </cell>
          <cell r="K270">
            <v>45582</v>
          </cell>
        </row>
        <row r="271">
          <cell r="A271" t="str">
            <v>50714278810</v>
          </cell>
          <cell r="B271" t="str">
            <v>ZMTD</v>
          </cell>
          <cell r="C271">
            <v>45554</v>
          </cell>
          <cell r="D271" t="str">
            <v>Not delivered</v>
          </cell>
          <cell r="E271">
            <v>507142788</v>
          </cell>
          <cell r="F271">
            <v>10</v>
          </cell>
          <cell r="G271">
            <v>1168132</v>
          </cell>
          <cell r="H271" t="str">
            <v>LS-285:BS WHT NO DC WARDAH</v>
          </cell>
          <cell r="I271">
            <v>55328</v>
          </cell>
          <cell r="J271" t="str">
            <v>UN</v>
          </cell>
          <cell r="K271">
            <v>45582</v>
          </cell>
        </row>
        <row r="272">
          <cell r="A272" t="str">
            <v>50714278820</v>
          </cell>
          <cell r="B272" t="str">
            <v>ZMTD</v>
          </cell>
          <cell r="C272">
            <v>45554</v>
          </cell>
          <cell r="D272" t="str">
            <v>Not delivered</v>
          </cell>
          <cell r="E272">
            <v>507142788</v>
          </cell>
          <cell r="F272">
            <v>20</v>
          </cell>
          <cell r="G272">
            <v>1421418</v>
          </cell>
          <cell r="H272" t="str">
            <v>LS-285:CV RED P/WHT UV STRAWBERY PTI 30O</v>
          </cell>
          <cell r="I272">
            <v>55328</v>
          </cell>
          <cell r="J272" t="str">
            <v>UN</v>
          </cell>
          <cell r="K272">
            <v>45582</v>
          </cell>
        </row>
        <row r="273">
          <cell r="A273" t="str">
            <v>50714275670</v>
          </cell>
          <cell r="B273" t="str">
            <v>ZMTD</v>
          </cell>
          <cell r="C273">
            <v>45547</v>
          </cell>
          <cell r="D273" t="str">
            <v>Not delivered</v>
          </cell>
          <cell r="E273">
            <v>507142756</v>
          </cell>
          <cell r="F273">
            <v>70</v>
          </cell>
          <cell r="G273">
            <v>1411899</v>
          </cell>
          <cell r="H273" t="str">
            <v>PT-100:BS/INS GREEN P/WHT KAHF PTI 60B</v>
          </cell>
          <cell r="I273">
            <v>120064</v>
          </cell>
          <cell r="J273" t="str">
            <v>UN</v>
          </cell>
          <cell r="K273">
            <v>45582</v>
          </cell>
        </row>
        <row r="274">
          <cell r="A274" t="str">
            <v>50714275680</v>
          </cell>
          <cell r="B274" t="str">
            <v>ZMTD</v>
          </cell>
          <cell r="C274">
            <v>45547</v>
          </cell>
          <cell r="D274" t="str">
            <v>Not delivered</v>
          </cell>
          <cell r="E274">
            <v>507142756</v>
          </cell>
          <cell r="F274">
            <v>80</v>
          </cell>
          <cell r="G274">
            <v>1411898</v>
          </cell>
          <cell r="H274" t="str">
            <v>PT-100:CVR MT.GREEN EMBOS KAHF PTI 40D</v>
          </cell>
          <cell r="I274">
            <v>120064</v>
          </cell>
          <cell r="J274" t="str">
            <v>UN</v>
          </cell>
          <cell r="K274">
            <v>45582</v>
          </cell>
        </row>
        <row r="275">
          <cell r="A275" t="str">
            <v>50714266410</v>
          </cell>
          <cell r="B275" t="str">
            <v>ZMTD</v>
          </cell>
          <cell r="C275">
            <v>45525</v>
          </cell>
          <cell r="D275" t="str">
            <v>Not delivered</v>
          </cell>
          <cell r="E275">
            <v>507142664</v>
          </cell>
          <cell r="F275">
            <v>10</v>
          </cell>
          <cell r="G275">
            <v>1216572</v>
          </cell>
          <cell r="H275" t="str">
            <v>CM-216:TRUE MATCH CV PF S/SLV LOR (SEA)</v>
          </cell>
          <cell r="I275">
            <v>230400</v>
          </cell>
          <cell r="J275" t="str">
            <v>UN</v>
          </cell>
          <cell r="K275">
            <v>45582</v>
          </cell>
        </row>
        <row r="276">
          <cell r="A276" t="str">
            <v>507142416200</v>
          </cell>
          <cell r="B276" t="str">
            <v>ZMTD</v>
          </cell>
          <cell r="C276">
            <v>45474</v>
          </cell>
          <cell r="D276" t="str">
            <v>Not delivered</v>
          </cell>
          <cell r="E276">
            <v>507142416</v>
          </cell>
          <cell r="F276">
            <v>200</v>
          </cell>
          <cell r="G276">
            <v>1172027</v>
          </cell>
          <cell r="H276" t="str">
            <v>FP-008:SFT NAT L.HINGE W/LBL NO DC MDM</v>
          </cell>
          <cell r="I276">
            <v>10000</v>
          </cell>
          <cell r="J276" t="str">
            <v>UN</v>
          </cell>
          <cell r="K276">
            <v>45582</v>
          </cell>
        </row>
        <row r="277">
          <cell r="A277" t="str">
            <v>50714277110</v>
          </cell>
          <cell r="B277" t="str">
            <v>ZMTD</v>
          </cell>
          <cell r="C277">
            <v>45554</v>
          </cell>
          <cell r="D277" t="str">
            <v>Not delivered</v>
          </cell>
          <cell r="E277">
            <v>507142771</v>
          </cell>
          <cell r="F277">
            <v>10</v>
          </cell>
          <cell r="G277">
            <v>1378563</v>
          </cell>
          <cell r="H277" t="str">
            <v>CP-093:CAP D50 MT BLACK Ø.5 YASULOR 12A</v>
          </cell>
          <cell r="I277">
            <v>400000</v>
          </cell>
          <cell r="J277" t="str">
            <v>UN</v>
          </cell>
          <cell r="K277">
            <v>45583</v>
          </cell>
        </row>
        <row r="278">
          <cell r="A278" t="str">
            <v>50714278220</v>
          </cell>
          <cell r="B278" t="str">
            <v>ZMTD</v>
          </cell>
          <cell r="C278">
            <v>45554</v>
          </cell>
          <cell r="D278" t="str">
            <v>Not delivered</v>
          </cell>
          <cell r="E278">
            <v>507142782</v>
          </cell>
          <cell r="F278">
            <v>20</v>
          </cell>
          <cell r="G278">
            <v>1420102</v>
          </cell>
          <cell r="H278" t="str">
            <v>LS-091:CV WHT P/ICE FRUITY CHERRY 60B</v>
          </cell>
          <cell r="I278">
            <v>25688</v>
          </cell>
          <cell r="J278" t="str">
            <v>UN</v>
          </cell>
          <cell r="K278">
            <v>45583</v>
          </cell>
        </row>
        <row r="279">
          <cell r="A279" t="str">
            <v>50714278910</v>
          </cell>
          <cell r="B279" t="str">
            <v>ZMTD</v>
          </cell>
          <cell r="C279">
            <v>45554</v>
          </cell>
          <cell r="D279" t="str">
            <v>Not delivered</v>
          </cell>
          <cell r="E279">
            <v>507142789</v>
          </cell>
          <cell r="F279">
            <v>10</v>
          </cell>
          <cell r="G279">
            <v>1411213</v>
          </cell>
          <cell r="H279" t="str">
            <v>CM-105:BLCK COAT P/MAKE OVER PTI RV1 40H</v>
          </cell>
          <cell r="I279">
            <v>10080</v>
          </cell>
          <cell r="J279" t="str">
            <v>UN</v>
          </cell>
          <cell r="K279">
            <v>45583</v>
          </cell>
        </row>
        <row r="280">
          <cell r="A280" t="str">
            <v>50714279010</v>
          </cell>
          <cell r="B280" t="str">
            <v>ZMTD</v>
          </cell>
          <cell r="C280">
            <v>45554</v>
          </cell>
          <cell r="D280" t="str">
            <v>Not delivered</v>
          </cell>
          <cell r="E280">
            <v>507142790</v>
          </cell>
          <cell r="F280">
            <v>10</v>
          </cell>
          <cell r="G280">
            <v>1361170</v>
          </cell>
          <cell r="H280" t="str">
            <v>PT-097:BODY BLACK HOUSE WHT TRANS PTI12A</v>
          </cell>
          <cell r="I280">
            <v>110160</v>
          </cell>
          <cell r="J280" t="str">
            <v>UN</v>
          </cell>
          <cell r="K280">
            <v>45583</v>
          </cell>
        </row>
        <row r="281">
          <cell r="A281" t="str">
            <v>50714279020</v>
          </cell>
          <cell r="B281" t="str">
            <v>ZMTD</v>
          </cell>
          <cell r="C281">
            <v>45554</v>
          </cell>
          <cell r="D281" t="str">
            <v>Not delivered</v>
          </cell>
          <cell r="E281">
            <v>507142790</v>
          </cell>
          <cell r="F281">
            <v>20</v>
          </cell>
          <cell r="G281">
            <v>1361175</v>
          </cell>
          <cell r="H281" t="str">
            <v>PT-097:CAP BLACK TRANS PTI 12A</v>
          </cell>
          <cell r="I281">
            <v>110160</v>
          </cell>
          <cell r="J281" t="str">
            <v>UN</v>
          </cell>
          <cell r="K281">
            <v>45583</v>
          </cell>
        </row>
        <row r="282">
          <cell r="A282" t="str">
            <v>50714276550</v>
          </cell>
          <cell r="B282" t="str">
            <v>ZMTD</v>
          </cell>
          <cell r="C282">
            <v>45552</v>
          </cell>
          <cell r="D282" t="str">
            <v>Not delivered</v>
          </cell>
          <cell r="E282">
            <v>507142765</v>
          </cell>
          <cell r="F282">
            <v>50</v>
          </cell>
          <cell r="G282">
            <v>1398383</v>
          </cell>
          <cell r="H282" t="str">
            <v>CM-319:WHITE P/BLACK UV MATTE NARS</v>
          </cell>
          <cell r="I282">
            <v>40080</v>
          </cell>
          <cell r="J282" t="str">
            <v>UN</v>
          </cell>
          <cell r="K282">
            <v>45583</v>
          </cell>
        </row>
        <row r="283">
          <cell r="A283" t="str">
            <v>50714270910</v>
          </cell>
          <cell r="B283" t="str">
            <v>ZMTD</v>
          </cell>
          <cell r="C283">
            <v>45534</v>
          </cell>
          <cell r="D283" t="str">
            <v>Not delivered</v>
          </cell>
          <cell r="E283">
            <v>507142709</v>
          </cell>
          <cell r="F283">
            <v>10</v>
          </cell>
          <cell r="G283">
            <v>1187960</v>
          </cell>
          <cell r="H283" t="str">
            <v>FP-014:CVR VMRAINBOW P/ULTM II RUDYS 40C</v>
          </cell>
          <cell r="I283">
            <v>30000</v>
          </cell>
          <cell r="J283" t="str">
            <v>UN</v>
          </cell>
          <cell r="K283">
            <v>45583</v>
          </cell>
        </row>
        <row r="284">
          <cell r="A284" t="str">
            <v>50714270920</v>
          </cell>
          <cell r="B284" t="str">
            <v>ZMTD</v>
          </cell>
          <cell r="C284">
            <v>45534</v>
          </cell>
          <cell r="D284" t="str">
            <v>Not delivered</v>
          </cell>
          <cell r="E284">
            <v>507142709</v>
          </cell>
          <cell r="F284">
            <v>20</v>
          </cell>
          <cell r="G284">
            <v>1172318</v>
          </cell>
          <cell r="H284" t="str">
            <v>FP-014:BASE CLEAR NO DC ULTIMA II RUDY S</v>
          </cell>
          <cell r="I284">
            <v>30000</v>
          </cell>
          <cell r="J284" t="str">
            <v>UN</v>
          </cell>
          <cell r="K284">
            <v>45583</v>
          </cell>
        </row>
        <row r="285">
          <cell r="A285" t="str">
            <v>50714270930</v>
          </cell>
          <cell r="B285" t="str">
            <v>ZMTD</v>
          </cell>
          <cell r="C285">
            <v>45534</v>
          </cell>
          <cell r="D285" t="str">
            <v>Not delivered</v>
          </cell>
          <cell r="E285">
            <v>507142709</v>
          </cell>
          <cell r="F285">
            <v>30</v>
          </cell>
          <cell r="G285">
            <v>1170826</v>
          </cell>
          <cell r="H285" t="str">
            <v>FP-014:SIFTER NT W/LBL NO DECO ULTIMA II</v>
          </cell>
          <cell r="I285">
            <v>30000</v>
          </cell>
          <cell r="J285" t="str">
            <v>UN</v>
          </cell>
          <cell r="K285">
            <v>45583</v>
          </cell>
        </row>
        <row r="286">
          <cell r="A286" t="str">
            <v>50714261810</v>
          </cell>
          <cell r="B286" t="str">
            <v>ZMTD</v>
          </cell>
          <cell r="C286">
            <v>45512</v>
          </cell>
          <cell r="D286" t="str">
            <v>Not delivered</v>
          </cell>
          <cell r="E286">
            <v>507142618</v>
          </cell>
          <cell r="F286">
            <v>10</v>
          </cell>
          <cell r="G286">
            <v>1409850</v>
          </cell>
          <cell r="H286" t="str">
            <v>RX-068:BT8445 VENUS 60ML MATCLR 40D</v>
          </cell>
          <cell r="I286">
            <v>11500</v>
          </cell>
          <cell r="J286" t="str">
            <v>UN</v>
          </cell>
          <cell r="K286">
            <v>45583</v>
          </cell>
        </row>
        <row r="287">
          <cell r="A287" t="str">
            <v>50714260010</v>
          </cell>
          <cell r="B287" t="str">
            <v>ZMTD</v>
          </cell>
          <cell r="C287">
            <v>45509</v>
          </cell>
          <cell r="D287" t="str">
            <v>Not delivered</v>
          </cell>
          <cell r="E287">
            <v>507142600</v>
          </cell>
          <cell r="F287">
            <v>10</v>
          </cell>
          <cell r="G287">
            <v>1414413</v>
          </cell>
          <cell r="H287" t="str">
            <v>CM-216:S/RED INFAILLIBLE  L'OREAL US</v>
          </cell>
          <cell r="I287">
            <v>70000</v>
          </cell>
          <cell r="J287" t="str">
            <v>UN</v>
          </cell>
          <cell r="K287">
            <v>45583</v>
          </cell>
        </row>
        <row r="288">
          <cell r="A288" t="str">
            <v>50714254320</v>
          </cell>
          <cell r="B288" t="str">
            <v>ZMTD</v>
          </cell>
          <cell r="C288">
            <v>45491</v>
          </cell>
          <cell r="D288" t="str">
            <v>Not delivered</v>
          </cell>
          <cell r="E288">
            <v>507142543</v>
          </cell>
          <cell r="F288">
            <v>20</v>
          </cell>
          <cell r="G288">
            <v>1278860</v>
          </cell>
          <cell r="H288" t="str">
            <v>CM-296:WHT P/L.AGELES W/O HOLE COTY TAOR</v>
          </cell>
          <cell r="I288">
            <v>72000</v>
          </cell>
          <cell r="J288" t="str">
            <v>UN</v>
          </cell>
          <cell r="K288">
            <v>45583</v>
          </cell>
        </row>
        <row r="289">
          <cell r="A289" t="str">
            <v>507142416180</v>
          </cell>
          <cell r="B289" t="str">
            <v>ZMTD</v>
          </cell>
          <cell r="C289">
            <v>45474</v>
          </cell>
          <cell r="D289" t="str">
            <v>Not delivered</v>
          </cell>
          <cell r="E289">
            <v>507142416</v>
          </cell>
          <cell r="F289">
            <v>180</v>
          </cell>
          <cell r="G289">
            <v>1376248</v>
          </cell>
          <cell r="H289" t="str">
            <v>FP-008:CVR L.PINK P/BLK MANDOM RV1 12A</v>
          </cell>
          <cell r="I289">
            <v>10000</v>
          </cell>
          <cell r="J289" t="str">
            <v>UN</v>
          </cell>
          <cell r="K289">
            <v>45583</v>
          </cell>
        </row>
        <row r="290">
          <cell r="A290" t="str">
            <v>507142416190</v>
          </cell>
          <cell r="B290" t="str">
            <v>ZMTD</v>
          </cell>
          <cell r="C290">
            <v>45474</v>
          </cell>
          <cell r="D290" t="str">
            <v>Not delivered</v>
          </cell>
          <cell r="E290">
            <v>507142416</v>
          </cell>
          <cell r="F290">
            <v>190</v>
          </cell>
          <cell r="G290">
            <v>1171179</v>
          </cell>
          <cell r="H290" t="str">
            <v>FP-008:BS INJ BLK NO DC MANDOM</v>
          </cell>
          <cell r="I290">
            <v>10000</v>
          </cell>
          <cell r="J290" t="str">
            <v>UN</v>
          </cell>
          <cell r="K290">
            <v>45583</v>
          </cell>
        </row>
        <row r="291">
          <cell r="A291" t="str">
            <v>50714228010</v>
          </cell>
          <cell r="B291" t="str">
            <v>ZMTD</v>
          </cell>
          <cell r="C291">
            <v>45447</v>
          </cell>
          <cell r="D291" t="str">
            <v>Not delivered</v>
          </cell>
          <cell r="E291">
            <v>507142280</v>
          </cell>
          <cell r="F291">
            <v>10</v>
          </cell>
          <cell r="G291">
            <v>1419488</v>
          </cell>
          <cell r="H291" t="str">
            <v>CP-063R:SPOUT CAP WHITE LOREAL 12A</v>
          </cell>
          <cell r="I291">
            <v>1890000</v>
          </cell>
          <cell r="J291" t="str">
            <v>UN</v>
          </cell>
          <cell r="K291">
            <v>45584</v>
          </cell>
        </row>
        <row r="292">
          <cell r="A292" t="str">
            <v>50714275210</v>
          </cell>
          <cell r="B292" t="str">
            <v>ZMTD</v>
          </cell>
          <cell r="C292">
            <v>45545</v>
          </cell>
          <cell r="D292" t="str">
            <v>Not delivered</v>
          </cell>
          <cell r="E292">
            <v>507142752</v>
          </cell>
          <cell r="F292">
            <v>10</v>
          </cell>
          <cell r="G292">
            <v>1169286</v>
          </cell>
          <cell r="H292" t="str">
            <v>CM-294:RECTANGULAR WITH GODET PKTJ010032</v>
          </cell>
          <cell r="I292">
            <v>43280</v>
          </cell>
          <cell r="J292" t="str">
            <v>UN</v>
          </cell>
          <cell r="K292">
            <v>45585</v>
          </cell>
        </row>
        <row r="293">
          <cell r="A293" t="str">
            <v>50714284010</v>
          </cell>
          <cell r="B293" t="str">
            <v>ZMTD</v>
          </cell>
          <cell r="C293">
            <v>45562</v>
          </cell>
          <cell r="D293" t="str">
            <v>Not delivered</v>
          </cell>
          <cell r="E293">
            <v>507142840</v>
          </cell>
          <cell r="F293">
            <v>10</v>
          </cell>
          <cell r="G293">
            <v>1225388</v>
          </cell>
          <cell r="H293" t="str">
            <v>RX-039 PT-024 CVR WHT SP/MAT CLR</v>
          </cell>
          <cell r="I293">
            <v>27000</v>
          </cell>
          <cell r="J293" t="str">
            <v>UN</v>
          </cell>
          <cell r="K293">
            <v>45586</v>
          </cell>
        </row>
        <row r="294">
          <cell r="A294" t="str">
            <v>50714278210</v>
          </cell>
          <cell r="B294" t="str">
            <v>ZMTD</v>
          </cell>
          <cell r="C294">
            <v>45554</v>
          </cell>
          <cell r="D294" t="str">
            <v>Not delivered</v>
          </cell>
          <cell r="E294">
            <v>507142782</v>
          </cell>
          <cell r="F294">
            <v>10</v>
          </cell>
          <cell r="G294">
            <v>1420101</v>
          </cell>
          <cell r="H294" t="str">
            <v>LS-091:BS RED P/RED FRTY CHERRY NEW 60B</v>
          </cell>
          <cell r="I294">
            <v>25688</v>
          </cell>
          <cell r="J294" t="str">
            <v>UN</v>
          </cell>
          <cell r="K294">
            <v>45586</v>
          </cell>
        </row>
        <row r="295">
          <cell r="A295" t="str">
            <v>50714273330</v>
          </cell>
          <cell r="B295" t="str">
            <v>ZMTD</v>
          </cell>
          <cell r="C295">
            <v>45544</v>
          </cell>
          <cell r="D295" t="str">
            <v>Not delivered</v>
          </cell>
          <cell r="E295">
            <v>507142733</v>
          </cell>
          <cell r="F295">
            <v>30</v>
          </cell>
          <cell r="G295">
            <v>1375595</v>
          </cell>
          <cell r="H295" t="str">
            <v>LC-009:BTL/INNER CLEAR P/OMG PTIPT 60B</v>
          </cell>
          <cell r="I295">
            <v>49770</v>
          </cell>
          <cell r="J295" t="str">
            <v>UN</v>
          </cell>
          <cell r="K295">
            <v>45586</v>
          </cell>
        </row>
        <row r="296">
          <cell r="A296" t="str">
            <v>50714273340</v>
          </cell>
          <cell r="B296" t="str">
            <v>ZMTD</v>
          </cell>
          <cell r="C296">
            <v>45544</v>
          </cell>
          <cell r="D296" t="str">
            <v>Not delivered</v>
          </cell>
          <cell r="E296">
            <v>507142733</v>
          </cell>
          <cell r="F296">
            <v>40</v>
          </cell>
          <cell r="G296">
            <v>1375593</v>
          </cell>
          <cell r="H296" t="str">
            <v>LC-009:CAP REDTRANS WIP S/OMG PTIPT 60B</v>
          </cell>
          <cell r="I296">
            <v>49770</v>
          </cell>
          <cell r="J296" t="str">
            <v>UN</v>
          </cell>
          <cell r="K296">
            <v>45586</v>
          </cell>
        </row>
        <row r="297">
          <cell r="A297" t="str">
            <v>50714271910</v>
          </cell>
          <cell r="B297" t="str">
            <v>ZMTD</v>
          </cell>
          <cell r="C297">
            <v>45539</v>
          </cell>
          <cell r="D297" t="str">
            <v>Not delivered</v>
          </cell>
          <cell r="E297">
            <v>507142719</v>
          </cell>
          <cell r="F297">
            <v>10</v>
          </cell>
          <cell r="G297">
            <v>1431862</v>
          </cell>
          <cell r="H297" t="str">
            <v>PT6029R JAR GARNIER 18ML YUZU SPF30(635)</v>
          </cell>
          <cell r="I297">
            <v>42336</v>
          </cell>
          <cell r="J297" t="str">
            <v>UN</v>
          </cell>
          <cell r="K297">
            <v>45586</v>
          </cell>
        </row>
        <row r="298">
          <cell r="A298" t="str">
            <v>50714269910</v>
          </cell>
          <cell r="B298" t="str">
            <v>ZMTD</v>
          </cell>
          <cell r="C298">
            <v>45533</v>
          </cell>
          <cell r="D298" t="str">
            <v>Not delivered</v>
          </cell>
          <cell r="E298">
            <v>507142699</v>
          </cell>
          <cell r="F298">
            <v>10</v>
          </cell>
          <cell r="G298">
            <v>1315622</v>
          </cell>
          <cell r="H298" t="str">
            <v>CM-306:COTY BURBERRY PLATFORM QUAD</v>
          </cell>
          <cell r="I298">
            <v>32400</v>
          </cell>
          <cell r="J298" t="str">
            <v>UN</v>
          </cell>
          <cell r="K298">
            <v>45586</v>
          </cell>
        </row>
        <row r="299">
          <cell r="A299" t="str">
            <v>50714260630</v>
          </cell>
          <cell r="B299" t="str">
            <v>ZMTD</v>
          </cell>
          <cell r="C299">
            <v>45509</v>
          </cell>
          <cell r="D299" t="str">
            <v>Not delivered</v>
          </cell>
          <cell r="E299">
            <v>507142606</v>
          </cell>
          <cell r="F299">
            <v>30</v>
          </cell>
          <cell r="G299">
            <v>1172020</v>
          </cell>
          <cell r="H299" t="str">
            <v>FP-028:SLEEVE EYELASHES 01SLMAC EL</v>
          </cell>
          <cell r="I299">
            <v>80256</v>
          </cell>
          <cell r="J299" t="str">
            <v>UN</v>
          </cell>
          <cell r="K299">
            <v>45586</v>
          </cell>
        </row>
        <row r="300">
          <cell r="A300" t="str">
            <v>50714260640</v>
          </cell>
          <cell r="B300" t="str">
            <v>ZMTD</v>
          </cell>
          <cell r="C300">
            <v>45509</v>
          </cell>
          <cell r="D300" t="str">
            <v>Not delivered</v>
          </cell>
          <cell r="E300">
            <v>507142606</v>
          </cell>
          <cell r="F300">
            <v>40</v>
          </cell>
          <cell r="G300">
            <v>1170605</v>
          </cell>
          <cell r="H300" t="str">
            <v>FP-028:WHITE TR EYLSHS P/ 01PLMAC EL</v>
          </cell>
          <cell r="I300">
            <v>80514</v>
          </cell>
          <cell r="J300" t="str">
            <v>UN</v>
          </cell>
          <cell r="K300">
            <v>45586</v>
          </cell>
        </row>
        <row r="301">
          <cell r="A301" t="str">
            <v>50714243310</v>
          </cell>
          <cell r="B301" t="str">
            <v>ZMTD</v>
          </cell>
          <cell r="C301">
            <v>45475</v>
          </cell>
          <cell r="D301" t="str">
            <v>Not delivered</v>
          </cell>
          <cell r="E301">
            <v>507142433</v>
          </cell>
          <cell r="F301">
            <v>10</v>
          </cell>
          <cell r="G301">
            <v>1406600</v>
          </cell>
          <cell r="H301" t="str">
            <v>CM-310:BLACK M086 CANNAGE S/SLV UV MT</v>
          </cell>
          <cell r="I301">
            <v>39000</v>
          </cell>
          <cell r="J301" t="str">
            <v>UN</v>
          </cell>
          <cell r="K301">
            <v>45586</v>
          </cell>
        </row>
        <row r="302">
          <cell r="A302" t="str">
            <v>50714228110</v>
          </cell>
          <cell r="B302" t="str">
            <v>ZMTD</v>
          </cell>
          <cell r="C302">
            <v>45447</v>
          </cell>
          <cell r="D302" t="str">
            <v>Not delivered</v>
          </cell>
          <cell r="E302">
            <v>507142281</v>
          </cell>
          <cell r="F302">
            <v>10</v>
          </cell>
          <cell r="G302">
            <v>1419488</v>
          </cell>
          <cell r="H302" t="str">
            <v>CP-063R:SPOUT CAP WHITE LOREAL 12A</v>
          </cell>
          <cell r="I302">
            <v>1890000</v>
          </cell>
          <cell r="J302" t="str">
            <v>UN</v>
          </cell>
          <cell r="K302">
            <v>45586</v>
          </cell>
        </row>
        <row r="303">
          <cell r="A303" t="str">
            <v>50714283110</v>
          </cell>
          <cell r="B303" t="str">
            <v>ZMTD</v>
          </cell>
          <cell r="C303">
            <v>45561</v>
          </cell>
          <cell r="D303" t="str">
            <v>Not delivered</v>
          </cell>
          <cell r="E303">
            <v>507142831</v>
          </cell>
          <cell r="F303">
            <v>10</v>
          </cell>
          <cell r="G303">
            <v>1367372</v>
          </cell>
          <cell r="H303" t="str">
            <v>PT-097:BODY GREN HOUSE WHT TRANS PTI 12A</v>
          </cell>
          <cell r="I303">
            <v>50220</v>
          </cell>
          <cell r="J303" t="str">
            <v>UN</v>
          </cell>
          <cell r="K303">
            <v>45587</v>
          </cell>
        </row>
        <row r="304">
          <cell r="A304" t="str">
            <v>50714283120</v>
          </cell>
          <cell r="B304" t="str">
            <v>ZMTD</v>
          </cell>
          <cell r="C304">
            <v>45561</v>
          </cell>
          <cell r="D304" t="str">
            <v>Not delivered</v>
          </cell>
          <cell r="E304">
            <v>507142831</v>
          </cell>
          <cell r="F304">
            <v>20</v>
          </cell>
          <cell r="G304">
            <v>1367370</v>
          </cell>
          <cell r="H304" t="str">
            <v>PT-097:CAP GREN TRANS PTI 12A</v>
          </cell>
          <cell r="I304">
            <v>50220</v>
          </cell>
          <cell r="J304" t="str">
            <v>UN</v>
          </cell>
          <cell r="K304">
            <v>45587</v>
          </cell>
        </row>
        <row r="305">
          <cell r="A305" t="str">
            <v>50714283410</v>
          </cell>
          <cell r="B305" t="str">
            <v>ZMTD</v>
          </cell>
          <cell r="C305">
            <v>45561</v>
          </cell>
          <cell r="D305" t="str">
            <v>Not delivered</v>
          </cell>
          <cell r="E305">
            <v>507142834</v>
          </cell>
          <cell r="F305">
            <v>10</v>
          </cell>
          <cell r="G305">
            <v>1209355</v>
          </cell>
          <cell r="H305" t="str">
            <v>CP-092:VM SLVR WRDH TREAT ESSENCE PTI20F</v>
          </cell>
          <cell r="I305">
            <v>25200</v>
          </cell>
          <cell r="J305" t="str">
            <v>UN</v>
          </cell>
          <cell r="K305">
            <v>45587</v>
          </cell>
        </row>
        <row r="306">
          <cell r="A306" t="str">
            <v>50714283510</v>
          </cell>
          <cell r="B306" t="str">
            <v>ZMTD</v>
          </cell>
          <cell r="C306">
            <v>45561</v>
          </cell>
          <cell r="D306" t="str">
            <v>Not delivered</v>
          </cell>
          <cell r="E306">
            <v>507142835</v>
          </cell>
          <cell r="F306">
            <v>10</v>
          </cell>
          <cell r="G306">
            <v>1167571</v>
          </cell>
          <cell r="H306" t="str">
            <v>FP-014:BS CLEAR NO DC PTI</v>
          </cell>
          <cell r="I306">
            <v>10080</v>
          </cell>
          <cell r="J306" t="str">
            <v>UN</v>
          </cell>
          <cell r="K306">
            <v>45587</v>
          </cell>
        </row>
        <row r="307">
          <cell r="A307" t="str">
            <v>50714283520</v>
          </cell>
          <cell r="B307" t="str">
            <v>ZMTD</v>
          </cell>
          <cell r="C307">
            <v>45561</v>
          </cell>
          <cell r="D307" t="str">
            <v>Not delivered</v>
          </cell>
          <cell r="E307">
            <v>507142835</v>
          </cell>
          <cell r="F307">
            <v>20</v>
          </cell>
          <cell r="G307">
            <v>1174020</v>
          </cell>
          <cell r="H307" t="str">
            <v>FP-014:CVR BLCK COAT P/DC MAKE OVER  PTI</v>
          </cell>
          <cell r="I307">
            <v>10080</v>
          </cell>
          <cell r="J307" t="str">
            <v>UN</v>
          </cell>
          <cell r="K307">
            <v>45587</v>
          </cell>
        </row>
        <row r="308">
          <cell r="A308" t="str">
            <v>50714283530</v>
          </cell>
          <cell r="B308" t="str">
            <v>ZMTD</v>
          </cell>
          <cell r="C308">
            <v>45561</v>
          </cell>
          <cell r="D308" t="str">
            <v>Not delivered</v>
          </cell>
          <cell r="E308">
            <v>507142835</v>
          </cell>
          <cell r="F308">
            <v>30</v>
          </cell>
          <cell r="G308">
            <v>1167434</v>
          </cell>
          <cell r="H308" t="str">
            <v>FP-014:SFTR NATURAL W/ LABEL POLOS PTI</v>
          </cell>
          <cell r="I308">
            <v>10080</v>
          </cell>
          <cell r="J308" t="str">
            <v>UN</v>
          </cell>
          <cell r="K308">
            <v>45587</v>
          </cell>
        </row>
        <row r="309">
          <cell r="A309" t="str">
            <v>50714283710</v>
          </cell>
          <cell r="B309" t="str">
            <v>ZMTD</v>
          </cell>
          <cell r="C309">
            <v>45561</v>
          </cell>
          <cell r="D309" t="str">
            <v>Not delivered</v>
          </cell>
          <cell r="E309">
            <v>507142837</v>
          </cell>
          <cell r="F309">
            <v>10</v>
          </cell>
          <cell r="G309">
            <v>1408740</v>
          </cell>
          <cell r="H309" t="str">
            <v>PT-097B:BDSR.2 BLU HOUS WHT TRNS PTI12A</v>
          </cell>
          <cell r="I309">
            <v>110160</v>
          </cell>
          <cell r="J309" t="str">
            <v>UN</v>
          </cell>
          <cell r="K309">
            <v>45587</v>
          </cell>
        </row>
        <row r="310">
          <cell r="A310" t="str">
            <v>50714283720</v>
          </cell>
          <cell r="B310" t="str">
            <v>ZMTD</v>
          </cell>
          <cell r="C310">
            <v>45561</v>
          </cell>
          <cell r="D310" t="str">
            <v>Not delivered</v>
          </cell>
          <cell r="E310">
            <v>507142837</v>
          </cell>
          <cell r="F310">
            <v>20</v>
          </cell>
          <cell r="G310">
            <v>1408739</v>
          </cell>
          <cell r="H310" t="str">
            <v>PT-097B:CAP SR.2 BLUE TRANS PTI 12A</v>
          </cell>
          <cell r="I310">
            <v>110160</v>
          </cell>
          <cell r="J310" t="str">
            <v>UN</v>
          </cell>
          <cell r="K310">
            <v>45587</v>
          </cell>
        </row>
        <row r="311">
          <cell r="A311" t="str">
            <v>50714282010</v>
          </cell>
          <cell r="B311" t="str">
            <v>ZMTD</v>
          </cell>
          <cell r="C311">
            <v>45560</v>
          </cell>
          <cell r="D311" t="str">
            <v>Not delivered</v>
          </cell>
          <cell r="E311">
            <v>507142820</v>
          </cell>
          <cell r="F311">
            <v>10</v>
          </cell>
          <cell r="G311">
            <v>1169047</v>
          </cell>
          <cell r="H311" t="str">
            <v>LS-285:B V/SL P/1PS SLEV H/SL BLM PTI20R</v>
          </cell>
          <cell r="I311">
            <v>25536</v>
          </cell>
          <cell r="J311" t="str">
            <v>UN</v>
          </cell>
          <cell r="K311">
            <v>45587</v>
          </cell>
        </row>
        <row r="312">
          <cell r="A312" t="str">
            <v>50714282020</v>
          </cell>
          <cell r="B312" t="str">
            <v>ZMTD</v>
          </cell>
          <cell r="C312">
            <v>45560</v>
          </cell>
          <cell r="D312" t="str">
            <v>Not delivered</v>
          </cell>
          <cell r="E312">
            <v>507142820</v>
          </cell>
          <cell r="F312">
            <v>20</v>
          </cell>
          <cell r="G312">
            <v>1169062</v>
          </cell>
          <cell r="H312" t="str">
            <v>LS-285:CV TRANS MATE 1 P/1PS VAR2 PTI40H</v>
          </cell>
          <cell r="I312">
            <v>25536</v>
          </cell>
          <cell r="J312" t="str">
            <v>UN</v>
          </cell>
          <cell r="K312">
            <v>45587</v>
          </cell>
        </row>
        <row r="313">
          <cell r="A313" t="str">
            <v>50714278020</v>
          </cell>
          <cell r="B313" t="str">
            <v>ZMTD</v>
          </cell>
          <cell r="C313">
            <v>45554</v>
          </cell>
          <cell r="D313" t="str">
            <v>Not delivered</v>
          </cell>
          <cell r="E313">
            <v>507142780</v>
          </cell>
          <cell r="F313">
            <v>20</v>
          </cell>
          <cell r="G313">
            <v>1409881</v>
          </cell>
          <cell r="H313" t="str">
            <v>CM-315:CVR/BS BLACK P/CVRLAST OMG RV160B</v>
          </cell>
          <cell r="I313">
            <v>50204</v>
          </cell>
          <cell r="J313" t="str">
            <v>UN</v>
          </cell>
          <cell r="K313">
            <v>45587</v>
          </cell>
        </row>
        <row r="314">
          <cell r="A314" t="str">
            <v>50714275750</v>
          </cell>
          <cell r="B314" t="str">
            <v>ZMTD</v>
          </cell>
          <cell r="C314">
            <v>45547</v>
          </cell>
          <cell r="D314" t="str">
            <v>Not delivered</v>
          </cell>
          <cell r="E314">
            <v>507142757</v>
          </cell>
          <cell r="F314">
            <v>50</v>
          </cell>
          <cell r="G314">
            <v>1411701</v>
          </cell>
          <cell r="H314" t="str">
            <v>PT-100:BS/INS BLUE P/WHT KAHF PTI 60B</v>
          </cell>
          <cell r="I314">
            <v>60160</v>
          </cell>
          <cell r="J314" t="str">
            <v>UN</v>
          </cell>
          <cell r="K314">
            <v>45587</v>
          </cell>
        </row>
        <row r="315">
          <cell r="A315" t="str">
            <v>50714275760</v>
          </cell>
          <cell r="B315" t="str">
            <v>ZMTD</v>
          </cell>
          <cell r="C315">
            <v>45547</v>
          </cell>
          <cell r="D315" t="str">
            <v>Not delivered</v>
          </cell>
          <cell r="E315">
            <v>507142757</v>
          </cell>
          <cell r="F315">
            <v>60</v>
          </cell>
          <cell r="G315">
            <v>1411700</v>
          </cell>
          <cell r="H315" t="str">
            <v>PT-100:CVR MT.BLUE EMBOS KAHF PTI 40D</v>
          </cell>
          <cell r="I315">
            <v>60160</v>
          </cell>
          <cell r="J315" t="str">
            <v>UN</v>
          </cell>
          <cell r="K315">
            <v>45587</v>
          </cell>
        </row>
        <row r="316">
          <cell r="A316" t="str">
            <v>50714274270</v>
          </cell>
          <cell r="B316" t="str">
            <v>ZMTD</v>
          </cell>
          <cell r="C316">
            <v>45544</v>
          </cell>
          <cell r="D316" t="str">
            <v>Not delivered</v>
          </cell>
          <cell r="E316">
            <v>507142742</v>
          </cell>
          <cell r="F316">
            <v>70</v>
          </cell>
          <cell r="G316">
            <v>1437039</v>
          </cell>
          <cell r="H316" t="str">
            <v>CM-290:1PC BS CV MT.BLK S/ EMBOS OMG 40C</v>
          </cell>
          <cell r="I316">
            <v>36456</v>
          </cell>
          <cell r="J316" t="str">
            <v>UN</v>
          </cell>
          <cell r="K316">
            <v>45587</v>
          </cell>
        </row>
        <row r="317">
          <cell r="A317" t="str">
            <v>50714274280</v>
          </cell>
          <cell r="B317" t="str">
            <v>ZMTD</v>
          </cell>
          <cell r="C317">
            <v>45544</v>
          </cell>
          <cell r="D317" t="str">
            <v>Not delivered</v>
          </cell>
          <cell r="E317">
            <v>507142742</v>
          </cell>
          <cell r="F317">
            <v>80</v>
          </cell>
          <cell r="G317">
            <v>1437140</v>
          </cell>
          <cell r="H317" t="str">
            <v>CM-290:ENGINE CV RED, BS BLK OMG PTI 12A</v>
          </cell>
          <cell r="I317">
            <v>29904</v>
          </cell>
          <cell r="J317" t="str">
            <v>UN</v>
          </cell>
          <cell r="K317">
            <v>45587</v>
          </cell>
        </row>
        <row r="318">
          <cell r="A318" t="str">
            <v>50714274290</v>
          </cell>
          <cell r="B318" t="str">
            <v>ZMTD</v>
          </cell>
          <cell r="C318">
            <v>45544</v>
          </cell>
          <cell r="D318" t="str">
            <v>Not delivered</v>
          </cell>
          <cell r="E318">
            <v>507142742</v>
          </cell>
          <cell r="F318">
            <v>90</v>
          </cell>
          <cell r="G318">
            <v>1437141</v>
          </cell>
          <cell r="H318" t="str">
            <v>CM-290:RING BLACK OMG PTI 12A</v>
          </cell>
          <cell r="I318">
            <v>29904</v>
          </cell>
          <cell r="J318" t="str">
            <v>UN</v>
          </cell>
          <cell r="K318">
            <v>45587</v>
          </cell>
        </row>
        <row r="319">
          <cell r="A319" t="str">
            <v>50714273020</v>
          </cell>
          <cell r="B319" t="str">
            <v>ZMTD</v>
          </cell>
          <cell r="C319">
            <v>45541</v>
          </cell>
          <cell r="D319" t="str">
            <v>Not delivered</v>
          </cell>
          <cell r="E319">
            <v>507142730</v>
          </cell>
          <cell r="F319">
            <v>20</v>
          </cell>
          <cell r="G319">
            <v>1371896</v>
          </cell>
          <cell r="H319" t="str">
            <v>RX-056:CM-316 CVR BLUE P/WHT SP/MTCLR</v>
          </cell>
          <cell r="I319">
            <v>110016</v>
          </cell>
          <cell r="J319" t="str">
            <v>UN</v>
          </cell>
          <cell r="K319">
            <v>45587</v>
          </cell>
        </row>
        <row r="320">
          <cell r="A320" t="str">
            <v>50714262410</v>
          </cell>
          <cell r="B320" t="str">
            <v>ZMTD</v>
          </cell>
          <cell r="C320">
            <v>45513</v>
          </cell>
          <cell r="D320" t="str">
            <v>Not delivered</v>
          </cell>
          <cell r="E320">
            <v>507142624</v>
          </cell>
          <cell r="F320">
            <v>10</v>
          </cell>
          <cell r="G320">
            <v>1195860</v>
          </cell>
          <cell r="H320" t="str">
            <v>CM-248:WHITE  ZRPJ010031 S/CLINIQUE</v>
          </cell>
          <cell r="I320">
            <v>12600</v>
          </cell>
          <cell r="J320" t="str">
            <v>UN</v>
          </cell>
          <cell r="K320">
            <v>45587</v>
          </cell>
        </row>
        <row r="321">
          <cell r="A321" t="str">
            <v>50714252910</v>
          </cell>
          <cell r="B321" t="str">
            <v>ZMTD</v>
          </cell>
          <cell r="C321">
            <v>45488</v>
          </cell>
          <cell r="D321" t="str">
            <v>Not delivered</v>
          </cell>
          <cell r="E321">
            <v>507142529</v>
          </cell>
          <cell r="F321">
            <v>10</v>
          </cell>
          <cell r="G321">
            <v>1255662</v>
          </cell>
          <cell r="H321" t="str">
            <v>LC-002:BTL MT VAR12 P/WRDH B.MARK PTI40H</v>
          </cell>
          <cell r="I321">
            <v>31500</v>
          </cell>
          <cell r="J321" t="str">
            <v>UN</v>
          </cell>
          <cell r="K321">
            <v>45587</v>
          </cell>
        </row>
        <row r="322">
          <cell r="A322" t="str">
            <v>50714252920</v>
          </cell>
          <cell r="B322" t="str">
            <v>ZMTD</v>
          </cell>
          <cell r="C322">
            <v>45488</v>
          </cell>
          <cell r="D322" t="str">
            <v>Not delivered</v>
          </cell>
          <cell r="E322">
            <v>507142529</v>
          </cell>
          <cell r="F322">
            <v>20</v>
          </cell>
          <cell r="G322">
            <v>1174820</v>
          </cell>
          <cell r="H322" t="str">
            <v>LC-002:CP S/MT VAR12 STM-WHT WNAT PTI40D</v>
          </cell>
          <cell r="I322">
            <v>31500</v>
          </cell>
          <cell r="J322" t="str">
            <v>UN</v>
          </cell>
          <cell r="K322">
            <v>45587</v>
          </cell>
        </row>
        <row r="323">
          <cell r="A323" t="str">
            <v>50714247910</v>
          </cell>
          <cell r="B323" t="str">
            <v>ZMTD</v>
          </cell>
          <cell r="C323">
            <v>45483</v>
          </cell>
          <cell r="D323" t="str">
            <v>Not delivered</v>
          </cell>
          <cell r="E323">
            <v>507142479</v>
          </cell>
          <cell r="F323">
            <v>10</v>
          </cell>
          <cell r="G323">
            <v>1195535</v>
          </cell>
          <cell r="H323" t="str">
            <v>FP-039:BASE SAN CLEAR HS KIKO PREMIER</v>
          </cell>
          <cell r="I323">
            <v>51408</v>
          </cell>
          <cell r="J323" t="str">
            <v>UN</v>
          </cell>
          <cell r="K323">
            <v>45587</v>
          </cell>
        </row>
        <row r="324">
          <cell r="A324" t="str">
            <v>50714248010</v>
          </cell>
          <cell r="B324" t="str">
            <v>ZMTD</v>
          </cell>
          <cell r="C324">
            <v>45483</v>
          </cell>
          <cell r="D324" t="str">
            <v>Not delivered</v>
          </cell>
          <cell r="E324">
            <v>507142480</v>
          </cell>
          <cell r="F324">
            <v>10</v>
          </cell>
          <cell r="G324">
            <v>1191869</v>
          </cell>
          <cell r="H324" t="str">
            <v>FP-039:CVR WHITE VM DARK SILVER  KIKO</v>
          </cell>
          <cell r="I324">
            <v>50688</v>
          </cell>
          <cell r="J324" t="str">
            <v>UN</v>
          </cell>
          <cell r="K324">
            <v>45587</v>
          </cell>
        </row>
        <row r="325">
          <cell r="A325" t="str">
            <v>507142416210</v>
          </cell>
          <cell r="B325" t="str">
            <v>ZMTD</v>
          </cell>
          <cell r="C325">
            <v>45474</v>
          </cell>
          <cell r="D325" t="str">
            <v>Not delivered</v>
          </cell>
          <cell r="E325">
            <v>507142416</v>
          </cell>
          <cell r="F325">
            <v>210</v>
          </cell>
          <cell r="G325">
            <v>1376248</v>
          </cell>
          <cell r="H325" t="str">
            <v>FP-008:CVR L.PINK P/BLK MANDOM RV1 12A</v>
          </cell>
          <cell r="I325">
            <v>10000</v>
          </cell>
          <cell r="J325" t="str">
            <v>UN</v>
          </cell>
          <cell r="K325">
            <v>45587</v>
          </cell>
        </row>
        <row r="326">
          <cell r="A326" t="str">
            <v>507142416220</v>
          </cell>
          <cell r="B326" t="str">
            <v>ZMTD</v>
          </cell>
          <cell r="C326">
            <v>45474</v>
          </cell>
          <cell r="D326" t="str">
            <v>Not delivered</v>
          </cell>
          <cell r="E326">
            <v>507142416</v>
          </cell>
          <cell r="F326">
            <v>220</v>
          </cell>
          <cell r="G326">
            <v>1171179</v>
          </cell>
          <cell r="H326" t="str">
            <v>FP-008:BS INJ BLK NO DC MANDOM</v>
          </cell>
          <cell r="I326">
            <v>10000</v>
          </cell>
          <cell r="J326" t="str">
            <v>UN</v>
          </cell>
          <cell r="K326">
            <v>45587</v>
          </cell>
        </row>
        <row r="327">
          <cell r="A327" t="str">
            <v>507142416230</v>
          </cell>
          <cell r="B327" t="str">
            <v>ZMTD</v>
          </cell>
          <cell r="C327">
            <v>45474</v>
          </cell>
          <cell r="D327" t="str">
            <v>Not delivered</v>
          </cell>
          <cell r="E327">
            <v>507142416</v>
          </cell>
          <cell r="F327">
            <v>230</v>
          </cell>
          <cell r="G327">
            <v>1172027</v>
          </cell>
          <cell r="H327" t="str">
            <v>FP-008:SFT NAT L.HINGE W/LBL NO DC MDM</v>
          </cell>
          <cell r="I327">
            <v>10000</v>
          </cell>
          <cell r="J327" t="str">
            <v>UN</v>
          </cell>
          <cell r="K327">
            <v>45587</v>
          </cell>
        </row>
        <row r="328">
          <cell r="A328" t="str">
            <v>50714228210</v>
          </cell>
          <cell r="B328" t="str">
            <v>ZMTD</v>
          </cell>
          <cell r="C328">
            <v>45447</v>
          </cell>
          <cell r="D328" t="str">
            <v>Not delivered</v>
          </cell>
          <cell r="E328">
            <v>507142282</v>
          </cell>
          <cell r="F328">
            <v>10</v>
          </cell>
          <cell r="G328">
            <v>1419488</v>
          </cell>
          <cell r="H328" t="str">
            <v>CP-063R:SPOUT CAP WHITE LOREAL 12A</v>
          </cell>
          <cell r="I328">
            <v>1890000</v>
          </cell>
          <cell r="J328" t="str">
            <v>UN</v>
          </cell>
          <cell r="K328">
            <v>45587</v>
          </cell>
        </row>
        <row r="329">
          <cell r="A329" t="str">
            <v>50714283610</v>
          </cell>
          <cell r="B329" t="str">
            <v>ZMTD</v>
          </cell>
          <cell r="C329">
            <v>45561</v>
          </cell>
          <cell r="D329" t="str">
            <v>Not delivered</v>
          </cell>
          <cell r="E329">
            <v>507142836</v>
          </cell>
          <cell r="F329">
            <v>10</v>
          </cell>
          <cell r="G329">
            <v>1261370</v>
          </cell>
          <cell r="H329" t="str">
            <v>CP-090:CAP ADORE VMPURPLE NOEMBOS PTI20F</v>
          </cell>
          <cell r="I329">
            <v>25272</v>
          </cell>
          <cell r="J329" t="str">
            <v>UN</v>
          </cell>
          <cell r="K329">
            <v>45588</v>
          </cell>
        </row>
        <row r="330">
          <cell r="A330" t="str">
            <v>50714282710</v>
          </cell>
          <cell r="B330" t="str">
            <v>ZMTD</v>
          </cell>
          <cell r="C330">
            <v>45560</v>
          </cell>
          <cell r="D330" t="str">
            <v>Not delivered</v>
          </cell>
          <cell r="E330">
            <v>507142827</v>
          </cell>
          <cell r="F330">
            <v>10</v>
          </cell>
          <cell r="G330">
            <v>1411213</v>
          </cell>
          <cell r="H330" t="str">
            <v>CM-105:BLCK COAT P/MAKE OVER PTI RV1 40H</v>
          </cell>
          <cell r="I330">
            <v>20160</v>
          </cell>
          <cell r="J330" t="str">
            <v>UN</v>
          </cell>
          <cell r="K330">
            <v>45588</v>
          </cell>
        </row>
        <row r="331">
          <cell r="A331" t="str">
            <v>50714282810</v>
          </cell>
          <cell r="B331" t="str">
            <v>ZMTD</v>
          </cell>
          <cell r="C331">
            <v>45560</v>
          </cell>
          <cell r="D331" t="str">
            <v>Not delivered</v>
          </cell>
          <cell r="E331">
            <v>507142828</v>
          </cell>
          <cell r="F331">
            <v>10</v>
          </cell>
          <cell r="G331">
            <v>1168132</v>
          </cell>
          <cell r="H331" t="str">
            <v>LS-285:BS WHT NO DC WARDAH</v>
          </cell>
          <cell r="I331">
            <v>120232</v>
          </cell>
          <cell r="J331" t="str">
            <v>UN</v>
          </cell>
          <cell r="K331">
            <v>45588</v>
          </cell>
        </row>
        <row r="332">
          <cell r="A332" t="str">
            <v>50714282820</v>
          </cell>
          <cell r="B332" t="str">
            <v>ZMTD</v>
          </cell>
          <cell r="C332">
            <v>45560</v>
          </cell>
          <cell r="D332" t="str">
            <v>Not delivered</v>
          </cell>
          <cell r="E332">
            <v>507142828</v>
          </cell>
          <cell r="F332">
            <v>20</v>
          </cell>
          <cell r="G332">
            <v>1421509</v>
          </cell>
          <cell r="H332" t="str">
            <v>LS-285:CV ORNG P/WHT UV ORGSQUEZE PTI30O</v>
          </cell>
          <cell r="I332">
            <v>120232</v>
          </cell>
          <cell r="J332" t="str">
            <v>UN</v>
          </cell>
          <cell r="K332">
            <v>45588</v>
          </cell>
        </row>
        <row r="333">
          <cell r="A333" t="str">
            <v>50714279710</v>
          </cell>
          <cell r="B333" t="str">
            <v>ZMTD</v>
          </cell>
          <cell r="C333">
            <v>45558</v>
          </cell>
          <cell r="D333" t="str">
            <v>Not delivered</v>
          </cell>
          <cell r="E333">
            <v>507142797</v>
          </cell>
          <cell r="F333">
            <v>10</v>
          </cell>
          <cell r="G333">
            <v>1383131</v>
          </cell>
          <cell r="H333" t="str">
            <v>LC-004:CAP PINK P2037C WIP HANUM MLA 40D</v>
          </cell>
          <cell r="I333">
            <v>25000</v>
          </cell>
          <cell r="J333" t="str">
            <v>UN</v>
          </cell>
          <cell r="K333">
            <v>45588</v>
          </cell>
        </row>
        <row r="334">
          <cell r="A334" t="str">
            <v>50714279720</v>
          </cell>
          <cell r="B334" t="str">
            <v>ZMTD</v>
          </cell>
          <cell r="C334">
            <v>45558</v>
          </cell>
          <cell r="D334" t="str">
            <v>Not delivered</v>
          </cell>
          <cell r="E334">
            <v>507142797</v>
          </cell>
          <cell r="F334">
            <v>20</v>
          </cell>
          <cell r="G334">
            <v>1383133</v>
          </cell>
          <cell r="H334" t="str">
            <v>LC-004:BTLCLR CLPINK2037C P/HANUM MLA40H</v>
          </cell>
          <cell r="I334">
            <v>25000</v>
          </cell>
          <cell r="J334" t="str">
            <v>UN</v>
          </cell>
          <cell r="K334">
            <v>45588</v>
          </cell>
        </row>
        <row r="335">
          <cell r="A335" t="str">
            <v>50714275690</v>
          </cell>
          <cell r="B335" t="str">
            <v>ZMTD</v>
          </cell>
          <cell r="C335">
            <v>45547</v>
          </cell>
          <cell r="D335" t="str">
            <v>Not delivered</v>
          </cell>
          <cell r="E335">
            <v>507142756</v>
          </cell>
          <cell r="F335">
            <v>90</v>
          </cell>
          <cell r="G335">
            <v>1411899</v>
          </cell>
          <cell r="H335" t="str">
            <v>PT-100:BS/INS GREEN P/WHT KAHF PTI 60B</v>
          </cell>
          <cell r="I335">
            <v>65280</v>
          </cell>
          <cell r="J335" t="str">
            <v>UN</v>
          </cell>
          <cell r="K335">
            <v>45588</v>
          </cell>
        </row>
        <row r="336">
          <cell r="A336" t="str">
            <v>507142756100</v>
          </cell>
          <cell r="B336" t="str">
            <v>ZMTD</v>
          </cell>
          <cell r="C336">
            <v>45547</v>
          </cell>
          <cell r="D336" t="str">
            <v>Not delivered</v>
          </cell>
          <cell r="E336">
            <v>507142756</v>
          </cell>
          <cell r="F336">
            <v>100</v>
          </cell>
          <cell r="G336">
            <v>1411898</v>
          </cell>
          <cell r="H336" t="str">
            <v>PT-100:CVR MT.GREEN EMBOS KAHF PTI 40D</v>
          </cell>
          <cell r="I336">
            <v>65280</v>
          </cell>
          <cell r="J336" t="str">
            <v>UN</v>
          </cell>
          <cell r="K336">
            <v>45588</v>
          </cell>
        </row>
        <row r="337">
          <cell r="A337" t="str">
            <v>50714270530</v>
          </cell>
          <cell r="B337" t="str">
            <v>ZMTD</v>
          </cell>
          <cell r="C337">
            <v>45534</v>
          </cell>
          <cell r="D337" t="str">
            <v>Partially delivered</v>
          </cell>
          <cell r="E337">
            <v>507142705</v>
          </cell>
          <cell r="F337">
            <v>30</v>
          </cell>
          <cell r="G337">
            <v>1342220</v>
          </cell>
          <cell r="H337" t="str">
            <v>LC-010:BTL CLR HTF COLBEIGE CFIT PTI 60C</v>
          </cell>
          <cell r="I337">
            <v>100170</v>
          </cell>
          <cell r="J337" t="str">
            <v>UN</v>
          </cell>
          <cell r="K337">
            <v>45588</v>
          </cell>
        </row>
        <row r="338">
          <cell r="A338" t="str">
            <v>50714270540</v>
          </cell>
          <cell r="B338" t="str">
            <v>ZMTD</v>
          </cell>
          <cell r="C338">
            <v>45534</v>
          </cell>
          <cell r="D338" t="str">
            <v>Partially delivered</v>
          </cell>
          <cell r="E338">
            <v>507142705</v>
          </cell>
          <cell r="F338">
            <v>40</v>
          </cell>
          <cell r="G338">
            <v>1342221</v>
          </cell>
          <cell r="H338" t="str">
            <v>LC-010:CAP BEIGE WIP NAT PTI 12A</v>
          </cell>
          <cell r="I338">
            <v>100170</v>
          </cell>
          <cell r="J338" t="str">
            <v>UN</v>
          </cell>
          <cell r="K338">
            <v>45588</v>
          </cell>
        </row>
        <row r="339">
          <cell r="A339" t="str">
            <v>50714270810</v>
          </cell>
          <cell r="B339" t="str">
            <v>ZMTD</v>
          </cell>
          <cell r="C339">
            <v>45534</v>
          </cell>
          <cell r="D339" t="str">
            <v>Not delivered</v>
          </cell>
          <cell r="E339">
            <v>507142708</v>
          </cell>
          <cell r="F339">
            <v>10</v>
          </cell>
          <cell r="G339">
            <v>1215637</v>
          </cell>
          <cell r="H339" t="str">
            <v>CM-105:UV DBRW P/P8022C WWGLAM RUDYS 40C</v>
          </cell>
          <cell r="I339">
            <v>10000</v>
          </cell>
          <cell r="J339" t="str">
            <v>UN</v>
          </cell>
          <cell r="K339">
            <v>45588</v>
          </cell>
        </row>
        <row r="340">
          <cell r="A340" t="str">
            <v>50714263010</v>
          </cell>
          <cell r="B340" t="str">
            <v>ZMTD</v>
          </cell>
          <cell r="C340">
            <v>45516</v>
          </cell>
          <cell r="D340" t="str">
            <v>Not delivered</v>
          </cell>
          <cell r="E340">
            <v>507142630</v>
          </cell>
          <cell r="F340">
            <v>10</v>
          </cell>
          <cell r="G340">
            <v>1436641</v>
          </cell>
          <cell r="H340" t="str">
            <v>CM-310:BLUE UV S/SILVER DIOR PEPSPE+IXPE</v>
          </cell>
          <cell r="I340">
            <v>64800</v>
          </cell>
          <cell r="J340" t="str">
            <v>UN</v>
          </cell>
          <cell r="K340">
            <v>45588</v>
          </cell>
        </row>
        <row r="341">
          <cell r="A341" t="str">
            <v>50714262110</v>
          </cell>
          <cell r="B341" t="str">
            <v>ZMTD</v>
          </cell>
          <cell r="C341">
            <v>45512</v>
          </cell>
          <cell r="D341" t="str">
            <v>Not delivered</v>
          </cell>
          <cell r="E341">
            <v>507142621</v>
          </cell>
          <cell r="F341">
            <v>10</v>
          </cell>
          <cell r="G341">
            <v>1198670</v>
          </cell>
          <cell r="H341" t="str">
            <v>BRUSH HALFMOON ULT CRMY PWDRBL</v>
          </cell>
          <cell r="I341">
            <v>20000</v>
          </cell>
          <cell r="J341" t="str">
            <v>UN</v>
          </cell>
          <cell r="K341">
            <v>45588</v>
          </cell>
        </row>
        <row r="342">
          <cell r="A342" t="str">
            <v>50714282110</v>
          </cell>
          <cell r="B342" t="str">
            <v>ZMTD</v>
          </cell>
          <cell r="C342">
            <v>45560</v>
          </cell>
          <cell r="D342" t="str">
            <v>Not delivered</v>
          </cell>
          <cell r="E342">
            <v>507142821</v>
          </cell>
          <cell r="F342">
            <v>10</v>
          </cell>
          <cell r="G342">
            <v>1153319</v>
          </cell>
          <cell r="H342" t="str">
            <v>LS-285:BS/SPRL BEIGE P/WRDH PTI 40H</v>
          </cell>
          <cell r="I342">
            <v>25536</v>
          </cell>
          <cell r="J342" t="str">
            <v>UN</v>
          </cell>
          <cell r="K342">
            <v>45589</v>
          </cell>
        </row>
        <row r="343">
          <cell r="A343" t="str">
            <v>50714282120</v>
          </cell>
          <cell r="B343" t="str">
            <v>ZMTD</v>
          </cell>
          <cell r="C343">
            <v>45560</v>
          </cell>
          <cell r="D343" t="str">
            <v>Not delivered</v>
          </cell>
          <cell r="E343">
            <v>507142821</v>
          </cell>
          <cell r="F343">
            <v>20</v>
          </cell>
          <cell r="G343">
            <v>1153467</v>
          </cell>
          <cell r="H343" t="str">
            <v>LS-285:CVR MT BEIGE P/S.SEOUL PTI40H</v>
          </cell>
          <cell r="I343">
            <v>25536</v>
          </cell>
          <cell r="J343" t="str">
            <v>UN</v>
          </cell>
          <cell r="K343">
            <v>45589</v>
          </cell>
        </row>
        <row r="344">
          <cell r="A344" t="str">
            <v>50714282210</v>
          </cell>
          <cell r="B344" t="str">
            <v>ZMTD</v>
          </cell>
          <cell r="C344">
            <v>45560</v>
          </cell>
          <cell r="D344" t="str">
            <v>Not delivered</v>
          </cell>
          <cell r="E344">
            <v>507142822</v>
          </cell>
          <cell r="F344">
            <v>10</v>
          </cell>
          <cell r="G344">
            <v>1153319</v>
          </cell>
          <cell r="H344" t="str">
            <v>LS-285:BS/SPRL BEIGE P/WRDH PTI 40H</v>
          </cell>
          <cell r="I344">
            <v>25536</v>
          </cell>
          <cell r="J344" t="str">
            <v>UN</v>
          </cell>
          <cell r="K344">
            <v>45589</v>
          </cell>
        </row>
        <row r="345">
          <cell r="A345" t="str">
            <v>50714282220</v>
          </cell>
          <cell r="B345" t="str">
            <v>ZMTD</v>
          </cell>
          <cell r="C345">
            <v>45560</v>
          </cell>
          <cell r="D345" t="str">
            <v>Not delivered</v>
          </cell>
          <cell r="E345">
            <v>507142822</v>
          </cell>
          <cell r="F345">
            <v>20</v>
          </cell>
          <cell r="G345">
            <v>1153469</v>
          </cell>
          <cell r="H345" t="str">
            <v>LS-285:CVR MT BEIGE P/HONGDAE PTI40H</v>
          </cell>
          <cell r="I345">
            <v>25536</v>
          </cell>
          <cell r="J345" t="str">
            <v>UN</v>
          </cell>
          <cell r="K345">
            <v>45589</v>
          </cell>
        </row>
        <row r="346">
          <cell r="A346" t="str">
            <v>50714282310</v>
          </cell>
          <cell r="B346" t="str">
            <v>ZMTD</v>
          </cell>
          <cell r="C346">
            <v>45560</v>
          </cell>
          <cell r="D346" t="str">
            <v>Not delivered</v>
          </cell>
          <cell r="E346">
            <v>507142823</v>
          </cell>
          <cell r="F346">
            <v>10</v>
          </cell>
          <cell r="G346">
            <v>1169047</v>
          </cell>
          <cell r="H346" t="str">
            <v>LS-285:B V/SL P/1PS SLEV H/SL BLM PTI20R</v>
          </cell>
          <cell r="I346">
            <v>25536</v>
          </cell>
          <cell r="J346" t="str">
            <v>UN</v>
          </cell>
          <cell r="K346">
            <v>45589</v>
          </cell>
        </row>
        <row r="347">
          <cell r="A347" t="str">
            <v>50714282320</v>
          </cell>
          <cell r="B347" t="str">
            <v>ZMTD</v>
          </cell>
          <cell r="C347">
            <v>45560</v>
          </cell>
          <cell r="D347" t="str">
            <v>Not delivered</v>
          </cell>
          <cell r="E347">
            <v>507142823</v>
          </cell>
          <cell r="F347">
            <v>20</v>
          </cell>
          <cell r="G347">
            <v>1171889</v>
          </cell>
          <cell r="H347" t="str">
            <v>LS-285:CV TRANS MATE 7 P/1PS VAR6 PTI40H</v>
          </cell>
          <cell r="I347">
            <v>25536</v>
          </cell>
          <cell r="J347" t="str">
            <v>UN</v>
          </cell>
          <cell r="K347">
            <v>45589</v>
          </cell>
        </row>
        <row r="348">
          <cell r="A348" t="str">
            <v>50714282410</v>
          </cell>
          <cell r="B348" t="str">
            <v>ZMTD</v>
          </cell>
          <cell r="C348">
            <v>45560</v>
          </cell>
          <cell r="D348" t="str">
            <v>Not delivered</v>
          </cell>
          <cell r="E348">
            <v>507142824</v>
          </cell>
          <cell r="F348">
            <v>10</v>
          </cell>
          <cell r="G348">
            <v>1386990</v>
          </cell>
          <cell r="H348" t="str">
            <v>CM-099:CVR BS MTBEIGE P/QUAD RV1 PTI 40H</v>
          </cell>
          <cell r="I348">
            <v>20160</v>
          </cell>
          <cell r="J348" t="str">
            <v>UN</v>
          </cell>
          <cell r="K348">
            <v>45589</v>
          </cell>
        </row>
        <row r="349">
          <cell r="A349" t="str">
            <v>50714282510</v>
          </cell>
          <cell r="B349" t="str">
            <v>ZMTD</v>
          </cell>
          <cell r="C349">
            <v>45560</v>
          </cell>
          <cell r="D349" t="str">
            <v>Not delivered</v>
          </cell>
          <cell r="E349">
            <v>507142825</v>
          </cell>
          <cell r="F349">
            <v>10</v>
          </cell>
          <cell r="G349">
            <v>1174001</v>
          </cell>
          <cell r="H349" t="str">
            <v>CM-133:CVR/BS MTLC GREN UV S/SLV WRDH30C</v>
          </cell>
          <cell r="I349">
            <v>20160</v>
          </cell>
          <cell r="J349" t="str">
            <v>UN</v>
          </cell>
          <cell r="K349">
            <v>45589</v>
          </cell>
        </row>
        <row r="350">
          <cell r="A350" t="str">
            <v>50714254330</v>
          </cell>
          <cell r="B350" t="str">
            <v>ZMTD</v>
          </cell>
          <cell r="C350">
            <v>45491</v>
          </cell>
          <cell r="D350" t="str">
            <v>Not delivered</v>
          </cell>
          <cell r="E350">
            <v>507142543</v>
          </cell>
          <cell r="F350">
            <v>30</v>
          </cell>
          <cell r="G350">
            <v>1278860</v>
          </cell>
          <cell r="H350" t="str">
            <v>CM-296:WHT P/L.AGELES W/O HOLE COTY TAOR</v>
          </cell>
          <cell r="I350">
            <v>57600</v>
          </cell>
          <cell r="J350" t="str">
            <v>UN</v>
          </cell>
          <cell r="K350">
            <v>45589</v>
          </cell>
        </row>
        <row r="351">
          <cell r="A351" t="str">
            <v>50714241740</v>
          </cell>
          <cell r="B351" t="str">
            <v>ZMTD</v>
          </cell>
          <cell r="C351">
            <v>45474</v>
          </cell>
          <cell r="D351" t="str">
            <v>Not delivered</v>
          </cell>
          <cell r="E351">
            <v>507142417</v>
          </cell>
          <cell r="F351">
            <v>40</v>
          </cell>
          <cell r="G351">
            <v>1405657</v>
          </cell>
          <cell r="H351" t="str">
            <v>CM-273:CV UV BS BRONZE P/PIXYSLKY RV130L</v>
          </cell>
          <cell r="I351">
            <v>10000</v>
          </cell>
          <cell r="J351" t="str">
            <v>UN</v>
          </cell>
          <cell r="K351">
            <v>45589</v>
          </cell>
        </row>
        <row r="352">
          <cell r="A352" t="str">
            <v>50714279310</v>
          </cell>
          <cell r="B352" t="str">
            <v>ZMTD</v>
          </cell>
          <cell r="C352">
            <v>45555</v>
          </cell>
          <cell r="D352" t="str">
            <v>Not delivered</v>
          </cell>
          <cell r="E352">
            <v>507142793</v>
          </cell>
          <cell r="F352">
            <v>10</v>
          </cell>
          <cell r="G352">
            <v>1243914</v>
          </cell>
          <cell r="H352" t="str">
            <v>TR-007:PLUG PET LULUR100GR CLR HRTA CSMO</v>
          </cell>
          <cell r="I352">
            <v>10000</v>
          </cell>
          <cell r="J352" t="str">
            <v>UN</v>
          </cell>
          <cell r="K352">
            <v>45590</v>
          </cell>
        </row>
        <row r="353">
          <cell r="A353" t="str">
            <v>50714278230</v>
          </cell>
          <cell r="B353" t="str">
            <v>ZMTD</v>
          </cell>
          <cell r="C353">
            <v>45554</v>
          </cell>
          <cell r="D353" t="str">
            <v>Not delivered</v>
          </cell>
          <cell r="E353">
            <v>507142782</v>
          </cell>
          <cell r="F353">
            <v>30</v>
          </cell>
          <cell r="G353">
            <v>1420082</v>
          </cell>
          <cell r="H353" t="str">
            <v>LS-091:BS PEACH P/REDFRTY STRAWBR NEW60B</v>
          </cell>
          <cell r="I353">
            <v>27664</v>
          </cell>
          <cell r="J353" t="str">
            <v>UN</v>
          </cell>
          <cell r="K353">
            <v>45590</v>
          </cell>
        </row>
        <row r="354">
          <cell r="A354" t="str">
            <v>50714278240</v>
          </cell>
          <cell r="B354" t="str">
            <v>ZMTD</v>
          </cell>
          <cell r="C354">
            <v>45554</v>
          </cell>
          <cell r="D354" t="str">
            <v>Not delivered</v>
          </cell>
          <cell r="E354">
            <v>507142782</v>
          </cell>
          <cell r="F354">
            <v>40</v>
          </cell>
          <cell r="G354">
            <v>1420083</v>
          </cell>
          <cell r="H354" t="str">
            <v>LS-091:CV WHT P/ICE FRUITY STRAWBERY 60B</v>
          </cell>
          <cell r="I354">
            <v>27664</v>
          </cell>
          <cell r="J354" t="str">
            <v>UN</v>
          </cell>
          <cell r="K354">
            <v>45590</v>
          </cell>
        </row>
        <row r="355">
          <cell r="A355" t="str">
            <v>50714276560</v>
          </cell>
          <cell r="B355" t="str">
            <v>ZMTD</v>
          </cell>
          <cell r="C355">
            <v>45552</v>
          </cell>
          <cell r="D355" t="str">
            <v>Not delivered</v>
          </cell>
          <cell r="E355">
            <v>507142765</v>
          </cell>
          <cell r="F355">
            <v>60</v>
          </cell>
          <cell r="G355">
            <v>1398383</v>
          </cell>
          <cell r="H355" t="str">
            <v>CM-319:WHITE P/BLACK UV MATTE NARS</v>
          </cell>
          <cell r="I355">
            <v>40080</v>
          </cell>
          <cell r="J355" t="str">
            <v>UN</v>
          </cell>
          <cell r="K355">
            <v>45590</v>
          </cell>
        </row>
        <row r="356">
          <cell r="A356" t="str">
            <v>50714262610</v>
          </cell>
          <cell r="B356" t="str">
            <v>ZMTD</v>
          </cell>
          <cell r="C356">
            <v>45516</v>
          </cell>
          <cell r="D356" t="str">
            <v>Not delivered</v>
          </cell>
          <cell r="E356">
            <v>507142626</v>
          </cell>
          <cell r="F356">
            <v>10</v>
          </cell>
          <cell r="G356">
            <v>1212608</v>
          </cell>
          <cell r="H356" t="str">
            <v>FP-014:CVR BLUE S/LOGO INEZ GOLD KSI 50C</v>
          </cell>
          <cell r="I356">
            <v>25000</v>
          </cell>
          <cell r="J356" t="str">
            <v>UN</v>
          </cell>
          <cell r="K356">
            <v>45590</v>
          </cell>
        </row>
        <row r="357">
          <cell r="A357" t="str">
            <v>50714262620</v>
          </cell>
          <cell r="B357" t="str">
            <v>ZMTD</v>
          </cell>
          <cell r="C357">
            <v>45516</v>
          </cell>
          <cell r="D357" t="str">
            <v>Not delivered</v>
          </cell>
          <cell r="E357">
            <v>507142626</v>
          </cell>
          <cell r="F357">
            <v>20</v>
          </cell>
          <cell r="G357">
            <v>1212609</v>
          </cell>
          <cell r="H357" t="str">
            <v>FP-014:SFTR NAT STICKER TRANS KSI 12A</v>
          </cell>
          <cell r="I357">
            <v>25000</v>
          </cell>
          <cell r="J357" t="str">
            <v>UN</v>
          </cell>
          <cell r="K357">
            <v>45590</v>
          </cell>
        </row>
        <row r="358">
          <cell r="A358" t="str">
            <v>50714262630</v>
          </cell>
          <cell r="B358" t="str">
            <v>ZMTD</v>
          </cell>
          <cell r="C358">
            <v>45516</v>
          </cell>
          <cell r="D358" t="str">
            <v>Not delivered</v>
          </cell>
          <cell r="E358">
            <v>507142626</v>
          </cell>
          <cell r="F358">
            <v>30</v>
          </cell>
          <cell r="G358">
            <v>1212640</v>
          </cell>
          <cell r="H358" t="str">
            <v>FP-014:BS CLR SPRYGRDS S/INEZ GLD 40C</v>
          </cell>
          <cell r="I358">
            <v>25000</v>
          </cell>
          <cell r="J358" t="str">
            <v>UN</v>
          </cell>
          <cell r="K358">
            <v>45590</v>
          </cell>
        </row>
        <row r="359">
          <cell r="A359" t="str">
            <v>50714271310</v>
          </cell>
          <cell r="B359" t="str">
            <v>ZMTD</v>
          </cell>
          <cell r="C359">
            <v>45538</v>
          </cell>
          <cell r="D359" t="str">
            <v>Not delivered</v>
          </cell>
          <cell r="E359">
            <v>507142713</v>
          </cell>
          <cell r="F359">
            <v>10</v>
          </cell>
          <cell r="G359">
            <v>1376248</v>
          </cell>
          <cell r="H359" t="str">
            <v>FP-008:CVR L.PINK P/BLK MANDOM RV1 12A</v>
          </cell>
          <cell r="I359">
            <v>10000</v>
          </cell>
          <cell r="J359" t="str">
            <v>UN</v>
          </cell>
          <cell r="K359">
            <v>45591</v>
          </cell>
        </row>
        <row r="360">
          <cell r="A360" t="str">
            <v>50714271320</v>
          </cell>
          <cell r="B360" t="str">
            <v>ZMTD</v>
          </cell>
          <cell r="C360">
            <v>45538</v>
          </cell>
          <cell r="D360" t="str">
            <v>Not delivered</v>
          </cell>
          <cell r="E360">
            <v>507142713</v>
          </cell>
          <cell r="F360">
            <v>20</v>
          </cell>
          <cell r="G360">
            <v>1171179</v>
          </cell>
          <cell r="H360" t="str">
            <v>FP-008:BS INJ BLK NO DC MANDOM</v>
          </cell>
          <cell r="I360">
            <v>10000</v>
          </cell>
          <cell r="J360" t="str">
            <v>UN</v>
          </cell>
          <cell r="K360">
            <v>45591</v>
          </cell>
        </row>
        <row r="361">
          <cell r="A361" t="str">
            <v>50714271330</v>
          </cell>
          <cell r="B361" t="str">
            <v>ZMTD</v>
          </cell>
          <cell r="C361">
            <v>45538</v>
          </cell>
          <cell r="D361" t="str">
            <v>Not delivered</v>
          </cell>
          <cell r="E361">
            <v>507142713</v>
          </cell>
          <cell r="F361">
            <v>30</v>
          </cell>
          <cell r="G361">
            <v>1172027</v>
          </cell>
          <cell r="H361" t="str">
            <v>FP-008:SFT NAT L.HINGE W/LBL NO DC MDM</v>
          </cell>
          <cell r="I361">
            <v>10000</v>
          </cell>
          <cell r="J361" t="str">
            <v>UN</v>
          </cell>
          <cell r="K361">
            <v>45591</v>
          </cell>
        </row>
        <row r="362">
          <cell r="A362" t="str">
            <v>50714271340</v>
          </cell>
          <cell r="B362" t="str">
            <v>ZMTD</v>
          </cell>
          <cell r="C362">
            <v>45538</v>
          </cell>
          <cell r="D362" t="str">
            <v>Not delivered</v>
          </cell>
          <cell r="E362">
            <v>507142713</v>
          </cell>
          <cell r="F362">
            <v>40</v>
          </cell>
          <cell r="G362">
            <v>1376248</v>
          </cell>
          <cell r="H362" t="str">
            <v>FP-008:CVR L.PINK P/BLK MANDOM RV1 12A</v>
          </cell>
          <cell r="I362">
            <v>10000</v>
          </cell>
          <cell r="J362" t="str">
            <v>UN</v>
          </cell>
          <cell r="K362">
            <v>45591</v>
          </cell>
        </row>
        <row r="363">
          <cell r="A363" t="str">
            <v>50714271350</v>
          </cell>
          <cell r="B363" t="str">
            <v>ZMTD</v>
          </cell>
          <cell r="C363">
            <v>45538</v>
          </cell>
          <cell r="D363" t="str">
            <v>Not delivered</v>
          </cell>
          <cell r="E363">
            <v>507142713</v>
          </cell>
          <cell r="F363">
            <v>50</v>
          </cell>
          <cell r="G363">
            <v>1171179</v>
          </cell>
          <cell r="H363" t="str">
            <v>FP-008:BS INJ BLK NO DC MANDOM</v>
          </cell>
          <cell r="I363">
            <v>10000</v>
          </cell>
          <cell r="J363" t="str">
            <v>UN</v>
          </cell>
          <cell r="K363">
            <v>45591</v>
          </cell>
        </row>
        <row r="364">
          <cell r="A364" t="str">
            <v>50714271360</v>
          </cell>
          <cell r="B364" t="str">
            <v>ZMTD</v>
          </cell>
          <cell r="C364">
            <v>45538</v>
          </cell>
          <cell r="D364" t="str">
            <v>Not delivered</v>
          </cell>
          <cell r="E364">
            <v>507142713</v>
          </cell>
          <cell r="F364">
            <v>60</v>
          </cell>
          <cell r="G364">
            <v>1172027</v>
          </cell>
          <cell r="H364" t="str">
            <v>FP-008:SFT NAT L.HINGE W/LBL NO DC MDM</v>
          </cell>
          <cell r="I364">
            <v>10000</v>
          </cell>
          <cell r="J364" t="str">
            <v>UN</v>
          </cell>
          <cell r="K364">
            <v>45591</v>
          </cell>
        </row>
        <row r="365">
          <cell r="A365" t="str">
            <v>50714271370</v>
          </cell>
          <cell r="B365" t="str">
            <v>ZMTD</v>
          </cell>
          <cell r="C365">
            <v>45538</v>
          </cell>
          <cell r="D365" t="str">
            <v>Not delivered</v>
          </cell>
          <cell r="E365">
            <v>507142713</v>
          </cell>
          <cell r="F365">
            <v>70</v>
          </cell>
          <cell r="G365">
            <v>1256191</v>
          </cell>
          <cell r="H365" t="str">
            <v>LS-285:COVER RED PX LCC NO DC MNDOM 12A</v>
          </cell>
          <cell r="I365">
            <v>10000</v>
          </cell>
          <cell r="J365" t="str">
            <v>UN</v>
          </cell>
          <cell r="K365">
            <v>45591</v>
          </cell>
        </row>
        <row r="366">
          <cell r="A366" t="str">
            <v>50714271380</v>
          </cell>
          <cell r="B366" t="str">
            <v>ZMTD</v>
          </cell>
          <cell r="C366">
            <v>45538</v>
          </cell>
          <cell r="D366" t="str">
            <v>Not delivered</v>
          </cell>
          <cell r="E366">
            <v>507142713</v>
          </cell>
          <cell r="F366">
            <v>80</v>
          </cell>
          <cell r="G366">
            <v>1393259</v>
          </cell>
          <cell r="H366" t="str">
            <v>LS-285:BS RED PX LCC P/BLK MNDOM RV1 60B</v>
          </cell>
          <cell r="I366">
            <v>10000</v>
          </cell>
          <cell r="J366" t="str">
            <v>UN</v>
          </cell>
          <cell r="K366">
            <v>45591</v>
          </cell>
        </row>
        <row r="367">
          <cell r="A367" t="str">
            <v>50714241750</v>
          </cell>
          <cell r="B367" t="str">
            <v>ZMTD</v>
          </cell>
          <cell r="C367">
            <v>45474</v>
          </cell>
          <cell r="D367" t="str">
            <v>Not delivered</v>
          </cell>
          <cell r="E367">
            <v>507142417</v>
          </cell>
          <cell r="F367">
            <v>50</v>
          </cell>
          <cell r="G367">
            <v>1405657</v>
          </cell>
          <cell r="H367" t="str">
            <v>CM-273:CV UV BS BRONZE P/PIXYSLKY RV130L</v>
          </cell>
          <cell r="I367">
            <v>10000</v>
          </cell>
          <cell r="J367" t="str">
            <v>UN</v>
          </cell>
          <cell r="K367">
            <v>45591</v>
          </cell>
        </row>
        <row r="368">
          <cell r="A368" t="str">
            <v>50714285110</v>
          </cell>
          <cell r="B368" t="str">
            <v>ZMTD</v>
          </cell>
          <cell r="C368">
            <v>45568</v>
          </cell>
          <cell r="D368" t="str">
            <v>Not delivered</v>
          </cell>
          <cell r="E368">
            <v>507142851</v>
          </cell>
          <cell r="F368">
            <v>10</v>
          </cell>
          <cell r="G368">
            <v>1437039</v>
          </cell>
          <cell r="H368" t="str">
            <v>CM-290:1PC BS CV MT.BLK S/ EMBOS OMG 40C</v>
          </cell>
          <cell r="I368">
            <v>35112</v>
          </cell>
          <cell r="J368" t="str">
            <v>UN</v>
          </cell>
          <cell r="K368">
            <v>45593</v>
          </cell>
        </row>
        <row r="369">
          <cell r="A369" t="str">
            <v>50714285120</v>
          </cell>
          <cell r="B369" t="str">
            <v>ZMTD</v>
          </cell>
          <cell r="C369">
            <v>45568</v>
          </cell>
          <cell r="D369" t="str">
            <v>Not delivered</v>
          </cell>
          <cell r="E369">
            <v>507142851</v>
          </cell>
          <cell r="F369">
            <v>20</v>
          </cell>
          <cell r="G369">
            <v>1437140</v>
          </cell>
          <cell r="H369" t="str">
            <v>CM-290:ENGINE CV RED, BS BLK OMG PTI 12A</v>
          </cell>
          <cell r="I369">
            <v>35112</v>
          </cell>
          <cell r="J369" t="str">
            <v>UN</v>
          </cell>
          <cell r="K369">
            <v>45593</v>
          </cell>
        </row>
        <row r="370">
          <cell r="A370" t="str">
            <v>50714285130</v>
          </cell>
          <cell r="B370" t="str">
            <v>ZMTD</v>
          </cell>
          <cell r="C370">
            <v>45568</v>
          </cell>
          <cell r="D370" t="str">
            <v>Not delivered</v>
          </cell>
          <cell r="E370">
            <v>507142851</v>
          </cell>
          <cell r="F370">
            <v>30</v>
          </cell>
          <cell r="G370">
            <v>1437141</v>
          </cell>
          <cell r="H370" t="str">
            <v>CM-290:RING BLACK OMG PTI 12A</v>
          </cell>
          <cell r="I370">
            <v>35112</v>
          </cell>
          <cell r="J370" t="str">
            <v>UN</v>
          </cell>
          <cell r="K370">
            <v>45593</v>
          </cell>
        </row>
        <row r="371">
          <cell r="A371" t="str">
            <v>50714283810</v>
          </cell>
          <cell r="B371" t="str">
            <v>ZMTD</v>
          </cell>
          <cell r="C371">
            <v>45561</v>
          </cell>
          <cell r="D371" t="str">
            <v>Not delivered</v>
          </cell>
          <cell r="E371">
            <v>507142838</v>
          </cell>
          <cell r="F371">
            <v>10</v>
          </cell>
          <cell r="G371">
            <v>1276491</v>
          </cell>
          <cell r="H371" t="str">
            <v>CM-105:CV VM RSGLD BS MT P/INSTA PTI 20X</v>
          </cell>
          <cell r="I371">
            <v>25200</v>
          </cell>
          <cell r="J371" t="str">
            <v>UN</v>
          </cell>
          <cell r="K371">
            <v>45593</v>
          </cell>
        </row>
        <row r="372">
          <cell r="A372" t="str">
            <v>50714271810</v>
          </cell>
          <cell r="B372" t="str">
            <v>ZMTD</v>
          </cell>
          <cell r="C372">
            <v>45539</v>
          </cell>
          <cell r="D372" t="str">
            <v>Not delivered</v>
          </cell>
          <cell r="E372">
            <v>507142718</v>
          </cell>
          <cell r="F372">
            <v>10</v>
          </cell>
          <cell r="G372">
            <v>1175678</v>
          </cell>
          <cell r="H372" t="str">
            <v>CM-073:MATTE SLV TWO WAY CAKE NO DC IMM</v>
          </cell>
          <cell r="I372">
            <v>10000</v>
          </cell>
          <cell r="J372" t="str">
            <v>UN</v>
          </cell>
          <cell r="K372">
            <v>45593</v>
          </cell>
        </row>
        <row r="373">
          <cell r="A373" t="str">
            <v>50714243320</v>
          </cell>
          <cell r="B373" t="str">
            <v>ZMTD</v>
          </cell>
          <cell r="C373">
            <v>45475</v>
          </cell>
          <cell r="D373" t="str">
            <v>Not delivered</v>
          </cell>
          <cell r="E373">
            <v>507142433</v>
          </cell>
          <cell r="F373">
            <v>20</v>
          </cell>
          <cell r="G373">
            <v>1406600</v>
          </cell>
          <cell r="H373" t="str">
            <v>CM-310:BLACK M086 CANNAGE S/SLV UV MT</v>
          </cell>
          <cell r="I373">
            <v>39000</v>
          </cell>
          <cell r="J373" t="str">
            <v>UN</v>
          </cell>
          <cell r="K373">
            <v>45593</v>
          </cell>
        </row>
        <row r="374">
          <cell r="A374" t="str">
            <v>50714228310</v>
          </cell>
          <cell r="B374" t="str">
            <v>ZMTD</v>
          </cell>
          <cell r="C374">
            <v>45447</v>
          </cell>
          <cell r="D374" t="str">
            <v>Not delivered</v>
          </cell>
          <cell r="E374">
            <v>507142283</v>
          </cell>
          <cell r="F374">
            <v>10</v>
          </cell>
          <cell r="G374">
            <v>1419488</v>
          </cell>
          <cell r="H374" t="str">
            <v>CP-063R:SPOUT CAP WHITE LOREAL 12A</v>
          </cell>
          <cell r="I374">
            <v>1890000</v>
          </cell>
          <cell r="J374" t="str">
            <v>UN</v>
          </cell>
          <cell r="K374">
            <v>45593</v>
          </cell>
        </row>
        <row r="375">
          <cell r="A375" t="str">
            <v>50714282720</v>
          </cell>
          <cell r="B375" t="str">
            <v>ZMTD</v>
          </cell>
          <cell r="C375">
            <v>45560</v>
          </cell>
          <cell r="D375" t="str">
            <v>Not delivered</v>
          </cell>
          <cell r="E375">
            <v>507142827</v>
          </cell>
          <cell r="F375">
            <v>20</v>
          </cell>
          <cell r="G375">
            <v>1411213</v>
          </cell>
          <cell r="H375" t="str">
            <v>CM-105:BLCK COAT P/MAKE OVER PTI RV1 40H</v>
          </cell>
          <cell r="I375">
            <v>9840</v>
          </cell>
          <cell r="J375" t="str">
            <v>UN</v>
          </cell>
          <cell r="K375">
            <v>45594</v>
          </cell>
        </row>
        <row r="376">
          <cell r="A376" t="str">
            <v>50714277210</v>
          </cell>
          <cell r="B376" t="str">
            <v>ZMTD</v>
          </cell>
          <cell r="C376">
            <v>45554</v>
          </cell>
          <cell r="D376" t="str">
            <v>Not delivered</v>
          </cell>
          <cell r="E376">
            <v>507142772</v>
          </cell>
          <cell r="F376">
            <v>10</v>
          </cell>
          <cell r="G376">
            <v>1378563</v>
          </cell>
          <cell r="H376" t="str">
            <v>CP-093:CAP D50 MT BLACK Ø.5 YASULOR 12A</v>
          </cell>
          <cell r="I376">
            <v>600000</v>
          </cell>
          <cell r="J376" t="str">
            <v>UN</v>
          </cell>
          <cell r="K376">
            <v>45594</v>
          </cell>
        </row>
        <row r="377">
          <cell r="A377" t="str">
            <v>50714278030</v>
          </cell>
          <cell r="B377" t="str">
            <v>ZMTD</v>
          </cell>
          <cell r="C377">
            <v>45554</v>
          </cell>
          <cell r="D377" t="str">
            <v>Not delivered</v>
          </cell>
          <cell r="E377">
            <v>507142780</v>
          </cell>
          <cell r="F377">
            <v>30</v>
          </cell>
          <cell r="G377">
            <v>1409881</v>
          </cell>
          <cell r="H377" t="str">
            <v>CM-315:CVR/BS BLACK P/CVRLAST OMG RV160B</v>
          </cell>
          <cell r="I377">
            <v>18172</v>
          </cell>
          <cell r="J377" t="str">
            <v>UN</v>
          </cell>
          <cell r="K377">
            <v>45594</v>
          </cell>
        </row>
        <row r="378">
          <cell r="A378" t="str">
            <v>50714275770</v>
          </cell>
          <cell r="B378" t="str">
            <v>ZMTD</v>
          </cell>
          <cell r="C378">
            <v>45547</v>
          </cell>
          <cell r="D378" t="str">
            <v>Not delivered</v>
          </cell>
          <cell r="E378">
            <v>507142757</v>
          </cell>
          <cell r="F378">
            <v>70</v>
          </cell>
          <cell r="G378">
            <v>1411701</v>
          </cell>
          <cell r="H378" t="str">
            <v>PT-100:BS/INS BLUE P/WHT KAHF PTI 60B</v>
          </cell>
          <cell r="I378">
            <v>21504</v>
          </cell>
          <cell r="J378" t="str">
            <v>UN</v>
          </cell>
          <cell r="K378">
            <v>45594</v>
          </cell>
        </row>
        <row r="379">
          <cell r="A379" t="str">
            <v>50714275780</v>
          </cell>
          <cell r="B379" t="str">
            <v>ZMTD</v>
          </cell>
          <cell r="C379">
            <v>45547</v>
          </cell>
          <cell r="D379" t="str">
            <v>Not delivered</v>
          </cell>
          <cell r="E379">
            <v>507142757</v>
          </cell>
          <cell r="F379">
            <v>80</v>
          </cell>
          <cell r="G379">
            <v>1411700</v>
          </cell>
          <cell r="H379" t="str">
            <v>PT-100:CVR MT.BLUE EMBOS KAHF PTI 40D</v>
          </cell>
          <cell r="I379">
            <v>21504</v>
          </cell>
          <cell r="J379" t="str">
            <v>UN</v>
          </cell>
          <cell r="K379">
            <v>45594</v>
          </cell>
        </row>
        <row r="380">
          <cell r="A380" t="str">
            <v>50714272410</v>
          </cell>
          <cell r="B380" t="str">
            <v>ZMTD</v>
          </cell>
          <cell r="C380">
            <v>45541</v>
          </cell>
          <cell r="D380" t="str">
            <v>Not delivered</v>
          </cell>
          <cell r="E380">
            <v>507142724</v>
          </cell>
          <cell r="F380">
            <v>10</v>
          </cell>
          <cell r="G380">
            <v>1233451</v>
          </cell>
          <cell r="H380" t="str">
            <v>CM-260:EYSHDW CVR BLKSPRY S/GLD VIVA 40C</v>
          </cell>
          <cell r="I380">
            <v>10080</v>
          </cell>
          <cell r="J380" t="str">
            <v>UN</v>
          </cell>
          <cell r="K380">
            <v>45594</v>
          </cell>
        </row>
        <row r="381">
          <cell r="A381" t="str">
            <v>50714273030</v>
          </cell>
          <cell r="B381" t="str">
            <v>ZMTD</v>
          </cell>
          <cell r="C381">
            <v>45541</v>
          </cell>
          <cell r="D381" t="str">
            <v>Not delivered</v>
          </cell>
          <cell r="E381">
            <v>507142730</v>
          </cell>
          <cell r="F381">
            <v>30</v>
          </cell>
          <cell r="G381">
            <v>1371896</v>
          </cell>
          <cell r="H381" t="str">
            <v>RX-056:CM-316 CVR BLUE P/WHT SP/MTCLR</v>
          </cell>
          <cell r="I381">
            <v>110016</v>
          </cell>
          <cell r="J381" t="str">
            <v>UN</v>
          </cell>
          <cell r="K381">
            <v>45594</v>
          </cell>
        </row>
        <row r="382">
          <cell r="A382" t="str">
            <v>50714270310</v>
          </cell>
          <cell r="B382" t="str">
            <v>ZMTD</v>
          </cell>
          <cell r="C382">
            <v>45534</v>
          </cell>
          <cell r="D382" t="str">
            <v>Not delivered</v>
          </cell>
          <cell r="E382">
            <v>507142703</v>
          </cell>
          <cell r="F382">
            <v>10</v>
          </cell>
          <cell r="G382">
            <v>1268053</v>
          </cell>
          <cell r="H382" t="str">
            <v>CM-117:CVR BS BLACK S/CLRSTA'22 SAS 50C</v>
          </cell>
          <cell r="I382">
            <v>10000</v>
          </cell>
          <cell r="J382" t="str">
            <v>UN</v>
          </cell>
          <cell r="K382">
            <v>45594</v>
          </cell>
        </row>
        <row r="383">
          <cell r="A383" t="str">
            <v>50714241760</v>
          </cell>
          <cell r="B383" t="str">
            <v>ZMTD</v>
          </cell>
          <cell r="C383">
            <v>45474</v>
          </cell>
          <cell r="D383" t="str">
            <v>Not delivered</v>
          </cell>
          <cell r="E383">
            <v>507142417</v>
          </cell>
          <cell r="F383">
            <v>60</v>
          </cell>
          <cell r="G383">
            <v>1405657</v>
          </cell>
          <cell r="H383" t="str">
            <v>CM-273:CV UV BS BRONZE P/PIXYSLKY RV130L</v>
          </cell>
          <cell r="I383">
            <v>10000</v>
          </cell>
          <cell r="J383" t="str">
            <v>UN</v>
          </cell>
          <cell r="K383">
            <v>45594</v>
          </cell>
        </row>
        <row r="384">
          <cell r="A384" t="str">
            <v>50714283210</v>
          </cell>
          <cell r="B384" t="str">
            <v>ZMTD</v>
          </cell>
          <cell r="C384">
            <v>45561</v>
          </cell>
          <cell r="D384" t="str">
            <v>Not delivered</v>
          </cell>
          <cell r="E384">
            <v>507142832</v>
          </cell>
          <cell r="F384">
            <v>10</v>
          </cell>
          <cell r="G384">
            <v>1409881</v>
          </cell>
          <cell r="H384" t="str">
            <v>CM-315:CVR/BS BLACK P/CVRLAST OMG RV160B</v>
          </cell>
          <cell r="I384">
            <v>50204</v>
          </cell>
          <cell r="J384" t="str">
            <v>UN</v>
          </cell>
          <cell r="K384">
            <v>45595</v>
          </cell>
        </row>
        <row r="385">
          <cell r="A385" t="str">
            <v>50714278110</v>
          </cell>
          <cell r="B385" t="str">
            <v>ZMTD</v>
          </cell>
          <cell r="C385">
            <v>45554</v>
          </cell>
          <cell r="D385" t="str">
            <v>Not delivered</v>
          </cell>
          <cell r="E385">
            <v>507142781</v>
          </cell>
          <cell r="F385">
            <v>10</v>
          </cell>
          <cell r="G385">
            <v>1244215</v>
          </cell>
          <cell r="H385" t="str">
            <v>LC-004:CAP WHITE PEARL WIPNAT ROHTO 12A</v>
          </cell>
          <cell r="I385">
            <v>5000</v>
          </cell>
          <cell r="J385" t="str">
            <v>UN</v>
          </cell>
          <cell r="K385">
            <v>45595</v>
          </cell>
        </row>
        <row r="386">
          <cell r="A386" t="str">
            <v>50714278120</v>
          </cell>
          <cell r="B386" t="str">
            <v>ZMTD</v>
          </cell>
          <cell r="C386">
            <v>45554</v>
          </cell>
          <cell r="D386" t="str">
            <v>Not delivered</v>
          </cell>
          <cell r="E386">
            <v>507142781</v>
          </cell>
          <cell r="F386">
            <v>20</v>
          </cell>
          <cell r="G386">
            <v>1270258</v>
          </cell>
          <cell r="H386" t="str">
            <v>LC-004:BTL TRANS P/WHT FRUTPINK ROHTO60B</v>
          </cell>
          <cell r="I386">
            <v>5000</v>
          </cell>
          <cell r="J386" t="str">
            <v>UN</v>
          </cell>
          <cell r="K386">
            <v>45595</v>
          </cell>
        </row>
        <row r="387">
          <cell r="A387" t="str">
            <v>50714268220</v>
          </cell>
          <cell r="B387" t="str">
            <v>ZMTD</v>
          </cell>
          <cell r="C387">
            <v>45532</v>
          </cell>
          <cell r="D387" t="str">
            <v>Not delivered</v>
          </cell>
          <cell r="E387">
            <v>507142682</v>
          </cell>
          <cell r="F387">
            <v>20</v>
          </cell>
          <cell r="G387">
            <v>1209330</v>
          </cell>
          <cell r="H387" t="str">
            <v>RUBICELL:PUFF 52X5.8MM WHT W/RIBBON GNRL</v>
          </cell>
          <cell r="I387">
            <v>10000</v>
          </cell>
          <cell r="J387" t="str">
            <v>UN</v>
          </cell>
          <cell r="K387">
            <v>45595</v>
          </cell>
        </row>
        <row r="388">
          <cell r="A388" t="str">
            <v>50714268230</v>
          </cell>
          <cell r="B388" t="str">
            <v>ZMTD</v>
          </cell>
          <cell r="C388">
            <v>45532</v>
          </cell>
          <cell r="D388" t="str">
            <v>Not delivered</v>
          </cell>
          <cell r="E388">
            <v>507142682</v>
          </cell>
          <cell r="F388">
            <v>30</v>
          </cell>
          <cell r="G388">
            <v>1440082</v>
          </cell>
          <cell r="H388" t="str">
            <v>CM-290:1PC CV/BS PINK P/NEWFIVEZ MLA 60B</v>
          </cell>
          <cell r="I388">
            <v>10000</v>
          </cell>
          <cell r="J388" t="str">
            <v>UN</v>
          </cell>
          <cell r="K388">
            <v>45595</v>
          </cell>
        </row>
        <row r="389">
          <cell r="A389" t="str">
            <v>50714268240</v>
          </cell>
          <cell r="B389" t="str">
            <v>ZMTD</v>
          </cell>
          <cell r="C389">
            <v>45532</v>
          </cell>
          <cell r="D389" t="str">
            <v>Not delivered</v>
          </cell>
          <cell r="E389">
            <v>507142682</v>
          </cell>
          <cell r="F389">
            <v>40</v>
          </cell>
          <cell r="G389">
            <v>1440083</v>
          </cell>
          <cell r="H389" t="str">
            <v>CM-290:ENGINE PINK NEWFIVEZ MLA 12A</v>
          </cell>
          <cell r="I389">
            <v>10000</v>
          </cell>
          <cell r="J389" t="str">
            <v>UN</v>
          </cell>
          <cell r="K389">
            <v>45595</v>
          </cell>
        </row>
        <row r="390">
          <cell r="A390" t="str">
            <v>50714268250</v>
          </cell>
          <cell r="B390" t="str">
            <v>ZMTD</v>
          </cell>
          <cell r="C390">
            <v>45532</v>
          </cell>
          <cell r="D390" t="str">
            <v>Not delivered</v>
          </cell>
          <cell r="E390">
            <v>507142682</v>
          </cell>
          <cell r="F390">
            <v>50</v>
          </cell>
          <cell r="G390">
            <v>1440084</v>
          </cell>
          <cell r="H390" t="str">
            <v>CM-290:RING PINK NEWFIVEZ MLA 12A</v>
          </cell>
          <cell r="I390">
            <v>10000</v>
          </cell>
          <cell r="J390" t="str">
            <v>UN</v>
          </cell>
          <cell r="K390">
            <v>45595</v>
          </cell>
        </row>
        <row r="391">
          <cell r="A391" t="str">
            <v>50714265410</v>
          </cell>
          <cell r="B391" t="str">
            <v>ZMTD</v>
          </cell>
          <cell r="C391">
            <v>45523</v>
          </cell>
          <cell r="D391" t="str">
            <v>Not delivered</v>
          </cell>
          <cell r="E391">
            <v>507142654</v>
          </cell>
          <cell r="F391">
            <v>10</v>
          </cell>
          <cell r="G391">
            <v>1420605</v>
          </cell>
          <cell r="H391" t="str">
            <v>CM-253:CV BS MT BRICK 06 P/C.BLSH PTI40H</v>
          </cell>
          <cell r="I391">
            <v>15120</v>
          </cell>
          <cell r="J391" t="str">
            <v>UN</v>
          </cell>
          <cell r="K391">
            <v>45595</v>
          </cell>
        </row>
        <row r="392">
          <cell r="A392" t="str">
            <v>50714263020</v>
          </cell>
          <cell r="B392" t="str">
            <v>ZMTD</v>
          </cell>
          <cell r="C392">
            <v>45516</v>
          </cell>
          <cell r="D392" t="str">
            <v>Not delivered</v>
          </cell>
          <cell r="E392">
            <v>507142630</v>
          </cell>
          <cell r="F392">
            <v>20</v>
          </cell>
          <cell r="G392">
            <v>1436641</v>
          </cell>
          <cell r="H392" t="str">
            <v>CM-310:BLUE UV S/SILVER DIOR PEPSPE+IXPE</v>
          </cell>
          <cell r="I392">
            <v>64800</v>
          </cell>
          <cell r="J392" t="str">
            <v>UN</v>
          </cell>
          <cell r="K392">
            <v>45595</v>
          </cell>
        </row>
        <row r="393">
          <cell r="A393" t="str">
            <v>50714244510</v>
          </cell>
          <cell r="B393" t="str">
            <v>ZMTD</v>
          </cell>
          <cell r="C393">
            <v>45476</v>
          </cell>
          <cell r="D393" t="str">
            <v>Not delivered</v>
          </cell>
          <cell r="E393">
            <v>507142445</v>
          </cell>
          <cell r="F393">
            <v>10</v>
          </cell>
          <cell r="G393">
            <v>1210981</v>
          </cell>
          <cell r="H393" t="str">
            <v>LS-092:COVER CLEAR P/WHT CSMAX 60B</v>
          </cell>
          <cell r="I393">
            <v>50400</v>
          </cell>
          <cell r="J393" t="str">
            <v>UN</v>
          </cell>
          <cell r="K393">
            <v>45595</v>
          </cell>
        </row>
        <row r="394">
          <cell r="A394" t="str">
            <v>50714244520</v>
          </cell>
          <cell r="B394" t="str">
            <v>ZMTD</v>
          </cell>
          <cell r="C394">
            <v>45476</v>
          </cell>
          <cell r="D394" t="str">
            <v>Not delivered</v>
          </cell>
          <cell r="E394">
            <v>507142445</v>
          </cell>
          <cell r="F394">
            <v>20</v>
          </cell>
          <cell r="G394">
            <v>1430493</v>
          </cell>
          <cell r="H394" t="str">
            <v>LS-092:BS WHT P/BLUE NP BLUE CSMXR02 60B</v>
          </cell>
          <cell r="I394">
            <v>50400</v>
          </cell>
          <cell r="J394" t="str">
            <v>UN</v>
          </cell>
          <cell r="K394">
            <v>45595</v>
          </cell>
        </row>
        <row r="395">
          <cell r="A395" t="str">
            <v>50714279410</v>
          </cell>
          <cell r="B395" t="str">
            <v>ZMTD</v>
          </cell>
          <cell r="C395">
            <v>45558</v>
          </cell>
          <cell r="D395" t="str">
            <v>Not delivered</v>
          </cell>
          <cell r="E395">
            <v>507142794</v>
          </cell>
          <cell r="F395">
            <v>10</v>
          </cell>
          <cell r="G395">
            <v>1163327</v>
          </cell>
          <cell r="H395" t="str">
            <v>CM-246:CVR S.SLV PAN WHITE 6MPY 01 0034</v>
          </cell>
          <cell r="I395">
            <v>25056</v>
          </cell>
          <cell r="J395" t="str">
            <v>UN</v>
          </cell>
          <cell r="K395">
            <v>45596</v>
          </cell>
        </row>
        <row r="396">
          <cell r="A396" t="str">
            <v>50714280010</v>
          </cell>
          <cell r="B396" t="str">
            <v>ZMTD</v>
          </cell>
          <cell r="C396">
            <v>45558</v>
          </cell>
          <cell r="D396" t="str">
            <v>Not delivered</v>
          </cell>
          <cell r="E396">
            <v>507142800</v>
          </cell>
          <cell r="F396">
            <v>10</v>
          </cell>
          <cell r="G396">
            <v>1132044</v>
          </cell>
          <cell r="H396" t="str">
            <v>CM-299:MONO EYESHADOW</v>
          </cell>
          <cell r="I396">
            <v>75060</v>
          </cell>
          <cell r="J396" t="str">
            <v>UN</v>
          </cell>
          <cell r="K396">
            <v>45596</v>
          </cell>
        </row>
        <row r="397">
          <cell r="A397" t="str">
            <v>50714276810</v>
          </cell>
          <cell r="B397" t="str">
            <v>ZMTD</v>
          </cell>
          <cell r="C397">
            <v>45553</v>
          </cell>
          <cell r="D397" t="str">
            <v>Not delivered</v>
          </cell>
          <cell r="E397">
            <v>507142768</v>
          </cell>
          <cell r="F397">
            <v>10</v>
          </cell>
          <cell r="G397">
            <v>1169286</v>
          </cell>
          <cell r="H397" t="str">
            <v>CM-294:RECTANGULAR WITH GODET PKTJ010032</v>
          </cell>
          <cell r="I397">
            <v>43920</v>
          </cell>
          <cell r="J397" t="str">
            <v>UN</v>
          </cell>
          <cell r="K397">
            <v>45596</v>
          </cell>
        </row>
        <row r="398">
          <cell r="A398" t="str">
            <v>50714276630</v>
          </cell>
          <cell r="B398" t="str">
            <v>ZMTD</v>
          </cell>
          <cell r="C398">
            <v>45552</v>
          </cell>
          <cell r="D398" t="str">
            <v>Not delivered</v>
          </cell>
          <cell r="E398">
            <v>507142766</v>
          </cell>
          <cell r="F398">
            <v>30</v>
          </cell>
          <cell r="G398">
            <v>1398763</v>
          </cell>
          <cell r="H398" t="str">
            <v>CM-320:WHITE S/BLACK UV MATTE NARS</v>
          </cell>
          <cell r="I398">
            <v>30240</v>
          </cell>
          <cell r="J398" t="str">
            <v>UN</v>
          </cell>
          <cell r="K398">
            <v>45596</v>
          </cell>
        </row>
        <row r="399">
          <cell r="A399" t="str">
            <v>50714273110</v>
          </cell>
          <cell r="B399" t="str">
            <v>ZMTD</v>
          </cell>
          <cell r="C399">
            <v>45544</v>
          </cell>
          <cell r="D399" t="str">
            <v>Not delivered</v>
          </cell>
          <cell r="E399">
            <v>507142731</v>
          </cell>
          <cell r="F399">
            <v>10</v>
          </cell>
          <cell r="G399">
            <v>1181524</v>
          </cell>
          <cell r="H399" t="str">
            <v>CM-297:WHITE PERFECT LIGHT PP BOOTS</v>
          </cell>
          <cell r="I399">
            <v>29064</v>
          </cell>
          <cell r="J399" t="str">
            <v>UN</v>
          </cell>
          <cell r="K399">
            <v>45596</v>
          </cell>
        </row>
        <row r="400">
          <cell r="A400" t="str">
            <v>50714271010</v>
          </cell>
          <cell r="B400" t="str">
            <v>ZMTD</v>
          </cell>
          <cell r="C400">
            <v>45534</v>
          </cell>
          <cell r="D400" t="str">
            <v>Not delivered</v>
          </cell>
          <cell r="E400">
            <v>507142710</v>
          </cell>
          <cell r="F400">
            <v>10</v>
          </cell>
          <cell r="G400">
            <v>1187960</v>
          </cell>
          <cell r="H400" t="str">
            <v>FP-014:CVR VMRAINBOW P/ULTM II RUDYS 40C</v>
          </cell>
          <cell r="I400">
            <v>30000</v>
          </cell>
          <cell r="J400" t="str">
            <v>UN</v>
          </cell>
          <cell r="K400">
            <v>45596</v>
          </cell>
        </row>
        <row r="401">
          <cell r="A401" t="str">
            <v>50714271020</v>
          </cell>
          <cell r="B401" t="str">
            <v>ZMTD</v>
          </cell>
          <cell r="C401">
            <v>45534</v>
          </cell>
          <cell r="D401" t="str">
            <v>Not delivered</v>
          </cell>
          <cell r="E401">
            <v>507142710</v>
          </cell>
          <cell r="F401">
            <v>20</v>
          </cell>
          <cell r="G401">
            <v>1172318</v>
          </cell>
          <cell r="H401" t="str">
            <v>FP-014:BASE CLEAR NO DC ULTIMA II RUDY S</v>
          </cell>
          <cell r="I401">
            <v>30000</v>
          </cell>
          <cell r="J401" t="str">
            <v>UN</v>
          </cell>
          <cell r="K401">
            <v>45596</v>
          </cell>
        </row>
        <row r="402">
          <cell r="A402" t="str">
            <v>50714271030</v>
          </cell>
          <cell r="B402" t="str">
            <v>ZMTD</v>
          </cell>
          <cell r="C402">
            <v>45534</v>
          </cell>
          <cell r="D402" t="str">
            <v>Not delivered</v>
          </cell>
          <cell r="E402">
            <v>507142710</v>
          </cell>
          <cell r="F402">
            <v>30</v>
          </cell>
          <cell r="G402">
            <v>1170826</v>
          </cell>
          <cell r="H402" t="str">
            <v>FP-014:SIFTER NT W/LBL NO DECO ULTIMA II</v>
          </cell>
          <cell r="I402">
            <v>30000</v>
          </cell>
          <cell r="J402" t="str">
            <v>UN</v>
          </cell>
          <cell r="K402">
            <v>45596</v>
          </cell>
        </row>
        <row r="403">
          <cell r="A403" t="str">
            <v>50714268210</v>
          </cell>
          <cell r="B403" t="str">
            <v>ZMTD</v>
          </cell>
          <cell r="C403">
            <v>45532</v>
          </cell>
          <cell r="D403" t="str">
            <v>Not delivered</v>
          </cell>
          <cell r="E403">
            <v>507142682</v>
          </cell>
          <cell r="F403">
            <v>10</v>
          </cell>
          <cell r="G403">
            <v>1188806</v>
          </cell>
          <cell r="H403" t="str">
            <v>FILLER SPONGE DIA 50X11.5MM GNRL</v>
          </cell>
          <cell r="I403">
            <v>10000</v>
          </cell>
          <cell r="J403" t="str">
            <v>UN</v>
          </cell>
          <cell r="K403">
            <v>45596</v>
          </cell>
        </row>
        <row r="404">
          <cell r="A404" t="str">
            <v>50714254410</v>
          </cell>
          <cell r="B404" t="str">
            <v>ZMTD</v>
          </cell>
          <cell r="C404">
            <v>45491</v>
          </cell>
          <cell r="D404" t="str">
            <v>Not delivered</v>
          </cell>
          <cell r="E404">
            <v>507142544</v>
          </cell>
          <cell r="F404">
            <v>10</v>
          </cell>
          <cell r="G404">
            <v>1278860</v>
          </cell>
          <cell r="H404" t="str">
            <v>CM-296:WHT P/L.AGELES W/O HOLE COTY TAOR</v>
          </cell>
          <cell r="I404">
            <v>72000</v>
          </cell>
          <cell r="J404" t="str">
            <v>UN</v>
          </cell>
          <cell r="K404">
            <v>45596</v>
          </cell>
        </row>
        <row r="405">
          <cell r="A405" t="str">
            <v>50714243510</v>
          </cell>
          <cell r="B405" t="str">
            <v>ZMTD</v>
          </cell>
          <cell r="C405">
            <v>45475</v>
          </cell>
          <cell r="D405" t="str">
            <v>Not delivered</v>
          </cell>
          <cell r="E405">
            <v>507142435</v>
          </cell>
          <cell r="F405">
            <v>10</v>
          </cell>
          <cell r="G405">
            <v>1159364</v>
          </cell>
          <cell r="H405" t="str">
            <v>CP-071:PL8364 INSERT TNR 125-200ML REX</v>
          </cell>
          <cell r="I405">
            <v>111000</v>
          </cell>
          <cell r="J405" t="str">
            <v>UN</v>
          </cell>
          <cell r="K405">
            <v>45596</v>
          </cell>
        </row>
        <row r="406">
          <cell r="A406" t="str">
            <v>50714226810</v>
          </cell>
          <cell r="B406" t="str">
            <v>ZMTD</v>
          </cell>
          <cell r="C406">
            <v>45443</v>
          </cell>
          <cell r="D406" t="str">
            <v>Not delivered</v>
          </cell>
          <cell r="E406">
            <v>507142268</v>
          </cell>
          <cell r="F406">
            <v>10</v>
          </cell>
          <cell r="G406">
            <v>1187961</v>
          </cell>
          <cell r="H406" t="str">
            <v>FP-029:CVR VMRAINBOW P/ULTM II RUDYS 40C</v>
          </cell>
          <cell r="I406">
            <v>5000</v>
          </cell>
          <cell r="J406" t="str">
            <v>UN</v>
          </cell>
          <cell r="K406">
            <v>45596</v>
          </cell>
        </row>
        <row r="407">
          <cell r="A407" t="str">
            <v>50714226820</v>
          </cell>
          <cell r="B407" t="str">
            <v>ZMTD</v>
          </cell>
          <cell r="C407">
            <v>45443</v>
          </cell>
          <cell r="D407" t="str">
            <v>Not delivered</v>
          </cell>
          <cell r="E407">
            <v>507142268</v>
          </cell>
          <cell r="F407">
            <v>20</v>
          </cell>
          <cell r="G407">
            <v>1176240</v>
          </cell>
          <cell r="H407" t="str">
            <v>FP-029:BASE CLEAR NO DC ULTIMA II RUDY S</v>
          </cell>
          <cell r="I407">
            <v>5000</v>
          </cell>
          <cell r="J407" t="str">
            <v>UN</v>
          </cell>
          <cell r="K407">
            <v>45596</v>
          </cell>
        </row>
        <row r="408">
          <cell r="A408" t="str">
            <v>50714226830</v>
          </cell>
          <cell r="B408" t="str">
            <v>ZMTD</v>
          </cell>
          <cell r="C408">
            <v>45443</v>
          </cell>
          <cell r="D408" t="str">
            <v>Not delivered</v>
          </cell>
          <cell r="E408">
            <v>507142268</v>
          </cell>
          <cell r="F408">
            <v>30</v>
          </cell>
          <cell r="G408">
            <v>1173507</v>
          </cell>
          <cell r="H408" t="str">
            <v>FP-029:SIFTER NT W/LBL NO DECO ULTIMA II</v>
          </cell>
          <cell r="I408">
            <v>5000</v>
          </cell>
          <cell r="J408" t="str">
            <v>UN</v>
          </cell>
          <cell r="K408">
            <v>45596</v>
          </cell>
        </row>
        <row r="409">
          <cell r="A409" t="str">
            <v>50714226840</v>
          </cell>
          <cell r="B409" t="str">
            <v>ZMTD</v>
          </cell>
          <cell r="C409">
            <v>45443</v>
          </cell>
          <cell r="D409" t="str">
            <v>Not delivered</v>
          </cell>
          <cell r="E409">
            <v>507142268</v>
          </cell>
          <cell r="F409">
            <v>40</v>
          </cell>
          <cell r="G409">
            <v>1187961</v>
          </cell>
          <cell r="H409" t="str">
            <v>FP-029:CVR VMRAINBOW P/ULTM II RUDYS 40C</v>
          </cell>
          <cell r="I409">
            <v>20000</v>
          </cell>
          <cell r="J409" t="str">
            <v>UN</v>
          </cell>
          <cell r="K409">
            <v>45596</v>
          </cell>
        </row>
        <row r="410">
          <cell r="A410" t="str">
            <v>50714226850</v>
          </cell>
          <cell r="B410" t="str">
            <v>ZMTD</v>
          </cell>
          <cell r="C410">
            <v>45443</v>
          </cell>
          <cell r="D410" t="str">
            <v>Not delivered</v>
          </cell>
          <cell r="E410">
            <v>507142268</v>
          </cell>
          <cell r="F410">
            <v>50</v>
          </cell>
          <cell r="G410">
            <v>1176240</v>
          </cell>
          <cell r="H410" t="str">
            <v>FP-029:BASE CLEAR NO DC ULTIMA II RUDY S</v>
          </cell>
          <cell r="I410">
            <v>20000</v>
          </cell>
          <cell r="J410" t="str">
            <v>UN</v>
          </cell>
          <cell r="K410">
            <v>45596</v>
          </cell>
        </row>
        <row r="411">
          <cell r="A411" t="str">
            <v>50714226860</v>
          </cell>
          <cell r="B411" t="str">
            <v>ZMTD</v>
          </cell>
          <cell r="C411">
            <v>45443</v>
          </cell>
          <cell r="D411" t="str">
            <v>Not delivered</v>
          </cell>
          <cell r="E411">
            <v>507142268</v>
          </cell>
          <cell r="F411">
            <v>60</v>
          </cell>
          <cell r="G411">
            <v>1173507</v>
          </cell>
          <cell r="H411" t="str">
            <v>FP-029:SIFTER NT W/LBL NO DECO ULTIMA II</v>
          </cell>
          <cell r="I411">
            <v>20000</v>
          </cell>
          <cell r="J411" t="str">
            <v>UN</v>
          </cell>
          <cell r="K411">
            <v>45596</v>
          </cell>
        </row>
        <row r="412">
          <cell r="A412" t="str">
            <v>50714276570</v>
          </cell>
          <cell r="B412" t="str">
            <v>ZMTD</v>
          </cell>
          <cell r="C412">
            <v>45552</v>
          </cell>
          <cell r="D412" t="str">
            <v>Not delivered</v>
          </cell>
          <cell r="E412">
            <v>507142765</v>
          </cell>
          <cell r="F412">
            <v>70</v>
          </cell>
          <cell r="G412">
            <v>1398383</v>
          </cell>
          <cell r="H412" t="str">
            <v>CM-319:WHITE P/BLACK UV MATTE NARS</v>
          </cell>
          <cell r="I412">
            <v>40080</v>
          </cell>
          <cell r="J412" t="str">
            <v>UN</v>
          </cell>
          <cell r="K412">
            <v>45597</v>
          </cell>
        </row>
        <row r="413">
          <cell r="A413" t="str">
            <v>50800527620</v>
          </cell>
          <cell r="B413" t="str">
            <v>ZMFD</v>
          </cell>
          <cell r="C413">
            <v>45539</v>
          </cell>
          <cell r="D413" t="str">
            <v>Not delivered</v>
          </cell>
          <cell r="E413">
            <v>508005276</v>
          </cell>
          <cell r="F413">
            <v>20</v>
          </cell>
          <cell r="G413">
            <v>1440707</v>
          </cell>
          <cell r="H413" t="str">
            <v>CM-253:CV CLR BS BLK S/LAKME HGLTR ANCRT</v>
          </cell>
          <cell r="I413">
            <v>25000</v>
          </cell>
          <cell r="J413" t="str">
            <v>UN</v>
          </cell>
          <cell r="K413">
            <v>45597</v>
          </cell>
        </row>
        <row r="414">
          <cell r="A414" t="str">
            <v>50800527630</v>
          </cell>
          <cell r="B414" t="str">
            <v>ZMFD</v>
          </cell>
          <cell r="C414">
            <v>45539</v>
          </cell>
          <cell r="D414" t="str">
            <v>Not delivered</v>
          </cell>
          <cell r="E414">
            <v>508005276</v>
          </cell>
          <cell r="F414">
            <v>30</v>
          </cell>
          <cell r="G414">
            <v>1440708</v>
          </cell>
          <cell r="H414" t="str">
            <v>CM-253:CV CLR BS BLK S/LAKME BLUSH ANCRT</v>
          </cell>
          <cell r="I414">
            <v>25000</v>
          </cell>
          <cell r="J414" t="str">
            <v>UN</v>
          </cell>
          <cell r="K414">
            <v>45597</v>
          </cell>
        </row>
        <row r="415">
          <cell r="A415" t="str">
            <v>50800522910</v>
          </cell>
          <cell r="B415" t="str">
            <v>ZMFD</v>
          </cell>
          <cell r="C415">
            <v>45499</v>
          </cell>
          <cell r="D415" t="str">
            <v>Not delivered</v>
          </cell>
          <cell r="E415">
            <v>508005229</v>
          </cell>
          <cell r="F415">
            <v>10</v>
          </cell>
          <cell r="G415">
            <v>1361170</v>
          </cell>
          <cell r="H415" t="str">
            <v>PT-097:BODY BLACK HOUSE WHT TRANS PTI12A</v>
          </cell>
          <cell r="I415">
            <v>150000</v>
          </cell>
          <cell r="J415" t="str">
            <v>UN</v>
          </cell>
          <cell r="K415">
            <v>45597</v>
          </cell>
        </row>
        <row r="416">
          <cell r="A416" t="str">
            <v>50800522920</v>
          </cell>
          <cell r="B416" t="str">
            <v>ZMFD</v>
          </cell>
          <cell r="C416">
            <v>45499</v>
          </cell>
          <cell r="D416" t="str">
            <v>Not delivered</v>
          </cell>
          <cell r="E416">
            <v>508005229</v>
          </cell>
          <cell r="F416">
            <v>20</v>
          </cell>
          <cell r="G416">
            <v>1361175</v>
          </cell>
          <cell r="H416" t="str">
            <v>PT-097:CAP BLACK TRANS PTI 12A</v>
          </cell>
          <cell r="I416">
            <v>150000</v>
          </cell>
          <cell r="J416" t="str">
            <v>UN</v>
          </cell>
          <cell r="K416">
            <v>45597</v>
          </cell>
        </row>
        <row r="417">
          <cell r="A417" t="str">
            <v>50714250410</v>
          </cell>
          <cell r="B417" t="str">
            <v>ZMTD</v>
          </cell>
          <cell r="C417">
            <v>45488</v>
          </cell>
          <cell r="D417" t="str">
            <v>Not delivered</v>
          </cell>
          <cell r="E417">
            <v>507142504</v>
          </cell>
          <cell r="F417">
            <v>10</v>
          </cell>
          <cell r="G417">
            <v>1419488</v>
          </cell>
          <cell r="H417" t="str">
            <v>CP-063R:SPOUT CAP WHITE LOREAL 12A</v>
          </cell>
          <cell r="I417">
            <v>1890000</v>
          </cell>
          <cell r="J417" t="str">
            <v>UN</v>
          </cell>
          <cell r="K417">
            <v>45597</v>
          </cell>
        </row>
        <row r="418">
          <cell r="A418" t="str">
            <v>50714253110</v>
          </cell>
          <cell r="B418" t="str">
            <v>ZMTD</v>
          </cell>
          <cell r="C418">
            <v>45488</v>
          </cell>
          <cell r="D418" t="str">
            <v>Not delivered</v>
          </cell>
          <cell r="E418">
            <v>507142531</v>
          </cell>
          <cell r="F418">
            <v>10</v>
          </cell>
          <cell r="G418">
            <v>1164947</v>
          </cell>
          <cell r="H418" t="str">
            <v>CM-253:CVR CLR BS BLUE P2748C P/WHT NSF</v>
          </cell>
          <cell r="I418">
            <v>21600</v>
          </cell>
          <cell r="J418" t="str">
            <v>UN</v>
          </cell>
          <cell r="K418">
            <v>45597</v>
          </cell>
        </row>
        <row r="419">
          <cell r="A419" t="str">
            <v>50714253120</v>
          </cell>
          <cell r="B419" t="str">
            <v>ZMTD</v>
          </cell>
          <cell r="C419">
            <v>45488</v>
          </cell>
          <cell r="D419" t="str">
            <v>Not delivered</v>
          </cell>
          <cell r="E419">
            <v>507142531</v>
          </cell>
          <cell r="F419">
            <v>20</v>
          </cell>
          <cell r="G419">
            <v>1164946</v>
          </cell>
          <cell r="H419" t="str">
            <v>CM-255:CVR CLR BS RED P186C P/WHT NSF</v>
          </cell>
          <cell r="I419">
            <v>33600</v>
          </cell>
          <cell r="J419" t="str">
            <v>UN</v>
          </cell>
          <cell r="K419">
            <v>45597</v>
          </cell>
        </row>
        <row r="420">
          <cell r="A420" t="str">
            <v>50714253130</v>
          </cell>
          <cell r="B420" t="str">
            <v>ZMTD</v>
          </cell>
          <cell r="C420">
            <v>45488</v>
          </cell>
          <cell r="D420" t="str">
            <v>Not delivered</v>
          </cell>
          <cell r="E420">
            <v>507142531</v>
          </cell>
          <cell r="F420">
            <v>30</v>
          </cell>
          <cell r="G420">
            <v>1164945</v>
          </cell>
          <cell r="H420" t="str">
            <v>CM-256:CVR CLR BS BLUE P2748C P/RED NSF</v>
          </cell>
          <cell r="I420">
            <v>33600</v>
          </cell>
          <cell r="J420" t="str">
            <v>UN</v>
          </cell>
          <cell r="K420">
            <v>45597</v>
          </cell>
        </row>
        <row r="421">
          <cell r="A421" t="str">
            <v>50800518110</v>
          </cell>
          <cell r="B421" t="str">
            <v>ZMFD</v>
          </cell>
          <cell r="C421">
            <v>45485</v>
          </cell>
          <cell r="D421" t="str">
            <v>Not delivered</v>
          </cell>
          <cell r="E421">
            <v>508005181</v>
          </cell>
          <cell r="F421">
            <v>10</v>
          </cell>
          <cell r="G421">
            <v>1413967</v>
          </cell>
          <cell r="H421" t="str">
            <v>CM-323:VM SILVER DIOR JUMBO M080</v>
          </cell>
          <cell r="I421">
            <v>12600</v>
          </cell>
          <cell r="J421" t="str">
            <v>UN</v>
          </cell>
          <cell r="K421">
            <v>45597</v>
          </cell>
        </row>
        <row r="422">
          <cell r="A422" t="str">
            <v>50714228410</v>
          </cell>
          <cell r="B422" t="str">
            <v>ZMTD</v>
          </cell>
          <cell r="C422">
            <v>45447</v>
          </cell>
          <cell r="D422" t="str">
            <v>Not delivered</v>
          </cell>
          <cell r="E422">
            <v>507142284</v>
          </cell>
          <cell r="F422">
            <v>10</v>
          </cell>
          <cell r="G422">
            <v>1419488</v>
          </cell>
          <cell r="H422" t="str">
            <v>CP-063R:SPOUT CAP WHITE LOREAL 12A</v>
          </cell>
          <cell r="I422">
            <v>1890000</v>
          </cell>
          <cell r="J422" t="str">
            <v>UN</v>
          </cell>
          <cell r="K422">
            <v>45597</v>
          </cell>
        </row>
        <row r="423">
          <cell r="A423" t="str">
            <v>50800506830</v>
          </cell>
          <cell r="B423" t="str">
            <v>ZMFD</v>
          </cell>
          <cell r="C423">
            <v>45433</v>
          </cell>
          <cell r="D423" t="str">
            <v>Not delivered</v>
          </cell>
          <cell r="E423">
            <v>508005068</v>
          </cell>
          <cell r="F423">
            <v>30</v>
          </cell>
          <cell r="G423">
            <v>1255663</v>
          </cell>
          <cell r="H423" t="str">
            <v>LC-002:BTL MT VAR13 P/WRDH B.MARK PTI40H</v>
          </cell>
          <cell r="I423">
            <v>25000</v>
          </cell>
          <cell r="J423" t="str">
            <v>UN</v>
          </cell>
          <cell r="K423">
            <v>45597</v>
          </cell>
        </row>
        <row r="424">
          <cell r="A424" t="str">
            <v>50800506840</v>
          </cell>
          <cell r="B424" t="str">
            <v>ZMFD</v>
          </cell>
          <cell r="C424">
            <v>45433</v>
          </cell>
          <cell r="D424" t="str">
            <v>Not delivered</v>
          </cell>
          <cell r="E424">
            <v>508005068</v>
          </cell>
          <cell r="F424">
            <v>40</v>
          </cell>
          <cell r="G424">
            <v>1173170</v>
          </cell>
          <cell r="H424" t="str">
            <v>LC-002:CP S/MT VAR13 STM-WHT WNAT PTI40D</v>
          </cell>
          <cell r="I424">
            <v>25000</v>
          </cell>
          <cell r="J424" t="str">
            <v>UN</v>
          </cell>
          <cell r="K424">
            <v>45597</v>
          </cell>
        </row>
        <row r="425">
          <cell r="A425" t="str">
            <v>50714274610</v>
          </cell>
          <cell r="B425" t="str">
            <v>ZMTD</v>
          </cell>
          <cell r="C425">
            <v>45545</v>
          </cell>
          <cell r="D425" t="str">
            <v>Not delivered</v>
          </cell>
          <cell r="E425">
            <v>507142746</v>
          </cell>
          <cell r="F425">
            <v>10</v>
          </cell>
          <cell r="G425">
            <v>1272832</v>
          </cell>
          <cell r="H425" t="str">
            <v>CM-133:CVR BS MTLC PRPL UV P/S/BFCIAL30B</v>
          </cell>
          <cell r="I425">
            <v>10000</v>
          </cell>
          <cell r="J425" t="str">
            <v>UN</v>
          </cell>
          <cell r="K425">
            <v>45598</v>
          </cell>
        </row>
        <row r="426">
          <cell r="A426" t="str">
            <v>50800517310</v>
          </cell>
          <cell r="B426" t="str">
            <v>ZMFD</v>
          </cell>
          <cell r="C426">
            <v>45481</v>
          </cell>
          <cell r="D426" t="str">
            <v>Not delivered</v>
          </cell>
          <cell r="E426">
            <v>508005173</v>
          </cell>
          <cell r="F426">
            <v>10</v>
          </cell>
          <cell r="G426">
            <v>1226229</v>
          </cell>
          <cell r="H426" t="str">
            <v>LC-004:BTL CLR S/P/WRDH EVERDAY PTI 60B</v>
          </cell>
          <cell r="I426">
            <v>100000</v>
          </cell>
          <cell r="J426" t="str">
            <v>UN</v>
          </cell>
          <cell r="K426">
            <v>45598</v>
          </cell>
        </row>
        <row r="427">
          <cell r="A427" t="str">
            <v>50800517320</v>
          </cell>
          <cell r="B427" t="str">
            <v>ZMFD</v>
          </cell>
          <cell r="C427">
            <v>45481</v>
          </cell>
          <cell r="D427" t="str">
            <v>Not delivered</v>
          </cell>
          <cell r="E427">
            <v>508005173</v>
          </cell>
          <cell r="F427">
            <v>20</v>
          </cell>
          <cell r="G427">
            <v>1226320</v>
          </cell>
          <cell r="H427" t="str">
            <v>LC-004:CAP WHT WIP WRDH EVERDAY PTI 60B</v>
          </cell>
          <cell r="I427">
            <v>100000</v>
          </cell>
          <cell r="J427" t="str">
            <v>UN</v>
          </cell>
          <cell r="K427">
            <v>45598</v>
          </cell>
        </row>
        <row r="428">
          <cell r="A428" t="str">
            <v>50714241770</v>
          </cell>
          <cell r="B428" t="str">
            <v>ZMTD</v>
          </cell>
          <cell r="C428">
            <v>45474</v>
          </cell>
          <cell r="D428" t="str">
            <v>Not delivered</v>
          </cell>
          <cell r="E428">
            <v>507142417</v>
          </cell>
          <cell r="F428">
            <v>70</v>
          </cell>
          <cell r="G428">
            <v>1405657</v>
          </cell>
          <cell r="H428" t="str">
            <v>CM-273:CV UV BS BRONZE P/PIXYSLKY RV130L</v>
          </cell>
          <cell r="I428">
            <v>10000</v>
          </cell>
          <cell r="J428" t="str">
            <v>UN</v>
          </cell>
          <cell r="K428">
            <v>45598</v>
          </cell>
        </row>
        <row r="429">
          <cell r="A429" t="str">
            <v>50714277410</v>
          </cell>
          <cell r="B429" t="str">
            <v>ZMTD</v>
          </cell>
          <cell r="C429">
            <v>45554</v>
          </cell>
          <cell r="D429" t="str">
            <v>Not delivered</v>
          </cell>
          <cell r="E429">
            <v>507142774</v>
          </cell>
          <cell r="F429">
            <v>10</v>
          </cell>
          <cell r="G429">
            <v>1378563</v>
          </cell>
          <cell r="H429" t="str">
            <v>CP-093:CAP D50 MT BLACK Ø.5 YASULOR 12A</v>
          </cell>
          <cell r="I429">
            <v>400000</v>
          </cell>
          <cell r="J429" t="str">
            <v>UN</v>
          </cell>
          <cell r="K429">
            <v>45600</v>
          </cell>
        </row>
        <row r="430">
          <cell r="A430" t="str">
            <v>50800525240</v>
          </cell>
          <cell r="B430" t="str">
            <v>ZMFD</v>
          </cell>
          <cell r="C430">
            <v>45512</v>
          </cell>
          <cell r="D430" t="str">
            <v>Not delivered</v>
          </cell>
          <cell r="E430">
            <v>508005252</v>
          </cell>
          <cell r="F430">
            <v>40</v>
          </cell>
          <cell r="G430">
            <v>1382368</v>
          </cell>
          <cell r="H430" t="str">
            <v>CP-067R:FT CAP35 SNAP BLK MATTE  Ø5 LRL</v>
          </cell>
          <cell r="I430">
            <v>300000</v>
          </cell>
          <cell r="J430" t="str">
            <v>UN</v>
          </cell>
          <cell r="K430">
            <v>45600</v>
          </cell>
        </row>
        <row r="431">
          <cell r="A431" t="str">
            <v>50714250510</v>
          </cell>
          <cell r="B431" t="str">
            <v>ZMTD</v>
          </cell>
          <cell r="C431">
            <v>45488</v>
          </cell>
          <cell r="D431" t="str">
            <v>Not delivered</v>
          </cell>
          <cell r="E431">
            <v>507142505</v>
          </cell>
          <cell r="F431">
            <v>10</v>
          </cell>
          <cell r="G431">
            <v>1419488</v>
          </cell>
          <cell r="H431" t="str">
            <v>CP-063R:SPOUT CAP WHITE LOREAL 12A</v>
          </cell>
          <cell r="I431">
            <v>1890000</v>
          </cell>
          <cell r="J431" t="str">
            <v>UN</v>
          </cell>
          <cell r="K431">
            <v>45600</v>
          </cell>
        </row>
        <row r="432">
          <cell r="A432" t="str">
            <v>50800517450</v>
          </cell>
          <cell r="B432" t="str">
            <v>ZMFD</v>
          </cell>
          <cell r="C432">
            <v>45481</v>
          </cell>
          <cell r="D432" t="str">
            <v>Not delivered</v>
          </cell>
          <cell r="E432">
            <v>508005174</v>
          </cell>
          <cell r="F432">
            <v>50</v>
          </cell>
          <cell r="G432">
            <v>1194012</v>
          </cell>
          <cell r="H432" t="str">
            <v>CP-090:ROSETNR VM RSPINK NO EMBOS PTI20F</v>
          </cell>
          <cell r="I432">
            <v>25000</v>
          </cell>
          <cell r="J432" t="str">
            <v>UN</v>
          </cell>
          <cell r="K432">
            <v>45600</v>
          </cell>
        </row>
        <row r="433">
          <cell r="A433" t="str">
            <v>50800497810</v>
          </cell>
          <cell r="B433" t="str">
            <v>ZMFD</v>
          </cell>
          <cell r="C433">
            <v>45401</v>
          </cell>
          <cell r="D433" t="str">
            <v>Not delivered</v>
          </cell>
          <cell r="E433">
            <v>508004978</v>
          </cell>
          <cell r="F433">
            <v>10</v>
          </cell>
          <cell r="G433">
            <v>1120086</v>
          </cell>
          <cell r="H433" t="str">
            <v>CM-290:ENGINE WHITE KF SKIN 12A</v>
          </cell>
          <cell r="I433">
            <v>10000</v>
          </cell>
          <cell r="J433" t="str">
            <v>UN</v>
          </cell>
          <cell r="K433">
            <v>45600</v>
          </cell>
        </row>
        <row r="434">
          <cell r="A434" t="str">
            <v>50800497820</v>
          </cell>
          <cell r="B434" t="str">
            <v>ZMFD</v>
          </cell>
          <cell r="C434">
            <v>45401</v>
          </cell>
          <cell r="D434" t="str">
            <v>Not delivered</v>
          </cell>
          <cell r="E434">
            <v>508004978</v>
          </cell>
          <cell r="F434">
            <v>20</v>
          </cell>
          <cell r="G434">
            <v>1120087</v>
          </cell>
          <cell r="H434" t="str">
            <v>CM-290:RING WHITE KF SKIN 12A</v>
          </cell>
          <cell r="I434">
            <v>10000</v>
          </cell>
          <cell r="J434" t="str">
            <v>UN</v>
          </cell>
          <cell r="K434">
            <v>45600</v>
          </cell>
        </row>
        <row r="435">
          <cell r="A435" t="str">
            <v>50800497830</v>
          </cell>
          <cell r="B435" t="str">
            <v>ZMFD</v>
          </cell>
          <cell r="C435">
            <v>45401</v>
          </cell>
          <cell r="D435" t="str">
            <v>Not delivered</v>
          </cell>
          <cell r="E435">
            <v>508004978</v>
          </cell>
          <cell r="F435">
            <v>30</v>
          </cell>
          <cell r="G435">
            <v>1187970</v>
          </cell>
          <cell r="H435" t="str">
            <v>CM-290:BS CVR WHT P/LGHT NAT  MDALA50B</v>
          </cell>
          <cell r="I435">
            <v>10000</v>
          </cell>
          <cell r="J435" t="str">
            <v>UN</v>
          </cell>
          <cell r="K435">
            <v>45600</v>
          </cell>
        </row>
        <row r="436">
          <cell r="A436" t="str">
            <v>50800497840</v>
          </cell>
          <cell r="B436" t="str">
            <v>ZMFD</v>
          </cell>
          <cell r="C436">
            <v>45401</v>
          </cell>
          <cell r="D436" t="str">
            <v>Not delivered</v>
          </cell>
          <cell r="E436">
            <v>508004978</v>
          </cell>
          <cell r="F436">
            <v>40</v>
          </cell>
          <cell r="G436">
            <v>1188807</v>
          </cell>
          <cell r="H436" t="str">
            <v>RUBICELL PUFF WITH RIBBON P/KFSKIN MDALA</v>
          </cell>
          <cell r="I436">
            <v>10000</v>
          </cell>
          <cell r="J436" t="str">
            <v>UN</v>
          </cell>
          <cell r="K436">
            <v>45600</v>
          </cell>
        </row>
        <row r="437">
          <cell r="A437" t="str">
            <v>50800497850</v>
          </cell>
          <cell r="B437" t="str">
            <v>ZMFD</v>
          </cell>
          <cell r="C437">
            <v>45401</v>
          </cell>
          <cell r="D437" t="str">
            <v>Not delivered</v>
          </cell>
          <cell r="E437">
            <v>508004978</v>
          </cell>
          <cell r="F437">
            <v>50</v>
          </cell>
          <cell r="G437">
            <v>1188806</v>
          </cell>
          <cell r="H437" t="str">
            <v>FILLER SPONGE DIA 50X11.5MM GNRL</v>
          </cell>
          <cell r="I437">
            <v>10000</v>
          </cell>
          <cell r="J437" t="str">
            <v>UN</v>
          </cell>
          <cell r="K437">
            <v>45600</v>
          </cell>
        </row>
        <row r="438">
          <cell r="A438" t="str">
            <v>50714285140</v>
          </cell>
          <cell r="B438" t="str">
            <v>ZMTD</v>
          </cell>
          <cell r="C438">
            <v>45568</v>
          </cell>
          <cell r="D438" t="str">
            <v>Not delivered</v>
          </cell>
          <cell r="E438">
            <v>507142851</v>
          </cell>
          <cell r="F438">
            <v>40</v>
          </cell>
          <cell r="G438">
            <v>1437039</v>
          </cell>
          <cell r="H438" t="str">
            <v>CM-290:1PC BS CV MT.BLK S/ EMBOS OMG 40C</v>
          </cell>
          <cell r="I438">
            <v>35112</v>
          </cell>
          <cell r="J438" t="str">
            <v>UN</v>
          </cell>
          <cell r="K438">
            <v>45601</v>
          </cell>
        </row>
        <row r="439">
          <cell r="A439" t="str">
            <v>50714285150</v>
          </cell>
          <cell r="B439" t="str">
            <v>ZMTD</v>
          </cell>
          <cell r="C439">
            <v>45568</v>
          </cell>
          <cell r="D439" t="str">
            <v>Not delivered</v>
          </cell>
          <cell r="E439">
            <v>507142851</v>
          </cell>
          <cell r="F439">
            <v>50</v>
          </cell>
          <cell r="G439">
            <v>1437140</v>
          </cell>
          <cell r="H439" t="str">
            <v>CM-290:ENGINE CV RED, BS BLK OMG PTI 12A</v>
          </cell>
          <cell r="I439">
            <v>35112</v>
          </cell>
          <cell r="J439" t="str">
            <v>UN</v>
          </cell>
          <cell r="K439">
            <v>45601</v>
          </cell>
        </row>
        <row r="440">
          <cell r="A440" t="str">
            <v>50714285160</v>
          </cell>
          <cell r="B440" t="str">
            <v>ZMTD</v>
          </cell>
          <cell r="C440">
            <v>45568</v>
          </cell>
          <cell r="D440" t="str">
            <v>Not delivered</v>
          </cell>
          <cell r="E440">
            <v>507142851</v>
          </cell>
          <cell r="F440">
            <v>60</v>
          </cell>
          <cell r="G440">
            <v>1437141</v>
          </cell>
          <cell r="H440" t="str">
            <v>CM-290:RING BLACK OMG PTI 12A</v>
          </cell>
          <cell r="I440">
            <v>35112</v>
          </cell>
          <cell r="J440" t="str">
            <v>UN</v>
          </cell>
          <cell r="K440">
            <v>45601</v>
          </cell>
        </row>
        <row r="441">
          <cell r="A441" t="str">
            <v>50714284610</v>
          </cell>
          <cell r="B441" t="str">
            <v>ZMTD</v>
          </cell>
          <cell r="C441">
            <v>45567</v>
          </cell>
          <cell r="D441" t="str">
            <v>Not delivered</v>
          </cell>
          <cell r="E441">
            <v>507142846</v>
          </cell>
          <cell r="F441">
            <v>10</v>
          </cell>
          <cell r="G441">
            <v>1375595</v>
          </cell>
          <cell r="H441" t="str">
            <v>LC-009:BTL/INNER CLEAR P/OMG PTIPT 60B</v>
          </cell>
          <cell r="I441">
            <v>150570</v>
          </cell>
          <cell r="J441" t="str">
            <v>UN</v>
          </cell>
          <cell r="K441">
            <v>45601</v>
          </cell>
        </row>
        <row r="442">
          <cell r="A442" t="str">
            <v>50714284620</v>
          </cell>
          <cell r="B442" t="str">
            <v>ZMTD</v>
          </cell>
          <cell r="C442">
            <v>45567</v>
          </cell>
          <cell r="D442" t="str">
            <v>Not delivered</v>
          </cell>
          <cell r="E442">
            <v>507142846</v>
          </cell>
          <cell r="F442">
            <v>20</v>
          </cell>
          <cell r="G442">
            <v>1375593</v>
          </cell>
          <cell r="H442" t="str">
            <v>LC-009:CAP REDTRANS WIP S/OMG PTIPT 60B</v>
          </cell>
          <cell r="I442">
            <v>150570</v>
          </cell>
          <cell r="J442" t="str">
            <v>UN</v>
          </cell>
          <cell r="K442">
            <v>45601</v>
          </cell>
        </row>
        <row r="443">
          <cell r="A443" t="str">
            <v>50714284710</v>
          </cell>
          <cell r="B443" t="str">
            <v>ZMTD</v>
          </cell>
          <cell r="C443">
            <v>45567</v>
          </cell>
          <cell r="D443" t="str">
            <v>Not delivered</v>
          </cell>
          <cell r="E443">
            <v>507142847</v>
          </cell>
          <cell r="F443">
            <v>10</v>
          </cell>
          <cell r="G443">
            <v>1417990</v>
          </cell>
          <cell r="H443" t="str">
            <v>LC-009:BTL #2#3 INNER CLR P/OMG PTIPT60B</v>
          </cell>
          <cell r="I443">
            <v>350280</v>
          </cell>
          <cell r="J443" t="str">
            <v>UN</v>
          </cell>
          <cell r="K443">
            <v>45601</v>
          </cell>
        </row>
        <row r="444">
          <cell r="A444" t="str">
            <v>50714284720</v>
          </cell>
          <cell r="B444" t="str">
            <v>ZMTD</v>
          </cell>
          <cell r="C444">
            <v>45567</v>
          </cell>
          <cell r="D444" t="str">
            <v>Not delivered</v>
          </cell>
          <cell r="E444">
            <v>507142847</v>
          </cell>
          <cell r="F444">
            <v>20</v>
          </cell>
          <cell r="G444">
            <v>1417978</v>
          </cell>
          <cell r="H444" t="str">
            <v>LC-009:CAP #2#3 REDTR WIP S/OMG PTIPT60B</v>
          </cell>
          <cell r="I444">
            <v>350280</v>
          </cell>
          <cell r="J444" t="str">
            <v>UN</v>
          </cell>
          <cell r="K444">
            <v>45601</v>
          </cell>
        </row>
        <row r="445">
          <cell r="A445" t="str">
            <v>50800529110</v>
          </cell>
          <cell r="B445" t="str">
            <v>ZMFD</v>
          </cell>
          <cell r="C445">
            <v>45559</v>
          </cell>
          <cell r="D445" t="str">
            <v>Not delivered</v>
          </cell>
          <cell r="E445">
            <v>508005291</v>
          </cell>
          <cell r="F445">
            <v>10</v>
          </cell>
          <cell r="G445">
            <v>1169703</v>
          </cell>
          <cell r="H445" t="str">
            <v>CP-064:CAP 25 SCREW WHITE MT TR L'OREAL</v>
          </cell>
          <cell r="I445">
            <v>200000</v>
          </cell>
          <cell r="J445" t="str">
            <v>UN</v>
          </cell>
          <cell r="K445">
            <v>45601</v>
          </cell>
        </row>
        <row r="446">
          <cell r="A446" t="str">
            <v>50714273040</v>
          </cell>
          <cell r="B446" t="str">
            <v>ZMTD</v>
          </cell>
          <cell r="C446">
            <v>45541</v>
          </cell>
          <cell r="D446" t="str">
            <v>Not delivered</v>
          </cell>
          <cell r="E446">
            <v>507142730</v>
          </cell>
          <cell r="F446">
            <v>40</v>
          </cell>
          <cell r="G446">
            <v>1371896</v>
          </cell>
          <cell r="H446" t="str">
            <v>RX-056:CM-316 CVR BLUE P/WHT SP/MTCLR</v>
          </cell>
          <cell r="I446">
            <v>69952</v>
          </cell>
          <cell r="J446" t="str">
            <v>UN</v>
          </cell>
          <cell r="K446">
            <v>45601</v>
          </cell>
        </row>
        <row r="447">
          <cell r="A447" t="str">
            <v>50800525830</v>
          </cell>
          <cell r="B447" t="str">
            <v>ZMFD</v>
          </cell>
          <cell r="C447">
            <v>45523</v>
          </cell>
          <cell r="D447" t="str">
            <v>Not delivered</v>
          </cell>
          <cell r="E447">
            <v>508005258</v>
          </cell>
          <cell r="F447">
            <v>30</v>
          </cell>
          <cell r="G447">
            <v>1168132</v>
          </cell>
          <cell r="H447" t="str">
            <v>LS-285:BS WHT NO DC WARDAH</v>
          </cell>
          <cell r="I447">
            <v>75000</v>
          </cell>
          <cell r="J447" t="str">
            <v>UN</v>
          </cell>
          <cell r="K447">
            <v>45601</v>
          </cell>
        </row>
        <row r="448">
          <cell r="A448" t="str">
            <v>50800525840</v>
          </cell>
          <cell r="B448" t="str">
            <v>ZMFD</v>
          </cell>
          <cell r="C448">
            <v>45523</v>
          </cell>
          <cell r="D448" t="str">
            <v>Not delivered</v>
          </cell>
          <cell r="E448">
            <v>508005258</v>
          </cell>
          <cell r="F448">
            <v>40</v>
          </cell>
          <cell r="G448">
            <v>1421418</v>
          </cell>
          <cell r="H448" t="str">
            <v>LS-285:CV RED P/WHT UV STRAWBERY PTI 30O</v>
          </cell>
          <cell r="I448">
            <v>75000</v>
          </cell>
          <cell r="J448" t="str">
            <v>UN</v>
          </cell>
          <cell r="K448">
            <v>45601</v>
          </cell>
        </row>
        <row r="449">
          <cell r="A449" t="str">
            <v>50800524610</v>
          </cell>
          <cell r="B449" t="str">
            <v>ZMFD</v>
          </cell>
          <cell r="C449">
            <v>45510</v>
          </cell>
          <cell r="D449" t="str">
            <v>Not delivered</v>
          </cell>
          <cell r="E449">
            <v>508005246</v>
          </cell>
          <cell r="F449">
            <v>10</v>
          </cell>
          <cell r="G449">
            <v>1408740</v>
          </cell>
          <cell r="H449" t="str">
            <v>PT-097B:BDSR.2 BLU HOUS WHT TRNS PTI12A</v>
          </cell>
          <cell r="I449">
            <v>440000</v>
          </cell>
          <cell r="J449" t="str">
            <v>UN</v>
          </cell>
          <cell r="K449">
            <v>45601</v>
          </cell>
        </row>
        <row r="450">
          <cell r="A450" t="str">
            <v>50800524630</v>
          </cell>
          <cell r="B450" t="str">
            <v>ZMFD</v>
          </cell>
          <cell r="C450">
            <v>45510</v>
          </cell>
          <cell r="D450" t="str">
            <v>Not delivered</v>
          </cell>
          <cell r="E450">
            <v>508005246</v>
          </cell>
          <cell r="F450">
            <v>30</v>
          </cell>
          <cell r="G450">
            <v>1408739</v>
          </cell>
          <cell r="H450" t="str">
            <v>PT-097B:CAP SR.2 BLUE TRANS PTI 12A</v>
          </cell>
          <cell r="I450">
            <v>440000</v>
          </cell>
          <cell r="J450" t="str">
            <v>UN</v>
          </cell>
          <cell r="K450">
            <v>45601</v>
          </cell>
        </row>
        <row r="451">
          <cell r="A451" t="str">
            <v>50800524710</v>
          </cell>
          <cell r="B451" t="str">
            <v>ZMFD</v>
          </cell>
          <cell r="C451">
            <v>45510</v>
          </cell>
          <cell r="D451" t="str">
            <v>Not delivered</v>
          </cell>
          <cell r="E451">
            <v>508005247</v>
          </cell>
          <cell r="F451">
            <v>10</v>
          </cell>
          <cell r="G451">
            <v>1361170</v>
          </cell>
          <cell r="H451" t="str">
            <v>PT-097:BODY BLACK HOUSE WHT TRANS PTI12A</v>
          </cell>
          <cell r="I451">
            <v>70000</v>
          </cell>
          <cell r="J451" t="str">
            <v>UN</v>
          </cell>
          <cell r="K451">
            <v>45601</v>
          </cell>
        </row>
        <row r="452">
          <cell r="A452" t="str">
            <v>50800524730</v>
          </cell>
          <cell r="B452" t="str">
            <v>ZMFD</v>
          </cell>
          <cell r="C452">
            <v>45510</v>
          </cell>
          <cell r="D452" t="str">
            <v>Not delivered</v>
          </cell>
          <cell r="E452">
            <v>508005247</v>
          </cell>
          <cell r="F452">
            <v>30</v>
          </cell>
          <cell r="G452">
            <v>1361175</v>
          </cell>
          <cell r="H452" t="str">
            <v>PT-097:CAP BLACK TRANS PTI 12A</v>
          </cell>
          <cell r="I452">
            <v>70000</v>
          </cell>
          <cell r="J452" t="str">
            <v>UN</v>
          </cell>
          <cell r="K452">
            <v>45601</v>
          </cell>
        </row>
        <row r="453">
          <cell r="A453" t="str">
            <v>50800524820</v>
          </cell>
          <cell r="B453" t="str">
            <v>ZMFD</v>
          </cell>
          <cell r="C453">
            <v>45510</v>
          </cell>
          <cell r="D453" t="str">
            <v>Not delivered</v>
          </cell>
          <cell r="E453">
            <v>508005248</v>
          </cell>
          <cell r="F453">
            <v>20</v>
          </cell>
          <cell r="G453">
            <v>1367372</v>
          </cell>
          <cell r="H453" t="str">
            <v>PT-097:BODY GREN HOUSE WHT TRANS PTI 12A</v>
          </cell>
          <cell r="I453">
            <v>160000</v>
          </cell>
          <cell r="J453" t="str">
            <v>UN</v>
          </cell>
          <cell r="K453">
            <v>45601</v>
          </cell>
        </row>
        <row r="454">
          <cell r="A454" t="str">
            <v>50800524850</v>
          </cell>
          <cell r="B454" t="str">
            <v>ZMFD</v>
          </cell>
          <cell r="C454">
            <v>45510</v>
          </cell>
          <cell r="D454" t="str">
            <v>Not delivered</v>
          </cell>
          <cell r="E454">
            <v>508005248</v>
          </cell>
          <cell r="F454">
            <v>50</v>
          </cell>
          <cell r="G454">
            <v>1367370</v>
          </cell>
          <cell r="H454" t="str">
            <v>PT-097:CAP GREN TRANS PTI 12A</v>
          </cell>
          <cell r="I454">
            <v>160000</v>
          </cell>
          <cell r="J454" t="str">
            <v>UN</v>
          </cell>
          <cell r="K454">
            <v>45601</v>
          </cell>
        </row>
        <row r="455">
          <cell r="A455" t="str">
            <v>50800523610</v>
          </cell>
          <cell r="B455" t="str">
            <v>ZMFD</v>
          </cell>
          <cell r="C455">
            <v>45505</v>
          </cell>
          <cell r="D455" t="str">
            <v>Not delivered</v>
          </cell>
          <cell r="E455">
            <v>508005236</v>
          </cell>
          <cell r="F455">
            <v>10</v>
          </cell>
          <cell r="G455">
            <v>1291869</v>
          </cell>
          <cell r="H455" t="str">
            <v>LC-004:BTL COL GRAD P/MOUSSE NEW MLA40H</v>
          </cell>
          <cell r="I455">
            <v>50000</v>
          </cell>
          <cell r="J455" t="str">
            <v>UN</v>
          </cell>
          <cell r="K455">
            <v>45601</v>
          </cell>
        </row>
        <row r="456">
          <cell r="A456" t="str">
            <v>50800523620</v>
          </cell>
          <cell r="B456" t="str">
            <v>ZMFD</v>
          </cell>
          <cell r="C456">
            <v>45505</v>
          </cell>
          <cell r="D456" t="str">
            <v>Not delivered</v>
          </cell>
          <cell r="E456">
            <v>508005236</v>
          </cell>
          <cell r="F456">
            <v>20</v>
          </cell>
          <cell r="G456">
            <v>1291930</v>
          </cell>
          <cell r="H456" t="str">
            <v>LC-004:CAP MTPINK WIPNAT MOUS NEW MLA40D</v>
          </cell>
          <cell r="I456">
            <v>50000</v>
          </cell>
          <cell r="J456" t="str">
            <v>UN</v>
          </cell>
          <cell r="K456">
            <v>45601</v>
          </cell>
        </row>
        <row r="457">
          <cell r="A457" t="str">
            <v>50714250710</v>
          </cell>
          <cell r="B457" t="str">
            <v>ZMTD</v>
          </cell>
          <cell r="C457">
            <v>45488</v>
          </cell>
          <cell r="D457" t="str">
            <v>Not delivered</v>
          </cell>
          <cell r="E457">
            <v>507142507</v>
          </cell>
          <cell r="F457">
            <v>10</v>
          </cell>
          <cell r="G457">
            <v>1419488</v>
          </cell>
          <cell r="H457" t="str">
            <v>CP-063R:SPOUT CAP WHITE LOREAL 12A</v>
          </cell>
          <cell r="I457">
            <v>1890000</v>
          </cell>
          <cell r="J457" t="str">
            <v>UN</v>
          </cell>
          <cell r="K457">
            <v>45601</v>
          </cell>
        </row>
        <row r="458">
          <cell r="A458" t="str">
            <v>50800515430</v>
          </cell>
          <cell r="B458" t="str">
            <v>ZMFD</v>
          </cell>
          <cell r="C458">
            <v>45470</v>
          </cell>
          <cell r="D458" t="str">
            <v>Not delivered</v>
          </cell>
          <cell r="E458">
            <v>508005154</v>
          </cell>
          <cell r="F458">
            <v>30</v>
          </cell>
          <cell r="G458">
            <v>1388326</v>
          </cell>
          <cell r="H458" t="str">
            <v>CM-253:CV BS MTPEACH P/C.BLSH RV1 PTI40H</v>
          </cell>
          <cell r="I458">
            <v>15000</v>
          </cell>
          <cell r="J458" t="str">
            <v>UN</v>
          </cell>
          <cell r="K458">
            <v>45601</v>
          </cell>
        </row>
        <row r="459">
          <cell r="A459" t="str">
            <v>50800515560</v>
          </cell>
          <cell r="B459" t="str">
            <v>ZMFD</v>
          </cell>
          <cell r="C459">
            <v>45470</v>
          </cell>
          <cell r="D459" t="str">
            <v>Not delivered</v>
          </cell>
          <cell r="E459">
            <v>508005155</v>
          </cell>
          <cell r="F459">
            <v>60</v>
          </cell>
          <cell r="G459">
            <v>1304094</v>
          </cell>
          <cell r="H459" t="str">
            <v>CM-253:CV CLR BS M.PINK P/EMINA C.LIT40H</v>
          </cell>
          <cell r="I459">
            <v>25000</v>
          </cell>
          <cell r="J459" t="str">
            <v>UN</v>
          </cell>
          <cell r="K459">
            <v>45601</v>
          </cell>
        </row>
        <row r="460">
          <cell r="A460" t="str">
            <v>50800514510</v>
          </cell>
          <cell r="B460" t="str">
            <v>ZMFD</v>
          </cell>
          <cell r="C460">
            <v>45464</v>
          </cell>
          <cell r="D460" t="str">
            <v>Not delivered</v>
          </cell>
          <cell r="E460">
            <v>508005145</v>
          </cell>
          <cell r="F460">
            <v>10</v>
          </cell>
          <cell r="G460">
            <v>1288811</v>
          </cell>
          <cell r="H460" t="str">
            <v>CP-065:FT 50 SNAP SLV GLOSSY ELSEVE</v>
          </cell>
          <cell r="I460">
            <v>109600</v>
          </cell>
          <cell r="J460" t="str">
            <v>UN</v>
          </cell>
          <cell r="K460">
            <v>45601</v>
          </cell>
        </row>
        <row r="461">
          <cell r="A461" t="str">
            <v>50714230310</v>
          </cell>
          <cell r="B461" t="str">
            <v>ZMTD</v>
          </cell>
          <cell r="C461">
            <v>45449</v>
          </cell>
          <cell r="D461" t="str">
            <v>Not delivered</v>
          </cell>
          <cell r="E461">
            <v>507142303</v>
          </cell>
          <cell r="F461">
            <v>10</v>
          </cell>
          <cell r="G461">
            <v>1389493</v>
          </cell>
          <cell r="H461" t="str">
            <v>CM-295:GODET HAPPIEST HOUR G860-01-0091</v>
          </cell>
          <cell r="I461">
            <v>10472</v>
          </cell>
          <cell r="J461" t="str">
            <v>UN</v>
          </cell>
          <cell r="K461">
            <v>45601</v>
          </cell>
        </row>
        <row r="462">
          <cell r="A462" t="str">
            <v>50714230410</v>
          </cell>
          <cell r="B462" t="str">
            <v>ZMTD</v>
          </cell>
          <cell r="C462">
            <v>45449</v>
          </cell>
          <cell r="D462" t="str">
            <v>Not delivered</v>
          </cell>
          <cell r="E462">
            <v>507142304</v>
          </cell>
          <cell r="F462">
            <v>10</v>
          </cell>
          <cell r="G462">
            <v>1389490</v>
          </cell>
          <cell r="H462" t="str">
            <v>CM-295:GODET POOLSIDE G861-01-0091</v>
          </cell>
          <cell r="I462">
            <v>10472</v>
          </cell>
          <cell r="J462" t="str">
            <v>UN</v>
          </cell>
          <cell r="K462">
            <v>45601</v>
          </cell>
        </row>
        <row r="463">
          <cell r="A463" t="str">
            <v>50714230510</v>
          </cell>
          <cell r="B463" t="str">
            <v>ZMTD</v>
          </cell>
          <cell r="C463">
            <v>45449</v>
          </cell>
          <cell r="D463" t="str">
            <v>Not delivered</v>
          </cell>
          <cell r="E463">
            <v>507142305</v>
          </cell>
          <cell r="F463">
            <v>10</v>
          </cell>
          <cell r="G463">
            <v>1389305</v>
          </cell>
          <cell r="H463" t="str">
            <v>CM-295:GODET GETAWAY G87E-XX-0091</v>
          </cell>
          <cell r="I463">
            <v>10472</v>
          </cell>
          <cell r="J463" t="str">
            <v>UN</v>
          </cell>
          <cell r="K463">
            <v>45601</v>
          </cell>
        </row>
        <row r="464">
          <cell r="A464" t="str">
            <v>50800496630</v>
          </cell>
          <cell r="B464" t="str">
            <v>ZMFD</v>
          </cell>
          <cell r="C464">
            <v>45385</v>
          </cell>
          <cell r="D464" t="str">
            <v>Not delivered</v>
          </cell>
          <cell r="E464">
            <v>508004966</v>
          </cell>
          <cell r="F464">
            <v>30</v>
          </cell>
          <cell r="G464">
            <v>1388326</v>
          </cell>
          <cell r="H464" t="str">
            <v>CM-253:CV BS MTPEACH P/C.BLSH RV1 PTI40H</v>
          </cell>
          <cell r="I464">
            <v>15000</v>
          </cell>
          <cell r="J464" t="str">
            <v>UN</v>
          </cell>
          <cell r="K464">
            <v>45601</v>
          </cell>
        </row>
        <row r="465">
          <cell r="A465" t="str">
            <v>50714285410</v>
          </cell>
          <cell r="B465" t="str">
            <v>ZMTD</v>
          </cell>
          <cell r="C465">
            <v>45569</v>
          </cell>
          <cell r="D465" t="str">
            <v>Not delivered</v>
          </cell>
          <cell r="E465">
            <v>507142854</v>
          </cell>
          <cell r="F465">
            <v>10</v>
          </cell>
          <cell r="G465">
            <v>1180482</v>
          </cell>
          <cell r="H465" t="str">
            <v>CM-297:WHITE DUAL BRONZER BOOTS</v>
          </cell>
          <cell r="I465">
            <v>26040</v>
          </cell>
          <cell r="J465" t="str">
            <v>UN</v>
          </cell>
          <cell r="K465">
            <v>45602</v>
          </cell>
        </row>
        <row r="466">
          <cell r="A466" t="str">
            <v>50800531210</v>
          </cell>
          <cell r="B466" t="str">
            <v>ZMFD</v>
          </cell>
          <cell r="C466">
            <v>45569</v>
          </cell>
          <cell r="D466" t="str">
            <v>Not delivered</v>
          </cell>
          <cell r="E466">
            <v>508005312</v>
          </cell>
          <cell r="F466">
            <v>10</v>
          </cell>
          <cell r="G466">
            <v>1153319</v>
          </cell>
          <cell r="H466" t="str">
            <v>LS-285:BS/SPRL BEIGE P/WRDH PTI 40H</v>
          </cell>
          <cell r="I466">
            <v>25000</v>
          </cell>
          <cell r="J466" t="str">
            <v>UN</v>
          </cell>
          <cell r="K466">
            <v>45602</v>
          </cell>
        </row>
        <row r="467">
          <cell r="A467" t="str">
            <v>50800531220</v>
          </cell>
          <cell r="B467" t="str">
            <v>ZMFD</v>
          </cell>
          <cell r="C467">
            <v>45569</v>
          </cell>
          <cell r="D467" t="str">
            <v>Not delivered</v>
          </cell>
          <cell r="E467">
            <v>508005312</v>
          </cell>
          <cell r="F467">
            <v>20</v>
          </cell>
          <cell r="G467">
            <v>1153468</v>
          </cell>
          <cell r="H467" t="str">
            <v>LS-285:CVR MT BEIGE P/S.JEJU PTI 40H</v>
          </cell>
          <cell r="I467">
            <v>25000</v>
          </cell>
          <cell r="J467" t="str">
            <v>UN</v>
          </cell>
          <cell r="K467">
            <v>45602</v>
          </cell>
        </row>
        <row r="468">
          <cell r="A468" t="str">
            <v>50714284310</v>
          </cell>
          <cell r="B468" t="str">
            <v>ZMTD</v>
          </cell>
          <cell r="C468">
            <v>45566</v>
          </cell>
          <cell r="D468" t="str">
            <v>Not delivered</v>
          </cell>
          <cell r="E468">
            <v>507142843</v>
          </cell>
          <cell r="F468">
            <v>10</v>
          </cell>
          <cell r="G468">
            <v>1169152</v>
          </cell>
          <cell r="H468" t="str">
            <v>CM-295:SQUARE COMPACT&amp;GODET PHHT010032</v>
          </cell>
          <cell r="I468">
            <v>20040</v>
          </cell>
          <cell r="J468" t="str">
            <v>UN</v>
          </cell>
          <cell r="K468">
            <v>45602</v>
          </cell>
        </row>
        <row r="469">
          <cell r="A469" t="str">
            <v>50714283220</v>
          </cell>
          <cell r="B469" t="str">
            <v>ZMTD</v>
          </cell>
          <cell r="C469">
            <v>45561</v>
          </cell>
          <cell r="D469" t="str">
            <v>Not delivered</v>
          </cell>
          <cell r="E469">
            <v>507142832</v>
          </cell>
          <cell r="F469">
            <v>20</v>
          </cell>
          <cell r="G469">
            <v>1409881</v>
          </cell>
          <cell r="H469" t="str">
            <v>CM-315:CVR/BS BLACK P/CVRLAST OMG RV160B</v>
          </cell>
          <cell r="I469">
            <v>49896</v>
          </cell>
          <cell r="J469" t="str">
            <v>UN</v>
          </cell>
          <cell r="K469">
            <v>45602</v>
          </cell>
        </row>
        <row r="470">
          <cell r="A470" t="str">
            <v>50800525130</v>
          </cell>
          <cell r="B470" t="str">
            <v>ZMFD</v>
          </cell>
          <cell r="C470">
            <v>45511</v>
          </cell>
          <cell r="D470" t="str">
            <v>Not delivered</v>
          </cell>
          <cell r="E470">
            <v>508005251</v>
          </cell>
          <cell r="F470">
            <v>30</v>
          </cell>
          <cell r="G470">
            <v>1168132</v>
          </cell>
          <cell r="H470" t="str">
            <v>LS-285:BS WHT NO DC WARDAH</v>
          </cell>
          <cell r="I470">
            <v>100000</v>
          </cell>
          <cell r="J470" t="str">
            <v>UN</v>
          </cell>
          <cell r="K470">
            <v>45602</v>
          </cell>
        </row>
        <row r="471">
          <cell r="A471" t="str">
            <v>50800525140</v>
          </cell>
          <cell r="B471" t="str">
            <v>ZMFD</v>
          </cell>
          <cell r="C471">
            <v>45511</v>
          </cell>
          <cell r="D471" t="str">
            <v>Not delivered</v>
          </cell>
          <cell r="E471">
            <v>508005251</v>
          </cell>
          <cell r="F471">
            <v>40</v>
          </cell>
          <cell r="G471">
            <v>1421510</v>
          </cell>
          <cell r="H471" t="str">
            <v>LS-285:CV PINK P/WHT UV P.BLOSOM PTI 30O</v>
          </cell>
          <cell r="I471">
            <v>100000</v>
          </cell>
          <cell r="J471" t="str">
            <v>UN</v>
          </cell>
          <cell r="K471">
            <v>45602</v>
          </cell>
        </row>
        <row r="472">
          <cell r="A472" t="str">
            <v>50714261210</v>
          </cell>
          <cell r="B472" t="str">
            <v>ZMTD</v>
          </cell>
          <cell r="C472">
            <v>45510</v>
          </cell>
          <cell r="D472" t="str">
            <v>Not delivered</v>
          </cell>
          <cell r="E472">
            <v>507142612</v>
          </cell>
          <cell r="F472">
            <v>10</v>
          </cell>
          <cell r="G472">
            <v>1436641</v>
          </cell>
          <cell r="H472" t="str">
            <v>CM-310:BLUE UV S/SILVER DIOR PEPSPE+IXPE</v>
          </cell>
          <cell r="I472">
            <v>64800</v>
          </cell>
          <cell r="J472" t="str">
            <v>UN</v>
          </cell>
          <cell r="K472">
            <v>45602</v>
          </cell>
        </row>
        <row r="473">
          <cell r="A473" t="str">
            <v>50714243610</v>
          </cell>
          <cell r="B473" t="str">
            <v>ZMTD</v>
          </cell>
          <cell r="C473">
            <v>45475</v>
          </cell>
          <cell r="D473" t="str">
            <v>Not delivered</v>
          </cell>
          <cell r="E473">
            <v>507142436</v>
          </cell>
          <cell r="F473">
            <v>10</v>
          </cell>
          <cell r="G473">
            <v>1159364</v>
          </cell>
          <cell r="H473" t="str">
            <v>CP-071:PL8364 INSERT TNR 125-200ML REX</v>
          </cell>
          <cell r="I473">
            <v>111000</v>
          </cell>
          <cell r="J473" t="str">
            <v>UN</v>
          </cell>
          <cell r="K473">
            <v>45602</v>
          </cell>
        </row>
        <row r="474">
          <cell r="A474" t="str">
            <v>50800515920</v>
          </cell>
          <cell r="B474" t="str">
            <v>ZMFD</v>
          </cell>
          <cell r="C474">
            <v>45475</v>
          </cell>
          <cell r="D474" t="str">
            <v>Not delivered</v>
          </cell>
          <cell r="E474">
            <v>508005159</v>
          </cell>
          <cell r="F474">
            <v>20</v>
          </cell>
          <cell r="G474">
            <v>1285116</v>
          </cell>
          <cell r="H474" t="str">
            <v>CM-292:CV/BS MTBLK LENS S/SLV MO PTI 40C</v>
          </cell>
          <cell r="I474">
            <v>50000</v>
          </cell>
          <cell r="J474" t="str">
            <v>UN</v>
          </cell>
          <cell r="K474">
            <v>45602</v>
          </cell>
        </row>
        <row r="475">
          <cell r="A475" t="str">
            <v>50800515410</v>
          </cell>
          <cell r="B475" t="str">
            <v>ZMFD</v>
          </cell>
          <cell r="C475">
            <v>45470</v>
          </cell>
          <cell r="D475" t="str">
            <v>Not delivered</v>
          </cell>
          <cell r="E475">
            <v>508005154</v>
          </cell>
          <cell r="F475">
            <v>10</v>
          </cell>
          <cell r="G475">
            <v>1388034</v>
          </cell>
          <cell r="H475" t="str">
            <v>CM-253:CV BS MTCORL P/C.BLSH RV1 PTI40H</v>
          </cell>
          <cell r="I475">
            <v>30000</v>
          </cell>
          <cell r="J475" t="str">
            <v>UN</v>
          </cell>
          <cell r="K475">
            <v>45602</v>
          </cell>
        </row>
        <row r="476">
          <cell r="A476" t="str">
            <v>50800515510</v>
          </cell>
          <cell r="B476" t="str">
            <v>ZMFD</v>
          </cell>
          <cell r="C476">
            <v>45470</v>
          </cell>
          <cell r="D476" t="str">
            <v>Not delivered</v>
          </cell>
          <cell r="E476">
            <v>508005155</v>
          </cell>
          <cell r="F476">
            <v>10</v>
          </cell>
          <cell r="G476">
            <v>1388036</v>
          </cell>
          <cell r="H476" t="str">
            <v>CM-253:CV BS MTMAUVE P/C.BLSH RV1 PTI40H</v>
          </cell>
          <cell r="I476">
            <v>30000</v>
          </cell>
          <cell r="J476" t="str">
            <v>UN</v>
          </cell>
          <cell r="K476">
            <v>45602</v>
          </cell>
        </row>
        <row r="477">
          <cell r="A477" t="str">
            <v>50800514820</v>
          </cell>
          <cell r="B477" t="str">
            <v>ZMFD</v>
          </cell>
          <cell r="C477">
            <v>45464</v>
          </cell>
          <cell r="D477" t="str">
            <v>Not delivered</v>
          </cell>
          <cell r="E477">
            <v>508005148</v>
          </cell>
          <cell r="F477">
            <v>20</v>
          </cell>
          <cell r="G477">
            <v>1424980</v>
          </cell>
          <cell r="H477" t="str">
            <v>CP-093R:CAP D50 MT.YELOW Ø.5 YASULOR 12A</v>
          </cell>
          <cell r="I477">
            <v>80000</v>
          </cell>
          <cell r="J477" t="str">
            <v>UN</v>
          </cell>
          <cell r="K477">
            <v>45602</v>
          </cell>
        </row>
        <row r="478">
          <cell r="A478" t="str">
            <v>50800514130</v>
          </cell>
          <cell r="B478" t="str">
            <v>ZMFD</v>
          </cell>
          <cell r="C478">
            <v>45463</v>
          </cell>
          <cell r="D478" t="str">
            <v>Not delivered</v>
          </cell>
          <cell r="E478">
            <v>508005141</v>
          </cell>
          <cell r="F478">
            <v>30</v>
          </cell>
          <cell r="G478">
            <v>1340516</v>
          </cell>
          <cell r="H478" t="str">
            <v>CM-133:CVR BS MTLC GRN UV DP S/WARDH 30T</v>
          </cell>
          <cell r="I478">
            <v>20160</v>
          </cell>
          <cell r="J478" t="str">
            <v>UN</v>
          </cell>
          <cell r="K478">
            <v>45602</v>
          </cell>
        </row>
        <row r="479">
          <cell r="A479" t="str">
            <v>50714285310</v>
          </cell>
          <cell r="B479" t="str">
            <v>ZMTD</v>
          </cell>
          <cell r="C479">
            <v>45569</v>
          </cell>
          <cell r="D479" t="str">
            <v>Not delivered</v>
          </cell>
          <cell r="E479">
            <v>507142853</v>
          </cell>
          <cell r="F479">
            <v>10</v>
          </cell>
          <cell r="G479">
            <v>1431862</v>
          </cell>
          <cell r="H479" t="str">
            <v>PT6029R JAR GARNIER 18ML YUZU SPF30(635)</v>
          </cell>
          <cell r="I479">
            <v>14112</v>
          </cell>
          <cell r="J479" t="str">
            <v>UN</v>
          </cell>
          <cell r="K479">
            <v>45603</v>
          </cell>
        </row>
        <row r="480">
          <cell r="A480" t="str">
            <v>50714274110</v>
          </cell>
          <cell r="B480" t="str">
            <v>ZMTD</v>
          </cell>
          <cell r="C480">
            <v>45544</v>
          </cell>
          <cell r="D480" t="str">
            <v>Not delivered</v>
          </cell>
          <cell r="E480">
            <v>507142741</v>
          </cell>
          <cell r="F480">
            <v>10</v>
          </cell>
          <cell r="G480">
            <v>1323605</v>
          </cell>
          <cell r="H480" t="str">
            <v>CM-040:MT BLK S/LTPROBRNZE 8HL RMBKA 40I</v>
          </cell>
          <cell r="I480">
            <v>5000</v>
          </cell>
          <cell r="J480" t="str">
            <v>UN</v>
          </cell>
          <cell r="K480">
            <v>45603</v>
          </cell>
        </row>
        <row r="481">
          <cell r="A481" t="str">
            <v>50714266510</v>
          </cell>
          <cell r="B481" t="str">
            <v>ZMTD</v>
          </cell>
          <cell r="C481">
            <v>45525</v>
          </cell>
          <cell r="D481" t="str">
            <v>Not delivered</v>
          </cell>
          <cell r="E481">
            <v>507142665</v>
          </cell>
          <cell r="F481">
            <v>10</v>
          </cell>
          <cell r="G481">
            <v>1218707</v>
          </cell>
          <cell r="H481" t="str">
            <v>LS-086:BS L.BEIGE NODC N.CUP MAYB BULK</v>
          </cell>
          <cell r="I481">
            <v>30000</v>
          </cell>
          <cell r="J481" t="str">
            <v>UN</v>
          </cell>
          <cell r="K481">
            <v>45603</v>
          </cell>
        </row>
        <row r="482">
          <cell r="A482" t="str">
            <v>50714266610</v>
          </cell>
          <cell r="B482" t="str">
            <v>ZMTD</v>
          </cell>
          <cell r="C482">
            <v>45525</v>
          </cell>
          <cell r="D482" t="str">
            <v>Not delivered</v>
          </cell>
          <cell r="E482">
            <v>507142666</v>
          </cell>
          <cell r="F482">
            <v>10</v>
          </cell>
          <cell r="G482">
            <v>1218709</v>
          </cell>
          <cell r="H482" t="str">
            <v>LS-086:CVR CLR CVRSTICK DC4 N.MOLD MAYB</v>
          </cell>
          <cell r="I482">
            <v>69120</v>
          </cell>
          <cell r="J482" t="str">
            <v>UN</v>
          </cell>
          <cell r="K482">
            <v>45603</v>
          </cell>
        </row>
        <row r="483">
          <cell r="A483" t="str">
            <v>50714266810</v>
          </cell>
          <cell r="B483" t="str">
            <v>ZMTD</v>
          </cell>
          <cell r="C483">
            <v>45525</v>
          </cell>
          <cell r="D483" t="str">
            <v>Not delivered</v>
          </cell>
          <cell r="E483">
            <v>507142668</v>
          </cell>
          <cell r="F483">
            <v>10</v>
          </cell>
          <cell r="G483">
            <v>1256831</v>
          </cell>
          <cell r="H483" t="str">
            <v>LS-086:BS M.BEIGE NODC N.CUP MAYB BULK</v>
          </cell>
          <cell r="I483">
            <v>30000</v>
          </cell>
          <cell r="J483" t="str">
            <v>UN</v>
          </cell>
          <cell r="K483">
            <v>45603</v>
          </cell>
        </row>
        <row r="484">
          <cell r="A484" t="str">
            <v>50714254420</v>
          </cell>
          <cell r="B484" t="str">
            <v>ZMTD</v>
          </cell>
          <cell r="C484">
            <v>45491</v>
          </cell>
          <cell r="D484" t="str">
            <v>Not delivered</v>
          </cell>
          <cell r="E484">
            <v>507142544</v>
          </cell>
          <cell r="F484">
            <v>20</v>
          </cell>
          <cell r="G484">
            <v>1319857</v>
          </cell>
          <cell r="H484" t="str">
            <v>CM-296:WHT P/L.AGELES W/O HOLE COTY EPS</v>
          </cell>
          <cell r="I484">
            <v>72000</v>
          </cell>
          <cell r="J484" t="str">
            <v>UN</v>
          </cell>
          <cell r="K484">
            <v>45603</v>
          </cell>
        </row>
        <row r="485">
          <cell r="A485" t="str">
            <v>50714251110</v>
          </cell>
          <cell r="B485" t="str">
            <v>ZMTD</v>
          </cell>
          <cell r="C485">
            <v>45488</v>
          </cell>
          <cell r="D485" t="str">
            <v>Not delivered</v>
          </cell>
          <cell r="E485">
            <v>507142511</v>
          </cell>
          <cell r="F485">
            <v>10</v>
          </cell>
          <cell r="G485">
            <v>1419488</v>
          </cell>
          <cell r="H485" t="str">
            <v>CP-063R:SPOUT CAP WHITE LOREAL 12A</v>
          </cell>
          <cell r="I485">
            <v>1890000</v>
          </cell>
          <cell r="J485" t="str">
            <v>UN</v>
          </cell>
          <cell r="K485">
            <v>45603</v>
          </cell>
        </row>
        <row r="486">
          <cell r="A486" t="str">
            <v>50800518120</v>
          </cell>
          <cell r="B486" t="str">
            <v>ZMFD</v>
          </cell>
          <cell r="C486">
            <v>45485</v>
          </cell>
          <cell r="D486" t="str">
            <v>Not delivered</v>
          </cell>
          <cell r="E486">
            <v>508005181</v>
          </cell>
          <cell r="F486">
            <v>20</v>
          </cell>
          <cell r="G486">
            <v>1413967</v>
          </cell>
          <cell r="H486" t="str">
            <v>CM-323:VM SILVER DIOR JUMBO M080</v>
          </cell>
          <cell r="I486">
            <v>18000</v>
          </cell>
          <cell r="J486" t="str">
            <v>UN</v>
          </cell>
          <cell r="K486">
            <v>45603</v>
          </cell>
        </row>
        <row r="487">
          <cell r="A487" t="str">
            <v>50800510710</v>
          </cell>
          <cell r="B487" t="str">
            <v>ZMFD</v>
          </cell>
          <cell r="C487">
            <v>45449</v>
          </cell>
          <cell r="D487" t="str">
            <v>Not delivered</v>
          </cell>
          <cell r="E487">
            <v>508005107</v>
          </cell>
          <cell r="F487">
            <v>10</v>
          </cell>
          <cell r="G487">
            <v>1389492</v>
          </cell>
          <cell r="H487" t="str">
            <v>CM-295:GODET POWER BRUNCH G85Y-01-0001</v>
          </cell>
          <cell r="I487">
            <v>10472</v>
          </cell>
          <cell r="J487" t="str">
            <v>UN</v>
          </cell>
          <cell r="K487">
            <v>45603</v>
          </cell>
        </row>
        <row r="488">
          <cell r="A488" t="str">
            <v>50714276580</v>
          </cell>
          <cell r="B488" t="str">
            <v>ZMTD</v>
          </cell>
          <cell r="C488">
            <v>45552</v>
          </cell>
          <cell r="D488" t="str">
            <v>Not delivered</v>
          </cell>
          <cell r="E488">
            <v>507142765</v>
          </cell>
          <cell r="F488">
            <v>80</v>
          </cell>
          <cell r="G488">
            <v>1398383</v>
          </cell>
          <cell r="H488" t="str">
            <v>CM-319:WHITE P/BLACK UV MATTE NARS</v>
          </cell>
          <cell r="I488">
            <v>40080</v>
          </cell>
          <cell r="J488" t="str">
            <v>UN</v>
          </cell>
          <cell r="K488">
            <v>45604</v>
          </cell>
        </row>
        <row r="489">
          <cell r="A489" t="str">
            <v>50714276640</v>
          </cell>
          <cell r="B489" t="str">
            <v>ZMTD</v>
          </cell>
          <cell r="C489">
            <v>45552</v>
          </cell>
          <cell r="D489" t="str">
            <v>Not delivered</v>
          </cell>
          <cell r="E489">
            <v>507142766</v>
          </cell>
          <cell r="F489">
            <v>40</v>
          </cell>
          <cell r="G489">
            <v>1398763</v>
          </cell>
          <cell r="H489" t="str">
            <v>CM-320:WHITE S/BLACK UV MATTE NARS</v>
          </cell>
          <cell r="I489">
            <v>40500</v>
          </cell>
          <cell r="J489" t="str">
            <v>UN</v>
          </cell>
          <cell r="K489">
            <v>45604</v>
          </cell>
        </row>
        <row r="490">
          <cell r="A490" t="str">
            <v>50800525710</v>
          </cell>
          <cell r="B490" t="str">
            <v>ZMFD</v>
          </cell>
          <cell r="C490">
            <v>45518</v>
          </cell>
          <cell r="D490" t="str">
            <v>Not delivered</v>
          </cell>
          <cell r="E490">
            <v>508005257</v>
          </cell>
          <cell r="F490">
            <v>10</v>
          </cell>
          <cell r="G490">
            <v>1409881</v>
          </cell>
          <cell r="H490" t="str">
            <v>CM-315:CVR/BS BLACK P/CVRLAST OMG RV160B</v>
          </cell>
          <cell r="I490">
            <v>100000</v>
          </cell>
          <cell r="J490" t="str">
            <v>UN</v>
          </cell>
          <cell r="K490">
            <v>45604</v>
          </cell>
        </row>
        <row r="491">
          <cell r="A491" t="str">
            <v>50714263310</v>
          </cell>
          <cell r="B491" t="str">
            <v>ZMTD</v>
          </cell>
          <cell r="C491">
            <v>45517</v>
          </cell>
          <cell r="D491" t="str">
            <v>Not delivered</v>
          </cell>
          <cell r="E491">
            <v>507142633</v>
          </cell>
          <cell r="F491">
            <v>10</v>
          </cell>
          <cell r="G491">
            <v>1388803</v>
          </cell>
          <cell r="H491" t="str">
            <v>RX-067:CM-289 CVR BEIGE SP MATTE RV1</v>
          </cell>
          <cell r="I491">
            <v>90000</v>
          </cell>
          <cell r="J491" t="str">
            <v>UN</v>
          </cell>
          <cell r="K491">
            <v>45604</v>
          </cell>
        </row>
        <row r="492">
          <cell r="A492" t="str">
            <v>50714263410</v>
          </cell>
          <cell r="B492" t="str">
            <v>ZMTD</v>
          </cell>
          <cell r="C492">
            <v>45517</v>
          </cell>
          <cell r="D492" t="str">
            <v>Not delivered</v>
          </cell>
          <cell r="E492">
            <v>507142634</v>
          </cell>
          <cell r="F492">
            <v>10</v>
          </cell>
          <cell r="G492">
            <v>1388803</v>
          </cell>
          <cell r="H492" t="str">
            <v>RX-067:CM-289 CVR BEIGE SP MATTE RV1</v>
          </cell>
          <cell r="I492">
            <v>80000</v>
          </cell>
          <cell r="J492" t="str">
            <v>UN</v>
          </cell>
          <cell r="K492">
            <v>45604</v>
          </cell>
        </row>
        <row r="493">
          <cell r="A493" t="str">
            <v>50800523520</v>
          </cell>
          <cell r="B493" t="str">
            <v>ZMFD</v>
          </cell>
          <cell r="C493">
            <v>45505</v>
          </cell>
          <cell r="D493" t="str">
            <v>Not delivered</v>
          </cell>
          <cell r="E493">
            <v>508005235</v>
          </cell>
          <cell r="F493">
            <v>20</v>
          </cell>
          <cell r="G493">
            <v>1434959</v>
          </cell>
          <cell r="H493" t="str">
            <v>LC-008:BTL CLR (PCTG) P/WHT EMLC PTI 60B</v>
          </cell>
          <cell r="I493">
            <v>100000</v>
          </cell>
          <cell r="J493" t="str">
            <v>UN</v>
          </cell>
          <cell r="K493">
            <v>45604</v>
          </cell>
        </row>
        <row r="494">
          <cell r="A494" t="str">
            <v>50800523540</v>
          </cell>
          <cell r="B494" t="str">
            <v>ZMFD</v>
          </cell>
          <cell r="C494">
            <v>45505</v>
          </cell>
          <cell r="D494" t="str">
            <v>Not delivered</v>
          </cell>
          <cell r="E494">
            <v>508005235</v>
          </cell>
          <cell r="F494">
            <v>40</v>
          </cell>
          <cell r="G494">
            <v>1434959</v>
          </cell>
          <cell r="H494" t="str">
            <v>LC-008:BTL CLR (PCTG) P/WHT EMLC PTI 60B</v>
          </cell>
          <cell r="I494">
            <v>40000</v>
          </cell>
          <cell r="J494" t="str">
            <v>UN</v>
          </cell>
          <cell r="K494">
            <v>45604</v>
          </cell>
        </row>
        <row r="495">
          <cell r="A495" t="str">
            <v>50800522610</v>
          </cell>
          <cell r="B495" t="str">
            <v>ZMFD</v>
          </cell>
          <cell r="C495">
            <v>45499</v>
          </cell>
          <cell r="D495" t="str">
            <v>Not delivered</v>
          </cell>
          <cell r="E495">
            <v>508005226</v>
          </cell>
          <cell r="F495">
            <v>10</v>
          </cell>
          <cell r="G495">
            <v>1291869</v>
          </cell>
          <cell r="H495" t="str">
            <v>LC-004:BTL COL GRAD P/MOUSSE NEW MLA40H</v>
          </cell>
          <cell r="I495">
            <v>25000</v>
          </cell>
          <cell r="J495" t="str">
            <v>UN</v>
          </cell>
          <cell r="K495">
            <v>45604</v>
          </cell>
        </row>
        <row r="496">
          <cell r="A496" t="str">
            <v>50800522620</v>
          </cell>
          <cell r="B496" t="str">
            <v>ZMFD</v>
          </cell>
          <cell r="C496">
            <v>45499</v>
          </cell>
          <cell r="D496" t="str">
            <v>Not delivered</v>
          </cell>
          <cell r="E496">
            <v>508005226</v>
          </cell>
          <cell r="F496">
            <v>20</v>
          </cell>
          <cell r="G496">
            <v>1291930</v>
          </cell>
          <cell r="H496" t="str">
            <v>LC-004:CAP MTPINK WIPNAT MOUS NEW MLA40D</v>
          </cell>
          <cell r="I496">
            <v>25000</v>
          </cell>
          <cell r="J496" t="str">
            <v>UN</v>
          </cell>
          <cell r="K496">
            <v>45604</v>
          </cell>
        </row>
        <row r="497">
          <cell r="A497" t="str">
            <v>50714253010</v>
          </cell>
          <cell r="B497" t="str">
            <v>ZMTD</v>
          </cell>
          <cell r="C497">
            <v>45488</v>
          </cell>
          <cell r="D497" t="str">
            <v>Partially delivered</v>
          </cell>
          <cell r="E497">
            <v>507142530</v>
          </cell>
          <cell r="F497">
            <v>10</v>
          </cell>
          <cell r="G497">
            <v>1388803</v>
          </cell>
          <cell r="H497" t="str">
            <v>RX-067:CM-289 CVR BEIGE SP MATTE RV1</v>
          </cell>
          <cell r="I497">
            <v>100000</v>
          </cell>
          <cell r="J497" t="str">
            <v>UN</v>
          </cell>
          <cell r="K497">
            <v>45604</v>
          </cell>
        </row>
        <row r="498">
          <cell r="A498" t="str">
            <v>50800515580</v>
          </cell>
          <cell r="B498" t="str">
            <v>ZMFD</v>
          </cell>
          <cell r="C498">
            <v>45470</v>
          </cell>
          <cell r="D498" t="str">
            <v>Not delivered</v>
          </cell>
          <cell r="E498">
            <v>508005155</v>
          </cell>
          <cell r="F498">
            <v>80</v>
          </cell>
          <cell r="G498">
            <v>1420925</v>
          </cell>
          <cell r="H498" t="str">
            <v>CM-253:CV BS MT ROSE 04 P/C.BLSH PTI40H</v>
          </cell>
          <cell r="I498">
            <v>15000</v>
          </cell>
          <cell r="J498" t="str">
            <v>UN</v>
          </cell>
          <cell r="K498">
            <v>45604</v>
          </cell>
        </row>
        <row r="499">
          <cell r="A499" t="str">
            <v>50800507110</v>
          </cell>
          <cell r="B499" t="str">
            <v>ZMFD</v>
          </cell>
          <cell r="C499">
            <v>45433</v>
          </cell>
          <cell r="D499" t="str">
            <v>Not delivered</v>
          </cell>
          <cell r="E499">
            <v>508005071</v>
          </cell>
          <cell r="F499">
            <v>10</v>
          </cell>
          <cell r="G499">
            <v>1171525</v>
          </cell>
          <cell r="H499" t="str">
            <v>CM-172:CVR MTLCGREN UV BS CLR P/WRDAH30C</v>
          </cell>
          <cell r="I499">
            <v>30000</v>
          </cell>
          <cell r="J499" t="str">
            <v>UN</v>
          </cell>
          <cell r="K499">
            <v>45604</v>
          </cell>
        </row>
        <row r="500">
          <cell r="A500" t="str">
            <v>50800507370</v>
          </cell>
          <cell r="B500" t="str">
            <v>ZMFD</v>
          </cell>
          <cell r="C500">
            <v>45433</v>
          </cell>
          <cell r="D500" t="str">
            <v>Not delivered</v>
          </cell>
          <cell r="E500">
            <v>508005073</v>
          </cell>
          <cell r="F500">
            <v>70</v>
          </cell>
          <cell r="G500">
            <v>1169047</v>
          </cell>
          <cell r="H500" t="str">
            <v>LS-285:B V/SL P/1PS SLEV H/SL BLM PTI20R</v>
          </cell>
          <cell r="I500">
            <v>25536</v>
          </cell>
          <cell r="J500" t="str">
            <v>UN</v>
          </cell>
          <cell r="K500">
            <v>45604</v>
          </cell>
        </row>
        <row r="501">
          <cell r="A501" t="str">
            <v>50800507380</v>
          </cell>
          <cell r="B501" t="str">
            <v>ZMFD</v>
          </cell>
          <cell r="C501">
            <v>45433</v>
          </cell>
          <cell r="D501" t="str">
            <v>Not delivered</v>
          </cell>
          <cell r="E501">
            <v>508005073</v>
          </cell>
          <cell r="F501">
            <v>80</v>
          </cell>
          <cell r="G501">
            <v>1171160</v>
          </cell>
          <cell r="H501" t="str">
            <v>LS-285:CV TRANS LONG 9 P/1PS VAR7 PTI40H</v>
          </cell>
          <cell r="I501">
            <v>25536</v>
          </cell>
          <cell r="J501" t="str">
            <v>UN</v>
          </cell>
          <cell r="K501">
            <v>45604</v>
          </cell>
        </row>
        <row r="502">
          <cell r="A502" t="str">
            <v>50800507710</v>
          </cell>
          <cell r="B502" t="str">
            <v>ZMFD</v>
          </cell>
          <cell r="C502">
            <v>45433</v>
          </cell>
          <cell r="D502" t="str">
            <v>Not delivered</v>
          </cell>
          <cell r="E502">
            <v>508005077</v>
          </cell>
          <cell r="F502">
            <v>10</v>
          </cell>
          <cell r="G502">
            <v>1153319</v>
          </cell>
          <cell r="H502" t="str">
            <v>LS-285:BS/SPRL BEIGE P/WRDH PTI 40H</v>
          </cell>
          <cell r="I502">
            <v>25536</v>
          </cell>
          <cell r="J502" t="str">
            <v>UN</v>
          </cell>
          <cell r="K502">
            <v>45604</v>
          </cell>
        </row>
        <row r="503">
          <cell r="A503" t="str">
            <v>50800507720</v>
          </cell>
          <cell r="B503" t="str">
            <v>ZMFD</v>
          </cell>
          <cell r="C503">
            <v>45433</v>
          </cell>
          <cell r="D503" t="str">
            <v>Not delivered</v>
          </cell>
          <cell r="E503">
            <v>508005077</v>
          </cell>
          <cell r="F503">
            <v>20</v>
          </cell>
          <cell r="G503">
            <v>1153467</v>
          </cell>
          <cell r="H503" t="str">
            <v>LS-285:CVR MT BEIGE P/S.SEOUL PTI40H</v>
          </cell>
          <cell r="I503">
            <v>25536</v>
          </cell>
          <cell r="J503" t="str">
            <v>UN</v>
          </cell>
          <cell r="K503">
            <v>45604</v>
          </cell>
        </row>
        <row r="504">
          <cell r="A504" t="str">
            <v>50800502010</v>
          </cell>
          <cell r="B504" t="str">
            <v>ZMFD</v>
          </cell>
          <cell r="C504">
            <v>45422</v>
          </cell>
          <cell r="D504" t="str">
            <v>Not delivered</v>
          </cell>
          <cell r="E504">
            <v>508005020</v>
          </cell>
          <cell r="F504">
            <v>10</v>
          </cell>
          <cell r="G504">
            <v>1153319</v>
          </cell>
          <cell r="H504" t="str">
            <v>LS-285:BS/SPRL BEIGE P/WRDH PTI 40H</v>
          </cell>
          <cell r="I504">
            <v>25536</v>
          </cell>
          <cell r="J504" t="str">
            <v>UN</v>
          </cell>
          <cell r="K504">
            <v>45604</v>
          </cell>
        </row>
        <row r="505">
          <cell r="A505" t="str">
            <v>50800502020</v>
          </cell>
          <cell r="B505" t="str">
            <v>ZMFD</v>
          </cell>
          <cell r="C505">
            <v>45422</v>
          </cell>
          <cell r="D505" t="str">
            <v>Not delivered</v>
          </cell>
          <cell r="E505">
            <v>508005020</v>
          </cell>
          <cell r="F505">
            <v>20</v>
          </cell>
          <cell r="G505">
            <v>1153467</v>
          </cell>
          <cell r="H505" t="str">
            <v>LS-285:CVR MT BEIGE P/S.SEOUL PTI40H</v>
          </cell>
          <cell r="I505">
            <v>25536</v>
          </cell>
          <cell r="J505" t="str">
            <v>UN</v>
          </cell>
          <cell r="K505">
            <v>45604</v>
          </cell>
        </row>
        <row r="506">
          <cell r="A506" t="str">
            <v>50714286210</v>
          </cell>
          <cell r="B506" t="str">
            <v>ZMTD</v>
          </cell>
          <cell r="C506">
            <v>45574</v>
          </cell>
          <cell r="D506" t="str">
            <v>Not delivered</v>
          </cell>
          <cell r="E506">
            <v>507142862</v>
          </cell>
          <cell r="F506">
            <v>10</v>
          </cell>
          <cell r="G506">
            <v>1361869</v>
          </cell>
          <cell r="H506" t="str">
            <v>CP-091:NATURAL BETTS</v>
          </cell>
          <cell r="I506">
            <v>32400</v>
          </cell>
          <cell r="J506" t="str">
            <v>UN</v>
          </cell>
          <cell r="K506">
            <v>45605</v>
          </cell>
        </row>
        <row r="507">
          <cell r="A507" t="str">
            <v>50714286410</v>
          </cell>
          <cell r="B507" t="str">
            <v>ZMTD</v>
          </cell>
          <cell r="C507">
            <v>45574</v>
          </cell>
          <cell r="D507" t="str">
            <v>Not delivered</v>
          </cell>
          <cell r="E507">
            <v>507142864</v>
          </cell>
          <cell r="F507">
            <v>10</v>
          </cell>
          <cell r="G507">
            <v>1225445</v>
          </cell>
          <cell r="H507" t="str">
            <v>RX-040 PT-024 BASE WHT SP/MAT CLR</v>
          </cell>
          <cell r="I507">
            <v>27000</v>
          </cell>
          <cell r="J507" t="str">
            <v>UN</v>
          </cell>
          <cell r="K507">
            <v>45605</v>
          </cell>
        </row>
        <row r="508">
          <cell r="A508" t="str">
            <v>50714286510</v>
          </cell>
          <cell r="B508" t="str">
            <v>ZMTD</v>
          </cell>
          <cell r="C508">
            <v>45574</v>
          </cell>
          <cell r="D508" t="str">
            <v>Not delivered</v>
          </cell>
          <cell r="E508">
            <v>507142865</v>
          </cell>
          <cell r="F508">
            <v>10</v>
          </cell>
          <cell r="G508">
            <v>1409850</v>
          </cell>
          <cell r="H508" t="str">
            <v>RX-068:BT8445 VENUS 60ML MATCLR 40D</v>
          </cell>
          <cell r="I508">
            <v>33000</v>
          </cell>
          <cell r="J508" t="str">
            <v>UN</v>
          </cell>
          <cell r="K508">
            <v>45605</v>
          </cell>
        </row>
        <row r="509">
          <cell r="A509" t="str">
            <v>50714285010</v>
          </cell>
          <cell r="B509" t="str">
            <v>ZMTD</v>
          </cell>
          <cell r="C509">
            <v>45567</v>
          </cell>
          <cell r="D509" t="str">
            <v>Not delivered</v>
          </cell>
          <cell r="E509">
            <v>507142850</v>
          </cell>
          <cell r="F509">
            <v>10</v>
          </cell>
          <cell r="G509">
            <v>1371896</v>
          </cell>
          <cell r="H509" t="str">
            <v>RX-056:CM-316 CVR BLUE P/WHT SP/MTCLR</v>
          </cell>
          <cell r="I509">
            <v>110016</v>
          </cell>
          <cell r="J509" t="str">
            <v>UN</v>
          </cell>
          <cell r="K509">
            <v>45605</v>
          </cell>
        </row>
        <row r="510">
          <cell r="A510" t="str">
            <v>50714277730</v>
          </cell>
          <cell r="B510" t="str">
            <v>ZMTD</v>
          </cell>
          <cell r="C510">
            <v>45554</v>
          </cell>
          <cell r="D510" t="str">
            <v>Not delivered</v>
          </cell>
          <cell r="E510">
            <v>507142777</v>
          </cell>
          <cell r="F510">
            <v>30</v>
          </cell>
          <cell r="G510">
            <v>1435311</v>
          </cell>
          <cell r="H510" t="str">
            <v>LC-002:BTL/COL MTGRAD SLV AZURA LION 40D</v>
          </cell>
          <cell r="I510">
            <v>50589</v>
          </cell>
          <cell r="J510" t="str">
            <v>UN</v>
          </cell>
          <cell r="K510">
            <v>45605</v>
          </cell>
        </row>
        <row r="511">
          <cell r="A511" t="str">
            <v>50714277740</v>
          </cell>
          <cell r="B511" t="str">
            <v>ZMTD</v>
          </cell>
          <cell r="C511">
            <v>45554</v>
          </cell>
          <cell r="D511" t="str">
            <v>Not delivered</v>
          </cell>
          <cell r="E511">
            <v>507142777</v>
          </cell>
          <cell r="F511">
            <v>40</v>
          </cell>
          <cell r="G511">
            <v>1435313</v>
          </cell>
          <cell r="H511" t="str">
            <v>LC-002:CAP MT SILVER S/AZURA LION 40C</v>
          </cell>
          <cell r="I511">
            <v>50589</v>
          </cell>
          <cell r="J511" t="str">
            <v>UN</v>
          </cell>
          <cell r="K511">
            <v>45605</v>
          </cell>
        </row>
        <row r="512">
          <cell r="A512" t="str">
            <v>50714251310</v>
          </cell>
          <cell r="B512" t="str">
            <v>ZMTD</v>
          </cell>
          <cell r="C512">
            <v>45488</v>
          </cell>
          <cell r="D512" t="str">
            <v>Not delivered</v>
          </cell>
          <cell r="E512">
            <v>507142513</v>
          </cell>
          <cell r="F512">
            <v>10</v>
          </cell>
          <cell r="G512">
            <v>1419488</v>
          </cell>
          <cell r="H512" t="str">
            <v>CP-063R:SPOUT CAP WHITE LOREAL 12A</v>
          </cell>
          <cell r="I512">
            <v>1890000</v>
          </cell>
          <cell r="J512" t="str">
            <v>UN</v>
          </cell>
          <cell r="K512">
            <v>45605</v>
          </cell>
        </row>
        <row r="513">
          <cell r="A513" t="str">
            <v>50714284630</v>
          </cell>
          <cell r="B513" t="str">
            <v>ZMTD</v>
          </cell>
          <cell r="C513">
            <v>45567</v>
          </cell>
          <cell r="D513" t="str">
            <v>Not delivered</v>
          </cell>
          <cell r="E513">
            <v>507142846</v>
          </cell>
          <cell r="F513">
            <v>30</v>
          </cell>
          <cell r="G513">
            <v>1375595</v>
          </cell>
          <cell r="H513" t="str">
            <v>LC-009:BTL/INNER CLEAR P/OMG PTIPT 60B</v>
          </cell>
          <cell r="I513">
            <v>49770</v>
          </cell>
          <cell r="J513" t="str">
            <v>UN</v>
          </cell>
          <cell r="K513">
            <v>45607</v>
          </cell>
        </row>
        <row r="514">
          <cell r="A514" t="str">
            <v>50714284640</v>
          </cell>
          <cell r="B514" t="str">
            <v>ZMTD</v>
          </cell>
          <cell r="C514">
            <v>45567</v>
          </cell>
          <cell r="D514" t="str">
            <v>Not delivered</v>
          </cell>
          <cell r="E514">
            <v>507142846</v>
          </cell>
          <cell r="F514">
            <v>40</v>
          </cell>
          <cell r="G514">
            <v>1375593</v>
          </cell>
          <cell r="H514" t="str">
            <v>LC-009:CAP REDTRANS WIP S/OMG PTIPT 60B</v>
          </cell>
          <cell r="I514">
            <v>49770</v>
          </cell>
          <cell r="J514" t="str">
            <v>UN</v>
          </cell>
          <cell r="K514">
            <v>45607</v>
          </cell>
        </row>
        <row r="515">
          <cell r="A515" t="str">
            <v>50714277420</v>
          </cell>
          <cell r="B515" t="str">
            <v>ZMTD</v>
          </cell>
          <cell r="C515">
            <v>45554</v>
          </cell>
          <cell r="D515" t="str">
            <v>Not delivered</v>
          </cell>
          <cell r="E515">
            <v>507142774</v>
          </cell>
          <cell r="F515">
            <v>20</v>
          </cell>
          <cell r="G515">
            <v>1378563</v>
          </cell>
          <cell r="H515" t="str">
            <v>CP-093:CAP D50 MT BLACK Ø.5 YASULOR 12A</v>
          </cell>
          <cell r="I515">
            <v>800000</v>
          </cell>
          <cell r="J515" t="str">
            <v>UN</v>
          </cell>
          <cell r="K515">
            <v>45607</v>
          </cell>
        </row>
        <row r="516">
          <cell r="A516" t="str">
            <v>50714251510</v>
          </cell>
          <cell r="B516" t="str">
            <v>ZMTD</v>
          </cell>
          <cell r="C516">
            <v>45488</v>
          </cell>
          <cell r="D516" t="str">
            <v>Not delivered</v>
          </cell>
          <cell r="E516">
            <v>507142515</v>
          </cell>
          <cell r="F516">
            <v>10</v>
          </cell>
          <cell r="G516">
            <v>1419488</v>
          </cell>
          <cell r="H516" t="str">
            <v>CP-063R:SPOUT CAP WHITE LOREAL 12A</v>
          </cell>
          <cell r="I516">
            <v>1890000</v>
          </cell>
          <cell r="J516" t="str">
            <v>UN</v>
          </cell>
          <cell r="K516">
            <v>45607</v>
          </cell>
        </row>
        <row r="517">
          <cell r="A517" t="str">
            <v>50714243330</v>
          </cell>
          <cell r="B517" t="str">
            <v>ZMTD</v>
          </cell>
          <cell r="C517">
            <v>45475</v>
          </cell>
          <cell r="D517" t="str">
            <v>Not delivered</v>
          </cell>
          <cell r="E517">
            <v>507142433</v>
          </cell>
          <cell r="F517">
            <v>30</v>
          </cell>
          <cell r="G517">
            <v>1406600</v>
          </cell>
          <cell r="H517" t="str">
            <v>CM-310:BLACK M086 CANNAGE S/SLV UV MT</v>
          </cell>
          <cell r="I517">
            <v>39000</v>
          </cell>
          <cell r="J517" t="str">
            <v>UN</v>
          </cell>
          <cell r="K517">
            <v>45607</v>
          </cell>
        </row>
        <row r="518">
          <cell r="A518" t="str">
            <v>50714285170</v>
          </cell>
          <cell r="B518" t="str">
            <v>ZMTD</v>
          </cell>
          <cell r="C518">
            <v>45568</v>
          </cell>
          <cell r="D518" t="str">
            <v>Not delivered</v>
          </cell>
          <cell r="E518">
            <v>507142851</v>
          </cell>
          <cell r="F518">
            <v>70</v>
          </cell>
          <cell r="G518">
            <v>1437039</v>
          </cell>
          <cell r="H518" t="str">
            <v>CM-290:1PC BS CV MT.BLK S/ EMBOS OMG 40C</v>
          </cell>
          <cell r="I518">
            <v>29904</v>
          </cell>
          <cell r="J518" t="str">
            <v>UN</v>
          </cell>
          <cell r="K518">
            <v>45608</v>
          </cell>
        </row>
        <row r="519">
          <cell r="A519" t="str">
            <v>50714285180</v>
          </cell>
          <cell r="B519" t="str">
            <v>ZMTD</v>
          </cell>
          <cell r="C519">
            <v>45568</v>
          </cell>
          <cell r="D519" t="str">
            <v>Not delivered</v>
          </cell>
          <cell r="E519">
            <v>507142851</v>
          </cell>
          <cell r="F519">
            <v>80</v>
          </cell>
          <cell r="G519">
            <v>1437140</v>
          </cell>
          <cell r="H519" t="str">
            <v>CM-290:ENGINE CV RED, BS BLK OMG PTI 12A</v>
          </cell>
          <cell r="I519">
            <v>29904</v>
          </cell>
          <cell r="J519" t="str">
            <v>UN</v>
          </cell>
          <cell r="K519">
            <v>45608</v>
          </cell>
        </row>
        <row r="520">
          <cell r="A520" t="str">
            <v>50714285190</v>
          </cell>
          <cell r="B520" t="str">
            <v>ZMTD</v>
          </cell>
          <cell r="C520">
            <v>45568</v>
          </cell>
          <cell r="D520" t="str">
            <v>Not delivered</v>
          </cell>
          <cell r="E520">
            <v>507142851</v>
          </cell>
          <cell r="F520">
            <v>90</v>
          </cell>
          <cell r="G520">
            <v>1437141</v>
          </cell>
          <cell r="H520" t="str">
            <v>CM-290:RING BLACK OMG PTI 12A</v>
          </cell>
          <cell r="I520">
            <v>29904</v>
          </cell>
          <cell r="J520" t="str">
            <v>UN</v>
          </cell>
          <cell r="K520">
            <v>45608</v>
          </cell>
        </row>
        <row r="521">
          <cell r="A521" t="str">
            <v>50800525250</v>
          </cell>
          <cell r="B521" t="str">
            <v>ZMFD</v>
          </cell>
          <cell r="C521">
            <v>45512</v>
          </cell>
          <cell r="D521" t="str">
            <v>Not delivered</v>
          </cell>
          <cell r="E521">
            <v>508005252</v>
          </cell>
          <cell r="F521">
            <v>50</v>
          </cell>
          <cell r="G521">
            <v>1382368</v>
          </cell>
          <cell r="H521" t="str">
            <v>CP-067R:FT CAP35 SNAP BLK MATTE  Ø5 LRL</v>
          </cell>
          <cell r="I521">
            <v>461000</v>
          </cell>
          <cell r="J521" t="str">
            <v>UN</v>
          </cell>
          <cell r="K521">
            <v>45608</v>
          </cell>
        </row>
        <row r="522">
          <cell r="A522" t="str">
            <v>50714230210</v>
          </cell>
          <cell r="B522" t="str">
            <v>ZMTD</v>
          </cell>
          <cell r="C522">
            <v>45449</v>
          </cell>
          <cell r="D522" t="str">
            <v>Not delivered</v>
          </cell>
          <cell r="E522">
            <v>507142302</v>
          </cell>
          <cell r="F522">
            <v>10</v>
          </cell>
          <cell r="G522">
            <v>1389492</v>
          </cell>
          <cell r="H522" t="str">
            <v>CM-295:GODET POWER BRUNCH G85Y-01-0001</v>
          </cell>
          <cell r="I522">
            <v>10472</v>
          </cell>
          <cell r="J522" t="str">
            <v>UN</v>
          </cell>
          <cell r="K522">
            <v>45608</v>
          </cell>
        </row>
        <row r="523">
          <cell r="A523" t="str">
            <v>50714230010</v>
          </cell>
          <cell r="B523" t="str">
            <v>ZMTD</v>
          </cell>
          <cell r="C523">
            <v>45448</v>
          </cell>
          <cell r="D523" t="str">
            <v>Not delivered</v>
          </cell>
          <cell r="E523">
            <v>507142300</v>
          </cell>
          <cell r="F523">
            <v>10</v>
          </cell>
          <cell r="G523">
            <v>1389249</v>
          </cell>
          <cell r="H523" t="str">
            <v>CM-295:GODET GALLERY HOPE G85W-01-0091</v>
          </cell>
          <cell r="I523">
            <v>10472</v>
          </cell>
          <cell r="J523" t="str">
            <v>UN</v>
          </cell>
          <cell r="K523">
            <v>45608</v>
          </cell>
        </row>
        <row r="524">
          <cell r="A524" t="str">
            <v>50714230110</v>
          </cell>
          <cell r="B524" t="str">
            <v>ZMTD</v>
          </cell>
          <cell r="C524">
            <v>45448</v>
          </cell>
          <cell r="D524" t="str">
            <v>Not delivered</v>
          </cell>
          <cell r="E524">
            <v>507142301</v>
          </cell>
          <cell r="F524">
            <v>10</v>
          </cell>
          <cell r="G524">
            <v>1389293</v>
          </cell>
          <cell r="H524" t="str">
            <v>CM-295:GODET PRENUP G85X-01-0091</v>
          </cell>
          <cell r="I524">
            <v>10472</v>
          </cell>
          <cell r="J524" t="str">
            <v>UN</v>
          </cell>
          <cell r="K524">
            <v>45608</v>
          </cell>
        </row>
        <row r="525">
          <cell r="A525" t="str">
            <v>50714220110</v>
          </cell>
          <cell r="B525" t="str">
            <v>ZMTD</v>
          </cell>
          <cell r="C525">
            <v>45432</v>
          </cell>
          <cell r="D525" t="str">
            <v>Partially delivered</v>
          </cell>
          <cell r="E525">
            <v>507142201</v>
          </cell>
          <cell r="F525">
            <v>10</v>
          </cell>
          <cell r="G525">
            <v>1160334</v>
          </cell>
          <cell r="H525" t="str">
            <v>CP-071:CP8364 RL RED 200ML MASS TINT 407</v>
          </cell>
          <cell r="I525">
            <v>43500</v>
          </cell>
          <cell r="J525" t="str">
            <v>UN</v>
          </cell>
          <cell r="K525">
            <v>45608</v>
          </cell>
        </row>
        <row r="526">
          <cell r="A526" t="str">
            <v>50714220210</v>
          </cell>
          <cell r="B526" t="str">
            <v>ZMTD</v>
          </cell>
          <cell r="C526">
            <v>45432</v>
          </cell>
          <cell r="D526" t="str">
            <v>Not delivered</v>
          </cell>
          <cell r="E526">
            <v>507142202</v>
          </cell>
          <cell r="F526">
            <v>10</v>
          </cell>
          <cell r="G526">
            <v>1160334</v>
          </cell>
          <cell r="H526" t="str">
            <v>CP-071:CP8364 RL RED 200ML MASS TINT 407</v>
          </cell>
          <cell r="I526">
            <v>43500</v>
          </cell>
          <cell r="J526" t="str">
            <v>UN</v>
          </cell>
          <cell r="K526">
            <v>45608</v>
          </cell>
        </row>
        <row r="527">
          <cell r="A527" t="str">
            <v>50800478130</v>
          </cell>
          <cell r="B527" t="str">
            <v>ZMFD</v>
          </cell>
          <cell r="C527">
            <v>45307</v>
          </cell>
          <cell r="D527" t="str">
            <v>Not delivered</v>
          </cell>
          <cell r="E527">
            <v>508004781</v>
          </cell>
          <cell r="F527">
            <v>30</v>
          </cell>
          <cell r="G527">
            <v>1169152</v>
          </cell>
          <cell r="H527" t="str">
            <v>CM-295:SQUARE COMPACT&amp;GODET PHHT010032</v>
          </cell>
          <cell r="I527">
            <v>20040</v>
          </cell>
          <cell r="J527" t="str">
            <v>UN</v>
          </cell>
          <cell r="K527">
            <v>45608</v>
          </cell>
        </row>
        <row r="528">
          <cell r="A528" t="str">
            <v>50714285510</v>
          </cell>
          <cell r="B528" t="str">
            <v>ZMTD</v>
          </cell>
          <cell r="C528">
            <v>45569</v>
          </cell>
          <cell r="D528" t="str">
            <v>Not delivered</v>
          </cell>
          <cell r="E528">
            <v>507142855</v>
          </cell>
          <cell r="F528">
            <v>10</v>
          </cell>
          <cell r="G528">
            <v>1133944</v>
          </cell>
          <cell r="H528" t="str">
            <v>CM-297:WHITE AIRBRUSH AWAY BOOTS</v>
          </cell>
          <cell r="I528">
            <v>26040</v>
          </cell>
          <cell r="J528" t="str">
            <v>UN</v>
          </cell>
          <cell r="K528">
            <v>45609</v>
          </cell>
        </row>
        <row r="529">
          <cell r="A529" t="str">
            <v>50714284110</v>
          </cell>
          <cell r="B529" t="str">
            <v>ZMTD</v>
          </cell>
          <cell r="C529">
            <v>45566</v>
          </cell>
          <cell r="D529" t="str">
            <v>Not delivered</v>
          </cell>
          <cell r="E529">
            <v>507142841</v>
          </cell>
          <cell r="F529">
            <v>10</v>
          </cell>
          <cell r="G529">
            <v>1163327</v>
          </cell>
          <cell r="H529" t="str">
            <v>CM-246:CVR S.SLV PAN WHITE 6MPY 01 0034</v>
          </cell>
          <cell r="I529">
            <v>41040</v>
          </cell>
          <cell r="J529" t="str">
            <v>UN</v>
          </cell>
          <cell r="K529">
            <v>45609</v>
          </cell>
        </row>
        <row r="530">
          <cell r="A530" t="str">
            <v>50800525930</v>
          </cell>
          <cell r="B530" t="str">
            <v>ZMFD</v>
          </cell>
          <cell r="C530">
            <v>45523</v>
          </cell>
          <cell r="D530" t="str">
            <v>Not delivered</v>
          </cell>
          <cell r="E530">
            <v>508005259</v>
          </cell>
          <cell r="F530">
            <v>30</v>
          </cell>
          <cell r="G530">
            <v>1168132</v>
          </cell>
          <cell r="H530" t="str">
            <v>LS-285:BS WHT NO DC WARDAH</v>
          </cell>
          <cell r="I530">
            <v>50000</v>
          </cell>
          <cell r="J530" t="str">
            <v>UN</v>
          </cell>
          <cell r="K530">
            <v>45609</v>
          </cell>
        </row>
        <row r="531">
          <cell r="A531" t="str">
            <v>50800525940</v>
          </cell>
          <cell r="B531" t="str">
            <v>ZMFD</v>
          </cell>
          <cell r="C531">
            <v>45523</v>
          </cell>
          <cell r="D531" t="str">
            <v>Not delivered</v>
          </cell>
          <cell r="E531">
            <v>508005259</v>
          </cell>
          <cell r="F531">
            <v>40</v>
          </cell>
          <cell r="G531">
            <v>1421509</v>
          </cell>
          <cell r="H531" t="str">
            <v>LS-285:CV ORNG P/WHT UV ORGSQUEZE PTI30O</v>
          </cell>
          <cell r="I531">
            <v>50000</v>
          </cell>
          <cell r="J531" t="str">
            <v>UN</v>
          </cell>
          <cell r="K531">
            <v>45609</v>
          </cell>
        </row>
        <row r="532">
          <cell r="A532" t="str">
            <v>50714264110</v>
          </cell>
          <cell r="B532" t="str">
            <v>ZMTD</v>
          </cell>
          <cell r="C532">
            <v>45520</v>
          </cell>
          <cell r="D532" t="str">
            <v>Not delivered</v>
          </cell>
          <cell r="E532">
            <v>507142641</v>
          </cell>
          <cell r="F532">
            <v>10</v>
          </cell>
          <cell r="G532">
            <v>1419206</v>
          </cell>
          <cell r="H532" t="str">
            <v>PT-055:BODY BLUE CITRUS HERBAL FAREVA</v>
          </cell>
          <cell r="I532">
            <v>24030</v>
          </cell>
          <cell r="J532" t="str">
            <v>UN</v>
          </cell>
          <cell r="K532">
            <v>45609</v>
          </cell>
        </row>
        <row r="533">
          <cell r="A533" t="str">
            <v>50714264120</v>
          </cell>
          <cell r="B533" t="str">
            <v>ZMTD</v>
          </cell>
          <cell r="C533">
            <v>45520</v>
          </cell>
          <cell r="D533" t="str">
            <v>Not delivered</v>
          </cell>
          <cell r="E533">
            <v>507142641</v>
          </cell>
          <cell r="F533">
            <v>20</v>
          </cell>
          <cell r="G533">
            <v>1194606</v>
          </cell>
          <cell r="H533" t="str">
            <v>PT-055:PLUG BLUE BAXTER FAREVA</v>
          </cell>
          <cell r="I533">
            <v>25110</v>
          </cell>
          <cell r="J533" t="str">
            <v>UN</v>
          </cell>
          <cell r="K533">
            <v>45609</v>
          </cell>
        </row>
        <row r="534">
          <cell r="A534" t="str">
            <v>50714261310</v>
          </cell>
          <cell r="B534" t="str">
            <v>ZMTD</v>
          </cell>
          <cell r="C534">
            <v>45510</v>
          </cell>
          <cell r="D534" t="str">
            <v>Not delivered</v>
          </cell>
          <cell r="E534">
            <v>507142613</v>
          </cell>
          <cell r="F534">
            <v>10</v>
          </cell>
          <cell r="G534">
            <v>1436641</v>
          </cell>
          <cell r="H534" t="str">
            <v>CM-310:BLUE UV S/SILVER DIOR PEPSPE+IXPE</v>
          </cell>
          <cell r="I534">
            <v>64800</v>
          </cell>
          <cell r="J534" t="str">
            <v>UN</v>
          </cell>
          <cell r="K534">
            <v>45609</v>
          </cell>
        </row>
        <row r="535">
          <cell r="A535" t="str">
            <v>50800519230</v>
          </cell>
          <cell r="B535" t="str">
            <v>ZMFD</v>
          </cell>
          <cell r="C535">
            <v>45492</v>
          </cell>
          <cell r="D535" t="str">
            <v>Not delivered</v>
          </cell>
          <cell r="E535">
            <v>508005192</v>
          </cell>
          <cell r="F535">
            <v>30</v>
          </cell>
          <cell r="G535">
            <v>1430093</v>
          </cell>
          <cell r="H535" t="str">
            <v>LS-285:CV MT.TR BLUE P/SHERCLEAR PTI 40H</v>
          </cell>
          <cell r="I535">
            <v>25000</v>
          </cell>
          <cell r="J535" t="str">
            <v>UN</v>
          </cell>
          <cell r="K535">
            <v>45609</v>
          </cell>
        </row>
        <row r="536">
          <cell r="A536" t="str">
            <v>50800519240</v>
          </cell>
          <cell r="B536" t="str">
            <v>ZMFD</v>
          </cell>
          <cell r="C536">
            <v>45492</v>
          </cell>
          <cell r="D536" t="str">
            <v>Not delivered</v>
          </cell>
          <cell r="E536">
            <v>508005192</v>
          </cell>
          <cell r="F536">
            <v>40</v>
          </cell>
          <cell r="G536">
            <v>1430094</v>
          </cell>
          <cell r="H536" t="str">
            <v>LS-285:BS BLUE NO DC WARDAH PTI 12A</v>
          </cell>
          <cell r="I536">
            <v>25000</v>
          </cell>
          <cell r="J536" t="str">
            <v>UN</v>
          </cell>
          <cell r="K536">
            <v>45609</v>
          </cell>
        </row>
        <row r="537">
          <cell r="A537" t="str">
            <v>50714251710</v>
          </cell>
          <cell r="B537" t="str">
            <v>ZMTD</v>
          </cell>
          <cell r="C537">
            <v>45488</v>
          </cell>
          <cell r="D537" t="str">
            <v>Not delivered</v>
          </cell>
          <cell r="E537">
            <v>507142517</v>
          </cell>
          <cell r="F537">
            <v>10</v>
          </cell>
          <cell r="G537">
            <v>1419488</v>
          </cell>
          <cell r="H537" t="str">
            <v>CP-063R:SPOUT CAP WHITE LOREAL 12A</v>
          </cell>
          <cell r="I537">
            <v>1890000</v>
          </cell>
          <cell r="J537" t="str">
            <v>UN</v>
          </cell>
          <cell r="K537">
            <v>45609</v>
          </cell>
        </row>
        <row r="538">
          <cell r="A538" t="str">
            <v>50800517130</v>
          </cell>
          <cell r="B538" t="str">
            <v>ZMFD</v>
          </cell>
          <cell r="C538">
            <v>45481</v>
          </cell>
          <cell r="D538" t="str">
            <v>Not delivered</v>
          </cell>
          <cell r="E538">
            <v>508005171</v>
          </cell>
          <cell r="F538">
            <v>30</v>
          </cell>
          <cell r="G538">
            <v>1375595</v>
          </cell>
          <cell r="H538" t="str">
            <v>LC-009:BTL/INNER CLEAR P/OMG PTIPT 60B</v>
          </cell>
          <cell r="I538">
            <v>648000</v>
          </cell>
          <cell r="J538" t="str">
            <v>UN</v>
          </cell>
          <cell r="K538">
            <v>45609</v>
          </cell>
        </row>
        <row r="539">
          <cell r="A539" t="str">
            <v>50800517140</v>
          </cell>
          <cell r="B539" t="str">
            <v>ZMFD</v>
          </cell>
          <cell r="C539">
            <v>45481</v>
          </cell>
          <cell r="D539" t="str">
            <v>Not delivered</v>
          </cell>
          <cell r="E539">
            <v>508005171</v>
          </cell>
          <cell r="F539">
            <v>40</v>
          </cell>
          <cell r="G539">
            <v>1375593</v>
          </cell>
          <cell r="H539" t="str">
            <v>LC-009:CAP REDTRANS WIP S/OMG PTIPT 60B</v>
          </cell>
          <cell r="I539">
            <v>648000</v>
          </cell>
          <cell r="J539" t="str">
            <v>UN</v>
          </cell>
          <cell r="K539">
            <v>45609</v>
          </cell>
        </row>
        <row r="540">
          <cell r="A540" t="str">
            <v>50800517230</v>
          </cell>
          <cell r="B540" t="str">
            <v>ZMFD</v>
          </cell>
          <cell r="C540">
            <v>45481</v>
          </cell>
          <cell r="D540" t="str">
            <v>Not delivered</v>
          </cell>
          <cell r="E540">
            <v>508005172</v>
          </cell>
          <cell r="F540">
            <v>30</v>
          </cell>
          <cell r="G540">
            <v>1417990</v>
          </cell>
          <cell r="H540" t="str">
            <v>LC-009:BTL #2#3 INNER CLR P/OMG PTIPT60B</v>
          </cell>
          <cell r="I540">
            <v>1249720</v>
          </cell>
          <cell r="J540" t="str">
            <v>UN</v>
          </cell>
          <cell r="K540">
            <v>45609</v>
          </cell>
        </row>
        <row r="541">
          <cell r="A541" t="str">
            <v>50800517240</v>
          </cell>
          <cell r="B541" t="str">
            <v>ZMFD</v>
          </cell>
          <cell r="C541">
            <v>45481</v>
          </cell>
          <cell r="D541" t="str">
            <v>Not delivered</v>
          </cell>
          <cell r="E541">
            <v>508005172</v>
          </cell>
          <cell r="F541">
            <v>40</v>
          </cell>
          <cell r="G541">
            <v>1417978</v>
          </cell>
          <cell r="H541" t="str">
            <v>LC-009:CAP #2#3 REDTR WIP S/OMG PTIPT60B</v>
          </cell>
          <cell r="I541">
            <v>1249720</v>
          </cell>
          <cell r="J541" t="str">
            <v>UN</v>
          </cell>
          <cell r="K541">
            <v>45609</v>
          </cell>
        </row>
        <row r="542">
          <cell r="A542" t="str">
            <v>50800531010</v>
          </cell>
          <cell r="B542" t="str">
            <v>ZMFD</v>
          </cell>
          <cell r="C542">
            <v>45569</v>
          </cell>
          <cell r="D542" t="str">
            <v>Not delivered</v>
          </cell>
          <cell r="E542">
            <v>508005310</v>
          </cell>
          <cell r="F542">
            <v>10</v>
          </cell>
          <cell r="G542">
            <v>1261370</v>
          </cell>
          <cell r="H542" t="str">
            <v>CP-090:CAP ADORE VMPURPLE NOEMBOS PTI20F</v>
          </cell>
          <cell r="I542">
            <v>25000</v>
          </cell>
          <cell r="J542" t="str">
            <v>UN</v>
          </cell>
          <cell r="K542">
            <v>45610</v>
          </cell>
        </row>
        <row r="543">
          <cell r="A543" t="str">
            <v>50800531110</v>
          </cell>
          <cell r="B543" t="str">
            <v>ZMFD</v>
          </cell>
          <cell r="C543">
            <v>45569</v>
          </cell>
          <cell r="D543" t="str">
            <v>Not delivered</v>
          </cell>
          <cell r="E543">
            <v>508005311</v>
          </cell>
          <cell r="F543">
            <v>10</v>
          </cell>
          <cell r="G543">
            <v>1402678</v>
          </cell>
          <cell r="H543" t="str">
            <v>LS-285:BS GREEN NO DC WARDAH 12A</v>
          </cell>
          <cell r="I543">
            <v>10000</v>
          </cell>
          <cell r="J543" t="str">
            <v>UN</v>
          </cell>
          <cell r="K543">
            <v>45610</v>
          </cell>
        </row>
        <row r="544">
          <cell r="A544" t="str">
            <v>50800531120</v>
          </cell>
          <cell r="B544" t="str">
            <v>ZMFD</v>
          </cell>
          <cell r="C544">
            <v>45569</v>
          </cell>
          <cell r="D544" t="str">
            <v>Not delivered</v>
          </cell>
          <cell r="E544">
            <v>508005311</v>
          </cell>
          <cell r="F544">
            <v>20</v>
          </cell>
          <cell r="G544">
            <v>1402740</v>
          </cell>
          <cell r="H544" t="str">
            <v>LS-285:CV MTWHT P/WRDH LIPBLMHAJJ PTI40H</v>
          </cell>
          <cell r="I544">
            <v>10000</v>
          </cell>
          <cell r="J544" t="str">
            <v>UN</v>
          </cell>
          <cell r="K544">
            <v>45610</v>
          </cell>
        </row>
        <row r="545">
          <cell r="A545" t="str">
            <v>50714279810</v>
          </cell>
          <cell r="B545" t="str">
            <v>ZMTD</v>
          </cell>
          <cell r="C545">
            <v>45558</v>
          </cell>
          <cell r="D545" t="str">
            <v>Not delivered</v>
          </cell>
          <cell r="E545">
            <v>507142798</v>
          </cell>
          <cell r="F545">
            <v>10</v>
          </cell>
          <cell r="G545">
            <v>1305089</v>
          </cell>
          <cell r="H545" t="str">
            <v>CM-207:VM SHY SLV P/MATTE ZGH6010038 EL</v>
          </cell>
          <cell r="I545">
            <v>25920</v>
          </cell>
          <cell r="J545" t="str">
            <v>UN</v>
          </cell>
          <cell r="K545">
            <v>45610</v>
          </cell>
        </row>
        <row r="546">
          <cell r="A546" t="str">
            <v>50714277310</v>
          </cell>
          <cell r="B546" t="str">
            <v>ZMTD</v>
          </cell>
          <cell r="C546">
            <v>45554</v>
          </cell>
          <cell r="D546" t="str">
            <v>Not delivered</v>
          </cell>
          <cell r="E546">
            <v>507142773</v>
          </cell>
          <cell r="F546">
            <v>10</v>
          </cell>
          <cell r="G546">
            <v>1218709</v>
          </cell>
          <cell r="H546" t="str">
            <v>LS-086:CVR CLR CVRSTICK DC4 N.MOLD MAYB</v>
          </cell>
          <cell r="I546">
            <v>50400</v>
          </cell>
          <cell r="J546" t="str">
            <v>UN</v>
          </cell>
          <cell r="K546">
            <v>45610</v>
          </cell>
        </row>
        <row r="547">
          <cell r="A547" t="str">
            <v>50714277510</v>
          </cell>
          <cell r="B547" t="str">
            <v>ZMTD</v>
          </cell>
          <cell r="C547">
            <v>45554</v>
          </cell>
          <cell r="D547" t="str">
            <v>Not delivered</v>
          </cell>
          <cell r="E547">
            <v>507142775</v>
          </cell>
          <cell r="F547">
            <v>10</v>
          </cell>
          <cell r="G547">
            <v>1256831</v>
          </cell>
          <cell r="H547" t="str">
            <v>LS-086:BS M.BEIGE NODC N.CUP MAYB BULK</v>
          </cell>
          <cell r="I547">
            <v>30000</v>
          </cell>
          <cell r="J547" t="str">
            <v>UN</v>
          </cell>
          <cell r="K547">
            <v>45610</v>
          </cell>
        </row>
        <row r="548">
          <cell r="A548" t="str">
            <v>50714276710</v>
          </cell>
          <cell r="B548" t="str">
            <v>ZMTD</v>
          </cell>
          <cell r="C548">
            <v>45553</v>
          </cell>
          <cell r="D548" t="str">
            <v>Not delivered</v>
          </cell>
          <cell r="E548">
            <v>507142767</v>
          </cell>
          <cell r="F548">
            <v>10</v>
          </cell>
          <cell r="G548">
            <v>1286626</v>
          </cell>
          <cell r="H548" t="str">
            <v>FP-038:BASE AMBER GWLT010705 EL</v>
          </cell>
          <cell r="I548">
            <v>25020</v>
          </cell>
          <cell r="J548" t="str">
            <v>UN</v>
          </cell>
          <cell r="K548">
            <v>45610</v>
          </cell>
        </row>
        <row r="549">
          <cell r="A549" t="str">
            <v>50800523710</v>
          </cell>
          <cell r="B549" t="str">
            <v>ZMFD</v>
          </cell>
          <cell r="C549">
            <v>45505</v>
          </cell>
          <cell r="D549" t="str">
            <v>Not delivered</v>
          </cell>
          <cell r="E549">
            <v>508005237</v>
          </cell>
          <cell r="F549">
            <v>10</v>
          </cell>
          <cell r="G549">
            <v>1102728</v>
          </cell>
          <cell r="H549" t="str">
            <v>CM-274 BLACK P/WHITE LAKME CSMAX 60B</v>
          </cell>
          <cell r="I549">
            <v>30000</v>
          </cell>
          <cell r="J549" t="str">
            <v>UN</v>
          </cell>
          <cell r="K549">
            <v>45610</v>
          </cell>
        </row>
        <row r="550">
          <cell r="A550" t="str">
            <v>50714255510</v>
          </cell>
          <cell r="B550" t="str">
            <v>ZMTD</v>
          </cell>
          <cell r="C550">
            <v>45495</v>
          </cell>
          <cell r="D550" t="str">
            <v>Not delivered</v>
          </cell>
          <cell r="E550">
            <v>507142555</v>
          </cell>
          <cell r="F550">
            <v>10</v>
          </cell>
          <cell r="G550">
            <v>1432356</v>
          </cell>
          <cell r="H550" t="str">
            <v>CM-280:BS/CV BO BLUE UV P/S/INEZ FTC 30M</v>
          </cell>
          <cell r="I550">
            <v>30000</v>
          </cell>
          <cell r="J550" t="str">
            <v>UN</v>
          </cell>
          <cell r="K550">
            <v>45610</v>
          </cell>
        </row>
        <row r="551">
          <cell r="A551" t="str">
            <v>50714254430</v>
          </cell>
          <cell r="B551" t="str">
            <v>ZMTD</v>
          </cell>
          <cell r="C551">
            <v>45491</v>
          </cell>
          <cell r="D551" t="str">
            <v>Not delivered</v>
          </cell>
          <cell r="E551">
            <v>507142544</v>
          </cell>
          <cell r="F551">
            <v>30</v>
          </cell>
          <cell r="G551">
            <v>1319857</v>
          </cell>
          <cell r="H551" t="str">
            <v>CM-296:WHT P/L.AGELES W/O HOLE COTY EPS</v>
          </cell>
          <cell r="I551">
            <v>57600</v>
          </cell>
          <cell r="J551" t="str">
            <v>UN</v>
          </cell>
          <cell r="K551">
            <v>45610</v>
          </cell>
        </row>
        <row r="552">
          <cell r="A552" t="str">
            <v>50800518130</v>
          </cell>
          <cell r="B552" t="str">
            <v>ZMFD</v>
          </cell>
          <cell r="C552">
            <v>45485</v>
          </cell>
          <cell r="D552" t="str">
            <v>Not delivered</v>
          </cell>
          <cell r="E552">
            <v>508005181</v>
          </cell>
          <cell r="F552">
            <v>30</v>
          </cell>
          <cell r="G552">
            <v>1413967</v>
          </cell>
          <cell r="H552" t="str">
            <v>CM-323:VM SILVER DIOR JUMBO M080</v>
          </cell>
          <cell r="I552">
            <v>27000</v>
          </cell>
          <cell r="J552" t="str">
            <v>UN</v>
          </cell>
          <cell r="K552">
            <v>45610</v>
          </cell>
        </row>
        <row r="553">
          <cell r="A553" t="str">
            <v>50800511640</v>
          </cell>
          <cell r="B553" t="str">
            <v>ZMFD</v>
          </cell>
          <cell r="C553">
            <v>45453</v>
          </cell>
          <cell r="D553" t="str">
            <v>Not delivered</v>
          </cell>
          <cell r="E553">
            <v>508005116</v>
          </cell>
          <cell r="F553">
            <v>40</v>
          </cell>
          <cell r="G553">
            <v>1409881</v>
          </cell>
          <cell r="H553" t="str">
            <v>CM-315:CVR/BS BLACK P/CVRLAST OMG RV160B</v>
          </cell>
          <cell r="I553">
            <v>108516</v>
          </cell>
          <cell r="J553" t="str">
            <v>UN</v>
          </cell>
          <cell r="K553">
            <v>45610</v>
          </cell>
        </row>
        <row r="554">
          <cell r="A554" t="str">
            <v>50800509510</v>
          </cell>
          <cell r="B554" t="str">
            <v>ZMFD</v>
          </cell>
          <cell r="C554">
            <v>45449</v>
          </cell>
          <cell r="D554" t="str">
            <v>Not delivered</v>
          </cell>
          <cell r="E554">
            <v>508005095</v>
          </cell>
          <cell r="F554">
            <v>10</v>
          </cell>
          <cell r="G554">
            <v>1388947</v>
          </cell>
          <cell r="H554" t="str">
            <v>CM-294:GODET POSITIV PEONY G0S4-03-0092</v>
          </cell>
          <cell r="I554">
            <v>10472</v>
          </cell>
          <cell r="J554" t="str">
            <v>UN</v>
          </cell>
          <cell r="K554">
            <v>45610</v>
          </cell>
        </row>
        <row r="555">
          <cell r="A555" t="str">
            <v>50800509610</v>
          </cell>
          <cell r="B555" t="str">
            <v>ZMFD</v>
          </cell>
          <cell r="C555">
            <v>45449</v>
          </cell>
          <cell r="D555" t="str">
            <v>Not delivered</v>
          </cell>
          <cell r="E555">
            <v>508005096</v>
          </cell>
          <cell r="F555">
            <v>10</v>
          </cell>
          <cell r="G555">
            <v>1389067</v>
          </cell>
          <cell r="H555" t="str">
            <v>CM-294:GODET MAGNETIC GLOW G0S4-04-0092</v>
          </cell>
          <cell r="I555">
            <v>10472</v>
          </cell>
          <cell r="J555" t="str">
            <v>UN</v>
          </cell>
          <cell r="K555">
            <v>45610</v>
          </cell>
        </row>
        <row r="556">
          <cell r="A556" t="str">
            <v>50714276590</v>
          </cell>
          <cell r="B556" t="str">
            <v>ZMTD</v>
          </cell>
          <cell r="C556">
            <v>45552</v>
          </cell>
          <cell r="D556" t="str">
            <v>Not delivered</v>
          </cell>
          <cell r="E556">
            <v>507142765</v>
          </cell>
          <cell r="F556">
            <v>90</v>
          </cell>
          <cell r="G556">
            <v>1398383</v>
          </cell>
          <cell r="H556" t="str">
            <v>CM-319:WHITE P/BLACK UV MATTE NARS</v>
          </cell>
          <cell r="I556">
            <v>40080</v>
          </cell>
          <cell r="J556" t="str">
            <v>UN</v>
          </cell>
          <cell r="K556">
            <v>45611</v>
          </cell>
        </row>
        <row r="557">
          <cell r="A557" t="str">
            <v>50714276650</v>
          </cell>
          <cell r="B557" t="str">
            <v>ZMTD</v>
          </cell>
          <cell r="C557">
            <v>45552</v>
          </cell>
          <cell r="D557" t="str">
            <v>Not delivered</v>
          </cell>
          <cell r="E557">
            <v>507142766</v>
          </cell>
          <cell r="F557">
            <v>50</v>
          </cell>
          <cell r="G557">
            <v>1398763</v>
          </cell>
          <cell r="H557" t="str">
            <v>CM-320:WHITE S/BLACK UV MATTE NARS</v>
          </cell>
          <cell r="I557">
            <v>40500</v>
          </cell>
          <cell r="J557" t="str">
            <v>UN</v>
          </cell>
          <cell r="K557">
            <v>45611</v>
          </cell>
        </row>
        <row r="558">
          <cell r="A558" t="str">
            <v>50714275410</v>
          </cell>
          <cell r="B558" t="str">
            <v>ZMTD</v>
          </cell>
          <cell r="C558">
            <v>45547</v>
          </cell>
          <cell r="D558" t="str">
            <v>Not delivered</v>
          </cell>
          <cell r="E558">
            <v>507142754</v>
          </cell>
          <cell r="F558">
            <v>10</v>
          </cell>
          <cell r="G558">
            <v>1192463</v>
          </cell>
          <cell r="H558" t="str">
            <v>FP-014:LATULIPE FACE POWDER</v>
          </cell>
          <cell r="I558">
            <v>20000</v>
          </cell>
          <cell r="J558" t="str">
            <v>UN</v>
          </cell>
          <cell r="K558">
            <v>45611</v>
          </cell>
        </row>
        <row r="559">
          <cell r="A559" t="str">
            <v>50714275420</v>
          </cell>
          <cell r="B559" t="str">
            <v>ZMTD</v>
          </cell>
          <cell r="C559">
            <v>45547</v>
          </cell>
          <cell r="D559" t="str">
            <v>Not delivered</v>
          </cell>
          <cell r="E559">
            <v>507142754</v>
          </cell>
          <cell r="F559">
            <v>20</v>
          </cell>
          <cell r="G559">
            <v>1192460</v>
          </cell>
          <cell r="H559" t="str">
            <v>FP-014:SIFTER NAT W/LABEL NO DC REMBAKA</v>
          </cell>
          <cell r="I559">
            <v>20000</v>
          </cell>
          <cell r="J559" t="str">
            <v>UN</v>
          </cell>
          <cell r="K559">
            <v>45611</v>
          </cell>
        </row>
        <row r="560">
          <cell r="A560" t="str">
            <v>50800527510</v>
          </cell>
          <cell r="B560" t="str">
            <v>ZMFD</v>
          </cell>
          <cell r="C560">
            <v>45539</v>
          </cell>
          <cell r="D560" t="str">
            <v>Not delivered</v>
          </cell>
          <cell r="E560">
            <v>508005275</v>
          </cell>
          <cell r="F560">
            <v>10</v>
          </cell>
          <cell r="G560">
            <v>1210646</v>
          </cell>
          <cell r="H560" t="str">
            <v>FP-014:CVR BLACK MATTE BLACK SS SMITH</v>
          </cell>
          <cell r="I560">
            <v>20000</v>
          </cell>
          <cell r="J560" t="str">
            <v>UN</v>
          </cell>
          <cell r="K560">
            <v>45611</v>
          </cell>
        </row>
        <row r="561">
          <cell r="A561" t="str">
            <v>50800527520</v>
          </cell>
          <cell r="B561" t="str">
            <v>ZMFD</v>
          </cell>
          <cell r="C561">
            <v>45539</v>
          </cell>
          <cell r="D561" t="str">
            <v>Not delivered</v>
          </cell>
          <cell r="E561">
            <v>508005275</v>
          </cell>
          <cell r="F561">
            <v>20</v>
          </cell>
          <cell r="G561">
            <v>1210647</v>
          </cell>
          <cell r="H561" t="str">
            <v>FP-014:BASE BLK MATTE BLACK SS SMITH</v>
          </cell>
          <cell r="I561">
            <v>20000</v>
          </cell>
          <cell r="J561" t="str">
            <v>UN</v>
          </cell>
          <cell r="K561">
            <v>45611</v>
          </cell>
        </row>
        <row r="562">
          <cell r="A562" t="str">
            <v>50800523430</v>
          </cell>
          <cell r="B562" t="str">
            <v>ZMFD</v>
          </cell>
          <cell r="C562">
            <v>45504</v>
          </cell>
          <cell r="D562" t="str">
            <v>Not delivered</v>
          </cell>
          <cell r="E562">
            <v>508005234</v>
          </cell>
          <cell r="F562">
            <v>30</v>
          </cell>
          <cell r="G562">
            <v>1169286</v>
          </cell>
          <cell r="H562" t="str">
            <v>CM-294:RECTANGULAR WITH GODET PKTJ010032</v>
          </cell>
          <cell r="I562">
            <v>37920</v>
          </cell>
          <cell r="J562" t="str">
            <v>UN</v>
          </cell>
          <cell r="K562">
            <v>45611</v>
          </cell>
        </row>
        <row r="563">
          <cell r="A563" t="str">
            <v>50714251810</v>
          </cell>
          <cell r="B563" t="str">
            <v>ZMTD</v>
          </cell>
          <cell r="C563">
            <v>45488</v>
          </cell>
          <cell r="D563" t="str">
            <v>Not delivered</v>
          </cell>
          <cell r="E563">
            <v>507142518</v>
          </cell>
          <cell r="F563">
            <v>10</v>
          </cell>
          <cell r="G563">
            <v>1419488</v>
          </cell>
          <cell r="H563" t="str">
            <v>CP-063R:SPOUT CAP WHITE LOREAL 12A</v>
          </cell>
          <cell r="I563">
            <v>1890000</v>
          </cell>
          <cell r="J563" t="str">
            <v>UN</v>
          </cell>
          <cell r="K563">
            <v>45611</v>
          </cell>
        </row>
        <row r="564">
          <cell r="A564" t="str">
            <v>50714156910</v>
          </cell>
          <cell r="B564" t="str">
            <v>ZMTD</v>
          </cell>
          <cell r="C564">
            <v>45303</v>
          </cell>
          <cell r="D564" t="str">
            <v>Not delivered</v>
          </cell>
          <cell r="E564">
            <v>507141569</v>
          </cell>
          <cell r="F564">
            <v>10</v>
          </cell>
          <cell r="G564">
            <v>1175313</v>
          </cell>
          <cell r="H564" t="str">
            <v>CM-101:N.GRN MRBL B/O 618J010304 CLNQ EL</v>
          </cell>
          <cell r="I564">
            <v>25350</v>
          </cell>
          <cell r="J564" t="str">
            <v>UN</v>
          </cell>
          <cell r="K564">
            <v>45611</v>
          </cell>
        </row>
        <row r="565">
          <cell r="A565" t="str">
            <v>50714285020</v>
          </cell>
          <cell r="B565" t="str">
            <v>ZMTD</v>
          </cell>
          <cell r="C565">
            <v>45567</v>
          </cell>
          <cell r="D565" t="str">
            <v>Not delivered</v>
          </cell>
          <cell r="E565">
            <v>507142850</v>
          </cell>
          <cell r="F565">
            <v>20</v>
          </cell>
          <cell r="G565">
            <v>1371896</v>
          </cell>
          <cell r="H565" t="str">
            <v>RX-056:CM-316 CVR BLUE P/WHT SP/MTCLR</v>
          </cell>
          <cell r="I565">
            <v>110016</v>
          </cell>
          <cell r="J565" t="str">
            <v>UN</v>
          </cell>
          <cell r="K565">
            <v>45612</v>
          </cell>
        </row>
        <row r="566">
          <cell r="A566" t="str">
            <v>50714242910</v>
          </cell>
          <cell r="B566" t="str">
            <v>ZMTD</v>
          </cell>
          <cell r="C566">
            <v>45475</v>
          </cell>
          <cell r="D566" t="str">
            <v>Not delivered</v>
          </cell>
          <cell r="E566">
            <v>507142429</v>
          </cell>
          <cell r="F566">
            <v>10</v>
          </cell>
          <cell r="G566">
            <v>1160336</v>
          </cell>
          <cell r="H566" t="str">
            <v>CP-071:CP8364 TNR WPRL 200 REX IS 763</v>
          </cell>
          <cell r="I566">
            <v>87000</v>
          </cell>
          <cell r="J566" t="str">
            <v>UN</v>
          </cell>
          <cell r="K566">
            <v>45612</v>
          </cell>
        </row>
        <row r="567">
          <cell r="A567" t="str">
            <v>50714286610</v>
          </cell>
          <cell r="B567" t="str">
            <v>ZMTD</v>
          </cell>
          <cell r="C567">
            <v>45574</v>
          </cell>
          <cell r="D567" t="str">
            <v>Not delivered</v>
          </cell>
          <cell r="E567">
            <v>507142866</v>
          </cell>
          <cell r="F567">
            <v>10</v>
          </cell>
          <cell r="G567">
            <v>1364395</v>
          </cell>
          <cell r="H567" t="str">
            <v>PT-048:CVR/BS WHT NO DC 4GR MISWAK 12A</v>
          </cell>
          <cell r="I567">
            <v>10000</v>
          </cell>
          <cell r="J567" t="str">
            <v>UN</v>
          </cell>
          <cell r="K567">
            <v>45614</v>
          </cell>
        </row>
        <row r="568">
          <cell r="A568" t="str">
            <v>50714284510</v>
          </cell>
          <cell r="B568" t="str">
            <v>ZMTD</v>
          </cell>
          <cell r="C568">
            <v>45566</v>
          </cell>
          <cell r="D568" t="str">
            <v>Not delivered</v>
          </cell>
          <cell r="E568">
            <v>507142845</v>
          </cell>
          <cell r="F568">
            <v>10</v>
          </cell>
          <cell r="G568">
            <v>1420101</v>
          </cell>
          <cell r="H568" t="str">
            <v>LS-091:BS RED P/RED FRTY CHERRY NEW 60B</v>
          </cell>
          <cell r="I568">
            <v>32604</v>
          </cell>
          <cell r="J568" t="str">
            <v>UN</v>
          </cell>
          <cell r="K568">
            <v>45614</v>
          </cell>
        </row>
        <row r="569">
          <cell r="A569" t="str">
            <v>50714284520</v>
          </cell>
          <cell r="B569" t="str">
            <v>ZMTD</v>
          </cell>
          <cell r="C569">
            <v>45566</v>
          </cell>
          <cell r="D569" t="str">
            <v>Not delivered</v>
          </cell>
          <cell r="E569">
            <v>507142845</v>
          </cell>
          <cell r="F569">
            <v>20</v>
          </cell>
          <cell r="G569">
            <v>1420102</v>
          </cell>
          <cell r="H569" t="str">
            <v>LS-091:CV WHT P/ICE FRUITY CHERRY 60B</v>
          </cell>
          <cell r="I569">
            <v>32604</v>
          </cell>
          <cell r="J569" t="str">
            <v>UN</v>
          </cell>
          <cell r="K569">
            <v>45614</v>
          </cell>
        </row>
        <row r="570">
          <cell r="A570" t="str">
            <v>50714271210</v>
          </cell>
          <cell r="B570" t="str">
            <v>ZMTD</v>
          </cell>
          <cell r="C570">
            <v>45538</v>
          </cell>
          <cell r="D570" t="str">
            <v>Not delivered</v>
          </cell>
          <cell r="E570">
            <v>507142712</v>
          </cell>
          <cell r="F570">
            <v>10</v>
          </cell>
          <cell r="G570">
            <v>1332672</v>
          </cell>
          <cell r="H570" t="str">
            <v>CM-095:VM ROSE GOLD P/BLACK COTY</v>
          </cell>
          <cell r="I570">
            <v>56160</v>
          </cell>
          <cell r="J570" t="str">
            <v>UN</v>
          </cell>
          <cell r="K570">
            <v>45614</v>
          </cell>
        </row>
        <row r="571">
          <cell r="A571" t="str">
            <v>50714251910</v>
          </cell>
          <cell r="B571" t="str">
            <v>ZMTD</v>
          </cell>
          <cell r="C571">
            <v>45488</v>
          </cell>
          <cell r="D571" t="str">
            <v>Not delivered</v>
          </cell>
          <cell r="E571">
            <v>507142519</v>
          </cell>
          <cell r="F571">
            <v>10</v>
          </cell>
          <cell r="G571">
            <v>1419488</v>
          </cell>
          <cell r="H571" t="str">
            <v>CP-063R:SPOUT CAP WHITE LOREAL 12A</v>
          </cell>
          <cell r="I571">
            <v>1890000</v>
          </cell>
          <cell r="J571" t="str">
            <v>UN</v>
          </cell>
          <cell r="K571">
            <v>45614</v>
          </cell>
        </row>
        <row r="572">
          <cell r="A572" t="str">
            <v>50800494730</v>
          </cell>
          <cell r="B572" t="str">
            <v>ZMFD</v>
          </cell>
          <cell r="C572">
            <v>45370</v>
          </cell>
          <cell r="D572" t="str">
            <v>Not delivered</v>
          </cell>
          <cell r="E572">
            <v>508004947</v>
          </cell>
          <cell r="F572">
            <v>30</v>
          </cell>
          <cell r="G572">
            <v>1411898</v>
          </cell>
          <cell r="H572" t="str">
            <v>PT-100:CVR MT.GREEN EMBOS KAHF PTI 40D</v>
          </cell>
          <cell r="I572">
            <v>177000</v>
          </cell>
          <cell r="J572" t="str">
            <v>UN</v>
          </cell>
          <cell r="K572">
            <v>45614</v>
          </cell>
        </row>
        <row r="573">
          <cell r="A573" t="str">
            <v>50800494740</v>
          </cell>
          <cell r="B573" t="str">
            <v>ZMFD</v>
          </cell>
          <cell r="C573">
            <v>45370</v>
          </cell>
          <cell r="D573" t="str">
            <v>Not delivered</v>
          </cell>
          <cell r="E573">
            <v>508004947</v>
          </cell>
          <cell r="F573">
            <v>40</v>
          </cell>
          <cell r="G573">
            <v>1411899</v>
          </cell>
          <cell r="H573" t="str">
            <v>PT-100:BS/INS GREEN P/WHT KAHF PTI 60B</v>
          </cell>
          <cell r="I573">
            <v>177000</v>
          </cell>
          <cell r="J573" t="str">
            <v>UN</v>
          </cell>
          <cell r="K573">
            <v>45614</v>
          </cell>
        </row>
        <row r="574">
          <cell r="A574" t="str">
            <v>50714270550</v>
          </cell>
          <cell r="B574" t="str">
            <v>ZMTD</v>
          </cell>
          <cell r="C574">
            <v>45534</v>
          </cell>
          <cell r="D574" t="str">
            <v>Not delivered</v>
          </cell>
          <cell r="E574">
            <v>507142705</v>
          </cell>
          <cell r="F574">
            <v>50</v>
          </cell>
          <cell r="G574">
            <v>1342220</v>
          </cell>
          <cell r="H574" t="str">
            <v>LC-010:BTL CLR HTF COLBEIGE CFIT PTI 60C</v>
          </cell>
          <cell r="I574">
            <v>100170</v>
          </cell>
          <cell r="J574" t="str">
            <v>UN</v>
          </cell>
          <cell r="K574">
            <v>45615</v>
          </cell>
        </row>
        <row r="575">
          <cell r="A575" t="str">
            <v>50714270560</v>
          </cell>
          <cell r="B575" t="str">
            <v>ZMTD</v>
          </cell>
          <cell r="C575">
            <v>45534</v>
          </cell>
          <cell r="D575" t="str">
            <v>Not delivered</v>
          </cell>
          <cell r="E575">
            <v>507142705</v>
          </cell>
          <cell r="F575">
            <v>60</v>
          </cell>
          <cell r="G575">
            <v>1342221</v>
          </cell>
          <cell r="H575" t="str">
            <v>LC-010:CAP BEIGE WIP NAT PTI 12A</v>
          </cell>
          <cell r="I575">
            <v>100170</v>
          </cell>
          <cell r="J575" t="str">
            <v>UN</v>
          </cell>
          <cell r="K575">
            <v>45615</v>
          </cell>
        </row>
        <row r="576">
          <cell r="A576" t="str">
            <v>50714255520</v>
          </cell>
          <cell r="B576" t="str">
            <v>ZMTD</v>
          </cell>
          <cell r="C576">
            <v>45495</v>
          </cell>
          <cell r="D576" t="str">
            <v>Not delivered</v>
          </cell>
          <cell r="E576">
            <v>507142555</v>
          </cell>
          <cell r="F576">
            <v>20</v>
          </cell>
          <cell r="G576">
            <v>1432444</v>
          </cell>
          <cell r="H576" t="str">
            <v>CM-280:BS/CV ES BLUE UV P/S/INEZ FTC 30M</v>
          </cell>
          <cell r="I576">
            <v>25000</v>
          </cell>
          <cell r="J576" t="str">
            <v>UN</v>
          </cell>
          <cell r="K576">
            <v>45615</v>
          </cell>
        </row>
        <row r="577">
          <cell r="A577" t="str">
            <v>50714230610</v>
          </cell>
          <cell r="B577" t="str">
            <v>ZMTD</v>
          </cell>
          <cell r="C577">
            <v>45449</v>
          </cell>
          <cell r="D577" t="str">
            <v>Not delivered</v>
          </cell>
          <cell r="E577">
            <v>507142306</v>
          </cell>
          <cell r="F577">
            <v>10</v>
          </cell>
          <cell r="G577">
            <v>1389292</v>
          </cell>
          <cell r="H577" t="str">
            <v>CM-295:GODET MONEY MOVES G87J-01-0091</v>
          </cell>
          <cell r="I577">
            <v>10472</v>
          </cell>
          <cell r="J577" t="str">
            <v>UN</v>
          </cell>
          <cell r="K577">
            <v>45615</v>
          </cell>
        </row>
        <row r="578">
          <cell r="A578" t="str">
            <v>50800530110</v>
          </cell>
          <cell r="B578" t="str">
            <v>ZMFD</v>
          </cell>
          <cell r="C578">
            <v>45568</v>
          </cell>
          <cell r="D578" t="str">
            <v>Not delivered</v>
          </cell>
          <cell r="E578">
            <v>508005301</v>
          </cell>
          <cell r="F578">
            <v>10</v>
          </cell>
          <cell r="G578">
            <v>1367372</v>
          </cell>
          <cell r="H578" t="str">
            <v>PT-097:BODY GREN HOUSE WHT TRANS PTI 12A</v>
          </cell>
          <cell r="I578">
            <v>110000</v>
          </cell>
          <cell r="J578" t="str">
            <v>UN</v>
          </cell>
          <cell r="K578">
            <v>45616</v>
          </cell>
        </row>
        <row r="579">
          <cell r="A579" t="str">
            <v>50800530120</v>
          </cell>
          <cell r="B579" t="str">
            <v>ZMFD</v>
          </cell>
          <cell r="C579">
            <v>45568</v>
          </cell>
          <cell r="D579" t="str">
            <v>Not delivered</v>
          </cell>
          <cell r="E579">
            <v>508005301</v>
          </cell>
          <cell r="F579">
            <v>20</v>
          </cell>
          <cell r="G579">
            <v>1367370</v>
          </cell>
          <cell r="H579" t="str">
            <v>PT-097:CAP GREN TRANS PTI 12A</v>
          </cell>
          <cell r="I579">
            <v>110000</v>
          </cell>
          <cell r="J579" t="str">
            <v>UN</v>
          </cell>
          <cell r="K579">
            <v>45616</v>
          </cell>
        </row>
        <row r="580">
          <cell r="A580" t="str">
            <v>50714284210</v>
          </cell>
          <cell r="B580" t="str">
            <v>ZMTD</v>
          </cell>
          <cell r="C580">
            <v>45566</v>
          </cell>
          <cell r="D580" t="str">
            <v>Not delivered</v>
          </cell>
          <cell r="E580">
            <v>507142842</v>
          </cell>
          <cell r="F580">
            <v>10</v>
          </cell>
          <cell r="G580">
            <v>1217479</v>
          </cell>
          <cell r="H580" t="str">
            <v>CM-172:8W UV SLV P/ S.CLNQ 6P40010031 EL</v>
          </cell>
          <cell r="I580">
            <v>25080</v>
          </cell>
          <cell r="J580" t="str">
            <v>UN</v>
          </cell>
          <cell r="K580">
            <v>45616</v>
          </cell>
        </row>
        <row r="581">
          <cell r="A581" t="str">
            <v>50714284530</v>
          </cell>
          <cell r="B581" t="str">
            <v>ZMTD</v>
          </cell>
          <cell r="C581">
            <v>45566</v>
          </cell>
          <cell r="D581" t="str">
            <v>Not delivered</v>
          </cell>
          <cell r="E581">
            <v>507142845</v>
          </cell>
          <cell r="F581">
            <v>30</v>
          </cell>
          <cell r="G581">
            <v>1420082</v>
          </cell>
          <cell r="H581" t="str">
            <v>LS-091:BS PEACH P/REDFRTY STRAWBR NEW60B</v>
          </cell>
          <cell r="I581">
            <v>26676</v>
          </cell>
          <cell r="J581" t="str">
            <v>UN</v>
          </cell>
          <cell r="K581">
            <v>45616</v>
          </cell>
        </row>
        <row r="582">
          <cell r="A582" t="str">
            <v>50714284540</v>
          </cell>
          <cell r="B582" t="str">
            <v>ZMTD</v>
          </cell>
          <cell r="C582">
            <v>45566</v>
          </cell>
          <cell r="D582" t="str">
            <v>Not delivered</v>
          </cell>
          <cell r="E582">
            <v>507142845</v>
          </cell>
          <cell r="F582">
            <v>40</v>
          </cell>
          <cell r="G582">
            <v>1420083</v>
          </cell>
          <cell r="H582" t="str">
            <v>LS-091:CV WHT P/ICE FRUITY STRAWBERY 60B</v>
          </cell>
          <cell r="I582">
            <v>26676</v>
          </cell>
          <cell r="J582" t="str">
            <v>UN</v>
          </cell>
          <cell r="K582">
            <v>45616</v>
          </cell>
        </row>
        <row r="583">
          <cell r="A583" t="str">
            <v>50800529120</v>
          </cell>
          <cell r="B583" t="str">
            <v>ZMFD</v>
          </cell>
          <cell r="C583">
            <v>45559</v>
          </cell>
          <cell r="D583" t="str">
            <v>Not delivered</v>
          </cell>
          <cell r="E583">
            <v>508005291</v>
          </cell>
          <cell r="F583">
            <v>20</v>
          </cell>
          <cell r="G583">
            <v>1169703</v>
          </cell>
          <cell r="H583" t="str">
            <v>CP-064:CAP 25 SCREW WHITE MT TR L'OREAL</v>
          </cell>
          <cell r="I583">
            <v>100000</v>
          </cell>
          <cell r="J583" t="str">
            <v>UN</v>
          </cell>
          <cell r="K583">
            <v>45616</v>
          </cell>
        </row>
        <row r="584">
          <cell r="A584" t="str">
            <v>50800528810</v>
          </cell>
          <cell r="B584" t="str">
            <v>ZMFD</v>
          </cell>
          <cell r="C584">
            <v>45558</v>
          </cell>
          <cell r="D584" t="str">
            <v>Not delivered</v>
          </cell>
          <cell r="E584">
            <v>508005288</v>
          </cell>
          <cell r="F584">
            <v>10</v>
          </cell>
          <cell r="G584">
            <v>1336783</v>
          </cell>
          <cell r="H584" t="str">
            <v>LC-003:BTL CLR CLVM P/S/INSTSUEDE PTI20Y</v>
          </cell>
          <cell r="I584">
            <v>25000</v>
          </cell>
          <cell r="J584" t="str">
            <v>UN</v>
          </cell>
          <cell r="K584">
            <v>45616</v>
          </cell>
        </row>
        <row r="585">
          <cell r="A585" t="str">
            <v>50800528820</v>
          </cell>
          <cell r="B585" t="str">
            <v>ZMFD</v>
          </cell>
          <cell r="C585">
            <v>45558</v>
          </cell>
          <cell r="D585" t="str">
            <v>Not delivered</v>
          </cell>
          <cell r="E585">
            <v>508005288</v>
          </cell>
          <cell r="F585">
            <v>20</v>
          </cell>
          <cell r="G585">
            <v>1378266</v>
          </cell>
          <cell r="H585" t="str">
            <v>LC-003:CAP VM RS PINK INSTASUEDE PTI 20F</v>
          </cell>
          <cell r="I585">
            <v>25000</v>
          </cell>
          <cell r="J585" t="str">
            <v>UN</v>
          </cell>
          <cell r="K585">
            <v>45616</v>
          </cell>
        </row>
        <row r="586">
          <cell r="A586" t="str">
            <v>50800527110</v>
          </cell>
          <cell r="B586" t="str">
            <v>ZMFD</v>
          </cell>
          <cell r="C586">
            <v>45538</v>
          </cell>
          <cell r="D586" t="str">
            <v>Not delivered</v>
          </cell>
          <cell r="E586">
            <v>508005271</v>
          </cell>
          <cell r="F586">
            <v>10</v>
          </cell>
          <cell r="G586">
            <v>1411701</v>
          </cell>
          <cell r="H586" t="str">
            <v>PT-100:BS/INS BLUE P/WHT KAHF PTI 60B</v>
          </cell>
          <cell r="I586">
            <v>240000</v>
          </cell>
          <cell r="J586" t="str">
            <v>UN</v>
          </cell>
          <cell r="K586">
            <v>45616</v>
          </cell>
        </row>
        <row r="587">
          <cell r="A587" t="str">
            <v>50800527120</v>
          </cell>
          <cell r="B587" t="str">
            <v>ZMFD</v>
          </cell>
          <cell r="C587">
            <v>45538</v>
          </cell>
          <cell r="D587" t="str">
            <v>Not delivered</v>
          </cell>
          <cell r="E587">
            <v>508005271</v>
          </cell>
          <cell r="F587">
            <v>20</v>
          </cell>
          <cell r="G587">
            <v>1411700</v>
          </cell>
          <cell r="H587" t="str">
            <v>PT-100:CVR MT.BLUE EMBOS KAHF PTI 40D</v>
          </cell>
          <cell r="I587">
            <v>240000</v>
          </cell>
          <cell r="J587" t="str">
            <v>UN</v>
          </cell>
          <cell r="K587">
            <v>45616</v>
          </cell>
        </row>
        <row r="588">
          <cell r="A588" t="str">
            <v>50800525510</v>
          </cell>
          <cell r="B588" t="str">
            <v>ZMFD</v>
          </cell>
          <cell r="C588">
            <v>45516</v>
          </cell>
          <cell r="D588" t="str">
            <v>Not delivered</v>
          </cell>
          <cell r="E588">
            <v>508005255</v>
          </cell>
          <cell r="F588">
            <v>10</v>
          </cell>
          <cell r="G588">
            <v>1436641</v>
          </cell>
          <cell r="H588" t="str">
            <v>CM-310:BLUE UV S/SILVER DIOR PEPSPE+IXPE</v>
          </cell>
          <cell r="I588">
            <v>64800</v>
          </cell>
          <cell r="J588" t="str">
            <v>UN</v>
          </cell>
          <cell r="K588">
            <v>45616</v>
          </cell>
        </row>
        <row r="589">
          <cell r="A589" t="str">
            <v>50714261110</v>
          </cell>
          <cell r="B589" t="str">
            <v>ZMTD</v>
          </cell>
          <cell r="C589">
            <v>45510</v>
          </cell>
          <cell r="D589" t="str">
            <v>Not delivered</v>
          </cell>
          <cell r="E589">
            <v>507142611</v>
          </cell>
          <cell r="F589">
            <v>10</v>
          </cell>
          <cell r="G589">
            <v>1436641</v>
          </cell>
          <cell r="H589" t="str">
            <v>CM-310:BLUE UV S/SILVER DIOR PEPSPE+IXPE</v>
          </cell>
          <cell r="I589">
            <v>64800</v>
          </cell>
          <cell r="J589" t="str">
            <v>UN</v>
          </cell>
          <cell r="K589">
            <v>45616</v>
          </cell>
        </row>
        <row r="590">
          <cell r="A590" t="str">
            <v>50800517620</v>
          </cell>
          <cell r="B590" t="str">
            <v>ZMFD</v>
          </cell>
          <cell r="C590">
            <v>45482</v>
          </cell>
          <cell r="D590" t="str">
            <v>Not delivered</v>
          </cell>
          <cell r="E590">
            <v>508005176</v>
          </cell>
          <cell r="F590">
            <v>20</v>
          </cell>
          <cell r="G590">
            <v>1171241</v>
          </cell>
          <cell r="H590" t="str">
            <v>CP-059:60ML UV GOLD WHT LN 7712010071 EL</v>
          </cell>
          <cell r="I590">
            <v>25080</v>
          </cell>
          <cell r="J590" t="str">
            <v>UN</v>
          </cell>
          <cell r="K590">
            <v>45616</v>
          </cell>
        </row>
        <row r="591">
          <cell r="A591" t="str">
            <v>50800514910</v>
          </cell>
          <cell r="B591" t="str">
            <v>ZMFD</v>
          </cell>
          <cell r="C591">
            <v>45464</v>
          </cell>
          <cell r="D591" t="str">
            <v>Not delivered</v>
          </cell>
          <cell r="E591">
            <v>508005149</v>
          </cell>
          <cell r="F591">
            <v>10</v>
          </cell>
          <cell r="G591">
            <v>1378563</v>
          </cell>
          <cell r="H591" t="str">
            <v>CP-093:CAP D50 MT BLACK Ø.5 YASULOR 12A</v>
          </cell>
          <cell r="I591">
            <v>600000</v>
          </cell>
          <cell r="J591" t="str">
            <v>UN</v>
          </cell>
          <cell r="K591">
            <v>45616</v>
          </cell>
        </row>
        <row r="592">
          <cell r="A592" t="str">
            <v>50800506810</v>
          </cell>
          <cell r="B592" t="str">
            <v>ZMFD</v>
          </cell>
          <cell r="C592">
            <v>45433</v>
          </cell>
          <cell r="D592" t="str">
            <v>Not delivered</v>
          </cell>
          <cell r="E592">
            <v>508005068</v>
          </cell>
          <cell r="F592">
            <v>10</v>
          </cell>
          <cell r="G592">
            <v>1255662</v>
          </cell>
          <cell r="H592" t="str">
            <v>LC-002:BTL MT VAR12 P/WRDH B.MARK PTI40H</v>
          </cell>
          <cell r="I592">
            <v>25000</v>
          </cell>
          <cell r="J592" t="str">
            <v>UN</v>
          </cell>
          <cell r="K592">
            <v>45616</v>
          </cell>
        </row>
        <row r="593">
          <cell r="A593" t="str">
            <v>50800506820</v>
          </cell>
          <cell r="B593" t="str">
            <v>ZMFD</v>
          </cell>
          <cell r="C593">
            <v>45433</v>
          </cell>
          <cell r="D593" t="str">
            <v>Not delivered</v>
          </cell>
          <cell r="E593">
            <v>508005068</v>
          </cell>
          <cell r="F593">
            <v>20</v>
          </cell>
          <cell r="G593">
            <v>1174820</v>
          </cell>
          <cell r="H593" t="str">
            <v>LC-002:CP S/MT VAR12 STM-WHT WNAT PTI40D</v>
          </cell>
          <cell r="I593">
            <v>25000</v>
          </cell>
          <cell r="J593" t="str">
            <v>UN</v>
          </cell>
          <cell r="K593">
            <v>45616</v>
          </cell>
        </row>
        <row r="594">
          <cell r="A594" t="str">
            <v>50714280020</v>
          </cell>
          <cell r="B594" t="str">
            <v>ZMTD</v>
          </cell>
          <cell r="C594">
            <v>45558</v>
          </cell>
          <cell r="D594" t="str">
            <v>Not delivered</v>
          </cell>
          <cell r="E594">
            <v>507142800</v>
          </cell>
          <cell r="F594">
            <v>20</v>
          </cell>
          <cell r="G594">
            <v>1181522</v>
          </cell>
          <cell r="H594" t="str">
            <v>CM-298:TRIO EYESHADOW</v>
          </cell>
          <cell r="I594">
            <v>50000</v>
          </cell>
          <cell r="J594" t="str">
            <v>UN</v>
          </cell>
          <cell r="K594">
            <v>45617</v>
          </cell>
        </row>
        <row r="595">
          <cell r="A595" t="str">
            <v>50714268310</v>
          </cell>
          <cell r="B595" t="str">
            <v>ZMTD</v>
          </cell>
          <cell r="C595">
            <v>45532</v>
          </cell>
          <cell r="D595" t="str">
            <v>Not delivered</v>
          </cell>
          <cell r="E595">
            <v>507142683</v>
          </cell>
          <cell r="F595">
            <v>10</v>
          </cell>
          <cell r="G595">
            <v>1284957</v>
          </cell>
          <cell r="H595" t="str">
            <v>CM-244:WHITE U/CLR  S/SLVR ZGNC010031 EL</v>
          </cell>
          <cell r="I595">
            <v>10080</v>
          </cell>
          <cell r="J595" t="str">
            <v>UN</v>
          </cell>
          <cell r="K595">
            <v>45617</v>
          </cell>
        </row>
        <row r="596">
          <cell r="A596" t="str">
            <v>50800518140</v>
          </cell>
          <cell r="B596" t="str">
            <v>ZMFD</v>
          </cell>
          <cell r="C596">
            <v>45485</v>
          </cell>
          <cell r="D596" t="str">
            <v>Not delivered</v>
          </cell>
          <cell r="E596">
            <v>508005181</v>
          </cell>
          <cell r="F596">
            <v>40</v>
          </cell>
          <cell r="G596">
            <v>1413967</v>
          </cell>
          <cell r="H596" t="str">
            <v>CM-323:VM SILVER DIOR JUMBO M080</v>
          </cell>
          <cell r="I596">
            <v>27000</v>
          </cell>
          <cell r="J596" t="str">
            <v>UN</v>
          </cell>
          <cell r="K596">
            <v>45617</v>
          </cell>
        </row>
        <row r="597">
          <cell r="A597" t="str">
            <v>50714243340</v>
          </cell>
          <cell r="B597" t="str">
            <v>ZMTD</v>
          </cell>
          <cell r="C597">
            <v>45475</v>
          </cell>
          <cell r="D597" t="str">
            <v>Not delivered</v>
          </cell>
          <cell r="E597">
            <v>507142433</v>
          </cell>
          <cell r="F597">
            <v>40</v>
          </cell>
          <cell r="G597">
            <v>1406600</v>
          </cell>
          <cell r="H597" t="str">
            <v>CM-310:BLACK M086 CANNAGE S/SLV UV MT</v>
          </cell>
          <cell r="I597">
            <v>39000</v>
          </cell>
          <cell r="J597" t="str">
            <v>UN</v>
          </cell>
          <cell r="K597">
            <v>45617</v>
          </cell>
        </row>
        <row r="598">
          <cell r="A598" t="str">
            <v>50800509310</v>
          </cell>
          <cell r="B598" t="str">
            <v>ZMFD</v>
          </cell>
          <cell r="C598">
            <v>45449</v>
          </cell>
          <cell r="D598" t="str">
            <v>Not delivered</v>
          </cell>
          <cell r="E598">
            <v>508005093</v>
          </cell>
          <cell r="F598">
            <v>10</v>
          </cell>
          <cell r="G598">
            <v>1390354</v>
          </cell>
          <cell r="H598" t="str">
            <v>CM-294:GODET REBELL. ROSE G0S4-01-0092</v>
          </cell>
          <cell r="I598">
            <v>10472</v>
          </cell>
          <cell r="J598" t="str">
            <v>UN</v>
          </cell>
          <cell r="K598">
            <v>45617</v>
          </cell>
        </row>
        <row r="599">
          <cell r="A599" t="str">
            <v>50800509410</v>
          </cell>
          <cell r="B599" t="str">
            <v>ZMFD</v>
          </cell>
          <cell r="C599">
            <v>45449</v>
          </cell>
          <cell r="D599" t="str">
            <v>Not delivered</v>
          </cell>
          <cell r="E599">
            <v>508005094</v>
          </cell>
          <cell r="F599">
            <v>10</v>
          </cell>
          <cell r="G599">
            <v>1388946</v>
          </cell>
          <cell r="H599" t="str">
            <v>CM-294:GODET PINK KISS G0S4-02-0092</v>
          </cell>
          <cell r="I599">
            <v>10472</v>
          </cell>
          <cell r="J599" t="str">
            <v>UN</v>
          </cell>
          <cell r="K599">
            <v>45617</v>
          </cell>
        </row>
        <row r="600">
          <cell r="A600" t="str">
            <v>50800530310</v>
          </cell>
          <cell r="B600" t="str">
            <v>ZMFD</v>
          </cell>
          <cell r="C600">
            <v>45568</v>
          </cell>
          <cell r="D600" t="str">
            <v>Not delivered</v>
          </cell>
          <cell r="E600">
            <v>508005303</v>
          </cell>
          <cell r="F600">
            <v>10</v>
          </cell>
          <cell r="G600">
            <v>1430094</v>
          </cell>
          <cell r="H600" t="str">
            <v>LS-285:BS BLUE NO DC WARDAH PTI 12A</v>
          </cell>
          <cell r="I600">
            <v>25536</v>
          </cell>
          <cell r="J600" t="str">
            <v>UN</v>
          </cell>
          <cell r="K600">
            <v>45618</v>
          </cell>
        </row>
        <row r="601">
          <cell r="A601" t="str">
            <v>50800530320</v>
          </cell>
          <cell r="B601" t="str">
            <v>ZMFD</v>
          </cell>
          <cell r="C601">
            <v>45568</v>
          </cell>
          <cell r="D601" t="str">
            <v>Not delivered</v>
          </cell>
          <cell r="E601">
            <v>508005303</v>
          </cell>
          <cell r="F601">
            <v>20</v>
          </cell>
          <cell r="G601">
            <v>1430093</v>
          </cell>
          <cell r="H601" t="str">
            <v>LS-285:CV MT.TR BLUE P/SHERCLEAR PTI 40H</v>
          </cell>
          <cell r="I601">
            <v>25536</v>
          </cell>
          <cell r="J601" t="str">
            <v>UN</v>
          </cell>
          <cell r="K601">
            <v>45618</v>
          </cell>
        </row>
        <row r="602">
          <cell r="A602" t="str">
            <v>50714276340</v>
          </cell>
          <cell r="B602" t="str">
            <v>ZMTD</v>
          </cell>
          <cell r="C602">
            <v>45552</v>
          </cell>
          <cell r="D602" t="str">
            <v>Not delivered</v>
          </cell>
          <cell r="E602">
            <v>507142763</v>
          </cell>
          <cell r="F602">
            <v>40</v>
          </cell>
          <cell r="G602">
            <v>1182817</v>
          </cell>
          <cell r="H602" t="str">
            <v>FP-014:JAR P/BLACK ALMAY</v>
          </cell>
          <cell r="I602">
            <v>25056</v>
          </cell>
          <cell r="J602" t="str">
            <v>UN</v>
          </cell>
          <cell r="K602">
            <v>45618</v>
          </cell>
        </row>
        <row r="603">
          <cell r="A603" t="str">
            <v>50714276410</v>
          </cell>
          <cell r="B603" t="str">
            <v>ZMTD</v>
          </cell>
          <cell r="C603">
            <v>45552</v>
          </cell>
          <cell r="D603" t="str">
            <v>Not delivered</v>
          </cell>
          <cell r="E603">
            <v>507142764</v>
          </cell>
          <cell r="F603">
            <v>10</v>
          </cell>
          <cell r="G603">
            <v>1211756</v>
          </cell>
          <cell r="H603" t="str">
            <v>CM-246:COVER VM SHNY SLV ALMOST PWD</v>
          </cell>
          <cell r="I603">
            <v>120120</v>
          </cell>
          <cell r="J603" t="str">
            <v>UN</v>
          </cell>
          <cell r="K603">
            <v>45618</v>
          </cell>
        </row>
        <row r="604">
          <cell r="A604" t="str">
            <v>507142765100</v>
          </cell>
          <cell r="B604" t="str">
            <v>ZMTD</v>
          </cell>
          <cell r="C604">
            <v>45552</v>
          </cell>
          <cell r="D604" t="str">
            <v>Not delivered</v>
          </cell>
          <cell r="E604">
            <v>507142765</v>
          </cell>
          <cell r="F604">
            <v>100</v>
          </cell>
          <cell r="G604">
            <v>1398383</v>
          </cell>
          <cell r="H604" t="str">
            <v>CM-319:WHITE P/BLACK UV MATTE NARS</v>
          </cell>
          <cell r="I604">
            <v>40080</v>
          </cell>
          <cell r="J604" t="str">
            <v>UN</v>
          </cell>
          <cell r="K604">
            <v>45618</v>
          </cell>
        </row>
        <row r="605">
          <cell r="A605" t="str">
            <v>50714276660</v>
          </cell>
          <cell r="B605" t="str">
            <v>ZMTD</v>
          </cell>
          <cell r="C605">
            <v>45552</v>
          </cell>
          <cell r="D605" t="str">
            <v>Not delivered</v>
          </cell>
          <cell r="E605">
            <v>507142766</v>
          </cell>
          <cell r="F605">
            <v>60</v>
          </cell>
          <cell r="G605">
            <v>1398763</v>
          </cell>
          <cell r="H605" t="str">
            <v>CM-320:WHITE S/BLACK UV MATTE NARS</v>
          </cell>
          <cell r="I605">
            <v>8100</v>
          </cell>
          <cell r="J605" t="str">
            <v>UN</v>
          </cell>
          <cell r="K605">
            <v>45618</v>
          </cell>
        </row>
        <row r="606">
          <cell r="A606" t="str">
            <v>50714275510</v>
          </cell>
          <cell r="B606" t="str">
            <v>ZMTD</v>
          </cell>
          <cell r="C606">
            <v>45547</v>
          </cell>
          <cell r="D606" t="str">
            <v>Not delivered</v>
          </cell>
          <cell r="E606">
            <v>507142755</v>
          </cell>
          <cell r="F606">
            <v>10</v>
          </cell>
          <cell r="G606">
            <v>1216572</v>
          </cell>
          <cell r="H606" t="str">
            <v>CM-216:TRUE MATCH CV PF S/SLV LOR (SEA)</v>
          </cell>
          <cell r="I606">
            <v>207600</v>
          </cell>
          <cell r="J606" t="str">
            <v>UN</v>
          </cell>
          <cell r="K606">
            <v>45618</v>
          </cell>
        </row>
        <row r="607">
          <cell r="A607" t="str">
            <v>50800527210</v>
          </cell>
          <cell r="B607" t="str">
            <v>ZMFD</v>
          </cell>
          <cell r="C607">
            <v>45538</v>
          </cell>
          <cell r="D607" t="str">
            <v>Not delivered</v>
          </cell>
          <cell r="E607">
            <v>508005272</v>
          </cell>
          <cell r="F607">
            <v>10</v>
          </cell>
          <cell r="G607">
            <v>1411899</v>
          </cell>
          <cell r="H607" t="str">
            <v>PT-100:BS/INS GREEN P/WHT KAHF PTI 60B</v>
          </cell>
          <cell r="I607">
            <v>63000</v>
          </cell>
          <cell r="J607" t="str">
            <v>UN</v>
          </cell>
          <cell r="K607">
            <v>45618</v>
          </cell>
        </row>
        <row r="608">
          <cell r="A608" t="str">
            <v>50800527220</v>
          </cell>
          <cell r="B608" t="str">
            <v>ZMFD</v>
          </cell>
          <cell r="C608">
            <v>45538</v>
          </cell>
          <cell r="D608" t="str">
            <v>Not delivered</v>
          </cell>
          <cell r="E608">
            <v>508005272</v>
          </cell>
          <cell r="F608">
            <v>20</v>
          </cell>
          <cell r="G608">
            <v>1411898</v>
          </cell>
          <cell r="H608" t="str">
            <v>PT-100:CVR MT.GREEN EMBOS KAHF PTI 40D</v>
          </cell>
          <cell r="I608">
            <v>63000</v>
          </cell>
          <cell r="J608" t="str">
            <v>UN</v>
          </cell>
          <cell r="K608">
            <v>45618</v>
          </cell>
        </row>
        <row r="609">
          <cell r="A609" t="str">
            <v>50714285810</v>
          </cell>
          <cell r="B609" t="str">
            <v>ZMTD</v>
          </cell>
          <cell r="C609">
            <v>45569</v>
          </cell>
          <cell r="D609" t="str">
            <v>Not delivered</v>
          </cell>
          <cell r="E609">
            <v>507142858</v>
          </cell>
          <cell r="F609">
            <v>10</v>
          </cell>
          <cell r="G609">
            <v>1172316</v>
          </cell>
          <cell r="H609" t="str">
            <v>CM-273:BS/CV WHITE NO DC W/LBL  MLT ELOK</v>
          </cell>
          <cell r="I609">
            <v>30000</v>
          </cell>
          <cell r="J609" t="str">
            <v>UN</v>
          </cell>
          <cell r="K609">
            <v>45621</v>
          </cell>
        </row>
        <row r="610">
          <cell r="A610" t="str">
            <v>50800530210</v>
          </cell>
          <cell r="B610" t="str">
            <v>ZMFD</v>
          </cell>
          <cell r="C610">
            <v>45568</v>
          </cell>
          <cell r="D610" t="str">
            <v>Not delivered</v>
          </cell>
          <cell r="E610">
            <v>508005302</v>
          </cell>
          <cell r="F610">
            <v>10</v>
          </cell>
          <cell r="G610">
            <v>1408740</v>
          </cell>
          <cell r="H610" t="str">
            <v>PT-097B:BDSR.2 BLU HOUS WHT TRNS PTI12A</v>
          </cell>
          <cell r="I610">
            <v>160000</v>
          </cell>
          <cell r="J610" t="str">
            <v>UN</v>
          </cell>
          <cell r="K610">
            <v>45621</v>
          </cell>
        </row>
        <row r="611">
          <cell r="A611" t="str">
            <v>50800530220</v>
          </cell>
          <cell r="B611" t="str">
            <v>ZMFD</v>
          </cell>
          <cell r="C611">
            <v>45568</v>
          </cell>
          <cell r="D611" t="str">
            <v>Not delivered</v>
          </cell>
          <cell r="E611">
            <v>508005302</v>
          </cell>
          <cell r="F611">
            <v>20</v>
          </cell>
          <cell r="G611">
            <v>1408739</v>
          </cell>
          <cell r="H611" t="str">
            <v>PT-097B:CAP SR.2 BLUE TRANS PTI 12A</v>
          </cell>
          <cell r="I611">
            <v>160000</v>
          </cell>
          <cell r="J611" t="str">
            <v>UN</v>
          </cell>
          <cell r="K611">
            <v>45621</v>
          </cell>
        </row>
        <row r="612">
          <cell r="A612" t="str">
            <v>50714285030</v>
          </cell>
          <cell r="B612" t="str">
            <v>ZMTD</v>
          </cell>
          <cell r="C612">
            <v>45567</v>
          </cell>
          <cell r="D612" t="str">
            <v>Not delivered</v>
          </cell>
          <cell r="E612">
            <v>507142850</v>
          </cell>
          <cell r="F612">
            <v>30</v>
          </cell>
          <cell r="G612">
            <v>1371896</v>
          </cell>
          <cell r="H612" t="str">
            <v>RX-056:CM-316 CVR BLUE P/WHT SP/MTCLR</v>
          </cell>
          <cell r="I612">
            <v>79968</v>
          </cell>
          <cell r="J612" t="str">
            <v>UN</v>
          </cell>
          <cell r="K612">
            <v>45621</v>
          </cell>
        </row>
        <row r="613">
          <cell r="A613" t="str">
            <v>50714275320</v>
          </cell>
          <cell r="B613" t="str">
            <v>ZMTD</v>
          </cell>
          <cell r="C613">
            <v>45546</v>
          </cell>
          <cell r="D613" t="str">
            <v>Not delivered</v>
          </cell>
          <cell r="E613">
            <v>507142753</v>
          </cell>
          <cell r="F613">
            <v>20</v>
          </cell>
          <cell r="G613">
            <v>1442652</v>
          </cell>
          <cell r="H613" t="str">
            <v>CM-253:BS BEIGE CV VMGLD P/INEZ RV1 20Y</v>
          </cell>
          <cell r="I613">
            <v>25000</v>
          </cell>
          <cell r="J613" t="str">
            <v>UN</v>
          </cell>
          <cell r="K613">
            <v>45621</v>
          </cell>
        </row>
        <row r="614">
          <cell r="A614" t="str">
            <v>50800527710</v>
          </cell>
          <cell r="B614" t="str">
            <v>ZMFD</v>
          </cell>
          <cell r="C614">
            <v>45541</v>
          </cell>
          <cell r="D614" t="str">
            <v>Not delivered</v>
          </cell>
          <cell r="E614">
            <v>508005277</v>
          </cell>
          <cell r="F614">
            <v>10</v>
          </cell>
          <cell r="G614">
            <v>1285453</v>
          </cell>
          <cell r="H614" t="str">
            <v>CM-216:TRUE MATCH PP CV PF S/SLV LOR US</v>
          </cell>
          <cell r="I614">
            <v>250000</v>
          </cell>
          <cell r="J614" t="str">
            <v>UN</v>
          </cell>
          <cell r="K614">
            <v>45621</v>
          </cell>
        </row>
        <row r="615">
          <cell r="A615" t="str">
            <v>50714276420</v>
          </cell>
          <cell r="B615" t="str">
            <v>ZMTD</v>
          </cell>
          <cell r="C615">
            <v>45552</v>
          </cell>
          <cell r="D615" t="str">
            <v>Not delivered</v>
          </cell>
          <cell r="E615">
            <v>507142764</v>
          </cell>
          <cell r="F615">
            <v>20</v>
          </cell>
          <cell r="G615">
            <v>1211756</v>
          </cell>
          <cell r="H615" t="str">
            <v>CM-246:COVER VM SHNY SLV ALMOST PWD</v>
          </cell>
          <cell r="I615">
            <v>120120</v>
          </cell>
          <cell r="J615" t="str">
            <v>UN</v>
          </cell>
          <cell r="K615">
            <v>45622</v>
          </cell>
        </row>
        <row r="616">
          <cell r="A616" t="str">
            <v>50800527810</v>
          </cell>
          <cell r="B616" t="str">
            <v>ZMFD</v>
          </cell>
          <cell r="C616">
            <v>45544</v>
          </cell>
          <cell r="D616" t="str">
            <v>Not delivered</v>
          </cell>
          <cell r="E616">
            <v>508005278</v>
          </cell>
          <cell r="F616">
            <v>10</v>
          </cell>
          <cell r="G616">
            <v>1437039</v>
          </cell>
          <cell r="H616" t="str">
            <v>CM-290:1PC BS CV MT.BLK S/ EMBOS OMG 40C</v>
          </cell>
          <cell r="I616">
            <v>35000</v>
          </cell>
          <cell r="J616" t="str">
            <v>UN</v>
          </cell>
          <cell r="K616">
            <v>45623</v>
          </cell>
        </row>
        <row r="617">
          <cell r="A617" t="str">
            <v>50800527820</v>
          </cell>
          <cell r="B617" t="str">
            <v>ZMFD</v>
          </cell>
          <cell r="C617">
            <v>45544</v>
          </cell>
          <cell r="D617" t="str">
            <v>Not delivered</v>
          </cell>
          <cell r="E617">
            <v>508005278</v>
          </cell>
          <cell r="F617">
            <v>20</v>
          </cell>
          <cell r="G617">
            <v>1437140</v>
          </cell>
          <cell r="H617" t="str">
            <v>CM-290:ENGINE CV RED, BS BLK OMG PTI 12A</v>
          </cell>
          <cell r="I617">
            <v>35000</v>
          </cell>
          <cell r="J617" t="str">
            <v>UN</v>
          </cell>
          <cell r="K617">
            <v>45623</v>
          </cell>
        </row>
        <row r="618">
          <cell r="A618" t="str">
            <v>50800527830</v>
          </cell>
          <cell r="B618" t="str">
            <v>ZMFD</v>
          </cell>
          <cell r="C618">
            <v>45544</v>
          </cell>
          <cell r="D618" t="str">
            <v>Not delivered</v>
          </cell>
          <cell r="E618">
            <v>508005278</v>
          </cell>
          <cell r="F618">
            <v>30</v>
          </cell>
          <cell r="G618">
            <v>1437141</v>
          </cell>
          <cell r="H618" t="str">
            <v>CM-290:RING BLACK OMG PTI 12A</v>
          </cell>
          <cell r="I618">
            <v>35000</v>
          </cell>
          <cell r="J618" t="str">
            <v>UN</v>
          </cell>
          <cell r="K618">
            <v>45623</v>
          </cell>
        </row>
        <row r="619">
          <cell r="A619" t="str">
            <v>50714262810</v>
          </cell>
          <cell r="B619" t="str">
            <v>ZMTD</v>
          </cell>
          <cell r="C619">
            <v>45516</v>
          </cell>
          <cell r="D619" t="str">
            <v>Not delivered</v>
          </cell>
          <cell r="E619">
            <v>507142628</v>
          </cell>
          <cell r="F619">
            <v>10</v>
          </cell>
          <cell r="G619">
            <v>1263107</v>
          </cell>
          <cell r="H619" t="str">
            <v>CM-117:CVR BLK S/SLV BS BLK KSIPT 30K</v>
          </cell>
          <cell r="I619">
            <v>10000</v>
          </cell>
          <cell r="J619" t="str">
            <v>UN</v>
          </cell>
          <cell r="K619">
            <v>45623</v>
          </cell>
        </row>
        <row r="620">
          <cell r="A620" t="str">
            <v>50800523310</v>
          </cell>
          <cell r="B620" t="str">
            <v>ZMFD</v>
          </cell>
          <cell r="C620">
            <v>45504</v>
          </cell>
          <cell r="D620" t="str">
            <v>Not delivered</v>
          </cell>
          <cell r="E620">
            <v>508005233</v>
          </cell>
          <cell r="F620">
            <v>10</v>
          </cell>
          <cell r="G620">
            <v>1169152</v>
          </cell>
          <cell r="H620" t="str">
            <v>CM-295:SQUARE COMPACT&amp;GODET PHHT010032</v>
          </cell>
          <cell r="I620">
            <v>20040</v>
          </cell>
          <cell r="J620" t="str">
            <v>UN</v>
          </cell>
          <cell r="K620">
            <v>45623</v>
          </cell>
        </row>
        <row r="621">
          <cell r="A621" t="str">
            <v>50714243710</v>
          </cell>
          <cell r="B621" t="str">
            <v>ZMTD</v>
          </cell>
          <cell r="C621">
            <v>45475</v>
          </cell>
          <cell r="D621" t="str">
            <v>Not delivered</v>
          </cell>
          <cell r="E621">
            <v>507142437</v>
          </cell>
          <cell r="F621">
            <v>10</v>
          </cell>
          <cell r="G621">
            <v>1159364</v>
          </cell>
          <cell r="H621" t="str">
            <v>CP-071:PL8364 INSERT TNR 125-200ML REX</v>
          </cell>
          <cell r="I621">
            <v>111000</v>
          </cell>
          <cell r="J621" t="str">
            <v>UN</v>
          </cell>
          <cell r="K621">
            <v>45623</v>
          </cell>
        </row>
        <row r="622">
          <cell r="A622" t="str">
            <v>50714286710</v>
          </cell>
          <cell r="B622" t="str">
            <v>ZMTD</v>
          </cell>
          <cell r="C622">
            <v>45574</v>
          </cell>
          <cell r="D622" t="str">
            <v>Not delivered</v>
          </cell>
          <cell r="E622">
            <v>507142867</v>
          </cell>
          <cell r="F622">
            <v>10</v>
          </cell>
          <cell r="G622">
            <v>1195173</v>
          </cell>
          <cell r="H622" t="str">
            <v>PT-085:BS CVR WHT MT NDC 12.5 ZAP 40D</v>
          </cell>
          <cell r="I622">
            <v>25000</v>
          </cell>
          <cell r="J622" t="str">
            <v>UN</v>
          </cell>
          <cell r="K622">
            <v>45624</v>
          </cell>
        </row>
        <row r="623">
          <cell r="A623" t="str">
            <v>50714272910</v>
          </cell>
          <cell r="B623" t="str">
            <v>ZMTD</v>
          </cell>
          <cell r="C623">
            <v>45541</v>
          </cell>
          <cell r="D623" t="str">
            <v>Not delivered</v>
          </cell>
          <cell r="E623">
            <v>507142729</v>
          </cell>
          <cell r="F623">
            <v>10</v>
          </cell>
          <cell r="G623">
            <v>1193139</v>
          </cell>
          <cell r="H623" t="str">
            <v>FP-026:APPLICT VM SILVER FACES</v>
          </cell>
          <cell r="I623">
            <v>15000</v>
          </cell>
          <cell r="J623" t="str">
            <v>UN</v>
          </cell>
          <cell r="K623">
            <v>45624</v>
          </cell>
        </row>
        <row r="624">
          <cell r="A624" t="str">
            <v>50714272920</v>
          </cell>
          <cell r="B624" t="str">
            <v>ZMTD</v>
          </cell>
          <cell r="C624">
            <v>45541</v>
          </cell>
          <cell r="D624" t="str">
            <v>Not delivered</v>
          </cell>
          <cell r="E624">
            <v>507142729</v>
          </cell>
          <cell r="F624">
            <v>20</v>
          </cell>
          <cell r="G624">
            <v>1193250</v>
          </cell>
          <cell r="H624" t="str">
            <v>FP-026:BASE BLACK P/SLVR 2018 RGIND 60B</v>
          </cell>
          <cell r="I624">
            <v>15000</v>
          </cell>
          <cell r="J624" t="str">
            <v>UN</v>
          </cell>
          <cell r="K624">
            <v>45624</v>
          </cell>
        </row>
        <row r="625">
          <cell r="A625" t="str">
            <v>50714262710</v>
          </cell>
          <cell r="B625" t="str">
            <v>ZMTD</v>
          </cell>
          <cell r="C625">
            <v>45516</v>
          </cell>
          <cell r="D625" t="str">
            <v>Not delivered</v>
          </cell>
          <cell r="E625">
            <v>507142627</v>
          </cell>
          <cell r="F625">
            <v>10</v>
          </cell>
          <cell r="G625">
            <v>1238216</v>
          </cell>
          <cell r="H625" t="str">
            <v>FP-041:CVR NAT VM SLV P/LG INEZ KSI 20Y</v>
          </cell>
          <cell r="I625">
            <v>20000</v>
          </cell>
          <cell r="J625" t="str">
            <v>UN</v>
          </cell>
          <cell r="K625">
            <v>45624</v>
          </cell>
        </row>
        <row r="626">
          <cell r="A626" t="str">
            <v>50714262720</v>
          </cell>
          <cell r="B626" t="str">
            <v>ZMTD</v>
          </cell>
          <cell r="C626">
            <v>45516</v>
          </cell>
          <cell r="D626" t="str">
            <v>Not delivered</v>
          </cell>
          <cell r="E626">
            <v>507142627</v>
          </cell>
          <cell r="F626">
            <v>20</v>
          </cell>
          <cell r="G626">
            <v>1238217</v>
          </cell>
          <cell r="H626" t="str">
            <v>FP-041:BS CLR NO DECO KSI 12A</v>
          </cell>
          <cell r="I626">
            <v>20000</v>
          </cell>
          <cell r="J626" t="str">
            <v>UN</v>
          </cell>
          <cell r="K626">
            <v>45624</v>
          </cell>
        </row>
        <row r="627">
          <cell r="A627" t="str">
            <v>50714262730</v>
          </cell>
          <cell r="B627" t="str">
            <v>ZMTD</v>
          </cell>
          <cell r="C627">
            <v>45516</v>
          </cell>
          <cell r="D627" t="str">
            <v>Not delivered</v>
          </cell>
          <cell r="E627">
            <v>507142627</v>
          </cell>
          <cell r="F627">
            <v>30</v>
          </cell>
          <cell r="G627">
            <v>1238218</v>
          </cell>
          <cell r="H627" t="str">
            <v>FP-041:SFTR NAT W/LBL CLEAR KSI 12A</v>
          </cell>
          <cell r="I627">
            <v>20000</v>
          </cell>
          <cell r="J627" t="str">
            <v>UN</v>
          </cell>
          <cell r="K627">
            <v>45624</v>
          </cell>
        </row>
        <row r="628">
          <cell r="A628" t="str">
            <v>50800518150</v>
          </cell>
          <cell r="B628" t="str">
            <v>ZMFD</v>
          </cell>
          <cell r="C628">
            <v>45485</v>
          </cell>
          <cell r="D628" t="str">
            <v>Not delivered</v>
          </cell>
          <cell r="E628">
            <v>508005181</v>
          </cell>
          <cell r="F628">
            <v>50</v>
          </cell>
          <cell r="G628">
            <v>1413967</v>
          </cell>
          <cell r="H628" t="str">
            <v>CM-323:VM SILVER DIOR JUMBO M080</v>
          </cell>
          <cell r="I628">
            <v>18000</v>
          </cell>
          <cell r="J628" t="str">
            <v>UN</v>
          </cell>
          <cell r="K628">
            <v>45624</v>
          </cell>
        </row>
        <row r="629">
          <cell r="A629" t="str">
            <v>50714236710</v>
          </cell>
          <cell r="B629" t="str">
            <v>ZMTD</v>
          </cell>
          <cell r="C629">
            <v>45463</v>
          </cell>
          <cell r="D629" t="str">
            <v>Not delivered</v>
          </cell>
          <cell r="E629">
            <v>507142367</v>
          </cell>
          <cell r="F629">
            <v>10</v>
          </cell>
          <cell r="G629">
            <v>1175305</v>
          </cell>
          <cell r="H629" t="str">
            <v>CM-088:BROWN PRL S/GLD REVLON NEW RUDY</v>
          </cell>
          <cell r="I629">
            <v>10000</v>
          </cell>
          <cell r="J629" t="str">
            <v>UN</v>
          </cell>
          <cell r="K629">
            <v>45624</v>
          </cell>
        </row>
        <row r="630">
          <cell r="A630" t="str">
            <v>50800509710</v>
          </cell>
          <cell r="B630" t="str">
            <v>ZMFD</v>
          </cell>
          <cell r="C630">
            <v>45449</v>
          </cell>
          <cell r="D630" t="str">
            <v>Not delivered</v>
          </cell>
          <cell r="E630">
            <v>508005097</v>
          </cell>
          <cell r="F630">
            <v>10</v>
          </cell>
          <cell r="G630">
            <v>1390353</v>
          </cell>
          <cell r="H630" t="str">
            <v>CM-294:GODET UNTAMED PLUM G0S4-05-0092</v>
          </cell>
          <cell r="I630">
            <v>10472</v>
          </cell>
          <cell r="J630" t="str">
            <v>UN</v>
          </cell>
          <cell r="K630">
            <v>45624</v>
          </cell>
        </row>
        <row r="631">
          <cell r="A631" t="str">
            <v>50800509810</v>
          </cell>
          <cell r="B631" t="str">
            <v>ZMFD</v>
          </cell>
          <cell r="C631">
            <v>45449</v>
          </cell>
          <cell r="D631" t="str">
            <v>Not delivered</v>
          </cell>
          <cell r="E631">
            <v>508005098</v>
          </cell>
          <cell r="F631">
            <v>10</v>
          </cell>
          <cell r="G631">
            <v>1390352</v>
          </cell>
          <cell r="H631" t="str">
            <v>CM-294:GODET SENSOUSE ROSE G0S4-06-0092</v>
          </cell>
          <cell r="I631">
            <v>10472</v>
          </cell>
          <cell r="J631" t="str">
            <v>UN</v>
          </cell>
          <cell r="K631">
            <v>45624</v>
          </cell>
        </row>
        <row r="632">
          <cell r="A632" t="str">
            <v>50800509910</v>
          </cell>
          <cell r="B632" t="str">
            <v>ZMFD</v>
          </cell>
          <cell r="C632">
            <v>45449</v>
          </cell>
          <cell r="D632" t="str">
            <v>Not delivered</v>
          </cell>
          <cell r="E632">
            <v>508005099</v>
          </cell>
          <cell r="F632">
            <v>10</v>
          </cell>
          <cell r="G632">
            <v>1389065</v>
          </cell>
          <cell r="H632" t="str">
            <v>CM-294:GODET HYPNT COOPER G0S4-07-0092</v>
          </cell>
          <cell r="I632">
            <v>10472</v>
          </cell>
          <cell r="J632" t="str">
            <v>UN</v>
          </cell>
          <cell r="K632">
            <v>45624</v>
          </cell>
        </row>
        <row r="633">
          <cell r="A633" t="str">
            <v>50800510210</v>
          </cell>
          <cell r="B633" t="str">
            <v>ZMFD</v>
          </cell>
          <cell r="C633">
            <v>45449</v>
          </cell>
          <cell r="D633" t="str">
            <v>Not delivered</v>
          </cell>
          <cell r="E633">
            <v>508005102</v>
          </cell>
          <cell r="F633">
            <v>10</v>
          </cell>
          <cell r="G633">
            <v>1389679</v>
          </cell>
          <cell r="H633" t="str">
            <v>CM-294 GODET PEACH PASSION G0S6-01-0092</v>
          </cell>
          <cell r="I633">
            <v>10472</v>
          </cell>
          <cell r="J633" t="str">
            <v>UN</v>
          </cell>
          <cell r="K633">
            <v>45624</v>
          </cell>
        </row>
        <row r="634">
          <cell r="A634" t="str">
            <v>50800500140</v>
          </cell>
          <cell r="B634" t="str">
            <v>ZMFD</v>
          </cell>
          <cell r="C634">
            <v>45412</v>
          </cell>
          <cell r="D634" t="str">
            <v>Not delivered</v>
          </cell>
          <cell r="E634">
            <v>508005001</v>
          </cell>
          <cell r="F634">
            <v>40</v>
          </cell>
          <cell r="G634">
            <v>1212608</v>
          </cell>
          <cell r="H634" t="str">
            <v>FP-014:CVR BLUE S/LOGO INEZ GOLD KSI 50C</v>
          </cell>
          <cell r="I634">
            <v>25000</v>
          </cell>
          <cell r="J634" t="str">
            <v>UN</v>
          </cell>
          <cell r="K634">
            <v>45624</v>
          </cell>
        </row>
        <row r="635">
          <cell r="A635" t="str">
            <v>50800500150</v>
          </cell>
          <cell r="B635" t="str">
            <v>ZMFD</v>
          </cell>
          <cell r="C635">
            <v>45412</v>
          </cell>
          <cell r="D635" t="str">
            <v>Not delivered</v>
          </cell>
          <cell r="E635">
            <v>508005001</v>
          </cell>
          <cell r="F635">
            <v>50</v>
          </cell>
          <cell r="G635">
            <v>1212609</v>
          </cell>
          <cell r="H635" t="str">
            <v>FP-014:SFTR NAT STICKER TRANS KSI 12A</v>
          </cell>
          <cell r="I635">
            <v>25000</v>
          </cell>
          <cell r="J635" t="str">
            <v>UN</v>
          </cell>
          <cell r="K635">
            <v>45624</v>
          </cell>
        </row>
        <row r="636">
          <cell r="A636" t="str">
            <v>50800500160</v>
          </cell>
          <cell r="B636" t="str">
            <v>ZMFD</v>
          </cell>
          <cell r="C636">
            <v>45412</v>
          </cell>
          <cell r="D636" t="str">
            <v>Not delivered</v>
          </cell>
          <cell r="E636">
            <v>508005001</v>
          </cell>
          <cell r="F636">
            <v>60</v>
          </cell>
          <cell r="G636">
            <v>1212640</v>
          </cell>
          <cell r="H636" t="str">
            <v>FP-014:BS CLR SPRYGRDS S/INEZ GLD 40C</v>
          </cell>
          <cell r="I636">
            <v>25000</v>
          </cell>
          <cell r="J636" t="str">
            <v>UN</v>
          </cell>
          <cell r="K636">
            <v>45624</v>
          </cell>
        </row>
        <row r="637">
          <cell r="A637" t="str">
            <v>50800530010</v>
          </cell>
          <cell r="B637" t="str">
            <v>ZMFD</v>
          </cell>
          <cell r="C637">
            <v>45567</v>
          </cell>
          <cell r="D637" t="str">
            <v>Not delivered</v>
          </cell>
          <cell r="E637">
            <v>508005300</v>
          </cell>
          <cell r="F637">
            <v>10</v>
          </cell>
          <cell r="G637">
            <v>1376248</v>
          </cell>
          <cell r="H637" t="str">
            <v>FP-008:CVR L.PINK P/BLK MANDOM RV1 12A</v>
          </cell>
          <cell r="I637">
            <v>30000</v>
          </cell>
          <cell r="J637" t="str">
            <v>UN</v>
          </cell>
          <cell r="K637">
            <v>45625</v>
          </cell>
        </row>
        <row r="638">
          <cell r="A638" t="str">
            <v>50800530020</v>
          </cell>
          <cell r="B638" t="str">
            <v>ZMFD</v>
          </cell>
          <cell r="C638">
            <v>45567</v>
          </cell>
          <cell r="D638" t="str">
            <v>Not delivered</v>
          </cell>
          <cell r="E638">
            <v>508005300</v>
          </cell>
          <cell r="F638">
            <v>20</v>
          </cell>
          <cell r="G638">
            <v>1171179</v>
          </cell>
          <cell r="H638" t="str">
            <v>FP-008:BS INJ BLK NO DC MANDOM</v>
          </cell>
          <cell r="I638">
            <v>30000</v>
          </cell>
          <cell r="J638" t="str">
            <v>UN</v>
          </cell>
          <cell r="K638">
            <v>45625</v>
          </cell>
        </row>
        <row r="639">
          <cell r="A639" t="str">
            <v>50800530030</v>
          </cell>
          <cell r="B639" t="str">
            <v>ZMFD</v>
          </cell>
          <cell r="C639">
            <v>45567</v>
          </cell>
          <cell r="D639" t="str">
            <v>Not delivered</v>
          </cell>
          <cell r="E639">
            <v>508005300</v>
          </cell>
          <cell r="F639">
            <v>30</v>
          </cell>
          <cell r="G639">
            <v>1172027</v>
          </cell>
          <cell r="H639" t="str">
            <v>FP-008:SFT NAT L.HINGE W/LBL NO DC MDM</v>
          </cell>
          <cell r="I639">
            <v>30000</v>
          </cell>
          <cell r="J639" t="str">
            <v>UN</v>
          </cell>
          <cell r="K639">
            <v>45625</v>
          </cell>
        </row>
        <row r="640">
          <cell r="A640" t="str">
            <v>50714280410</v>
          </cell>
          <cell r="B640" t="str">
            <v>ZMTD</v>
          </cell>
          <cell r="C640">
            <v>45559</v>
          </cell>
          <cell r="D640" t="str">
            <v>Not delivered</v>
          </cell>
          <cell r="E640">
            <v>507142804</v>
          </cell>
          <cell r="F640">
            <v>10</v>
          </cell>
          <cell r="G640">
            <v>1419488</v>
          </cell>
          <cell r="H640" t="str">
            <v>CP-063R:SPOUT CAP WHITE LOREAL 12A</v>
          </cell>
          <cell r="I640">
            <v>1890000</v>
          </cell>
          <cell r="J640" t="str">
            <v>UN</v>
          </cell>
          <cell r="K640">
            <v>45625</v>
          </cell>
        </row>
        <row r="641">
          <cell r="A641" t="str">
            <v>50714281010</v>
          </cell>
          <cell r="B641" t="str">
            <v>ZMTD</v>
          </cell>
          <cell r="C641">
            <v>45559</v>
          </cell>
          <cell r="D641" t="str">
            <v>Not delivered</v>
          </cell>
          <cell r="E641">
            <v>507142810</v>
          </cell>
          <cell r="F641">
            <v>10</v>
          </cell>
          <cell r="G641">
            <v>1159912</v>
          </cell>
          <cell r="H641" t="str">
            <v>CP-064:CAP 25 SCREW BLK MT L'OREAL</v>
          </cell>
          <cell r="I641">
            <v>150000</v>
          </cell>
          <cell r="J641" t="str">
            <v>UN</v>
          </cell>
          <cell r="K641">
            <v>45625</v>
          </cell>
        </row>
        <row r="642">
          <cell r="A642" t="str">
            <v>50714281110</v>
          </cell>
          <cell r="B642" t="str">
            <v>ZMTD</v>
          </cell>
          <cell r="C642">
            <v>45559</v>
          </cell>
          <cell r="D642" t="str">
            <v>Not delivered</v>
          </cell>
          <cell r="E642">
            <v>507142811</v>
          </cell>
          <cell r="F642">
            <v>10</v>
          </cell>
          <cell r="G642">
            <v>1159912</v>
          </cell>
          <cell r="H642" t="str">
            <v>CP-064:CAP 25 SCREW BLK MT L'OREAL</v>
          </cell>
          <cell r="I642">
            <v>150000</v>
          </cell>
          <cell r="J642" t="str">
            <v>UN</v>
          </cell>
          <cell r="K642">
            <v>45625</v>
          </cell>
        </row>
        <row r="643">
          <cell r="A643" t="str">
            <v>507142765110</v>
          </cell>
          <cell r="B643" t="str">
            <v>ZMTD</v>
          </cell>
          <cell r="C643">
            <v>45552</v>
          </cell>
          <cell r="D643" t="str">
            <v>Not delivered</v>
          </cell>
          <cell r="E643">
            <v>507142765</v>
          </cell>
          <cell r="F643">
            <v>110</v>
          </cell>
          <cell r="G643">
            <v>1398383</v>
          </cell>
          <cell r="H643" t="str">
            <v>CM-319:WHITE P/BLACK UV MATTE NARS</v>
          </cell>
          <cell r="I643">
            <v>40080</v>
          </cell>
          <cell r="J643" t="str">
            <v>UN</v>
          </cell>
          <cell r="K643">
            <v>45625</v>
          </cell>
        </row>
        <row r="644">
          <cell r="A644" t="str">
            <v>50800526210</v>
          </cell>
          <cell r="B644" t="str">
            <v>ZMFD</v>
          </cell>
          <cell r="C644">
            <v>45524</v>
          </cell>
          <cell r="D644" t="str">
            <v>Not delivered</v>
          </cell>
          <cell r="E644">
            <v>508005262</v>
          </cell>
          <cell r="F644">
            <v>10</v>
          </cell>
          <cell r="G644">
            <v>1163327</v>
          </cell>
          <cell r="H644" t="str">
            <v>CM-246:CVR S.SLV PAN WHITE 6MPY 01 0034</v>
          </cell>
          <cell r="I644">
            <v>25056</v>
          </cell>
          <cell r="J644" t="str">
            <v>UN</v>
          </cell>
          <cell r="K644">
            <v>45625</v>
          </cell>
        </row>
        <row r="645">
          <cell r="A645" t="str">
            <v>50800523220</v>
          </cell>
          <cell r="B645" t="str">
            <v>ZMFD</v>
          </cell>
          <cell r="C645">
            <v>45503</v>
          </cell>
          <cell r="D645" t="str">
            <v>Not delivered</v>
          </cell>
          <cell r="E645">
            <v>508005232</v>
          </cell>
          <cell r="F645">
            <v>20</v>
          </cell>
          <cell r="G645">
            <v>1305089</v>
          </cell>
          <cell r="H645" t="str">
            <v>CM-207:VM SHY SLV P/MATTE ZGH6010038 EL</v>
          </cell>
          <cell r="I645">
            <v>25920</v>
          </cell>
          <cell r="J645" t="str">
            <v>UN</v>
          </cell>
          <cell r="K645">
            <v>45625</v>
          </cell>
        </row>
        <row r="646">
          <cell r="A646" t="str">
            <v>50714280210</v>
          </cell>
          <cell r="B646" t="str">
            <v>ZMTD</v>
          </cell>
          <cell r="C646">
            <v>45559</v>
          </cell>
          <cell r="D646" t="str">
            <v>Not delivered</v>
          </cell>
          <cell r="E646">
            <v>507142802</v>
          </cell>
          <cell r="F646">
            <v>10</v>
          </cell>
          <cell r="G646">
            <v>1419488</v>
          </cell>
          <cell r="H646" t="str">
            <v>CP-063R:SPOUT CAP WHITE LOREAL 12A</v>
          </cell>
          <cell r="I646">
            <v>1890000</v>
          </cell>
          <cell r="J646" t="str">
            <v>UN</v>
          </cell>
          <cell r="K646">
            <v>45627</v>
          </cell>
        </row>
        <row r="647">
          <cell r="A647" t="str">
            <v>50714280310</v>
          </cell>
          <cell r="B647" t="str">
            <v>ZMTD</v>
          </cell>
          <cell r="C647">
            <v>45559</v>
          </cell>
          <cell r="D647" t="str">
            <v>Not delivered</v>
          </cell>
          <cell r="E647">
            <v>507142803</v>
          </cell>
          <cell r="F647">
            <v>10</v>
          </cell>
          <cell r="G647">
            <v>1419488</v>
          </cell>
          <cell r="H647" t="str">
            <v>CP-063R:SPOUT CAP WHITE LOREAL 12A</v>
          </cell>
          <cell r="I647">
            <v>1890000</v>
          </cell>
          <cell r="J647" t="str">
            <v>UN</v>
          </cell>
          <cell r="K647">
            <v>45627</v>
          </cell>
        </row>
        <row r="648">
          <cell r="A648" t="str">
            <v>50714280510</v>
          </cell>
          <cell r="B648" t="str">
            <v>ZMTD</v>
          </cell>
          <cell r="C648">
            <v>45559</v>
          </cell>
          <cell r="D648" t="str">
            <v>Not delivered</v>
          </cell>
          <cell r="E648">
            <v>507142805</v>
          </cell>
          <cell r="F648">
            <v>10</v>
          </cell>
          <cell r="G648">
            <v>1419488</v>
          </cell>
          <cell r="H648" t="str">
            <v>CP-063R:SPOUT CAP WHITE LOREAL 12A</v>
          </cell>
          <cell r="I648">
            <v>1890000</v>
          </cell>
          <cell r="J648" t="str">
            <v>UN</v>
          </cell>
          <cell r="K648">
            <v>45627</v>
          </cell>
        </row>
        <row r="649">
          <cell r="A649" t="str">
            <v>50714280610</v>
          </cell>
          <cell r="B649" t="str">
            <v>ZMTD</v>
          </cell>
          <cell r="C649">
            <v>45559</v>
          </cell>
          <cell r="D649" t="str">
            <v>Not delivered</v>
          </cell>
          <cell r="E649">
            <v>507142806</v>
          </cell>
          <cell r="F649">
            <v>10</v>
          </cell>
          <cell r="G649">
            <v>1419488</v>
          </cell>
          <cell r="H649" t="str">
            <v>CP-063R:SPOUT CAP WHITE LOREAL 12A</v>
          </cell>
          <cell r="I649">
            <v>1890000</v>
          </cell>
          <cell r="J649" t="str">
            <v>UN</v>
          </cell>
          <cell r="K649">
            <v>45628</v>
          </cell>
        </row>
        <row r="650">
          <cell r="A650" t="str">
            <v>50714277750</v>
          </cell>
          <cell r="B650" t="str">
            <v>ZMTD</v>
          </cell>
          <cell r="C650">
            <v>45554</v>
          </cell>
          <cell r="D650" t="str">
            <v>Not delivered</v>
          </cell>
          <cell r="E650">
            <v>507142777</v>
          </cell>
          <cell r="F650">
            <v>50</v>
          </cell>
          <cell r="G650">
            <v>1435311</v>
          </cell>
          <cell r="H650" t="str">
            <v>LC-002:BTL/COL MTGRAD SLV AZURA LION 40D</v>
          </cell>
          <cell r="I650">
            <v>50589</v>
          </cell>
          <cell r="J650" t="str">
            <v>UN</v>
          </cell>
          <cell r="K650">
            <v>45628</v>
          </cell>
        </row>
        <row r="651">
          <cell r="A651" t="str">
            <v>50714277760</v>
          </cell>
          <cell r="B651" t="str">
            <v>ZMTD</v>
          </cell>
          <cell r="C651">
            <v>45554</v>
          </cell>
          <cell r="D651" t="str">
            <v>Not delivered</v>
          </cell>
          <cell r="E651">
            <v>507142777</v>
          </cell>
          <cell r="F651">
            <v>60</v>
          </cell>
          <cell r="G651">
            <v>1435313</v>
          </cell>
          <cell r="H651" t="str">
            <v>LC-002:CAP MT SILVER S/AZURA LION 40C</v>
          </cell>
          <cell r="I651">
            <v>50589</v>
          </cell>
          <cell r="J651" t="str">
            <v>UN</v>
          </cell>
          <cell r="K651">
            <v>45628</v>
          </cell>
        </row>
        <row r="652">
          <cell r="A652" t="str">
            <v>50714276430</v>
          </cell>
          <cell r="B652" t="str">
            <v>ZMTD</v>
          </cell>
          <cell r="C652">
            <v>45552</v>
          </cell>
          <cell r="D652" t="str">
            <v>Not delivered</v>
          </cell>
          <cell r="E652">
            <v>507142764</v>
          </cell>
          <cell r="F652">
            <v>30</v>
          </cell>
          <cell r="G652">
            <v>1211756</v>
          </cell>
          <cell r="H652" t="str">
            <v>CM-246:COVER VM SHNY SLV ALMOST PWD</v>
          </cell>
          <cell r="I652">
            <v>120120</v>
          </cell>
          <cell r="J652" t="str">
            <v>UN</v>
          </cell>
          <cell r="K652">
            <v>45629</v>
          </cell>
        </row>
        <row r="653">
          <cell r="A653" t="str">
            <v>50714267010</v>
          </cell>
          <cell r="B653" t="str">
            <v>ZMTD</v>
          </cell>
          <cell r="C653">
            <v>45526</v>
          </cell>
          <cell r="D653" t="str">
            <v>Not delivered</v>
          </cell>
          <cell r="E653">
            <v>507142670</v>
          </cell>
          <cell r="F653">
            <v>10</v>
          </cell>
          <cell r="G653">
            <v>1391910</v>
          </cell>
          <cell r="H653" t="str">
            <v>CM-133:CV BS WHT PRL S/NAVAGRN RV1 50C</v>
          </cell>
          <cell r="I653">
            <v>10000</v>
          </cell>
          <cell r="J653" t="str">
            <v>UN</v>
          </cell>
          <cell r="K653">
            <v>45629</v>
          </cell>
        </row>
        <row r="654">
          <cell r="A654" t="str">
            <v>50714267020</v>
          </cell>
          <cell r="B654" t="str">
            <v>ZMTD</v>
          </cell>
          <cell r="C654">
            <v>45526</v>
          </cell>
          <cell r="D654" t="str">
            <v>Not delivered</v>
          </cell>
          <cell r="E654">
            <v>507142670</v>
          </cell>
          <cell r="F654">
            <v>20</v>
          </cell>
          <cell r="G654">
            <v>1369453</v>
          </cell>
          <cell r="H654" t="str">
            <v>SPONGE WHT 55X6T NBR TWC D.FARMA(T)</v>
          </cell>
          <cell r="I654">
            <v>10000</v>
          </cell>
          <cell r="J654" t="str">
            <v>UN</v>
          </cell>
          <cell r="K654">
            <v>45629</v>
          </cell>
        </row>
        <row r="655">
          <cell r="A655" t="str">
            <v>50714267030</v>
          </cell>
          <cell r="B655" t="str">
            <v>ZMTD</v>
          </cell>
          <cell r="C655">
            <v>45526</v>
          </cell>
          <cell r="D655" t="str">
            <v>Not delivered</v>
          </cell>
          <cell r="E655">
            <v>507142670</v>
          </cell>
          <cell r="F655">
            <v>30</v>
          </cell>
          <cell r="G655">
            <v>1387222</v>
          </cell>
          <cell r="H655" t="str">
            <v>PUFF:WHT SATIN55X7T P/NAAVAGR NEWLOGO(T)</v>
          </cell>
          <cell r="I655">
            <v>10000</v>
          </cell>
          <cell r="J655" t="str">
            <v>UN</v>
          </cell>
          <cell r="K655">
            <v>45629</v>
          </cell>
        </row>
        <row r="656">
          <cell r="A656" t="str">
            <v>50800525260</v>
          </cell>
          <cell r="B656" t="str">
            <v>ZMFD</v>
          </cell>
          <cell r="C656">
            <v>45512</v>
          </cell>
          <cell r="D656" t="str">
            <v>Not delivered</v>
          </cell>
          <cell r="E656">
            <v>508005252</v>
          </cell>
          <cell r="F656">
            <v>60</v>
          </cell>
          <cell r="G656">
            <v>1382368</v>
          </cell>
          <cell r="H656" t="str">
            <v>CP-067R:FT CAP35 SNAP BLK MATTE  Ø5 LRL</v>
          </cell>
          <cell r="I656">
            <v>300000</v>
          </cell>
          <cell r="J656" t="str">
            <v>UN</v>
          </cell>
          <cell r="K656">
            <v>45629</v>
          </cell>
        </row>
        <row r="657">
          <cell r="A657" t="str">
            <v>50800523920</v>
          </cell>
          <cell r="B657" t="str">
            <v>ZMFD</v>
          </cell>
          <cell r="C657">
            <v>45505</v>
          </cell>
          <cell r="D657" t="str">
            <v>Not delivered</v>
          </cell>
          <cell r="E657">
            <v>508005239</v>
          </cell>
          <cell r="F657">
            <v>20</v>
          </cell>
          <cell r="G657">
            <v>1388326</v>
          </cell>
          <cell r="H657" t="str">
            <v>CM-253:CV BS MTPEACH P/C.BLSH RV1 PTI40H</v>
          </cell>
          <cell r="I657">
            <v>15000</v>
          </cell>
          <cell r="J657" t="str">
            <v>UN</v>
          </cell>
          <cell r="K657">
            <v>45629</v>
          </cell>
        </row>
        <row r="658">
          <cell r="A658" t="str">
            <v>50714257510</v>
          </cell>
          <cell r="B658" t="str">
            <v>ZMTD</v>
          </cell>
          <cell r="C658">
            <v>45499</v>
          </cell>
          <cell r="D658" t="str">
            <v>Not delivered</v>
          </cell>
          <cell r="E658">
            <v>507142575</v>
          </cell>
          <cell r="F658">
            <v>10</v>
          </cell>
          <cell r="G658">
            <v>1431860</v>
          </cell>
          <cell r="H658" t="str">
            <v>PT6029R CAP GARNIER 18ML WHITE PLZ (553)</v>
          </cell>
          <cell r="I658">
            <v>52080</v>
          </cell>
          <cell r="J658" t="str">
            <v>UN</v>
          </cell>
          <cell r="K658">
            <v>45629</v>
          </cell>
        </row>
        <row r="659">
          <cell r="A659" t="str">
            <v>50800519350</v>
          </cell>
          <cell r="B659" t="str">
            <v>ZMFD</v>
          </cell>
          <cell r="C659">
            <v>45492</v>
          </cell>
          <cell r="D659" t="str">
            <v>Not delivered</v>
          </cell>
          <cell r="E659">
            <v>508005193</v>
          </cell>
          <cell r="F659">
            <v>50</v>
          </cell>
          <cell r="G659">
            <v>1342220</v>
          </cell>
          <cell r="H659" t="str">
            <v>LC-010:BTL CLR HTF COLBEIGE CFIT PTI 60C</v>
          </cell>
          <cell r="I659">
            <v>100000</v>
          </cell>
          <cell r="J659" t="str">
            <v>UN</v>
          </cell>
          <cell r="K659">
            <v>45629</v>
          </cell>
        </row>
        <row r="660">
          <cell r="A660" t="str">
            <v>50800519360</v>
          </cell>
          <cell r="B660" t="str">
            <v>ZMFD</v>
          </cell>
          <cell r="C660">
            <v>45492</v>
          </cell>
          <cell r="D660" t="str">
            <v>Not delivered</v>
          </cell>
          <cell r="E660">
            <v>508005193</v>
          </cell>
          <cell r="F660">
            <v>60</v>
          </cell>
          <cell r="G660">
            <v>1342221</v>
          </cell>
          <cell r="H660" t="str">
            <v>LC-010:CAP BEIGE WIP NAT PTI 12A</v>
          </cell>
          <cell r="I660">
            <v>100000</v>
          </cell>
          <cell r="J660" t="str">
            <v>UN</v>
          </cell>
          <cell r="K660">
            <v>45629</v>
          </cell>
        </row>
        <row r="661">
          <cell r="A661" t="str">
            <v>50800507310</v>
          </cell>
          <cell r="B661" t="str">
            <v>ZMFD</v>
          </cell>
          <cell r="C661">
            <v>45433</v>
          </cell>
          <cell r="D661" t="str">
            <v>Not delivered</v>
          </cell>
          <cell r="E661">
            <v>508005073</v>
          </cell>
          <cell r="F661">
            <v>10</v>
          </cell>
          <cell r="G661">
            <v>1169047</v>
          </cell>
          <cell r="H661" t="str">
            <v>LS-285:B V/SL P/1PS SLEV H/SL BLM PTI20R</v>
          </cell>
          <cell r="I661">
            <v>25536</v>
          </cell>
          <cell r="J661" t="str">
            <v>UN</v>
          </cell>
          <cell r="K661">
            <v>45629</v>
          </cell>
        </row>
        <row r="662">
          <cell r="A662" t="str">
            <v>50800507320</v>
          </cell>
          <cell r="B662" t="str">
            <v>ZMFD</v>
          </cell>
          <cell r="C662">
            <v>45433</v>
          </cell>
          <cell r="D662" t="str">
            <v>Not delivered</v>
          </cell>
          <cell r="E662">
            <v>508005073</v>
          </cell>
          <cell r="F662">
            <v>20</v>
          </cell>
          <cell r="G662">
            <v>1171170</v>
          </cell>
          <cell r="H662" t="str">
            <v>LS-285:CV TRANS LONG13 P/1PS VAR4 PTI40H</v>
          </cell>
          <cell r="I662">
            <v>25536</v>
          </cell>
          <cell r="J662" t="str">
            <v>UN</v>
          </cell>
          <cell r="K662">
            <v>45629</v>
          </cell>
        </row>
        <row r="663">
          <cell r="A663" t="str">
            <v>50714286010</v>
          </cell>
          <cell r="B663" t="str">
            <v>ZMTD</v>
          </cell>
          <cell r="C663">
            <v>45572</v>
          </cell>
          <cell r="D663" t="str">
            <v>Not delivered</v>
          </cell>
          <cell r="E663">
            <v>507142860</v>
          </cell>
          <cell r="F663">
            <v>10</v>
          </cell>
          <cell r="G663">
            <v>1376248</v>
          </cell>
          <cell r="H663" t="str">
            <v>FP-008:CVR L.PINK P/BLK MANDOM RV1 12A</v>
          </cell>
          <cell r="I663">
            <v>10000</v>
          </cell>
          <cell r="J663" t="str">
            <v>UN</v>
          </cell>
          <cell r="K663">
            <v>45630</v>
          </cell>
        </row>
        <row r="664">
          <cell r="A664" t="str">
            <v>50714286020</v>
          </cell>
          <cell r="B664" t="str">
            <v>ZMTD</v>
          </cell>
          <cell r="C664">
            <v>45572</v>
          </cell>
          <cell r="D664" t="str">
            <v>Not delivered</v>
          </cell>
          <cell r="E664">
            <v>507142860</v>
          </cell>
          <cell r="F664">
            <v>20</v>
          </cell>
          <cell r="G664">
            <v>1171179</v>
          </cell>
          <cell r="H664" t="str">
            <v>FP-008:BS INJ BLK NO DC MANDOM</v>
          </cell>
          <cell r="I664">
            <v>10000</v>
          </cell>
          <cell r="J664" t="str">
            <v>UN</v>
          </cell>
          <cell r="K664">
            <v>45630</v>
          </cell>
        </row>
        <row r="665">
          <cell r="A665" t="str">
            <v>50714286030</v>
          </cell>
          <cell r="B665" t="str">
            <v>ZMTD</v>
          </cell>
          <cell r="C665">
            <v>45572</v>
          </cell>
          <cell r="D665" t="str">
            <v>Not delivered</v>
          </cell>
          <cell r="E665">
            <v>507142860</v>
          </cell>
          <cell r="F665">
            <v>30</v>
          </cell>
          <cell r="G665">
            <v>1172027</v>
          </cell>
          <cell r="H665" t="str">
            <v>FP-008:SFT NAT L.HINGE W/LBL NO DC MDM</v>
          </cell>
          <cell r="I665">
            <v>10000</v>
          </cell>
          <cell r="J665" t="str">
            <v>UN</v>
          </cell>
          <cell r="K665">
            <v>45630</v>
          </cell>
        </row>
        <row r="666">
          <cell r="A666" t="str">
            <v>50714280710</v>
          </cell>
          <cell r="B666" t="str">
            <v>ZMTD</v>
          </cell>
          <cell r="C666">
            <v>45559</v>
          </cell>
          <cell r="D666" t="str">
            <v>Not delivered</v>
          </cell>
          <cell r="E666">
            <v>507142807</v>
          </cell>
          <cell r="F666">
            <v>10</v>
          </cell>
          <cell r="G666">
            <v>1419488</v>
          </cell>
          <cell r="H666" t="str">
            <v>CP-063R:SPOUT CAP WHITE LOREAL 12A</v>
          </cell>
          <cell r="I666">
            <v>1890000</v>
          </cell>
          <cell r="J666" t="str">
            <v>UN</v>
          </cell>
          <cell r="K666">
            <v>45630</v>
          </cell>
        </row>
        <row r="667">
          <cell r="A667" t="str">
            <v>50800527840</v>
          </cell>
          <cell r="B667" t="str">
            <v>ZMFD</v>
          </cell>
          <cell r="C667">
            <v>45544</v>
          </cell>
          <cell r="D667" t="str">
            <v>Not delivered</v>
          </cell>
          <cell r="E667">
            <v>508005278</v>
          </cell>
          <cell r="F667">
            <v>40</v>
          </cell>
          <cell r="G667">
            <v>1437039</v>
          </cell>
          <cell r="H667" t="str">
            <v>CM-290:1PC BS CV MT.BLK S/ EMBOS OMG 40C</v>
          </cell>
          <cell r="I667">
            <v>75000</v>
          </cell>
          <cell r="J667" t="str">
            <v>UN</v>
          </cell>
          <cell r="K667">
            <v>45630</v>
          </cell>
        </row>
        <row r="668">
          <cell r="A668" t="str">
            <v>50800527850</v>
          </cell>
          <cell r="B668" t="str">
            <v>ZMFD</v>
          </cell>
          <cell r="C668">
            <v>45544</v>
          </cell>
          <cell r="D668" t="str">
            <v>Not delivered</v>
          </cell>
          <cell r="E668">
            <v>508005278</v>
          </cell>
          <cell r="F668">
            <v>50</v>
          </cell>
          <cell r="G668">
            <v>1437140</v>
          </cell>
          <cell r="H668" t="str">
            <v>CM-290:ENGINE CV RED, BS BLK OMG PTI 12A</v>
          </cell>
          <cell r="I668">
            <v>75000</v>
          </cell>
          <cell r="J668" t="str">
            <v>UN</v>
          </cell>
          <cell r="K668">
            <v>45630</v>
          </cell>
        </row>
        <row r="669">
          <cell r="A669" t="str">
            <v>50800527860</v>
          </cell>
          <cell r="B669" t="str">
            <v>ZMFD</v>
          </cell>
          <cell r="C669">
            <v>45544</v>
          </cell>
          <cell r="D669" t="str">
            <v>Not delivered</v>
          </cell>
          <cell r="E669">
            <v>508005278</v>
          </cell>
          <cell r="F669">
            <v>60</v>
          </cell>
          <cell r="G669">
            <v>1437141</v>
          </cell>
          <cell r="H669" t="str">
            <v>CM-290:RING BLACK OMG PTI 12A</v>
          </cell>
          <cell r="I669">
            <v>75000</v>
          </cell>
          <cell r="J669" t="str">
            <v>UN</v>
          </cell>
          <cell r="K669">
            <v>45630</v>
          </cell>
        </row>
        <row r="670">
          <cell r="A670" t="str">
            <v>50800525150</v>
          </cell>
          <cell r="B670" t="str">
            <v>ZMFD</v>
          </cell>
          <cell r="C670">
            <v>45511</v>
          </cell>
          <cell r="D670" t="str">
            <v>Not delivered</v>
          </cell>
          <cell r="E670">
            <v>508005251</v>
          </cell>
          <cell r="F670">
            <v>50</v>
          </cell>
          <cell r="G670">
            <v>1168132</v>
          </cell>
          <cell r="H670" t="str">
            <v>LS-285:BS WHT NO DC WARDAH</v>
          </cell>
          <cell r="I670">
            <v>75000</v>
          </cell>
          <cell r="J670" t="str">
            <v>UN</v>
          </cell>
          <cell r="K670">
            <v>45630</v>
          </cell>
        </row>
        <row r="671">
          <cell r="A671" t="str">
            <v>50800525160</v>
          </cell>
          <cell r="B671" t="str">
            <v>ZMFD</v>
          </cell>
          <cell r="C671">
            <v>45511</v>
          </cell>
          <cell r="D671" t="str">
            <v>Not delivered</v>
          </cell>
          <cell r="E671">
            <v>508005251</v>
          </cell>
          <cell r="F671">
            <v>60</v>
          </cell>
          <cell r="G671">
            <v>1421510</v>
          </cell>
          <cell r="H671" t="str">
            <v>LS-285:CV PINK P/WHT UV P.BLOSOM PTI 30O</v>
          </cell>
          <cell r="I671">
            <v>75000</v>
          </cell>
          <cell r="J671" t="str">
            <v>UN</v>
          </cell>
          <cell r="K671">
            <v>45630</v>
          </cell>
        </row>
        <row r="672">
          <cell r="A672" t="str">
            <v>50800523550</v>
          </cell>
          <cell r="B672" t="str">
            <v>ZMFD</v>
          </cell>
          <cell r="C672">
            <v>45505</v>
          </cell>
          <cell r="D672" t="str">
            <v>Not delivered</v>
          </cell>
          <cell r="E672">
            <v>508005235</v>
          </cell>
          <cell r="F672">
            <v>50</v>
          </cell>
          <cell r="G672">
            <v>1332995</v>
          </cell>
          <cell r="H672" t="str">
            <v>LC-008:CAP VM SLV WIP NAT EMLC PTI 20F</v>
          </cell>
          <cell r="I672">
            <v>100000</v>
          </cell>
          <cell r="J672" t="str">
            <v>UN</v>
          </cell>
          <cell r="K672">
            <v>45630</v>
          </cell>
        </row>
        <row r="673">
          <cell r="A673" t="str">
            <v>50800523560</v>
          </cell>
          <cell r="B673" t="str">
            <v>ZMFD</v>
          </cell>
          <cell r="C673">
            <v>45505</v>
          </cell>
          <cell r="D673" t="str">
            <v>Not delivered</v>
          </cell>
          <cell r="E673">
            <v>508005235</v>
          </cell>
          <cell r="F673">
            <v>60</v>
          </cell>
          <cell r="G673">
            <v>1434959</v>
          </cell>
          <cell r="H673" t="str">
            <v>LC-008:BTL CLR (PCTG) P/WHT EMLC PTI 60B</v>
          </cell>
          <cell r="I673">
            <v>100000</v>
          </cell>
          <cell r="J673" t="str">
            <v>UN</v>
          </cell>
          <cell r="K673">
            <v>45630</v>
          </cell>
        </row>
        <row r="674">
          <cell r="A674" t="str">
            <v>50800515930</v>
          </cell>
          <cell r="B674" t="str">
            <v>ZMFD</v>
          </cell>
          <cell r="C674">
            <v>45475</v>
          </cell>
          <cell r="D674" t="str">
            <v>Not delivered</v>
          </cell>
          <cell r="E674">
            <v>508005159</v>
          </cell>
          <cell r="F674">
            <v>30</v>
          </cell>
          <cell r="G674">
            <v>1285116</v>
          </cell>
          <cell r="H674" t="str">
            <v>CM-292:CV/BS MTBLK LENS S/SLV MO PTI 40C</v>
          </cell>
          <cell r="I674">
            <v>75000</v>
          </cell>
          <cell r="J674" t="str">
            <v>UN</v>
          </cell>
          <cell r="K674">
            <v>45630</v>
          </cell>
        </row>
        <row r="675">
          <cell r="A675" t="str">
            <v>50800513930</v>
          </cell>
          <cell r="B675" t="str">
            <v>ZMFD</v>
          </cell>
          <cell r="C675">
            <v>45462</v>
          </cell>
          <cell r="D675" t="str">
            <v>Not delivered</v>
          </cell>
          <cell r="E675">
            <v>508005139</v>
          </cell>
          <cell r="F675">
            <v>30</v>
          </cell>
          <cell r="G675">
            <v>1388034</v>
          </cell>
          <cell r="H675" t="str">
            <v>CM-253:CV BS MTCORL P/C.BLSH RV1 PTI40H</v>
          </cell>
          <cell r="I675">
            <v>15000</v>
          </cell>
          <cell r="J675" t="str">
            <v>UN</v>
          </cell>
          <cell r="K675">
            <v>45630</v>
          </cell>
        </row>
        <row r="676">
          <cell r="A676" t="str">
            <v>508005067110</v>
          </cell>
          <cell r="B676" t="str">
            <v>ZMFD</v>
          </cell>
          <cell r="C676">
            <v>45433</v>
          </cell>
          <cell r="D676" t="str">
            <v>Not delivered</v>
          </cell>
          <cell r="E676">
            <v>508005067</v>
          </cell>
          <cell r="F676">
            <v>110</v>
          </cell>
          <cell r="G676">
            <v>1255664</v>
          </cell>
          <cell r="H676" t="str">
            <v>LC-002:BTL MT VAR14 P/WRDH B.MARK PTI40H</v>
          </cell>
          <cell r="I676">
            <v>25000</v>
          </cell>
          <cell r="J676" t="str">
            <v>UN</v>
          </cell>
          <cell r="K676">
            <v>45630</v>
          </cell>
        </row>
        <row r="677">
          <cell r="A677" t="str">
            <v>508005067120</v>
          </cell>
          <cell r="B677" t="str">
            <v>ZMFD</v>
          </cell>
          <cell r="C677">
            <v>45433</v>
          </cell>
          <cell r="D677" t="str">
            <v>Not delivered</v>
          </cell>
          <cell r="E677">
            <v>508005067</v>
          </cell>
          <cell r="F677">
            <v>120</v>
          </cell>
          <cell r="G677">
            <v>1264032</v>
          </cell>
          <cell r="H677" t="str">
            <v>LC-002:CP S/MT VAR14 STM-WHT WNAT PTI40D</v>
          </cell>
          <cell r="I677">
            <v>25000</v>
          </cell>
          <cell r="J677" t="str">
            <v>UN</v>
          </cell>
          <cell r="K677">
            <v>45630</v>
          </cell>
        </row>
        <row r="678">
          <cell r="A678" t="str">
            <v>50800531410</v>
          </cell>
          <cell r="B678" t="str">
            <v>ZMFD</v>
          </cell>
          <cell r="C678">
            <v>45572</v>
          </cell>
          <cell r="D678" t="str">
            <v>Not delivered</v>
          </cell>
          <cell r="E678">
            <v>508005314</v>
          </cell>
          <cell r="F678">
            <v>10</v>
          </cell>
          <cell r="G678">
            <v>1414413</v>
          </cell>
          <cell r="H678" t="str">
            <v>CM-216:S/RED INFAILLIBLE  L'OREAL US</v>
          </cell>
          <cell r="I678">
            <v>300000</v>
          </cell>
          <cell r="J678" t="str">
            <v>UN</v>
          </cell>
          <cell r="K678">
            <v>45631</v>
          </cell>
        </row>
        <row r="679">
          <cell r="A679" t="str">
            <v>50714279210</v>
          </cell>
          <cell r="B679" t="str">
            <v>ZMTD</v>
          </cell>
          <cell r="C679">
            <v>45555</v>
          </cell>
          <cell r="D679" t="str">
            <v>Not delivered</v>
          </cell>
          <cell r="E679">
            <v>507142792</v>
          </cell>
          <cell r="F679">
            <v>10</v>
          </cell>
          <cell r="G679">
            <v>1406600</v>
          </cell>
          <cell r="H679" t="str">
            <v>CM-310:BLACK M086 CANNAGE S/SLV UV MT</v>
          </cell>
          <cell r="I679">
            <v>39000</v>
          </cell>
          <cell r="J679" t="str">
            <v>UN</v>
          </cell>
          <cell r="K679">
            <v>45631</v>
          </cell>
        </row>
        <row r="680">
          <cell r="A680" t="str">
            <v>50800527230</v>
          </cell>
          <cell r="B680" t="str">
            <v>ZMFD</v>
          </cell>
          <cell r="C680">
            <v>45538</v>
          </cell>
          <cell r="D680" t="str">
            <v>Not delivered</v>
          </cell>
          <cell r="E680">
            <v>508005272</v>
          </cell>
          <cell r="F680">
            <v>30</v>
          </cell>
          <cell r="G680">
            <v>1411899</v>
          </cell>
          <cell r="H680" t="str">
            <v>PT-100:BS/INS GREEN P/WHT KAHF PTI 60B</v>
          </cell>
          <cell r="I680">
            <v>180000</v>
          </cell>
          <cell r="J680" t="str">
            <v>UN</v>
          </cell>
          <cell r="K680">
            <v>45631</v>
          </cell>
        </row>
        <row r="681">
          <cell r="A681" t="str">
            <v>50800527240</v>
          </cell>
          <cell r="B681" t="str">
            <v>ZMFD</v>
          </cell>
          <cell r="C681">
            <v>45538</v>
          </cell>
          <cell r="D681" t="str">
            <v>Not delivered</v>
          </cell>
          <cell r="E681">
            <v>508005272</v>
          </cell>
          <cell r="F681">
            <v>40</v>
          </cell>
          <cell r="G681">
            <v>1411898</v>
          </cell>
          <cell r="H681" t="str">
            <v>PT-100:CVR MT.GREEN EMBOS KAHF PTI 40D</v>
          </cell>
          <cell r="I681">
            <v>180000</v>
          </cell>
          <cell r="J681" t="str">
            <v>UN</v>
          </cell>
          <cell r="K681">
            <v>45631</v>
          </cell>
        </row>
        <row r="682">
          <cell r="A682" t="str">
            <v>50800525850</v>
          </cell>
          <cell r="B682" t="str">
            <v>ZMFD</v>
          </cell>
          <cell r="C682">
            <v>45523</v>
          </cell>
          <cell r="D682" t="str">
            <v>Not delivered</v>
          </cell>
          <cell r="E682">
            <v>508005258</v>
          </cell>
          <cell r="F682">
            <v>50</v>
          </cell>
          <cell r="G682">
            <v>1168132</v>
          </cell>
          <cell r="H682" t="str">
            <v>LS-285:BS WHT NO DC WARDAH</v>
          </cell>
          <cell r="I682">
            <v>100000</v>
          </cell>
          <cell r="J682" t="str">
            <v>UN</v>
          </cell>
          <cell r="K682">
            <v>45631</v>
          </cell>
        </row>
        <row r="683">
          <cell r="A683" t="str">
            <v>50800525860</v>
          </cell>
          <cell r="B683" t="str">
            <v>ZMFD</v>
          </cell>
          <cell r="C683">
            <v>45523</v>
          </cell>
          <cell r="D683" t="str">
            <v>Not delivered</v>
          </cell>
          <cell r="E683">
            <v>508005258</v>
          </cell>
          <cell r="F683">
            <v>60</v>
          </cell>
          <cell r="G683">
            <v>1421418</v>
          </cell>
          <cell r="H683" t="str">
            <v>LS-285:CV RED P/WHT UV STRAWBERY PTI 30O</v>
          </cell>
          <cell r="I683">
            <v>100000</v>
          </cell>
          <cell r="J683" t="str">
            <v>UN</v>
          </cell>
          <cell r="K683">
            <v>45631</v>
          </cell>
        </row>
        <row r="684">
          <cell r="A684" t="str">
            <v>50800525410</v>
          </cell>
          <cell r="B684" t="str">
            <v>ZMFD</v>
          </cell>
          <cell r="C684">
            <v>45516</v>
          </cell>
          <cell r="D684" t="str">
            <v>Not delivered</v>
          </cell>
          <cell r="E684">
            <v>508005254</v>
          </cell>
          <cell r="F684">
            <v>10</v>
          </cell>
          <cell r="G684">
            <v>1304094</v>
          </cell>
          <cell r="H684" t="str">
            <v>CM-253:CV CLR BS M.PINK P/EMINA C.LIT40H</v>
          </cell>
          <cell r="I684">
            <v>25000</v>
          </cell>
          <cell r="J684" t="str">
            <v>UN</v>
          </cell>
          <cell r="K684">
            <v>45631</v>
          </cell>
        </row>
        <row r="685">
          <cell r="A685" t="str">
            <v>50800524410</v>
          </cell>
          <cell r="B685" t="str">
            <v>ZMFD</v>
          </cell>
          <cell r="C685">
            <v>45510</v>
          </cell>
          <cell r="D685" t="str">
            <v>Not delivered</v>
          </cell>
          <cell r="E685">
            <v>508005244</v>
          </cell>
          <cell r="F685">
            <v>10</v>
          </cell>
          <cell r="G685">
            <v>1174001</v>
          </cell>
          <cell r="H685" t="str">
            <v>CM-133:CVR/BS MTLC GREN UV S/SLV WRDH30C</v>
          </cell>
          <cell r="I685">
            <v>10080</v>
          </cell>
          <cell r="J685" t="str">
            <v>UN</v>
          </cell>
          <cell r="K685">
            <v>45631</v>
          </cell>
        </row>
        <row r="686">
          <cell r="A686" t="str">
            <v>50800524520</v>
          </cell>
          <cell r="B686" t="str">
            <v>ZMFD</v>
          </cell>
          <cell r="C686">
            <v>45510</v>
          </cell>
          <cell r="D686" t="str">
            <v>Not delivered</v>
          </cell>
          <cell r="E686">
            <v>508005245</v>
          </cell>
          <cell r="F686">
            <v>20</v>
          </cell>
          <cell r="G686">
            <v>1340516</v>
          </cell>
          <cell r="H686" t="str">
            <v>CM-133:CVR BS MTLC GRN UV DP S/WARDH 30T</v>
          </cell>
          <cell r="I686">
            <v>30240</v>
          </cell>
          <cell r="J686" t="str">
            <v>UN</v>
          </cell>
          <cell r="K686">
            <v>45631</v>
          </cell>
        </row>
        <row r="687">
          <cell r="A687" t="str">
            <v>50800524620</v>
          </cell>
          <cell r="B687" t="str">
            <v>ZMFD</v>
          </cell>
          <cell r="C687">
            <v>45510</v>
          </cell>
          <cell r="D687" t="str">
            <v>Not delivered</v>
          </cell>
          <cell r="E687">
            <v>508005246</v>
          </cell>
          <cell r="F687">
            <v>20</v>
          </cell>
          <cell r="G687">
            <v>1408740</v>
          </cell>
          <cell r="H687" t="str">
            <v>PT-097B:BDSR.2 BLU HOUS WHT TRNS PTI12A</v>
          </cell>
          <cell r="I687">
            <v>330000</v>
          </cell>
          <cell r="J687" t="str">
            <v>UN</v>
          </cell>
          <cell r="K687">
            <v>45631</v>
          </cell>
        </row>
        <row r="688">
          <cell r="A688" t="str">
            <v>50800524640</v>
          </cell>
          <cell r="B688" t="str">
            <v>ZMFD</v>
          </cell>
          <cell r="C688">
            <v>45510</v>
          </cell>
          <cell r="D688" t="str">
            <v>Not delivered</v>
          </cell>
          <cell r="E688">
            <v>508005246</v>
          </cell>
          <cell r="F688">
            <v>40</v>
          </cell>
          <cell r="G688">
            <v>1408739</v>
          </cell>
          <cell r="H688" t="str">
            <v>PT-097B:CAP SR.2 BLUE TRANS PTI 12A</v>
          </cell>
          <cell r="I688">
            <v>330000</v>
          </cell>
          <cell r="J688" t="str">
            <v>UN</v>
          </cell>
          <cell r="K688">
            <v>45631</v>
          </cell>
        </row>
        <row r="689">
          <cell r="A689" t="str">
            <v>50800524720</v>
          </cell>
          <cell r="B689" t="str">
            <v>ZMFD</v>
          </cell>
          <cell r="C689">
            <v>45510</v>
          </cell>
          <cell r="D689" t="str">
            <v>Not delivered</v>
          </cell>
          <cell r="E689">
            <v>508005247</v>
          </cell>
          <cell r="F689">
            <v>20</v>
          </cell>
          <cell r="G689">
            <v>1361170</v>
          </cell>
          <cell r="H689" t="str">
            <v>PT-097:BODY BLACK HOUSE WHT TRANS PTI12A</v>
          </cell>
          <cell r="I689">
            <v>210000</v>
          </cell>
          <cell r="J689" t="str">
            <v>UN</v>
          </cell>
          <cell r="K689">
            <v>45631</v>
          </cell>
        </row>
        <row r="690">
          <cell r="A690" t="str">
            <v>50800524740</v>
          </cell>
          <cell r="B690" t="str">
            <v>ZMFD</v>
          </cell>
          <cell r="C690">
            <v>45510</v>
          </cell>
          <cell r="D690" t="str">
            <v>Not delivered</v>
          </cell>
          <cell r="E690">
            <v>508005247</v>
          </cell>
          <cell r="F690">
            <v>40</v>
          </cell>
          <cell r="G690">
            <v>1361175</v>
          </cell>
          <cell r="H690" t="str">
            <v>PT-097:CAP BLACK TRANS PTI 12A</v>
          </cell>
          <cell r="I690">
            <v>210000</v>
          </cell>
          <cell r="J690" t="str">
            <v>UN</v>
          </cell>
          <cell r="K690">
            <v>45631</v>
          </cell>
        </row>
        <row r="691">
          <cell r="A691" t="str">
            <v>50800524830</v>
          </cell>
          <cell r="B691" t="str">
            <v>ZMFD</v>
          </cell>
          <cell r="C691">
            <v>45510</v>
          </cell>
          <cell r="D691" t="str">
            <v>Not delivered</v>
          </cell>
          <cell r="E691">
            <v>508005248</v>
          </cell>
          <cell r="F691">
            <v>30</v>
          </cell>
          <cell r="G691">
            <v>1367372</v>
          </cell>
          <cell r="H691" t="str">
            <v>PT-097:BODY GREN HOUSE WHT TRANS PTI 12A</v>
          </cell>
          <cell r="I691">
            <v>260000</v>
          </cell>
          <cell r="J691" t="str">
            <v>UN</v>
          </cell>
          <cell r="K691">
            <v>45631</v>
          </cell>
        </row>
        <row r="692">
          <cell r="A692" t="str">
            <v>50800524860</v>
          </cell>
          <cell r="B692" t="str">
            <v>ZMFD</v>
          </cell>
          <cell r="C692">
            <v>45510</v>
          </cell>
          <cell r="D692" t="str">
            <v>Not delivered</v>
          </cell>
          <cell r="E692">
            <v>508005248</v>
          </cell>
          <cell r="F692">
            <v>60</v>
          </cell>
          <cell r="G692">
            <v>1367370</v>
          </cell>
          <cell r="H692" t="str">
            <v>PT-097:CAP GREN TRANS PTI 12A</v>
          </cell>
          <cell r="I692">
            <v>260000</v>
          </cell>
          <cell r="J692" t="str">
            <v>UN</v>
          </cell>
          <cell r="K692">
            <v>45631</v>
          </cell>
        </row>
        <row r="693">
          <cell r="A693" t="str">
            <v>50800523320</v>
          </cell>
          <cell r="B693" t="str">
            <v>ZMFD</v>
          </cell>
          <cell r="C693">
            <v>45504</v>
          </cell>
          <cell r="D693" t="str">
            <v>Not delivered</v>
          </cell>
          <cell r="E693">
            <v>508005233</v>
          </cell>
          <cell r="F693">
            <v>20</v>
          </cell>
          <cell r="G693">
            <v>1169152</v>
          </cell>
          <cell r="H693" t="str">
            <v>CM-295:SQUARE COMPACT&amp;GODET PHHT010032</v>
          </cell>
          <cell r="I693">
            <v>20040</v>
          </cell>
          <cell r="J693" t="str">
            <v>UN</v>
          </cell>
          <cell r="K693">
            <v>45631</v>
          </cell>
        </row>
        <row r="694">
          <cell r="A694" t="str">
            <v>50714254810</v>
          </cell>
          <cell r="B694" t="str">
            <v>ZMTD</v>
          </cell>
          <cell r="C694">
            <v>45492</v>
          </cell>
          <cell r="D694" t="str">
            <v>Not delivered</v>
          </cell>
          <cell r="E694">
            <v>507142548</v>
          </cell>
          <cell r="F694">
            <v>10</v>
          </cell>
          <cell r="G694">
            <v>1182817</v>
          </cell>
          <cell r="H694" t="str">
            <v>FP-014:JAR P/BLACK ALMAY</v>
          </cell>
          <cell r="I694">
            <v>25056</v>
          </cell>
          <cell r="J694" t="str">
            <v>UN</v>
          </cell>
          <cell r="K694">
            <v>45631</v>
          </cell>
        </row>
        <row r="695">
          <cell r="A695" t="str">
            <v>50714254820</v>
          </cell>
          <cell r="B695" t="str">
            <v>ZMTD</v>
          </cell>
          <cell r="C695">
            <v>45492</v>
          </cell>
          <cell r="D695" t="str">
            <v>Not delivered</v>
          </cell>
          <cell r="E695">
            <v>507142548</v>
          </cell>
          <cell r="F695">
            <v>20</v>
          </cell>
          <cell r="G695">
            <v>1171483</v>
          </cell>
          <cell r="H695" t="str">
            <v>FP-014:COVER GREY MATTE IN MOLD REVLON</v>
          </cell>
          <cell r="I695">
            <v>34992</v>
          </cell>
          <cell r="J695" t="str">
            <v>UN</v>
          </cell>
          <cell r="K695">
            <v>45631</v>
          </cell>
        </row>
        <row r="696">
          <cell r="A696" t="str">
            <v>50714254830</v>
          </cell>
          <cell r="B696" t="str">
            <v>ZMTD</v>
          </cell>
          <cell r="C696">
            <v>45492</v>
          </cell>
          <cell r="D696" t="str">
            <v>Not delivered</v>
          </cell>
          <cell r="E696">
            <v>507142548</v>
          </cell>
          <cell r="F696">
            <v>30</v>
          </cell>
          <cell r="G696">
            <v>1240862</v>
          </cell>
          <cell r="H696" t="str">
            <v>FP-014 SIFTER NAT W/ORDERED LABEL REVLON</v>
          </cell>
          <cell r="I696">
            <v>38750</v>
          </cell>
          <cell r="J696" t="str">
            <v>UN</v>
          </cell>
          <cell r="K696">
            <v>45631</v>
          </cell>
        </row>
        <row r="697">
          <cell r="A697" t="str">
            <v>50800519250</v>
          </cell>
          <cell r="B697" t="str">
            <v>ZMFD</v>
          </cell>
          <cell r="C697">
            <v>45492</v>
          </cell>
          <cell r="D697" t="str">
            <v>Not delivered</v>
          </cell>
          <cell r="E697">
            <v>508005192</v>
          </cell>
          <cell r="F697">
            <v>50</v>
          </cell>
          <cell r="G697">
            <v>1430093</v>
          </cell>
          <cell r="H697" t="str">
            <v>LS-285:CV MT.TR BLUE P/SHERCLEAR PTI 40H</v>
          </cell>
          <cell r="I697">
            <v>25000</v>
          </cell>
          <cell r="J697" t="str">
            <v>UN</v>
          </cell>
          <cell r="K697">
            <v>45631</v>
          </cell>
        </row>
        <row r="698">
          <cell r="A698" t="str">
            <v>50800519260</v>
          </cell>
          <cell r="B698" t="str">
            <v>ZMFD</v>
          </cell>
          <cell r="C698">
            <v>45492</v>
          </cell>
          <cell r="D698" t="str">
            <v>Not delivered</v>
          </cell>
          <cell r="E698">
            <v>508005192</v>
          </cell>
          <cell r="F698">
            <v>60</v>
          </cell>
          <cell r="G698">
            <v>1430094</v>
          </cell>
          <cell r="H698" t="str">
            <v>LS-285:BS BLUE NO DC WARDAH PTI 12A</v>
          </cell>
          <cell r="I698">
            <v>25000</v>
          </cell>
          <cell r="J698" t="str">
            <v>UN</v>
          </cell>
          <cell r="K698">
            <v>45631</v>
          </cell>
        </row>
        <row r="699">
          <cell r="A699" t="str">
            <v>50800517150</v>
          </cell>
          <cell r="B699" t="str">
            <v>ZMFD</v>
          </cell>
          <cell r="C699">
            <v>45481</v>
          </cell>
          <cell r="D699" t="str">
            <v>Not delivered</v>
          </cell>
          <cell r="E699">
            <v>508005171</v>
          </cell>
          <cell r="F699">
            <v>50</v>
          </cell>
          <cell r="G699">
            <v>1375595</v>
          </cell>
          <cell r="H699" t="str">
            <v>LC-009:BTL/INNER CLEAR P/OMG PTIPT 60B</v>
          </cell>
          <cell r="I699">
            <v>486000</v>
          </cell>
          <cell r="J699" t="str">
            <v>UN</v>
          </cell>
          <cell r="K699">
            <v>45631</v>
          </cell>
        </row>
        <row r="700">
          <cell r="A700" t="str">
            <v>50800517160</v>
          </cell>
          <cell r="B700" t="str">
            <v>ZMFD</v>
          </cell>
          <cell r="C700">
            <v>45481</v>
          </cell>
          <cell r="D700" t="str">
            <v>Not delivered</v>
          </cell>
          <cell r="E700">
            <v>508005171</v>
          </cell>
          <cell r="F700">
            <v>60</v>
          </cell>
          <cell r="G700">
            <v>1375593</v>
          </cell>
          <cell r="H700" t="str">
            <v>LC-009:CAP REDTRANS WIP S/OMG PTIPT 60B</v>
          </cell>
          <cell r="I700">
            <v>486000</v>
          </cell>
          <cell r="J700" t="str">
            <v>UN</v>
          </cell>
          <cell r="K700">
            <v>45631</v>
          </cell>
        </row>
        <row r="701">
          <cell r="A701" t="str">
            <v>50800517250</v>
          </cell>
          <cell r="B701" t="str">
            <v>ZMFD</v>
          </cell>
          <cell r="C701">
            <v>45481</v>
          </cell>
          <cell r="D701" t="str">
            <v>Not delivered</v>
          </cell>
          <cell r="E701">
            <v>508005172</v>
          </cell>
          <cell r="F701">
            <v>50</v>
          </cell>
          <cell r="G701">
            <v>1417990</v>
          </cell>
          <cell r="H701" t="str">
            <v>LC-009:BTL #2#3 INNER CLR P/OMG PTIPT60B</v>
          </cell>
          <cell r="I701">
            <v>1200000</v>
          </cell>
          <cell r="J701" t="str">
            <v>UN</v>
          </cell>
          <cell r="K701">
            <v>45631</v>
          </cell>
        </row>
        <row r="702">
          <cell r="A702" t="str">
            <v>50800517260</v>
          </cell>
          <cell r="B702" t="str">
            <v>ZMFD</v>
          </cell>
          <cell r="C702">
            <v>45481</v>
          </cell>
          <cell r="D702" t="str">
            <v>Not delivered</v>
          </cell>
          <cell r="E702">
            <v>508005172</v>
          </cell>
          <cell r="F702">
            <v>60</v>
          </cell>
          <cell r="G702">
            <v>1417978</v>
          </cell>
          <cell r="H702" t="str">
            <v>LC-009:CAP #2#3 REDTR WIP S/OMG PTIPT60B</v>
          </cell>
          <cell r="I702">
            <v>1200000</v>
          </cell>
          <cell r="J702" t="str">
            <v>UN</v>
          </cell>
          <cell r="K702">
            <v>45631</v>
          </cell>
        </row>
        <row r="703">
          <cell r="A703" t="str">
            <v>50800515570</v>
          </cell>
          <cell r="B703" t="str">
            <v>ZMFD</v>
          </cell>
          <cell r="C703">
            <v>45470</v>
          </cell>
          <cell r="D703" t="str">
            <v>Not delivered</v>
          </cell>
          <cell r="E703">
            <v>508005155</v>
          </cell>
          <cell r="F703">
            <v>70</v>
          </cell>
          <cell r="G703">
            <v>1388036</v>
          </cell>
          <cell r="H703" t="str">
            <v>CM-253:CV BS MTMAUVE P/C.BLSH RV1 PTI40H</v>
          </cell>
          <cell r="I703">
            <v>30000</v>
          </cell>
          <cell r="J703" t="str">
            <v>UN</v>
          </cell>
          <cell r="K703">
            <v>45631</v>
          </cell>
        </row>
        <row r="704">
          <cell r="A704" t="str">
            <v>50800511220</v>
          </cell>
          <cell r="B704" t="str">
            <v>ZMFD</v>
          </cell>
          <cell r="C704">
            <v>45450</v>
          </cell>
          <cell r="D704" t="str">
            <v>Not delivered</v>
          </cell>
          <cell r="E704">
            <v>508005112</v>
          </cell>
          <cell r="F704">
            <v>20</v>
          </cell>
          <cell r="G704">
            <v>1169658</v>
          </cell>
          <cell r="H704" t="str">
            <v>CM-156:NEW GREEN MRBL 6339010303 CLNQ EL</v>
          </cell>
          <cell r="I704">
            <v>22680</v>
          </cell>
          <cell r="J704" t="str">
            <v>UN</v>
          </cell>
          <cell r="K704">
            <v>45631</v>
          </cell>
        </row>
        <row r="705">
          <cell r="A705" t="str">
            <v>50800510010</v>
          </cell>
          <cell r="B705" t="str">
            <v>ZMFD</v>
          </cell>
          <cell r="C705">
            <v>45449</v>
          </cell>
          <cell r="D705" t="str">
            <v>Not delivered</v>
          </cell>
          <cell r="E705">
            <v>508005100</v>
          </cell>
          <cell r="F705">
            <v>10</v>
          </cell>
          <cell r="G705">
            <v>1389078</v>
          </cell>
          <cell r="H705" t="str">
            <v>CM-294:GODET SUBLIM SPICE G0S5-02-0092</v>
          </cell>
          <cell r="I705">
            <v>10472</v>
          </cell>
          <cell r="J705" t="str">
            <v>UN</v>
          </cell>
          <cell r="K705">
            <v>45631</v>
          </cell>
        </row>
        <row r="706">
          <cell r="A706" t="str">
            <v>50800510310</v>
          </cell>
          <cell r="B706" t="str">
            <v>ZMFD</v>
          </cell>
          <cell r="C706">
            <v>45449</v>
          </cell>
          <cell r="D706" t="str">
            <v>Not delivered</v>
          </cell>
          <cell r="E706">
            <v>508005103</v>
          </cell>
          <cell r="F706">
            <v>10</v>
          </cell>
          <cell r="G706">
            <v>1389068</v>
          </cell>
          <cell r="H706" t="str">
            <v>CM-294:GODET PRAC. DREAMER G0S8-01-0092</v>
          </cell>
          <cell r="I706">
            <v>10472</v>
          </cell>
          <cell r="J706" t="str">
            <v>UN</v>
          </cell>
          <cell r="K706">
            <v>45631</v>
          </cell>
        </row>
        <row r="707">
          <cell r="A707" t="str">
            <v>50800510410</v>
          </cell>
          <cell r="B707" t="str">
            <v>ZMFD</v>
          </cell>
          <cell r="C707">
            <v>45449</v>
          </cell>
          <cell r="D707" t="str">
            <v>Not delivered</v>
          </cell>
          <cell r="E707">
            <v>508005104</v>
          </cell>
          <cell r="F707">
            <v>10</v>
          </cell>
          <cell r="G707">
            <v>1389672</v>
          </cell>
          <cell r="H707" t="str">
            <v>CM-294:GODET HUMBLE LEGEND G0S9-01-0092</v>
          </cell>
          <cell r="I707">
            <v>10472</v>
          </cell>
          <cell r="J707" t="str">
            <v>UN</v>
          </cell>
          <cell r="K707">
            <v>45631</v>
          </cell>
        </row>
        <row r="708">
          <cell r="A708" t="str">
            <v>50800504010</v>
          </cell>
          <cell r="B708" t="str">
            <v>ZMFD</v>
          </cell>
          <cell r="C708">
            <v>45427</v>
          </cell>
          <cell r="D708" t="str">
            <v>Not delivered</v>
          </cell>
          <cell r="E708">
            <v>508005040</v>
          </cell>
          <cell r="F708">
            <v>10</v>
          </cell>
          <cell r="G708">
            <v>1286393</v>
          </cell>
          <cell r="H708" t="str">
            <v>CM-300:BLUE UV S/SLV DIOR GALASHN PEPSPE</v>
          </cell>
          <cell r="I708">
            <v>62720</v>
          </cell>
          <cell r="J708" t="str">
            <v>UN</v>
          </cell>
          <cell r="K708">
            <v>45631</v>
          </cell>
        </row>
        <row r="709">
          <cell r="A709" t="str">
            <v>50800530810</v>
          </cell>
          <cell r="B709" t="str">
            <v>ZMFD</v>
          </cell>
          <cell r="C709">
            <v>45569</v>
          </cell>
          <cell r="D709" t="str">
            <v>Not delivered</v>
          </cell>
          <cell r="E709">
            <v>508005308</v>
          </cell>
          <cell r="F709">
            <v>10</v>
          </cell>
          <cell r="G709">
            <v>1255662</v>
          </cell>
          <cell r="H709" t="str">
            <v>LC-002:BTL MT VAR12 P/WRDH B.MARK PTI40H</v>
          </cell>
          <cell r="I709">
            <v>25000</v>
          </cell>
          <cell r="J709" t="str">
            <v>UN</v>
          </cell>
          <cell r="K709">
            <v>45632</v>
          </cell>
        </row>
        <row r="710">
          <cell r="A710" t="str">
            <v>50800530820</v>
          </cell>
          <cell r="B710" t="str">
            <v>ZMFD</v>
          </cell>
          <cell r="C710">
            <v>45569</v>
          </cell>
          <cell r="D710" t="str">
            <v>Not delivered</v>
          </cell>
          <cell r="E710">
            <v>508005308</v>
          </cell>
          <cell r="F710">
            <v>20</v>
          </cell>
          <cell r="G710">
            <v>1174820</v>
          </cell>
          <cell r="H710" t="str">
            <v>LC-002:CP S/MT VAR12 STM-WHT WNAT PTI40D</v>
          </cell>
          <cell r="I710">
            <v>25000</v>
          </cell>
          <cell r="J710" t="str">
            <v>UN</v>
          </cell>
          <cell r="K710">
            <v>45632</v>
          </cell>
        </row>
        <row r="711">
          <cell r="A711" t="str">
            <v>50714284410</v>
          </cell>
          <cell r="B711" t="str">
            <v>ZMTD</v>
          </cell>
          <cell r="C711">
            <v>45566</v>
          </cell>
          <cell r="D711" t="str">
            <v>Not delivered</v>
          </cell>
          <cell r="E711">
            <v>507142844</v>
          </cell>
          <cell r="F711">
            <v>10</v>
          </cell>
          <cell r="G711">
            <v>1404888</v>
          </cell>
          <cell r="H711" t="str">
            <v>LS-091:BS MGNTA P/SHEER COLOR ROHTO 60B</v>
          </cell>
          <cell r="I711">
            <v>29640</v>
          </cell>
          <cell r="J711" t="str">
            <v>UN</v>
          </cell>
          <cell r="K711">
            <v>45632</v>
          </cell>
        </row>
        <row r="712">
          <cell r="A712" t="str">
            <v>50714284420</v>
          </cell>
          <cell r="B712" t="str">
            <v>ZMTD</v>
          </cell>
          <cell r="C712">
            <v>45566</v>
          </cell>
          <cell r="D712" t="str">
            <v>Not delivered</v>
          </cell>
          <cell r="E712">
            <v>507142844</v>
          </cell>
          <cell r="F712">
            <v>20</v>
          </cell>
          <cell r="G712">
            <v>1404885</v>
          </cell>
          <cell r="H712" t="str">
            <v>LS-091:CVR MGNTA GRAD UV P/NATURAL ROHTO</v>
          </cell>
          <cell r="I712">
            <v>29640</v>
          </cell>
          <cell r="J712" t="str">
            <v>UN</v>
          </cell>
          <cell r="K712">
            <v>45632</v>
          </cell>
        </row>
        <row r="713">
          <cell r="A713" t="str">
            <v>50800529710</v>
          </cell>
          <cell r="B713" t="str">
            <v>ZMFD</v>
          </cell>
          <cell r="C713">
            <v>45565</v>
          </cell>
          <cell r="D713" t="str">
            <v>Not delivered</v>
          </cell>
          <cell r="E713">
            <v>508005297</v>
          </cell>
          <cell r="F713">
            <v>10</v>
          </cell>
          <cell r="G713">
            <v>1419488</v>
          </cell>
          <cell r="H713" t="str">
            <v>CP-063R:SPOUT CAP WHITE LOREAL 12A</v>
          </cell>
          <cell r="I713">
            <v>1890000</v>
          </cell>
          <cell r="J713" t="str">
            <v>UN</v>
          </cell>
          <cell r="K713">
            <v>45632</v>
          </cell>
        </row>
        <row r="714">
          <cell r="A714" t="str">
            <v>50800529720</v>
          </cell>
          <cell r="B714" t="str">
            <v>ZMFD</v>
          </cell>
          <cell r="C714">
            <v>45565</v>
          </cell>
          <cell r="D714" t="str">
            <v>Not delivered</v>
          </cell>
          <cell r="E714">
            <v>508005297</v>
          </cell>
          <cell r="F714">
            <v>20</v>
          </cell>
          <cell r="G714">
            <v>1419488</v>
          </cell>
          <cell r="H714" t="str">
            <v>CP-063R:SPOUT CAP WHITE LOREAL 12A</v>
          </cell>
          <cell r="I714">
            <v>1890000</v>
          </cell>
          <cell r="J714" t="str">
            <v>UN</v>
          </cell>
          <cell r="K714">
            <v>45632</v>
          </cell>
        </row>
        <row r="715">
          <cell r="A715" t="str">
            <v>50800528830</v>
          </cell>
          <cell r="B715" t="str">
            <v>ZMFD</v>
          </cell>
          <cell r="C715">
            <v>45558</v>
          </cell>
          <cell r="D715" t="str">
            <v>Not delivered</v>
          </cell>
          <cell r="E715">
            <v>508005288</v>
          </cell>
          <cell r="F715">
            <v>30</v>
          </cell>
          <cell r="G715">
            <v>1336783</v>
          </cell>
          <cell r="H715" t="str">
            <v>LC-003:BTL CLR CLVM P/S/INSTSUEDE PTI20Y</v>
          </cell>
          <cell r="I715">
            <v>25000</v>
          </cell>
          <cell r="J715" t="str">
            <v>UN</v>
          </cell>
          <cell r="K715">
            <v>45632</v>
          </cell>
        </row>
        <row r="716">
          <cell r="A716" t="str">
            <v>50800528840</v>
          </cell>
          <cell r="B716" t="str">
            <v>ZMFD</v>
          </cell>
          <cell r="C716">
            <v>45558</v>
          </cell>
          <cell r="D716" t="str">
            <v>Not delivered</v>
          </cell>
          <cell r="E716">
            <v>508005288</v>
          </cell>
          <cell r="F716">
            <v>40</v>
          </cell>
          <cell r="G716">
            <v>1378266</v>
          </cell>
          <cell r="H716" t="str">
            <v>LC-003:CAP VM RS PINK INSTASUEDE PTI 20F</v>
          </cell>
          <cell r="I716">
            <v>25000</v>
          </cell>
          <cell r="J716" t="str">
            <v>UN</v>
          </cell>
          <cell r="K716">
            <v>45632</v>
          </cell>
        </row>
        <row r="717">
          <cell r="A717" t="str">
            <v>50800528110</v>
          </cell>
          <cell r="B717" t="str">
            <v>ZMFD</v>
          </cell>
          <cell r="C717">
            <v>45553</v>
          </cell>
          <cell r="D717" t="str">
            <v>Not delivered</v>
          </cell>
          <cell r="E717">
            <v>508005281</v>
          </cell>
          <cell r="F717">
            <v>10</v>
          </cell>
          <cell r="G717">
            <v>1175313</v>
          </cell>
          <cell r="H717" t="str">
            <v>CM-101:N.GRN MRBL B/O 618J010304 CLNQ EL</v>
          </cell>
          <cell r="I717">
            <v>25350</v>
          </cell>
          <cell r="J717" t="str">
            <v>UN</v>
          </cell>
          <cell r="K717">
            <v>45632</v>
          </cell>
        </row>
        <row r="718">
          <cell r="A718" t="str">
            <v>507142765120</v>
          </cell>
          <cell r="B718" t="str">
            <v>ZMTD</v>
          </cell>
          <cell r="C718">
            <v>45552</v>
          </cell>
          <cell r="D718" t="str">
            <v>Not delivered</v>
          </cell>
          <cell r="E718">
            <v>507142765</v>
          </cell>
          <cell r="F718">
            <v>120</v>
          </cell>
          <cell r="G718">
            <v>1398383</v>
          </cell>
          <cell r="H718" t="str">
            <v>CM-319:WHITE P/BLACK UV MATTE NARS</v>
          </cell>
          <cell r="I718">
            <v>40080</v>
          </cell>
          <cell r="J718" t="str">
            <v>UN</v>
          </cell>
          <cell r="K718">
            <v>45632</v>
          </cell>
        </row>
        <row r="719">
          <cell r="A719" t="str">
            <v>50800524210</v>
          </cell>
          <cell r="B719" t="str">
            <v>ZMFD</v>
          </cell>
          <cell r="C719">
            <v>45510</v>
          </cell>
          <cell r="D719" t="str">
            <v>Not delivered</v>
          </cell>
          <cell r="E719">
            <v>508005242</v>
          </cell>
          <cell r="F719">
            <v>10</v>
          </cell>
          <cell r="G719">
            <v>1412602</v>
          </cell>
          <cell r="H719" t="str">
            <v>CM-105:CVR/BS MTBLK S/PWRSTAY RV1 PTI30C</v>
          </cell>
          <cell r="I719">
            <v>10080</v>
          </cell>
          <cell r="J719" t="str">
            <v>UN</v>
          </cell>
          <cell r="K719">
            <v>45632</v>
          </cell>
        </row>
        <row r="720">
          <cell r="A720" t="str">
            <v>50800524010</v>
          </cell>
          <cell r="B720" t="str">
            <v>ZMFD</v>
          </cell>
          <cell r="C720">
            <v>45505</v>
          </cell>
          <cell r="D720" t="str">
            <v>Not delivered</v>
          </cell>
          <cell r="E720">
            <v>508005240</v>
          </cell>
          <cell r="F720">
            <v>10</v>
          </cell>
          <cell r="G720">
            <v>1420925</v>
          </cell>
          <cell r="H720" t="str">
            <v>CM-253:CV BS MT ROSE 04 P/C.BLSH PTI40H</v>
          </cell>
          <cell r="I720">
            <v>15000</v>
          </cell>
          <cell r="J720" t="str">
            <v>UN</v>
          </cell>
          <cell r="K720">
            <v>45632</v>
          </cell>
        </row>
        <row r="721">
          <cell r="A721" t="str">
            <v>50800517510</v>
          </cell>
          <cell r="B721" t="str">
            <v>ZMFD</v>
          </cell>
          <cell r="C721">
            <v>45481</v>
          </cell>
          <cell r="D721" t="str">
            <v>Not delivered</v>
          </cell>
          <cell r="E721">
            <v>508005175</v>
          </cell>
          <cell r="F721">
            <v>10</v>
          </cell>
          <cell r="G721">
            <v>1255657</v>
          </cell>
          <cell r="H721" t="str">
            <v>LC-002:BTL MT VAR7 P/WRDH B.MARK PTI40H</v>
          </cell>
          <cell r="I721">
            <v>17000</v>
          </cell>
          <cell r="J721" t="str">
            <v>UN</v>
          </cell>
          <cell r="K721">
            <v>45632</v>
          </cell>
        </row>
        <row r="722">
          <cell r="A722" t="str">
            <v>50800517520</v>
          </cell>
          <cell r="B722" t="str">
            <v>ZMFD</v>
          </cell>
          <cell r="C722">
            <v>45481</v>
          </cell>
          <cell r="D722" t="str">
            <v>Not delivered</v>
          </cell>
          <cell r="E722">
            <v>508005175</v>
          </cell>
          <cell r="F722">
            <v>20</v>
          </cell>
          <cell r="G722">
            <v>1264019</v>
          </cell>
          <cell r="H722" t="str">
            <v>LC-002:CAP S/MTVAR7 STM-WHT WPNAT PTI40D</v>
          </cell>
          <cell r="I722">
            <v>17000</v>
          </cell>
          <cell r="J722" t="str">
            <v>UN</v>
          </cell>
          <cell r="K722">
            <v>45632</v>
          </cell>
        </row>
        <row r="723">
          <cell r="A723" t="str">
            <v>50800517570</v>
          </cell>
          <cell r="B723" t="str">
            <v>ZMFD</v>
          </cell>
          <cell r="C723">
            <v>45481</v>
          </cell>
          <cell r="D723" t="str">
            <v>Not delivered</v>
          </cell>
          <cell r="E723">
            <v>508005175</v>
          </cell>
          <cell r="F723">
            <v>70</v>
          </cell>
          <cell r="G723">
            <v>1255657</v>
          </cell>
          <cell r="H723" t="str">
            <v>LC-002:BTL MT VAR7 P/WRDH B.MARK PTI40H</v>
          </cell>
          <cell r="I723">
            <v>8000</v>
          </cell>
          <cell r="J723" t="str">
            <v>UN</v>
          </cell>
          <cell r="K723">
            <v>45632</v>
          </cell>
        </row>
        <row r="724">
          <cell r="A724" t="str">
            <v>50800517580</v>
          </cell>
          <cell r="B724" t="str">
            <v>ZMFD</v>
          </cell>
          <cell r="C724">
            <v>45481</v>
          </cell>
          <cell r="D724" t="str">
            <v>Not delivered</v>
          </cell>
          <cell r="E724">
            <v>508005175</v>
          </cell>
          <cell r="F724">
            <v>80</v>
          </cell>
          <cell r="G724">
            <v>1264019</v>
          </cell>
          <cell r="H724" t="str">
            <v>LC-002:CAP S/MTVAR7 STM-WHT WPNAT PTI40D</v>
          </cell>
          <cell r="I724">
            <v>8000</v>
          </cell>
          <cell r="J724" t="str">
            <v>UN</v>
          </cell>
          <cell r="K724">
            <v>45632</v>
          </cell>
        </row>
        <row r="725">
          <cell r="A725" t="str">
            <v>50714243210</v>
          </cell>
          <cell r="B725" t="str">
            <v>ZMTD</v>
          </cell>
          <cell r="C725">
            <v>45475</v>
          </cell>
          <cell r="D725" t="str">
            <v>Not delivered</v>
          </cell>
          <cell r="E725">
            <v>507142432</v>
          </cell>
          <cell r="F725">
            <v>10</v>
          </cell>
          <cell r="G725">
            <v>1160336</v>
          </cell>
          <cell r="H725" t="str">
            <v>CP-071:CP8364 TNR WPRL 200 REX IS 763</v>
          </cell>
          <cell r="I725">
            <v>65250</v>
          </cell>
          <cell r="J725" t="str">
            <v>UN</v>
          </cell>
          <cell r="K725">
            <v>45632</v>
          </cell>
        </row>
        <row r="726">
          <cell r="A726" t="str">
            <v>50714243110</v>
          </cell>
          <cell r="B726" t="str">
            <v>ZMTD</v>
          </cell>
          <cell r="C726">
            <v>45475</v>
          </cell>
          <cell r="D726" t="str">
            <v>Not delivered</v>
          </cell>
          <cell r="E726">
            <v>507142431</v>
          </cell>
          <cell r="F726">
            <v>10</v>
          </cell>
          <cell r="G726">
            <v>1160336</v>
          </cell>
          <cell r="H726" t="str">
            <v>CP-071:CP8364 TNR WPRL 200 REX IS 763</v>
          </cell>
          <cell r="I726">
            <v>43500</v>
          </cell>
          <cell r="J726" t="str">
            <v>UN</v>
          </cell>
          <cell r="K726">
            <v>45633</v>
          </cell>
        </row>
        <row r="727">
          <cell r="A727" t="str">
            <v>50714261620</v>
          </cell>
          <cell r="B727" t="str">
            <v>ZMTD</v>
          </cell>
          <cell r="C727">
            <v>45511</v>
          </cell>
          <cell r="D727" t="str">
            <v>Not delivered</v>
          </cell>
          <cell r="E727">
            <v>507142616</v>
          </cell>
          <cell r="F727">
            <v>20</v>
          </cell>
          <cell r="G727">
            <v>1229927</v>
          </cell>
          <cell r="H727" t="str">
            <v>CM-273:INJ WHT 1PHS PURP PRSNAL COLCTION</v>
          </cell>
          <cell r="I727">
            <v>50000</v>
          </cell>
          <cell r="J727" t="str">
            <v>UN</v>
          </cell>
          <cell r="K727">
            <v>45635</v>
          </cell>
        </row>
        <row r="728">
          <cell r="A728" t="str">
            <v>50800530910</v>
          </cell>
          <cell r="B728" t="str">
            <v>ZMFD</v>
          </cell>
          <cell r="C728">
            <v>45569</v>
          </cell>
          <cell r="D728" t="str">
            <v>Not delivered</v>
          </cell>
          <cell r="E728">
            <v>508005309</v>
          </cell>
          <cell r="F728">
            <v>10</v>
          </cell>
          <cell r="G728">
            <v>1255655</v>
          </cell>
          <cell r="H728" t="str">
            <v>LC-002:BTL MT VAR5 P/WRDH B.MARK PTI40H</v>
          </cell>
          <cell r="I728">
            <v>25000</v>
          </cell>
          <cell r="J728" t="str">
            <v>UN</v>
          </cell>
          <cell r="K728">
            <v>45636</v>
          </cell>
        </row>
        <row r="729">
          <cell r="A729" t="str">
            <v>50800530920</v>
          </cell>
          <cell r="B729" t="str">
            <v>ZMFD</v>
          </cell>
          <cell r="C729">
            <v>45569</v>
          </cell>
          <cell r="D729" t="str">
            <v>Not delivered</v>
          </cell>
          <cell r="E729">
            <v>508005309</v>
          </cell>
          <cell r="F729">
            <v>20</v>
          </cell>
          <cell r="G729">
            <v>1264017</v>
          </cell>
          <cell r="H729" t="str">
            <v>LC-002:CAP S/MTVAR5 STM-WHT WPNAT PTI40D</v>
          </cell>
          <cell r="I729">
            <v>25000</v>
          </cell>
          <cell r="J729" t="str">
            <v>UN</v>
          </cell>
          <cell r="K729">
            <v>45636</v>
          </cell>
        </row>
        <row r="730">
          <cell r="A730" t="str">
            <v>50800531310</v>
          </cell>
          <cell r="B730" t="str">
            <v>ZMFD</v>
          </cell>
          <cell r="C730">
            <v>45569</v>
          </cell>
          <cell r="D730" t="str">
            <v>Not delivered</v>
          </cell>
          <cell r="E730">
            <v>508005313</v>
          </cell>
          <cell r="F730">
            <v>10</v>
          </cell>
          <cell r="G730">
            <v>1169047</v>
          </cell>
          <cell r="H730" t="str">
            <v>LS-285:B V/SL P/1PS SLEV H/SL BLM PTI20R</v>
          </cell>
          <cell r="I730">
            <v>25536</v>
          </cell>
          <cell r="J730" t="str">
            <v>UN</v>
          </cell>
          <cell r="K730">
            <v>45636</v>
          </cell>
        </row>
        <row r="731">
          <cell r="A731" t="str">
            <v>50800531320</v>
          </cell>
          <cell r="B731" t="str">
            <v>ZMFD</v>
          </cell>
          <cell r="C731">
            <v>45569</v>
          </cell>
          <cell r="D731" t="str">
            <v>Not delivered</v>
          </cell>
          <cell r="E731">
            <v>508005313</v>
          </cell>
          <cell r="F731">
            <v>20</v>
          </cell>
          <cell r="G731">
            <v>1171160</v>
          </cell>
          <cell r="H731" t="str">
            <v>LS-285:CV TRANS LONG 9 P/1PS VAR7 PTI40H</v>
          </cell>
          <cell r="I731">
            <v>25536</v>
          </cell>
          <cell r="J731" t="str">
            <v>UN</v>
          </cell>
          <cell r="K731">
            <v>45636</v>
          </cell>
        </row>
        <row r="732">
          <cell r="A732" t="str">
            <v>50800529730</v>
          </cell>
          <cell r="B732" t="str">
            <v>ZMFD</v>
          </cell>
          <cell r="C732">
            <v>45565</v>
          </cell>
          <cell r="D732" t="str">
            <v>Not delivered</v>
          </cell>
          <cell r="E732">
            <v>508005297</v>
          </cell>
          <cell r="F732">
            <v>30</v>
          </cell>
          <cell r="G732">
            <v>1419488</v>
          </cell>
          <cell r="H732" t="str">
            <v>CP-063R:SPOUT CAP WHITE LOREAL 12A</v>
          </cell>
          <cell r="I732">
            <v>1890000</v>
          </cell>
          <cell r="J732" t="str">
            <v>UN</v>
          </cell>
          <cell r="K732">
            <v>45636</v>
          </cell>
        </row>
        <row r="733">
          <cell r="A733" t="str">
            <v>50714276440</v>
          </cell>
          <cell r="B733" t="str">
            <v>ZMTD</v>
          </cell>
          <cell r="C733">
            <v>45552</v>
          </cell>
          <cell r="D733" t="str">
            <v>Not delivered</v>
          </cell>
          <cell r="E733">
            <v>507142764</v>
          </cell>
          <cell r="F733">
            <v>40</v>
          </cell>
          <cell r="G733">
            <v>1211756</v>
          </cell>
          <cell r="H733" t="str">
            <v>CM-246:COVER VM SHNY SLV ALMOST PWD</v>
          </cell>
          <cell r="I733">
            <v>120120</v>
          </cell>
          <cell r="J733" t="str">
            <v>UN</v>
          </cell>
          <cell r="K733">
            <v>45636</v>
          </cell>
        </row>
        <row r="734">
          <cell r="A734" t="str">
            <v>50800526220</v>
          </cell>
          <cell r="B734" t="str">
            <v>ZMFD</v>
          </cell>
          <cell r="C734">
            <v>45524</v>
          </cell>
          <cell r="D734" t="str">
            <v>Not delivered</v>
          </cell>
          <cell r="E734">
            <v>508005262</v>
          </cell>
          <cell r="F734">
            <v>20</v>
          </cell>
          <cell r="G734">
            <v>1163327</v>
          </cell>
          <cell r="H734" t="str">
            <v>CM-246:CVR S.SLV PAN WHITE 6MPY 01 0034</v>
          </cell>
          <cell r="I734">
            <v>25056</v>
          </cell>
          <cell r="J734" t="str">
            <v>UN</v>
          </cell>
          <cell r="K734">
            <v>45636</v>
          </cell>
        </row>
        <row r="735">
          <cell r="A735" t="str">
            <v>50800525720</v>
          </cell>
          <cell r="B735" t="str">
            <v>ZMFD</v>
          </cell>
          <cell r="C735">
            <v>45518</v>
          </cell>
          <cell r="D735" t="str">
            <v>Not delivered</v>
          </cell>
          <cell r="E735">
            <v>508005257</v>
          </cell>
          <cell r="F735">
            <v>20</v>
          </cell>
          <cell r="G735">
            <v>1409881</v>
          </cell>
          <cell r="H735" t="str">
            <v>CM-315:CVR/BS BLACK P/CVRLAST OMG RV160B</v>
          </cell>
          <cell r="I735">
            <v>150304</v>
          </cell>
          <cell r="J735" t="str">
            <v>UN</v>
          </cell>
          <cell r="K735">
            <v>45636</v>
          </cell>
        </row>
        <row r="736">
          <cell r="A736" t="str">
            <v>50800525270</v>
          </cell>
          <cell r="B736" t="str">
            <v>ZMFD</v>
          </cell>
          <cell r="C736">
            <v>45512</v>
          </cell>
          <cell r="D736" t="str">
            <v>Not delivered</v>
          </cell>
          <cell r="E736">
            <v>508005252</v>
          </cell>
          <cell r="F736">
            <v>70</v>
          </cell>
          <cell r="G736">
            <v>1382368</v>
          </cell>
          <cell r="H736" t="str">
            <v>CP-067R:FT CAP35 SNAP BLK MATTE  Ø5 LRL</v>
          </cell>
          <cell r="I736">
            <v>440000</v>
          </cell>
          <cell r="J736" t="str">
            <v>UN</v>
          </cell>
          <cell r="K736">
            <v>45636</v>
          </cell>
        </row>
        <row r="737">
          <cell r="A737" t="str">
            <v>50800493070</v>
          </cell>
          <cell r="B737" t="str">
            <v>ZMFD</v>
          </cell>
          <cell r="C737">
            <v>45364</v>
          </cell>
          <cell r="D737" t="str">
            <v>Not delivered</v>
          </cell>
          <cell r="E737">
            <v>508004930</v>
          </cell>
          <cell r="F737">
            <v>70</v>
          </cell>
          <cell r="G737">
            <v>1159912</v>
          </cell>
          <cell r="H737" t="str">
            <v>CP-064:CAP 25 SCREW BLK MT L'OREAL</v>
          </cell>
          <cell r="I737">
            <v>252000</v>
          </cell>
          <cell r="J737" t="str">
            <v>UN</v>
          </cell>
          <cell r="K737">
            <v>45636</v>
          </cell>
        </row>
        <row r="738">
          <cell r="A738" t="str">
            <v>50714286110</v>
          </cell>
          <cell r="B738" t="str">
            <v>ZMTD</v>
          </cell>
          <cell r="C738">
            <v>45573</v>
          </cell>
          <cell r="D738" t="str">
            <v>Not delivered</v>
          </cell>
          <cell r="E738">
            <v>507142861</v>
          </cell>
          <cell r="F738">
            <v>10</v>
          </cell>
          <cell r="G738">
            <v>1271753</v>
          </cell>
          <cell r="H738" t="str">
            <v>CM-253:3PC INJ WHT CVR TRNSP 1P DC CONTH</v>
          </cell>
          <cell r="I738">
            <v>50220</v>
          </cell>
          <cell r="J738" t="str">
            <v>UN</v>
          </cell>
          <cell r="K738">
            <v>45637</v>
          </cell>
        </row>
        <row r="739">
          <cell r="A739" t="str">
            <v>50714286040</v>
          </cell>
          <cell r="B739" t="str">
            <v>ZMTD</v>
          </cell>
          <cell r="C739">
            <v>45572</v>
          </cell>
          <cell r="D739" t="str">
            <v>Not delivered</v>
          </cell>
          <cell r="E739">
            <v>507142860</v>
          </cell>
          <cell r="F739">
            <v>40</v>
          </cell>
          <cell r="G739">
            <v>1376248</v>
          </cell>
          <cell r="H739" t="str">
            <v>FP-008:CVR L.PINK P/BLK MANDOM RV1 12A</v>
          </cell>
          <cell r="I739">
            <v>10000</v>
          </cell>
          <cell r="J739" t="str">
            <v>UN</v>
          </cell>
          <cell r="K739">
            <v>45637</v>
          </cell>
        </row>
        <row r="740">
          <cell r="A740" t="str">
            <v>50714286050</v>
          </cell>
          <cell r="B740" t="str">
            <v>ZMTD</v>
          </cell>
          <cell r="C740">
            <v>45572</v>
          </cell>
          <cell r="D740" t="str">
            <v>Not delivered</v>
          </cell>
          <cell r="E740">
            <v>507142860</v>
          </cell>
          <cell r="F740">
            <v>50</v>
          </cell>
          <cell r="G740">
            <v>1171179</v>
          </cell>
          <cell r="H740" t="str">
            <v>FP-008:BS INJ BLK NO DC MANDOM</v>
          </cell>
          <cell r="I740">
            <v>10000</v>
          </cell>
          <cell r="J740" t="str">
            <v>UN</v>
          </cell>
          <cell r="K740">
            <v>45637</v>
          </cell>
        </row>
        <row r="741">
          <cell r="A741" t="str">
            <v>50714286060</v>
          </cell>
          <cell r="B741" t="str">
            <v>ZMTD</v>
          </cell>
          <cell r="C741">
            <v>45572</v>
          </cell>
          <cell r="D741" t="str">
            <v>Not delivered</v>
          </cell>
          <cell r="E741">
            <v>507142860</v>
          </cell>
          <cell r="F741">
            <v>60</v>
          </cell>
          <cell r="G741">
            <v>1172027</v>
          </cell>
          <cell r="H741" t="str">
            <v>FP-008:SFT NAT L.HINGE W/LBL NO DC MDM</v>
          </cell>
          <cell r="I741">
            <v>10000</v>
          </cell>
          <cell r="J741" t="str">
            <v>UN</v>
          </cell>
          <cell r="K741">
            <v>45637</v>
          </cell>
        </row>
        <row r="742">
          <cell r="A742" t="str">
            <v>50800530230</v>
          </cell>
          <cell r="B742" t="str">
            <v>ZMFD</v>
          </cell>
          <cell r="C742">
            <v>45568</v>
          </cell>
          <cell r="D742" t="str">
            <v>Not delivered</v>
          </cell>
          <cell r="E742">
            <v>508005302</v>
          </cell>
          <cell r="F742">
            <v>30</v>
          </cell>
          <cell r="G742">
            <v>1408740</v>
          </cell>
          <cell r="H742" t="str">
            <v>PT-097B:BDSR.2 BLU HOUS WHT TRNS PTI12A</v>
          </cell>
          <cell r="I742">
            <v>190000</v>
          </cell>
          <cell r="J742" t="str">
            <v>UN</v>
          </cell>
          <cell r="K742">
            <v>45637</v>
          </cell>
        </row>
        <row r="743">
          <cell r="A743" t="str">
            <v>50800530240</v>
          </cell>
          <cell r="B743" t="str">
            <v>ZMFD</v>
          </cell>
          <cell r="C743">
            <v>45568</v>
          </cell>
          <cell r="D743" t="str">
            <v>Not delivered</v>
          </cell>
          <cell r="E743">
            <v>508005302</v>
          </cell>
          <cell r="F743">
            <v>40</v>
          </cell>
          <cell r="G743">
            <v>1408739</v>
          </cell>
          <cell r="H743" t="str">
            <v>PT-097B:CAP SR.2 BLUE TRANS PTI 12A</v>
          </cell>
          <cell r="I743">
            <v>190000</v>
          </cell>
          <cell r="J743" t="str">
            <v>UN</v>
          </cell>
          <cell r="K743">
            <v>45637</v>
          </cell>
        </row>
        <row r="744">
          <cell r="A744" t="str">
            <v>50714284430</v>
          </cell>
          <cell r="B744" t="str">
            <v>ZMTD</v>
          </cell>
          <cell r="C744">
            <v>45566</v>
          </cell>
          <cell r="D744" t="str">
            <v>Not delivered</v>
          </cell>
          <cell r="E744">
            <v>507142844</v>
          </cell>
          <cell r="F744">
            <v>30</v>
          </cell>
          <cell r="G744">
            <v>1404888</v>
          </cell>
          <cell r="H744" t="str">
            <v>LS-091:BS MGNTA P/SHEER COLOR ROHTO 60B</v>
          </cell>
          <cell r="I744">
            <v>40508</v>
          </cell>
          <cell r="J744" t="str">
            <v>UN</v>
          </cell>
          <cell r="K744">
            <v>45637</v>
          </cell>
        </row>
        <row r="745">
          <cell r="A745" t="str">
            <v>50714284440</v>
          </cell>
          <cell r="B745" t="str">
            <v>ZMTD</v>
          </cell>
          <cell r="C745">
            <v>45566</v>
          </cell>
          <cell r="D745" t="str">
            <v>Not delivered</v>
          </cell>
          <cell r="E745">
            <v>507142844</v>
          </cell>
          <cell r="F745">
            <v>40</v>
          </cell>
          <cell r="G745">
            <v>1407563</v>
          </cell>
          <cell r="H745" t="str">
            <v>LS-091:CVR MGNTA GRAD UV P/STRWBRY ROHTO</v>
          </cell>
          <cell r="I745">
            <v>40508</v>
          </cell>
          <cell r="J745" t="str">
            <v>UN</v>
          </cell>
          <cell r="K745">
            <v>45637</v>
          </cell>
        </row>
        <row r="746">
          <cell r="A746" t="str">
            <v>50800527130</v>
          </cell>
          <cell r="B746" t="str">
            <v>ZMFD</v>
          </cell>
          <cell r="C746">
            <v>45538</v>
          </cell>
          <cell r="D746" t="str">
            <v>Not delivered</v>
          </cell>
          <cell r="E746">
            <v>508005271</v>
          </cell>
          <cell r="F746">
            <v>30</v>
          </cell>
          <cell r="G746">
            <v>1411701</v>
          </cell>
          <cell r="H746" t="str">
            <v>PT-100:BS/INS BLUE P/WHT KAHF PTI 60B</v>
          </cell>
          <cell r="I746">
            <v>180000</v>
          </cell>
          <cell r="J746" t="str">
            <v>UN</v>
          </cell>
          <cell r="K746">
            <v>45637</v>
          </cell>
        </row>
        <row r="747">
          <cell r="A747" t="str">
            <v>50800527140</v>
          </cell>
          <cell r="B747" t="str">
            <v>ZMFD</v>
          </cell>
          <cell r="C747">
            <v>45538</v>
          </cell>
          <cell r="D747" t="str">
            <v>Not delivered</v>
          </cell>
          <cell r="E747">
            <v>508005271</v>
          </cell>
          <cell r="F747">
            <v>40</v>
          </cell>
          <cell r="G747">
            <v>1411700</v>
          </cell>
          <cell r="H747" t="str">
            <v>PT-100:CVR MT.BLUE EMBOS KAHF PTI 40D</v>
          </cell>
          <cell r="I747">
            <v>180000</v>
          </cell>
          <cell r="J747" t="str">
            <v>UN</v>
          </cell>
          <cell r="K747">
            <v>45637</v>
          </cell>
        </row>
        <row r="748">
          <cell r="A748" t="str">
            <v>50800525950</v>
          </cell>
          <cell r="B748" t="str">
            <v>ZMFD</v>
          </cell>
          <cell r="C748">
            <v>45523</v>
          </cell>
          <cell r="D748" t="str">
            <v>Not delivered</v>
          </cell>
          <cell r="E748">
            <v>508005259</v>
          </cell>
          <cell r="F748">
            <v>50</v>
          </cell>
          <cell r="G748">
            <v>1168132</v>
          </cell>
          <cell r="H748" t="str">
            <v>LS-285:BS WHT NO DC WARDAH</v>
          </cell>
          <cell r="I748">
            <v>25000</v>
          </cell>
          <cell r="J748" t="str">
            <v>UN</v>
          </cell>
          <cell r="K748">
            <v>45637</v>
          </cell>
        </row>
        <row r="749">
          <cell r="A749" t="str">
            <v>50800525960</v>
          </cell>
          <cell r="B749" t="str">
            <v>ZMFD</v>
          </cell>
          <cell r="C749">
            <v>45523</v>
          </cell>
          <cell r="D749" t="str">
            <v>Not delivered</v>
          </cell>
          <cell r="E749">
            <v>508005259</v>
          </cell>
          <cell r="F749">
            <v>60</v>
          </cell>
          <cell r="G749">
            <v>1421509</v>
          </cell>
          <cell r="H749" t="str">
            <v>LS-285:CV ORNG P/WHT UV ORGSQUEZE PTI30O</v>
          </cell>
          <cell r="I749">
            <v>25000</v>
          </cell>
          <cell r="J749" t="str">
            <v>UN</v>
          </cell>
          <cell r="K749">
            <v>45637</v>
          </cell>
        </row>
        <row r="750">
          <cell r="A750" t="str">
            <v>50800529740</v>
          </cell>
          <cell r="B750" t="str">
            <v>ZMFD</v>
          </cell>
          <cell r="C750">
            <v>45565</v>
          </cell>
          <cell r="D750" t="str">
            <v>Not delivered</v>
          </cell>
          <cell r="E750">
            <v>508005297</v>
          </cell>
          <cell r="F750">
            <v>40</v>
          </cell>
          <cell r="G750">
            <v>1419488</v>
          </cell>
          <cell r="H750" t="str">
            <v>CP-063R:SPOUT CAP WHITE LOREAL 12A</v>
          </cell>
          <cell r="I750">
            <v>1890000</v>
          </cell>
          <cell r="J750" t="str">
            <v>UN</v>
          </cell>
          <cell r="K750">
            <v>45638</v>
          </cell>
        </row>
        <row r="751">
          <cell r="A751" t="str">
            <v>50714279220</v>
          </cell>
          <cell r="B751" t="str">
            <v>ZMTD</v>
          </cell>
          <cell r="C751">
            <v>45555</v>
          </cell>
          <cell r="D751" t="str">
            <v>Not delivered</v>
          </cell>
          <cell r="E751">
            <v>507142792</v>
          </cell>
          <cell r="F751">
            <v>20</v>
          </cell>
          <cell r="G751">
            <v>1406600</v>
          </cell>
          <cell r="H751" t="str">
            <v>CM-310:BLACK M086 CANNAGE S/SLV UV MT</v>
          </cell>
          <cell r="I751">
            <v>39000</v>
          </cell>
          <cell r="J751" t="str">
            <v>UN</v>
          </cell>
          <cell r="K751">
            <v>45638</v>
          </cell>
        </row>
        <row r="752">
          <cell r="A752" t="str">
            <v>50800523330</v>
          </cell>
          <cell r="B752" t="str">
            <v>ZMFD</v>
          </cell>
          <cell r="C752">
            <v>45504</v>
          </cell>
          <cell r="D752" t="str">
            <v>Not delivered</v>
          </cell>
          <cell r="E752">
            <v>508005233</v>
          </cell>
          <cell r="F752">
            <v>30</v>
          </cell>
          <cell r="G752">
            <v>1169152</v>
          </cell>
          <cell r="H752" t="str">
            <v>CM-295:SQUARE COMPACT&amp;GODET PHHT010032</v>
          </cell>
          <cell r="I752">
            <v>20040</v>
          </cell>
          <cell r="J752" t="str">
            <v>UN</v>
          </cell>
          <cell r="K752">
            <v>45638</v>
          </cell>
        </row>
        <row r="753">
          <cell r="A753" t="str">
            <v>50714254840</v>
          </cell>
          <cell r="B753" t="str">
            <v>ZMTD</v>
          </cell>
          <cell r="C753">
            <v>45492</v>
          </cell>
          <cell r="D753" t="str">
            <v>Not delivered</v>
          </cell>
          <cell r="E753">
            <v>507142548</v>
          </cell>
          <cell r="F753">
            <v>40</v>
          </cell>
          <cell r="G753">
            <v>1182817</v>
          </cell>
          <cell r="H753" t="str">
            <v>FP-014:JAR P/BLACK ALMAY</v>
          </cell>
          <cell r="I753">
            <v>25056</v>
          </cell>
          <cell r="J753" t="str">
            <v>UN</v>
          </cell>
          <cell r="K753">
            <v>45638</v>
          </cell>
        </row>
        <row r="754">
          <cell r="A754" t="str">
            <v>50714254850</v>
          </cell>
          <cell r="B754" t="str">
            <v>ZMTD</v>
          </cell>
          <cell r="C754">
            <v>45492</v>
          </cell>
          <cell r="D754" t="str">
            <v>Not delivered</v>
          </cell>
          <cell r="E754">
            <v>507142548</v>
          </cell>
          <cell r="F754">
            <v>50</v>
          </cell>
          <cell r="G754">
            <v>1171483</v>
          </cell>
          <cell r="H754" t="str">
            <v>FP-014:COVER GREY MATTE IN MOLD REVLON</v>
          </cell>
          <cell r="I754">
            <v>34992</v>
          </cell>
          <cell r="J754" t="str">
            <v>UN</v>
          </cell>
          <cell r="K754">
            <v>45638</v>
          </cell>
        </row>
        <row r="755">
          <cell r="A755" t="str">
            <v>50800510510</v>
          </cell>
          <cell r="B755" t="str">
            <v>ZMFD</v>
          </cell>
          <cell r="C755">
            <v>45449</v>
          </cell>
          <cell r="D755" t="str">
            <v>Not delivered</v>
          </cell>
          <cell r="E755">
            <v>508005105</v>
          </cell>
          <cell r="F755">
            <v>10</v>
          </cell>
          <cell r="G755">
            <v>1389671</v>
          </cell>
          <cell r="H755" t="str">
            <v>CM-294:GODET OPEN SECRET G0SA-01-0092</v>
          </cell>
          <cell r="I755">
            <v>10472</v>
          </cell>
          <cell r="J755" t="str">
            <v>UN</v>
          </cell>
          <cell r="K755">
            <v>45638</v>
          </cell>
        </row>
        <row r="756">
          <cell r="A756" t="str">
            <v>50800510610</v>
          </cell>
          <cell r="B756" t="str">
            <v>ZMFD</v>
          </cell>
          <cell r="C756">
            <v>45449</v>
          </cell>
          <cell r="D756" t="str">
            <v>Not delivered</v>
          </cell>
          <cell r="E756">
            <v>508005106</v>
          </cell>
          <cell r="F756">
            <v>10</v>
          </cell>
          <cell r="G756">
            <v>1389249</v>
          </cell>
          <cell r="H756" t="str">
            <v>CM-295:GODET GALLERY HOPE G85W-01-0091</v>
          </cell>
          <cell r="I756">
            <v>10472</v>
          </cell>
          <cell r="J756" t="str">
            <v>UN</v>
          </cell>
          <cell r="K756">
            <v>45638</v>
          </cell>
        </row>
        <row r="757">
          <cell r="A757" t="str">
            <v>50800530330</v>
          </cell>
          <cell r="B757" t="str">
            <v>ZMFD</v>
          </cell>
          <cell r="C757">
            <v>45568</v>
          </cell>
          <cell r="D757" t="str">
            <v>Not delivered</v>
          </cell>
          <cell r="E757">
            <v>508005303</v>
          </cell>
          <cell r="F757">
            <v>30</v>
          </cell>
          <cell r="G757">
            <v>1430094</v>
          </cell>
          <cell r="H757" t="str">
            <v>LS-285:BS BLUE NO DC WARDAH PTI 12A</v>
          </cell>
          <cell r="I757">
            <v>25536</v>
          </cell>
          <cell r="J757" t="str">
            <v>UN</v>
          </cell>
          <cell r="K757">
            <v>45639</v>
          </cell>
        </row>
        <row r="758">
          <cell r="A758" t="str">
            <v>50800530340</v>
          </cell>
          <cell r="B758" t="str">
            <v>ZMFD</v>
          </cell>
          <cell r="C758">
            <v>45568</v>
          </cell>
          <cell r="D758" t="str">
            <v>Not delivered</v>
          </cell>
          <cell r="E758">
            <v>508005303</v>
          </cell>
          <cell r="F758">
            <v>40</v>
          </cell>
          <cell r="G758">
            <v>1430093</v>
          </cell>
          <cell r="H758" t="str">
            <v>LS-285:CV MT.TR BLUE P/SHERCLEAR PTI 40H</v>
          </cell>
          <cell r="I758">
            <v>25536</v>
          </cell>
          <cell r="J758" t="str">
            <v>UN</v>
          </cell>
          <cell r="K758">
            <v>45639</v>
          </cell>
        </row>
        <row r="759">
          <cell r="A759" t="str">
            <v>50800529750</v>
          </cell>
          <cell r="B759" t="str">
            <v>ZMFD</v>
          </cell>
          <cell r="C759">
            <v>45565</v>
          </cell>
          <cell r="D759" t="str">
            <v>Not delivered</v>
          </cell>
          <cell r="E759">
            <v>508005297</v>
          </cell>
          <cell r="F759">
            <v>50</v>
          </cell>
          <cell r="G759">
            <v>1419488</v>
          </cell>
          <cell r="H759" t="str">
            <v>CP-063R:SPOUT CAP WHITE LOREAL 12A</v>
          </cell>
          <cell r="I759">
            <v>1890000</v>
          </cell>
          <cell r="J759" t="str">
            <v>UN</v>
          </cell>
          <cell r="K759">
            <v>45639</v>
          </cell>
        </row>
        <row r="760">
          <cell r="A760" t="str">
            <v>50800526810</v>
          </cell>
          <cell r="B760" t="str">
            <v>ZMFD</v>
          </cell>
          <cell r="C760">
            <v>45532</v>
          </cell>
          <cell r="D760" t="str">
            <v>Not delivered</v>
          </cell>
          <cell r="E760">
            <v>508005268</v>
          </cell>
          <cell r="F760">
            <v>10</v>
          </cell>
          <cell r="G760">
            <v>1284957</v>
          </cell>
          <cell r="H760" t="str">
            <v>CM-244:WHITE U/CLR  S/SLVR ZGNC010031 EL</v>
          </cell>
          <cell r="I760">
            <v>10080</v>
          </cell>
          <cell r="J760" t="str">
            <v>UN</v>
          </cell>
          <cell r="K760">
            <v>45639</v>
          </cell>
        </row>
        <row r="761">
          <cell r="A761" t="str">
            <v>50800509320</v>
          </cell>
          <cell r="B761" t="str">
            <v>ZMFD</v>
          </cell>
          <cell r="C761">
            <v>45449</v>
          </cell>
          <cell r="D761" t="str">
            <v>Not delivered</v>
          </cell>
          <cell r="E761">
            <v>508005093</v>
          </cell>
          <cell r="F761">
            <v>20</v>
          </cell>
          <cell r="G761">
            <v>1390354</v>
          </cell>
          <cell r="H761" t="str">
            <v>CM-294:GODET REBELL. ROSE G0S4-01-0092</v>
          </cell>
          <cell r="I761">
            <v>10472</v>
          </cell>
          <cell r="J761" t="str">
            <v>UN</v>
          </cell>
          <cell r="K761">
            <v>45639</v>
          </cell>
        </row>
        <row r="762">
          <cell r="A762" t="str">
            <v>50800509420</v>
          </cell>
          <cell r="B762" t="str">
            <v>ZMFD</v>
          </cell>
          <cell r="C762">
            <v>45449</v>
          </cell>
          <cell r="D762" t="str">
            <v>Not delivered</v>
          </cell>
          <cell r="E762">
            <v>508005094</v>
          </cell>
          <cell r="F762">
            <v>20</v>
          </cell>
          <cell r="G762">
            <v>1388946</v>
          </cell>
          <cell r="H762" t="str">
            <v>CM-294:GODET PINK KISS G0S4-02-0092</v>
          </cell>
          <cell r="I762">
            <v>10472</v>
          </cell>
          <cell r="J762" t="str">
            <v>UN</v>
          </cell>
          <cell r="K762">
            <v>45639</v>
          </cell>
        </row>
        <row r="763">
          <cell r="A763" t="str">
            <v>50800509620</v>
          </cell>
          <cell r="B763" t="str">
            <v>ZMFD</v>
          </cell>
          <cell r="C763">
            <v>45449</v>
          </cell>
          <cell r="D763" t="str">
            <v>Not delivered</v>
          </cell>
          <cell r="E763">
            <v>508005096</v>
          </cell>
          <cell r="F763">
            <v>20</v>
          </cell>
          <cell r="G763">
            <v>1389067</v>
          </cell>
          <cell r="H763" t="str">
            <v>CM-294:GODET MAGNETIC GLOW G0S4-04-0092</v>
          </cell>
          <cell r="I763">
            <v>10472</v>
          </cell>
          <cell r="J763" t="str">
            <v>UN</v>
          </cell>
          <cell r="K763">
            <v>45639</v>
          </cell>
        </row>
        <row r="764">
          <cell r="A764" t="str">
            <v>50800508210</v>
          </cell>
          <cell r="B764" t="str">
            <v>ZMFD</v>
          </cell>
          <cell r="C764">
            <v>45436</v>
          </cell>
          <cell r="D764" t="str">
            <v>Not delivered</v>
          </cell>
          <cell r="E764">
            <v>508005082</v>
          </cell>
          <cell r="F764">
            <v>10</v>
          </cell>
          <cell r="G764">
            <v>1331787</v>
          </cell>
          <cell r="H764" t="str">
            <v>CM-216:TRUE MATCH BLUSH W/O BRUSH LOR US</v>
          </cell>
          <cell r="I764">
            <v>174200</v>
          </cell>
          <cell r="J764" t="str">
            <v>UN</v>
          </cell>
          <cell r="K764">
            <v>45639</v>
          </cell>
        </row>
        <row r="765">
          <cell r="A765" t="str">
            <v>50714284810</v>
          </cell>
          <cell r="B765" t="str">
            <v>ZMTD</v>
          </cell>
          <cell r="C765">
            <v>45567</v>
          </cell>
          <cell r="D765" t="str">
            <v>Not delivered</v>
          </cell>
          <cell r="E765">
            <v>507142848</v>
          </cell>
          <cell r="F765">
            <v>10</v>
          </cell>
          <cell r="G765">
            <v>1135699</v>
          </cell>
          <cell r="H765" t="str">
            <v>CM-298:MATCH MADE BRONZER</v>
          </cell>
          <cell r="I765">
            <v>21200</v>
          </cell>
          <cell r="J765" t="str">
            <v>UN</v>
          </cell>
          <cell r="K765">
            <v>45640</v>
          </cell>
        </row>
        <row r="766">
          <cell r="A766" t="str">
            <v>50714284910</v>
          </cell>
          <cell r="B766" t="str">
            <v>ZMTD</v>
          </cell>
          <cell r="C766">
            <v>45567</v>
          </cell>
          <cell r="D766" t="str">
            <v>Not delivered</v>
          </cell>
          <cell r="E766">
            <v>507142849</v>
          </cell>
          <cell r="F766">
            <v>10</v>
          </cell>
          <cell r="G766">
            <v>1181524</v>
          </cell>
          <cell r="H766" t="str">
            <v>CM-297:WHITE PERFECT LIGHT PP BOOTS</v>
          </cell>
          <cell r="I766">
            <v>25032</v>
          </cell>
          <cell r="J766" t="str">
            <v>UN</v>
          </cell>
          <cell r="K766">
            <v>45640</v>
          </cell>
        </row>
        <row r="767">
          <cell r="A767" t="str">
            <v>50800531230</v>
          </cell>
          <cell r="B767" t="str">
            <v>ZMFD</v>
          </cell>
          <cell r="C767">
            <v>45569</v>
          </cell>
          <cell r="D767" t="str">
            <v>Not delivered</v>
          </cell>
          <cell r="E767">
            <v>508005312</v>
          </cell>
          <cell r="F767">
            <v>30</v>
          </cell>
          <cell r="G767">
            <v>1153319</v>
          </cell>
          <cell r="H767" t="str">
            <v>LS-285:BS/SPRL BEIGE P/WRDH PTI 40H</v>
          </cell>
          <cell r="I767">
            <v>25000</v>
          </cell>
          <cell r="J767" t="str">
            <v>UN</v>
          </cell>
          <cell r="K767">
            <v>45642</v>
          </cell>
        </row>
        <row r="768">
          <cell r="A768" t="str">
            <v>50800531240</v>
          </cell>
          <cell r="B768" t="str">
            <v>ZMFD</v>
          </cell>
          <cell r="C768">
            <v>45569</v>
          </cell>
          <cell r="D768" t="str">
            <v>Not delivered</v>
          </cell>
          <cell r="E768">
            <v>508005312</v>
          </cell>
          <cell r="F768">
            <v>40</v>
          </cell>
          <cell r="G768">
            <v>1153468</v>
          </cell>
          <cell r="H768" t="str">
            <v>LS-285:CVR MT BEIGE P/S.JEJU PTI 40H</v>
          </cell>
          <cell r="I768">
            <v>25000</v>
          </cell>
          <cell r="J768" t="str">
            <v>UN</v>
          </cell>
          <cell r="K768">
            <v>45642</v>
          </cell>
        </row>
        <row r="769">
          <cell r="A769" t="str">
            <v>50800529760</v>
          </cell>
          <cell r="B769" t="str">
            <v>ZMFD</v>
          </cell>
          <cell r="C769">
            <v>45565</v>
          </cell>
          <cell r="D769" t="str">
            <v>Not delivered</v>
          </cell>
          <cell r="E769">
            <v>508005297</v>
          </cell>
          <cell r="F769">
            <v>60</v>
          </cell>
          <cell r="G769">
            <v>1419488</v>
          </cell>
          <cell r="H769" t="str">
            <v>CP-063R:SPOUT CAP WHITE LOREAL 12A</v>
          </cell>
          <cell r="I769">
            <v>1890000</v>
          </cell>
          <cell r="J769" t="str">
            <v>UN</v>
          </cell>
          <cell r="K769">
            <v>45642</v>
          </cell>
        </row>
        <row r="770">
          <cell r="A770" t="str">
            <v>50714271710</v>
          </cell>
          <cell r="B770" t="str">
            <v>ZMTD</v>
          </cell>
          <cell r="C770">
            <v>45538</v>
          </cell>
          <cell r="D770" t="str">
            <v>Not delivered</v>
          </cell>
          <cell r="E770">
            <v>507142717</v>
          </cell>
          <cell r="F770">
            <v>10</v>
          </cell>
          <cell r="G770">
            <v>1435161</v>
          </cell>
          <cell r="H770" t="str">
            <v>CP-095:BLACK U/CLEAR CHRISTMAS 25</v>
          </cell>
          <cell r="I770">
            <v>29160</v>
          </cell>
          <cell r="J770" t="str">
            <v>UN</v>
          </cell>
          <cell r="K770">
            <v>45642</v>
          </cell>
        </row>
        <row r="771">
          <cell r="A771" t="str">
            <v>50800514950</v>
          </cell>
          <cell r="B771" t="str">
            <v>ZMFD</v>
          </cell>
          <cell r="C771">
            <v>45464</v>
          </cell>
          <cell r="D771" t="str">
            <v>Not delivered</v>
          </cell>
          <cell r="E771">
            <v>508005149</v>
          </cell>
          <cell r="F771">
            <v>50</v>
          </cell>
          <cell r="G771">
            <v>1378563</v>
          </cell>
          <cell r="H771" t="str">
            <v>CP-093:CAP D50 MT BLACK Ø.5 YASULOR 12A</v>
          </cell>
          <cell r="I771">
            <v>600000</v>
          </cell>
          <cell r="J771" t="str">
            <v>UN</v>
          </cell>
          <cell r="K771">
            <v>45642</v>
          </cell>
        </row>
        <row r="772">
          <cell r="A772" t="str">
            <v>50714131990</v>
          </cell>
          <cell r="B772" t="str">
            <v>ZMTD</v>
          </cell>
          <cell r="C772">
            <v>45247</v>
          </cell>
          <cell r="D772" t="str">
            <v>Not delivered</v>
          </cell>
          <cell r="E772">
            <v>507141319</v>
          </cell>
          <cell r="F772">
            <v>90</v>
          </cell>
          <cell r="G772">
            <v>1383698</v>
          </cell>
          <cell r="H772" t="str">
            <v>PT-098:CVR WHT PLUG NAT NDC MENTARI 12A</v>
          </cell>
          <cell r="I772">
            <v>1800</v>
          </cell>
          <cell r="J772" t="str">
            <v>UN</v>
          </cell>
          <cell r="K772">
            <v>45642</v>
          </cell>
        </row>
        <row r="773">
          <cell r="A773" t="str">
            <v>507141319100</v>
          </cell>
          <cell r="B773" t="str">
            <v>ZMTD</v>
          </cell>
          <cell r="C773">
            <v>45247</v>
          </cell>
          <cell r="D773" t="str">
            <v>Not delivered</v>
          </cell>
          <cell r="E773">
            <v>507141319</v>
          </cell>
          <cell r="F773">
            <v>100</v>
          </cell>
          <cell r="G773">
            <v>1383699</v>
          </cell>
          <cell r="H773" t="str">
            <v>PT-098:BS CLR REFIL WHT 12.5G MENTARI12A</v>
          </cell>
          <cell r="I773">
            <v>1800</v>
          </cell>
          <cell r="J773" t="str">
            <v>UN</v>
          </cell>
          <cell r="K773">
            <v>45642</v>
          </cell>
        </row>
        <row r="774">
          <cell r="A774" t="str">
            <v>50800529410</v>
          </cell>
          <cell r="B774" t="str">
            <v>ZMFD</v>
          </cell>
          <cell r="C774">
            <v>45560</v>
          </cell>
          <cell r="D774" t="str">
            <v>Not delivered</v>
          </cell>
          <cell r="E774">
            <v>508005294</v>
          </cell>
          <cell r="F774">
            <v>10</v>
          </cell>
          <cell r="G774">
            <v>1286626</v>
          </cell>
          <cell r="H774" t="str">
            <v>FP-038:BASE AMBER GWLT010705 EL</v>
          </cell>
          <cell r="I774">
            <v>25020</v>
          </cell>
          <cell r="J774" t="str">
            <v>UN</v>
          </cell>
          <cell r="K774">
            <v>45643</v>
          </cell>
        </row>
        <row r="775">
          <cell r="A775" t="str">
            <v>50800528610</v>
          </cell>
          <cell r="B775" t="str">
            <v>ZMFD</v>
          </cell>
          <cell r="C775">
            <v>45558</v>
          </cell>
          <cell r="D775" t="str">
            <v>Not delivered</v>
          </cell>
          <cell r="E775">
            <v>508005286</v>
          </cell>
          <cell r="F775">
            <v>10</v>
          </cell>
          <cell r="G775">
            <v>1170578</v>
          </cell>
          <cell r="H775" t="str">
            <v>FP-029:CAP VM GOLD S/MATTE REEY010073</v>
          </cell>
          <cell r="I775">
            <v>25080</v>
          </cell>
          <cell r="J775" t="str">
            <v>UN</v>
          </cell>
          <cell r="K775">
            <v>45643</v>
          </cell>
        </row>
        <row r="776">
          <cell r="A776" t="str">
            <v>50714286070</v>
          </cell>
          <cell r="B776" t="str">
            <v>ZMTD</v>
          </cell>
          <cell r="C776">
            <v>45572</v>
          </cell>
          <cell r="D776" t="str">
            <v>Not delivered</v>
          </cell>
          <cell r="E776">
            <v>507142860</v>
          </cell>
          <cell r="F776">
            <v>70</v>
          </cell>
          <cell r="G776">
            <v>1376248</v>
          </cell>
          <cell r="H776" t="str">
            <v>FP-008:CVR L.PINK P/BLK MANDOM RV1 12A</v>
          </cell>
          <cell r="I776">
            <v>10000</v>
          </cell>
          <cell r="J776" t="str">
            <v>UN</v>
          </cell>
          <cell r="K776">
            <v>45644</v>
          </cell>
        </row>
        <row r="777">
          <cell r="A777" t="str">
            <v>50714286080</v>
          </cell>
          <cell r="B777" t="str">
            <v>ZMTD</v>
          </cell>
          <cell r="C777">
            <v>45572</v>
          </cell>
          <cell r="D777" t="str">
            <v>Not delivered</v>
          </cell>
          <cell r="E777">
            <v>507142860</v>
          </cell>
          <cell r="F777">
            <v>80</v>
          </cell>
          <cell r="G777">
            <v>1171179</v>
          </cell>
          <cell r="H777" t="str">
            <v>FP-008:BS INJ BLK NO DC MANDOM</v>
          </cell>
          <cell r="I777">
            <v>10000</v>
          </cell>
          <cell r="J777" t="str">
            <v>UN</v>
          </cell>
          <cell r="K777">
            <v>45644</v>
          </cell>
        </row>
        <row r="778">
          <cell r="A778" t="str">
            <v>50714286090</v>
          </cell>
          <cell r="B778" t="str">
            <v>ZMTD</v>
          </cell>
          <cell r="C778">
            <v>45572</v>
          </cell>
          <cell r="D778" t="str">
            <v>Not delivered</v>
          </cell>
          <cell r="E778">
            <v>507142860</v>
          </cell>
          <cell r="F778">
            <v>90</v>
          </cell>
          <cell r="G778">
            <v>1172027</v>
          </cell>
          <cell r="H778" t="str">
            <v>FP-008:SFT NAT L.HINGE W/LBL NO DC MDM</v>
          </cell>
          <cell r="I778">
            <v>10000</v>
          </cell>
          <cell r="J778" t="str">
            <v>UN</v>
          </cell>
          <cell r="K778">
            <v>45644</v>
          </cell>
        </row>
        <row r="779">
          <cell r="A779" t="str">
            <v>50800529770</v>
          </cell>
          <cell r="B779" t="str">
            <v>ZMFD</v>
          </cell>
          <cell r="C779">
            <v>45565</v>
          </cell>
          <cell r="D779" t="str">
            <v>Not delivered</v>
          </cell>
          <cell r="E779">
            <v>508005297</v>
          </cell>
          <cell r="F779">
            <v>70</v>
          </cell>
          <cell r="G779">
            <v>1419488</v>
          </cell>
          <cell r="H779" t="str">
            <v>CP-063R:SPOUT CAP WHITE LOREAL 12A</v>
          </cell>
          <cell r="I779">
            <v>1890000</v>
          </cell>
          <cell r="J779" t="str">
            <v>UN</v>
          </cell>
          <cell r="K779">
            <v>45644</v>
          </cell>
        </row>
        <row r="780">
          <cell r="A780" t="str">
            <v>50714276330</v>
          </cell>
          <cell r="B780" t="str">
            <v>ZMTD</v>
          </cell>
          <cell r="C780">
            <v>45552</v>
          </cell>
          <cell r="D780" t="str">
            <v>Not delivered</v>
          </cell>
          <cell r="E780">
            <v>507142763</v>
          </cell>
          <cell r="F780">
            <v>30</v>
          </cell>
          <cell r="G780">
            <v>1182817</v>
          </cell>
          <cell r="H780" t="str">
            <v>FP-014:JAR P/BLACK ALMAY</v>
          </cell>
          <cell r="I780">
            <v>25056</v>
          </cell>
          <cell r="J780" t="str">
            <v>UN</v>
          </cell>
          <cell r="K780">
            <v>45644</v>
          </cell>
        </row>
        <row r="781">
          <cell r="A781" t="str">
            <v>50714276450</v>
          </cell>
          <cell r="B781" t="str">
            <v>ZMTD</v>
          </cell>
          <cell r="C781">
            <v>45552</v>
          </cell>
          <cell r="D781" t="str">
            <v>Not delivered</v>
          </cell>
          <cell r="E781">
            <v>507142764</v>
          </cell>
          <cell r="F781">
            <v>50</v>
          </cell>
          <cell r="G781">
            <v>1211756</v>
          </cell>
          <cell r="H781" t="str">
            <v>CM-246:COVER VM SHNY SLV ALMOST PWD</v>
          </cell>
          <cell r="I781">
            <v>120120</v>
          </cell>
          <cell r="J781" t="str">
            <v>UN</v>
          </cell>
          <cell r="K781">
            <v>45644</v>
          </cell>
        </row>
        <row r="782">
          <cell r="A782" t="str">
            <v>50800528010</v>
          </cell>
          <cell r="B782" t="str">
            <v>ZMFD</v>
          </cell>
          <cell r="C782">
            <v>45553</v>
          </cell>
          <cell r="D782" t="str">
            <v>Not delivered</v>
          </cell>
          <cell r="E782">
            <v>508005280</v>
          </cell>
          <cell r="F782">
            <v>10</v>
          </cell>
          <cell r="G782">
            <v>1169286</v>
          </cell>
          <cell r="H782" t="str">
            <v>CM-294:RECTANGULAR WITH GODET PKTJ010032</v>
          </cell>
          <cell r="I782">
            <v>46880</v>
          </cell>
          <cell r="J782" t="str">
            <v>UN</v>
          </cell>
          <cell r="K782">
            <v>45645</v>
          </cell>
        </row>
        <row r="783">
          <cell r="A783" t="str">
            <v>50800523340</v>
          </cell>
          <cell r="B783" t="str">
            <v>ZMFD</v>
          </cell>
          <cell r="C783">
            <v>45504</v>
          </cell>
          <cell r="D783" t="str">
            <v>Not delivered</v>
          </cell>
          <cell r="E783">
            <v>508005233</v>
          </cell>
          <cell r="F783">
            <v>40</v>
          </cell>
          <cell r="G783">
            <v>1169152</v>
          </cell>
          <cell r="H783" t="str">
            <v>CM-295:SQUARE COMPACT&amp;GODET PHHT010032</v>
          </cell>
          <cell r="I783">
            <v>20040</v>
          </cell>
          <cell r="J783" t="str">
            <v>UN</v>
          </cell>
          <cell r="K783">
            <v>45645</v>
          </cell>
        </row>
        <row r="784">
          <cell r="A784" t="str">
            <v>50714285210</v>
          </cell>
          <cell r="B784" t="str">
            <v>ZMTD</v>
          </cell>
          <cell r="C784">
            <v>45569</v>
          </cell>
          <cell r="D784" t="str">
            <v>Not delivered</v>
          </cell>
          <cell r="E784">
            <v>507142852</v>
          </cell>
          <cell r="F784">
            <v>10</v>
          </cell>
          <cell r="G784">
            <v>1431860</v>
          </cell>
          <cell r="H784" t="str">
            <v>PT6029R CAP GARNIER 18ML WHITE PLZ (553)</v>
          </cell>
          <cell r="I784">
            <v>52080</v>
          </cell>
          <cell r="J784" t="str">
            <v>UN</v>
          </cell>
          <cell r="K784">
            <v>45646</v>
          </cell>
        </row>
        <row r="785">
          <cell r="A785" t="str">
            <v>50800529780</v>
          </cell>
          <cell r="B785" t="str">
            <v>ZMFD</v>
          </cell>
          <cell r="C785">
            <v>45565</v>
          </cell>
          <cell r="D785" t="str">
            <v>Not delivered</v>
          </cell>
          <cell r="E785">
            <v>508005297</v>
          </cell>
          <cell r="F785">
            <v>80</v>
          </cell>
          <cell r="G785">
            <v>1419488</v>
          </cell>
          <cell r="H785" t="str">
            <v>CP-063R:SPOUT CAP WHITE LOREAL 12A</v>
          </cell>
          <cell r="I785">
            <v>1890000</v>
          </cell>
          <cell r="J785" t="str">
            <v>UN</v>
          </cell>
          <cell r="K785">
            <v>45646</v>
          </cell>
        </row>
        <row r="786">
          <cell r="A786" t="str">
            <v>50714257520</v>
          </cell>
          <cell r="B786" t="str">
            <v>ZMTD</v>
          </cell>
          <cell r="C786">
            <v>45499</v>
          </cell>
          <cell r="D786" t="str">
            <v>Not delivered</v>
          </cell>
          <cell r="E786">
            <v>507142575</v>
          </cell>
          <cell r="F786">
            <v>20</v>
          </cell>
          <cell r="G786">
            <v>1431860</v>
          </cell>
          <cell r="H786" t="str">
            <v>PT6029R CAP GARNIER 18ML WHITE PLZ (553)</v>
          </cell>
          <cell r="I786">
            <v>20160</v>
          </cell>
          <cell r="J786" t="str">
            <v>UN</v>
          </cell>
          <cell r="K786">
            <v>45646</v>
          </cell>
        </row>
        <row r="787">
          <cell r="A787" t="str">
            <v>50800514960</v>
          </cell>
          <cell r="B787" t="str">
            <v>ZMFD</v>
          </cell>
          <cell r="C787">
            <v>45464</v>
          </cell>
          <cell r="D787" t="str">
            <v>Not delivered</v>
          </cell>
          <cell r="E787">
            <v>508005149</v>
          </cell>
          <cell r="F787">
            <v>60</v>
          </cell>
          <cell r="G787">
            <v>1378563</v>
          </cell>
          <cell r="H787" t="str">
            <v>CP-093:CAP D50 MT BLACK Ø.5 YASULOR 12A</v>
          </cell>
          <cell r="I787">
            <v>600000</v>
          </cell>
          <cell r="J787" t="str">
            <v>UN</v>
          </cell>
          <cell r="K787">
            <v>45646</v>
          </cell>
        </row>
        <row r="788">
          <cell r="A788" t="str">
            <v>50714139120</v>
          </cell>
          <cell r="B788" t="str">
            <v>ZMTD</v>
          </cell>
          <cell r="C788">
            <v>45265</v>
          </cell>
          <cell r="D788" t="str">
            <v>Not delivered</v>
          </cell>
          <cell r="E788">
            <v>507141391</v>
          </cell>
          <cell r="F788">
            <v>20</v>
          </cell>
          <cell r="G788">
            <v>1259608</v>
          </cell>
          <cell r="H788" t="str">
            <v>CM-302:MUFE MEDIUM FLEXI MAGNET SUPERMAT</v>
          </cell>
          <cell r="I788">
            <v>51408</v>
          </cell>
          <cell r="J788" t="str">
            <v>UN</v>
          </cell>
          <cell r="K788">
            <v>45646</v>
          </cell>
        </row>
        <row r="789">
          <cell r="A789" t="str">
            <v>50714112220</v>
          </cell>
          <cell r="B789" t="str">
            <v>ZMTD</v>
          </cell>
          <cell r="C789">
            <v>45195</v>
          </cell>
          <cell r="D789" t="str">
            <v>Not delivered</v>
          </cell>
          <cell r="E789">
            <v>507141122</v>
          </cell>
          <cell r="F789">
            <v>20</v>
          </cell>
          <cell r="G789">
            <v>1273398</v>
          </cell>
          <cell r="H789" t="str">
            <v>CM-309:FAC-098 BTIR MNO BRNZR INSRT ROND</v>
          </cell>
          <cell r="I789">
            <v>50400</v>
          </cell>
          <cell r="J789" t="str">
            <v>UN</v>
          </cell>
          <cell r="K789">
            <v>45646</v>
          </cell>
        </row>
        <row r="790">
          <cell r="A790" t="str">
            <v>50714112230</v>
          </cell>
          <cell r="B790" t="str">
            <v>ZMTD</v>
          </cell>
          <cell r="C790">
            <v>45195</v>
          </cell>
          <cell r="D790" t="str">
            <v>Not delivered</v>
          </cell>
          <cell r="E790">
            <v>507141122</v>
          </cell>
          <cell r="F790">
            <v>30</v>
          </cell>
          <cell r="G790">
            <v>1273398</v>
          </cell>
          <cell r="H790" t="str">
            <v>CM-309:FAC-098 BTIR MNO BRNZR INSRT ROND</v>
          </cell>
          <cell r="I790">
            <v>50400</v>
          </cell>
          <cell r="J790" t="str">
            <v>UN</v>
          </cell>
          <cell r="K790">
            <v>45646</v>
          </cell>
        </row>
        <row r="791">
          <cell r="A791" t="str">
            <v>507142860100</v>
          </cell>
          <cell r="B791" t="str">
            <v>ZMTD</v>
          </cell>
          <cell r="C791">
            <v>45572</v>
          </cell>
          <cell r="D791" t="str">
            <v>Not delivered</v>
          </cell>
          <cell r="E791">
            <v>507142860</v>
          </cell>
          <cell r="F791">
            <v>100</v>
          </cell>
          <cell r="G791">
            <v>1376248</v>
          </cell>
          <cell r="H791" t="str">
            <v>FP-008:CVR L.PINK P/BLK MANDOM RV1 12A</v>
          </cell>
          <cell r="I791">
            <v>15000</v>
          </cell>
          <cell r="J791" t="str">
            <v>UN</v>
          </cell>
          <cell r="K791">
            <v>45649</v>
          </cell>
        </row>
        <row r="792">
          <cell r="A792" t="str">
            <v>507142860110</v>
          </cell>
          <cell r="B792" t="str">
            <v>ZMTD</v>
          </cell>
          <cell r="C792">
            <v>45572</v>
          </cell>
          <cell r="D792" t="str">
            <v>Not delivered</v>
          </cell>
          <cell r="E792">
            <v>507142860</v>
          </cell>
          <cell r="F792">
            <v>110</v>
          </cell>
          <cell r="G792">
            <v>1171179</v>
          </cell>
          <cell r="H792" t="str">
            <v>FP-008:BS INJ BLK NO DC MANDOM</v>
          </cell>
          <cell r="I792">
            <v>15000</v>
          </cell>
          <cell r="J792" t="str">
            <v>UN</v>
          </cell>
          <cell r="K792">
            <v>45649</v>
          </cell>
        </row>
        <row r="793">
          <cell r="A793" t="str">
            <v>507142860120</v>
          </cell>
          <cell r="B793" t="str">
            <v>ZMTD</v>
          </cell>
          <cell r="C793">
            <v>45572</v>
          </cell>
          <cell r="D793" t="str">
            <v>Not delivered</v>
          </cell>
          <cell r="E793">
            <v>507142860</v>
          </cell>
          <cell r="F793">
            <v>120</v>
          </cell>
          <cell r="G793">
            <v>1172027</v>
          </cell>
          <cell r="H793" t="str">
            <v>FP-008:SFT NAT L.HINGE W/LBL NO DC MDM</v>
          </cell>
          <cell r="I793">
            <v>15000</v>
          </cell>
          <cell r="J793" t="str">
            <v>UN</v>
          </cell>
          <cell r="K793">
            <v>45649</v>
          </cell>
        </row>
        <row r="794">
          <cell r="A794" t="str">
            <v>50800528510</v>
          </cell>
          <cell r="B794" t="str">
            <v>ZMFD</v>
          </cell>
          <cell r="C794">
            <v>45558</v>
          </cell>
          <cell r="D794" t="str">
            <v>Not delivered</v>
          </cell>
          <cell r="E794">
            <v>508005285</v>
          </cell>
          <cell r="F794">
            <v>10</v>
          </cell>
          <cell r="G794">
            <v>1163327</v>
          </cell>
          <cell r="H794" t="str">
            <v>CM-246:CVR S.SLV PAN WHITE 6MPY 01 0034</v>
          </cell>
          <cell r="I794">
            <v>25056</v>
          </cell>
          <cell r="J794" t="str">
            <v>UN</v>
          </cell>
          <cell r="K794">
            <v>45650</v>
          </cell>
        </row>
        <row r="795">
          <cell r="A795" t="str">
            <v>50800528710</v>
          </cell>
          <cell r="B795" t="str">
            <v>ZMFD</v>
          </cell>
          <cell r="C795">
            <v>45558</v>
          </cell>
          <cell r="D795" t="str">
            <v>Not delivered</v>
          </cell>
          <cell r="E795">
            <v>508005287</v>
          </cell>
          <cell r="F795">
            <v>10</v>
          </cell>
          <cell r="G795">
            <v>1305089</v>
          </cell>
          <cell r="H795" t="str">
            <v>CM-207:VM SHY SLV P/MATTE ZGH6010038 EL</v>
          </cell>
          <cell r="I795">
            <v>25920</v>
          </cell>
          <cell r="J795" t="str">
            <v>UN</v>
          </cell>
          <cell r="K795">
            <v>45650</v>
          </cell>
        </row>
        <row r="796">
          <cell r="A796" t="str">
            <v>50714277770</v>
          </cell>
          <cell r="B796" t="str">
            <v>ZMTD</v>
          </cell>
          <cell r="C796">
            <v>45554</v>
          </cell>
          <cell r="D796" t="str">
            <v>Not delivered</v>
          </cell>
          <cell r="E796">
            <v>507142777</v>
          </cell>
          <cell r="F796">
            <v>70</v>
          </cell>
          <cell r="G796">
            <v>1435311</v>
          </cell>
          <cell r="H796" t="str">
            <v>LC-002:BTL/COL MTGRAD SLV AZURA LION 40D</v>
          </cell>
          <cell r="I796">
            <v>48510</v>
          </cell>
          <cell r="J796" t="str">
            <v>UN</v>
          </cell>
          <cell r="K796">
            <v>45650</v>
          </cell>
        </row>
        <row r="797">
          <cell r="A797" t="str">
            <v>50714277780</v>
          </cell>
          <cell r="B797" t="str">
            <v>ZMTD</v>
          </cell>
          <cell r="C797">
            <v>45554</v>
          </cell>
          <cell r="D797" t="str">
            <v>Not delivered</v>
          </cell>
          <cell r="E797">
            <v>507142777</v>
          </cell>
          <cell r="F797">
            <v>80</v>
          </cell>
          <cell r="G797">
            <v>1435313</v>
          </cell>
          <cell r="H797" t="str">
            <v>LC-002:CAP MT SILVER S/AZURA LION 40C</v>
          </cell>
          <cell r="I797">
            <v>48510</v>
          </cell>
          <cell r="J797" t="str">
            <v>UN</v>
          </cell>
          <cell r="K797">
            <v>45650</v>
          </cell>
        </row>
        <row r="798">
          <cell r="A798" t="str">
            <v>50800509820</v>
          </cell>
          <cell r="B798" t="str">
            <v>ZMFD</v>
          </cell>
          <cell r="C798">
            <v>45449</v>
          </cell>
          <cell r="D798" t="str">
            <v>Not delivered</v>
          </cell>
          <cell r="E798">
            <v>508005098</v>
          </cell>
          <cell r="F798">
            <v>20</v>
          </cell>
          <cell r="G798">
            <v>1390352</v>
          </cell>
          <cell r="H798" t="str">
            <v>CM-294:GODET SENSOUSE ROSE G0S4-06-0092</v>
          </cell>
          <cell r="I798">
            <v>10472</v>
          </cell>
          <cell r="J798" t="str">
            <v>UN</v>
          </cell>
          <cell r="K798">
            <v>45650</v>
          </cell>
        </row>
        <row r="799">
          <cell r="A799" t="str">
            <v>50800528020</v>
          </cell>
          <cell r="B799" t="str">
            <v>ZMFD</v>
          </cell>
          <cell r="C799">
            <v>45553</v>
          </cell>
          <cell r="D799" t="str">
            <v>Not delivered</v>
          </cell>
          <cell r="E799">
            <v>508005280</v>
          </cell>
          <cell r="F799">
            <v>20</v>
          </cell>
          <cell r="G799">
            <v>1169286</v>
          </cell>
          <cell r="H799" t="str">
            <v>CM-294:RECTANGULAR WITH GODET PKTJ010032</v>
          </cell>
          <cell r="I799">
            <v>35000</v>
          </cell>
          <cell r="J799" t="str">
            <v>UN</v>
          </cell>
          <cell r="K799">
            <v>45652</v>
          </cell>
        </row>
        <row r="800">
          <cell r="A800" t="str">
            <v>50800533710</v>
          </cell>
          <cell r="B800" t="str">
            <v>ZMFD</v>
          </cell>
          <cell r="C800">
            <v>45574</v>
          </cell>
          <cell r="D800" t="str">
            <v>Not delivered</v>
          </cell>
          <cell r="E800">
            <v>508005337</v>
          </cell>
          <cell r="F800">
            <v>10</v>
          </cell>
          <cell r="G800">
            <v>1187960</v>
          </cell>
          <cell r="H800" t="str">
            <v>FP-014:CVR VMRAINBOW P/ULTM II RUDYS 40C</v>
          </cell>
          <cell r="I800">
            <v>15000</v>
          </cell>
          <cell r="J800" t="str">
            <v>UN</v>
          </cell>
          <cell r="K800">
            <v>45659</v>
          </cell>
        </row>
        <row r="801">
          <cell r="A801" t="str">
            <v>50800533720</v>
          </cell>
          <cell r="B801" t="str">
            <v>ZMFD</v>
          </cell>
          <cell r="C801">
            <v>45574</v>
          </cell>
          <cell r="D801" t="str">
            <v>Not delivered</v>
          </cell>
          <cell r="E801">
            <v>508005337</v>
          </cell>
          <cell r="F801">
            <v>20</v>
          </cell>
          <cell r="G801">
            <v>1172318</v>
          </cell>
          <cell r="H801" t="str">
            <v>FP-014:BASE CLEAR NO DC ULTIMA II RUDY S</v>
          </cell>
          <cell r="I801">
            <v>15000</v>
          </cell>
          <cell r="J801" t="str">
            <v>UN</v>
          </cell>
          <cell r="K801">
            <v>45659</v>
          </cell>
        </row>
        <row r="802">
          <cell r="A802" t="str">
            <v>50800533730</v>
          </cell>
          <cell r="B802" t="str">
            <v>ZMFD</v>
          </cell>
          <cell r="C802">
            <v>45574</v>
          </cell>
          <cell r="D802" t="str">
            <v>Not delivered</v>
          </cell>
          <cell r="E802">
            <v>508005337</v>
          </cell>
          <cell r="F802">
            <v>30</v>
          </cell>
          <cell r="G802">
            <v>1170826</v>
          </cell>
          <cell r="H802" t="str">
            <v>FP-014:SIFTER NT W/LBL NO DECO ULTIMA II</v>
          </cell>
          <cell r="I802">
            <v>15000</v>
          </cell>
          <cell r="J802" t="str">
            <v>UN</v>
          </cell>
          <cell r="K802">
            <v>45659</v>
          </cell>
        </row>
        <row r="803">
          <cell r="A803" t="str">
            <v>508005337100</v>
          </cell>
          <cell r="B803" t="str">
            <v>ZMFD</v>
          </cell>
          <cell r="C803">
            <v>45574</v>
          </cell>
          <cell r="D803" t="str">
            <v>Not delivered</v>
          </cell>
          <cell r="E803">
            <v>508005337</v>
          </cell>
          <cell r="F803">
            <v>100</v>
          </cell>
          <cell r="G803">
            <v>1215637</v>
          </cell>
          <cell r="H803" t="str">
            <v>CM-105:UV DBRW P/P8022C WWGLAM RUDYS 40C</v>
          </cell>
          <cell r="I803">
            <v>10000</v>
          </cell>
          <cell r="J803" t="str">
            <v>UN</v>
          </cell>
          <cell r="K803">
            <v>45659</v>
          </cell>
        </row>
        <row r="804">
          <cell r="A804" t="str">
            <v>50800531710</v>
          </cell>
          <cell r="B804" t="str">
            <v>ZMFD</v>
          </cell>
          <cell r="C804">
            <v>45573</v>
          </cell>
          <cell r="D804" t="str">
            <v>Not delivered</v>
          </cell>
          <cell r="E804">
            <v>508005317</v>
          </cell>
          <cell r="F804">
            <v>10</v>
          </cell>
          <cell r="G804">
            <v>1225723</v>
          </cell>
          <cell r="H804" t="str">
            <v>CL-003:CAP BEIGE P/EMINA WIP NAT PTI 60B</v>
          </cell>
          <cell r="I804">
            <v>50000</v>
          </cell>
          <cell r="J804" t="str">
            <v>UN</v>
          </cell>
          <cell r="K804">
            <v>45659</v>
          </cell>
        </row>
        <row r="805">
          <cell r="A805" t="str">
            <v>50800531720</v>
          </cell>
          <cell r="B805" t="str">
            <v>ZMFD</v>
          </cell>
          <cell r="C805">
            <v>45573</v>
          </cell>
          <cell r="D805" t="str">
            <v>Not delivered</v>
          </cell>
          <cell r="E805">
            <v>508005317</v>
          </cell>
          <cell r="F805">
            <v>20</v>
          </cell>
          <cell r="G805">
            <v>1225724</v>
          </cell>
          <cell r="H805" t="str">
            <v>CL-003:BTL CLR COL BEIGE P/EMINA PTI 60B</v>
          </cell>
          <cell r="I805">
            <v>50000</v>
          </cell>
          <cell r="J805" t="str">
            <v>UN</v>
          </cell>
          <cell r="K805">
            <v>45659</v>
          </cell>
        </row>
        <row r="806">
          <cell r="A806" t="str">
            <v>50800530410</v>
          </cell>
          <cell r="B806" t="str">
            <v>ZMFD</v>
          </cell>
          <cell r="C806">
            <v>45569</v>
          </cell>
          <cell r="D806" t="str">
            <v>Not delivered</v>
          </cell>
          <cell r="E806">
            <v>508005304</v>
          </cell>
          <cell r="F806">
            <v>10</v>
          </cell>
          <cell r="G806">
            <v>1419488</v>
          </cell>
          <cell r="H806" t="str">
            <v>CP-063R:SPOUT CAP WHITE LOREAL 12A</v>
          </cell>
          <cell r="I806">
            <v>1890000</v>
          </cell>
          <cell r="J806" t="str">
            <v>UN</v>
          </cell>
          <cell r="K806">
            <v>45659</v>
          </cell>
        </row>
        <row r="807">
          <cell r="A807" t="str">
            <v>50800530040</v>
          </cell>
          <cell r="B807" t="str">
            <v>ZMFD</v>
          </cell>
          <cell r="C807">
            <v>45567</v>
          </cell>
          <cell r="D807" t="str">
            <v>Not delivered</v>
          </cell>
          <cell r="E807">
            <v>508005300</v>
          </cell>
          <cell r="F807">
            <v>40</v>
          </cell>
          <cell r="G807">
            <v>1376248</v>
          </cell>
          <cell r="H807" t="str">
            <v>FP-008:CVR L.PINK P/BLK MANDOM RV1 12A</v>
          </cell>
          <cell r="I807">
            <v>25000</v>
          </cell>
          <cell r="J807" t="str">
            <v>UN</v>
          </cell>
          <cell r="K807">
            <v>45659</v>
          </cell>
        </row>
        <row r="808">
          <cell r="A808" t="str">
            <v>50800530050</v>
          </cell>
          <cell r="B808" t="str">
            <v>ZMFD</v>
          </cell>
          <cell r="C808">
            <v>45567</v>
          </cell>
          <cell r="D808" t="str">
            <v>Not delivered</v>
          </cell>
          <cell r="E808">
            <v>508005300</v>
          </cell>
          <cell r="F808">
            <v>50</v>
          </cell>
          <cell r="G808">
            <v>1171179</v>
          </cell>
          <cell r="H808" t="str">
            <v>FP-008:BS INJ BLK NO DC MANDOM</v>
          </cell>
          <cell r="I808">
            <v>25000</v>
          </cell>
          <cell r="J808" t="str">
            <v>UN</v>
          </cell>
          <cell r="K808">
            <v>45659</v>
          </cell>
        </row>
        <row r="809">
          <cell r="A809" t="str">
            <v>50800530060</v>
          </cell>
          <cell r="B809" t="str">
            <v>ZMFD</v>
          </cell>
          <cell r="C809">
            <v>45567</v>
          </cell>
          <cell r="D809" t="str">
            <v>Not delivered</v>
          </cell>
          <cell r="E809">
            <v>508005300</v>
          </cell>
          <cell r="F809">
            <v>60</v>
          </cell>
          <cell r="G809">
            <v>1172027</v>
          </cell>
          <cell r="H809" t="str">
            <v>FP-008:SFT NAT L.HINGE W/LBL NO DC MDM</v>
          </cell>
          <cell r="I809">
            <v>25000</v>
          </cell>
          <cell r="J809" t="str">
            <v>UN</v>
          </cell>
          <cell r="K809">
            <v>45659</v>
          </cell>
        </row>
        <row r="810">
          <cell r="A810" t="str">
            <v>50800528720</v>
          </cell>
          <cell r="B810" t="str">
            <v>ZMFD</v>
          </cell>
          <cell r="C810">
            <v>45558</v>
          </cell>
          <cell r="D810" t="str">
            <v>Not delivered</v>
          </cell>
          <cell r="E810">
            <v>508005287</v>
          </cell>
          <cell r="F810">
            <v>20</v>
          </cell>
          <cell r="G810">
            <v>1305089</v>
          </cell>
          <cell r="H810" t="str">
            <v>CM-207:VM SHY SLV P/MATTE ZGH6010038 EL</v>
          </cell>
          <cell r="I810">
            <v>25920</v>
          </cell>
          <cell r="J810" t="str">
            <v>UN</v>
          </cell>
          <cell r="K810">
            <v>45659</v>
          </cell>
        </row>
        <row r="811">
          <cell r="A811" t="str">
            <v>50800528210</v>
          </cell>
          <cell r="B811" t="str">
            <v>ZMFD</v>
          </cell>
          <cell r="C811">
            <v>45554</v>
          </cell>
          <cell r="D811" t="str">
            <v>Not delivered</v>
          </cell>
          <cell r="E811">
            <v>508005282</v>
          </cell>
          <cell r="F811">
            <v>10</v>
          </cell>
          <cell r="G811">
            <v>1431860</v>
          </cell>
          <cell r="H811" t="str">
            <v>PT6029R CAP GARNIER 18ML WHITE PLZ (553)</v>
          </cell>
          <cell r="I811">
            <v>70560</v>
          </cell>
          <cell r="J811" t="str">
            <v>UN</v>
          </cell>
          <cell r="K811">
            <v>45659</v>
          </cell>
        </row>
        <row r="812">
          <cell r="A812" t="str">
            <v>50714270710</v>
          </cell>
          <cell r="B812" t="str">
            <v>ZMTD</v>
          </cell>
          <cell r="C812">
            <v>45534</v>
          </cell>
          <cell r="D812" t="str">
            <v>Not delivered</v>
          </cell>
          <cell r="E812">
            <v>507142707</v>
          </cell>
          <cell r="F812">
            <v>10</v>
          </cell>
          <cell r="G812">
            <v>1187758</v>
          </cell>
          <cell r="H812" t="str">
            <v>CM-105:VM RAINBOW P/ULTIMA II RUDYS 40C</v>
          </cell>
          <cell r="I812">
            <v>20000</v>
          </cell>
          <cell r="J812" t="str">
            <v>UN</v>
          </cell>
          <cell r="K812">
            <v>45659</v>
          </cell>
        </row>
        <row r="813">
          <cell r="A813" t="str">
            <v>50800531610</v>
          </cell>
          <cell r="B813" t="str">
            <v>ZMFD</v>
          </cell>
          <cell r="C813">
            <v>45573</v>
          </cell>
          <cell r="D813" t="str">
            <v>Not delivered</v>
          </cell>
          <cell r="E813">
            <v>508005316</v>
          </cell>
          <cell r="F813">
            <v>10</v>
          </cell>
          <cell r="G813">
            <v>1194012</v>
          </cell>
          <cell r="H813" t="str">
            <v>CP-090:ROSETNR VM RSPINK NO EMBOS PTI20F</v>
          </cell>
          <cell r="I813">
            <v>25000</v>
          </cell>
          <cell r="J813" t="str">
            <v>UN</v>
          </cell>
          <cell r="K813">
            <v>45660</v>
          </cell>
        </row>
        <row r="814">
          <cell r="A814" t="str">
            <v>50800531910</v>
          </cell>
          <cell r="B814" t="str">
            <v>ZMFD</v>
          </cell>
          <cell r="C814">
            <v>45573</v>
          </cell>
          <cell r="D814" t="str">
            <v>Not delivered</v>
          </cell>
          <cell r="E814">
            <v>508005319</v>
          </cell>
          <cell r="F814">
            <v>10</v>
          </cell>
          <cell r="G814">
            <v>1285116</v>
          </cell>
          <cell r="H814" t="str">
            <v>CM-292:CV/BS MTBLK LENS S/SLV MO PTI 40C</v>
          </cell>
          <cell r="I814">
            <v>25000</v>
          </cell>
          <cell r="J814" t="str">
            <v>UN</v>
          </cell>
          <cell r="K814">
            <v>45660</v>
          </cell>
        </row>
        <row r="815">
          <cell r="A815" t="str">
            <v>50800532610</v>
          </cell>
          <cell r="B815" t="str">
            <v>ZMFD</v>
          </cell>
          <cell r="C815">
            <v>45573</v>
          </cell>
          <cell r="D815" t="str">
            <v>Not delivered</v>
          </cell>
          <cell r="E815">
            <v>508005326</v>
          </cell>
          <cell r="F815">
            <v>10</v>
          </cell>
          <cell r="G815">
            <v>1375595</v>
          </cell>
          <cell r="H815" t="str">
            <v>LC-009:BTL/INNER CLEAR P/OMG PTIPT 60B</v>
          </cell>
          <cell r="I815">
            <v>150000</v>
          </cell>
          <cell r="J815" t="str">
            <v>UN</v>
          </cell>
          <cell r="K815">
            <v>45660</v>
          </cell>
        </row>
        <row r="816">
          <cell r="A816" t="str">
            <v>50800532620</v>
          </cell>
          <cell r="B816" t="str">
            <v>ZMFD</v>
          </cell>
          <cell r="C816">
            <v>45573</v>
          </cell>
          <cell r="D816" t="str">
            <v>Not delivered</v>
          </cell>
          <cell r="E816">
            <v>508005326</v>
          </cell>
          <cell r="F816">
            <v>20</v>
          </cell>
          <cell r="G816">
            <v>1375593</v>
          </cell>
          <cell r="H816" t="str">
            <v>LC-009:CAP REDTRANS WIP S/OMG PTIPT 60B</v>
          </cell>
          <cell r="I816">
            <v>150000</v>
          </cell>
          <cell r="J816" t="str">
            <v>UN</v>
          </cell>
          <cell r="K816">
            <v>45660</v>
          </cell>
        </row>
        <row r="817">
          <cell r="A817" t="str">
            <v>50800533110</v>
          </cell>
          <cell r="B817" t="str">
            <v>ZMFD</v>
          </cell>
          <cell r="C817">
            <v>45573</v>
          </cell>
          <cell r="D817" t="str">
            <v>Not delivered</v>
          </cell>
          <cell r="E817">
            <v>508005331</v>
          </cell>
          <cell r="F817">
            <v>10</v>
          </cell>
          <cell r="G817">
            <v>1168132</v>
          </cell>
          <cell r="H817" t="str">
            <v>LS-285:BS WHT NO DC WARDAH</v>
          </cell>
          <cell r="I817">
            <v>70000</v>
          </cell>
          <cell r="J817" t="str">
            <v>UN</v>
          </cell>
          <cell r="K817">
            <v>45660</v>
          </cell>
        </row>
        <row r="818">
          <cell r="A818" t="str">
            <v>50800533120</v>
          </cell>
          <cell r="B818" t="str">
            <v>ZMFD</v>
          </cell>
          <cell r="C818">
            <v>45573</v>
          </cell>
          <cell r="D818" t="str">
            <v>Not delivered</v>
          </cell>
          <cell r="E818">
            <v>508005331</v>
          </cell>
          <cell r="F818">
            <v>20</v>
          </cell>
          <cell r="G818">
            <v>1421418</v>
          </cell>
          <cell r="H818" t="str">
            <v>LS-285:CV RED P/WHT UV STRAWBERY PTI 30O</v>
          </cell>
          <cell r="I818">
            <v>70000</v>
          </cell>
          <cell r="J818" t="str">
            <v>UN</v>
          </cell>
          <cell r="K818">
            <v>45660</v>
          </cell>
        </row>
        <row r="819">
          <cell r="A819" t="str">
            <v>507142860130</v>
          </cell>
          <cell r="B819" t="str">
            <v>ZMTD</v>
          </cell>
          <cell r="C819">
            <v>45572</v>
          </cell>
          <cell r="D819" t="str">
            <v>Not delivered</v>
          </cell>
          <cell r="E819">
            <v>507142860</v>
          </cell>
          <cell r="F819">
            <v>130</v>
          </cell>
          <cell r="G819">
            <v>1376248</v>
          </cell>
          <cell r="H819" t="str">
            <v>FP-008:CVR L.PINK P/BLK MANDOM RV1 12A</v>
          </cell>
          <cell r="I819">
            <v>10000</v>
          </cell>
          <cell r="J819" t="str">
            <v>UN</v>
          </cell>
          <cell r="K819">
            <v>45660</v>
          </cell>
        </row>
        <row r="820">
          <cell r="A820" t="str">
            <v>507142860140</v>
          </cell>
          <cell r="B820" t="str">
            <v>ZMTD</v>
          </cell>
          <cell r="C820">
            <v>45572</v>
          </cell>
          <cell r="D820" t="str">
            <v>Not delivered</v>
          </cell>
          <cell r="E820">
            <v>507142860</v>
          </cell>
          <cell r="F820">
            <v>140</v>
          </cell>
          <cell r="G820">
            <v>1171179</v>
          </cell>
          <cell r="H820" t="str">
            <v>FP-008:BS INJ BLK NO DC MANDOM</v>
          </cell>
          <cell r="I820">
            <v>10000</v>
          </cell>
          <cell r="J820" t="str">
            <v>UN</v>
          </cell>
          <cell r="K820">
            <v>45660</v>
          </cell>
        </row>
        <row r="821">
          <cell r="A821" t="str">
            <v>507142860150</v>
          </cell>
          <cell r="B821" t="str">
            <v>ZMTD</v>
          </cell>
          <cell r="C821">
            <v>45572</v>
          </cell>
          <cell r="D821" t="str">
            <v>Not delivered</v>
          </cell>
          <cell r="E821">
            <v>507142860</v>
          </cell>
          <cell r="F821">
            <v>150</v>
          </cell>
          <cell r="G821">
            <v>1172027</v>
          </cell>
          <cell r="H821" t="str">
            <v>FP-008:SFT NAT L.HINGE W/LBL NO DC MDM</v>
          </cell>
          <cell r="I821">
            <v>10000</v>
          </cell>
          <cell r="J821" t="str">
            <v>UN</v>
          </cell>
          <cell r="K821">
            <v>45660</v>
          </cell>
        </row>
        <row r="822">
          <cell r="A822" t="str">
            <v>50800530420</v>
          </cell>
          <cell r="B822" t="str">
            <v>ZMFD</v>
          </cell>
          <cell r="C822">
            <v>45569</v>
          </cell>
          <cell r="D822" t="str">
            <v>Not delivered</v>
          </cell>
          <cell r="E822">
            <v>508005304</v>
          </cell>
          <cell r="F822">
            <v>20</v>
          </cell>
          <cell r="G822">
            <v>1419488</v>
          </cell>
          <cell r="H822" t="str">
            <v>CP-063R:SPOUT CAP WHITE LOREAL 12A</v>
          </cell>
          <cell r="I822">
            <v>1890000</v>
          </cell>
          <cell r="J822" t="str">
            <v>UN</v>
          </cell>
          <cell r="K822">
            <v>45660</v>
          </cell>
        </row>
        <row r="823">
          <cell r="A823" t="str">
            <v>50800530430</v>
          </cell>
          <cell r="B823" t="str">
            <v>ZMFD</v>
          </cell>
          <cell r="C823">
            <v>45569</v>
          </cell>
          <cell r="D823" t="str">
            <v>Not delivered</v>
          </cell>
          <cell r="E823">
            <v>508005304</v>
          </cell>
          <cell r="F823">
            <v>30</v>
          </cell>
          <cell r="G823">
            <v>1419488</v>
          </cell>
          <cell r="H823" t="str">
            <v>CP-063R:SPOUT CAP WHITE LOREAL 12A</v>
          </cell>
          <cell r="I823">
            <v>1890000</v>
          </cell>
          <cell r="J823" t="str">
            <v>UN</v>
          </cell>
          <cell r="K823">
            <v>45660</v>
          </cell>
        </row>
        <row r="824">
          <cell r="A824" t="str">
            <v>50800529610</v>
          </cell>
          <cell r="B824" t="str">
            <v>ZMFD</v>
          </cell>
          <cell r="C824">
            <v>45565</v>
          </cell>
          <cell r="D824" t="str">
            <v>Not delivered</v>
          </cell>
          <cell r="E824">
            <v>508005296</v>
          </cell>
          <cell r="F824">
            <v>10</v>
          </cell>
          <cell r="G824">
            <v>1378563</v>
          </cell>
          <cell r="H824" t="str">
            <v>CP-093:CAP D50 MT BLACK Ø.5 YASULOR 12A</v>
          </cell>
          <cell r="I824">
            <v>600000</v>
          </cell>
          <cell r="J824" t="str">
            <v>UN</v>
          </cell>
          <cell r="K824">
            <v>45660</v>
          </cell>
        </row>
        <row r="825">
          <cell r="A825" t="str">
            <v>50800528030</v>
          </cell>
          <cell r="B825" t="str">
            <v>ZMFD</v>
          </cell>
          <cell r="C825">
            <v>45553</v>
          </cell>
          <cell r="D825" t="str">
            <v>Not delivered</v>
          </cell>
          <cell r="E825">
            <v>508005280</v>
          </cell>
          <cell r="F825">
            <v>30</v>
          </cell>
          <cell r="G825">
            <v>1169286</v>
          </cell>
          <cell r="H825" t="str">
            <v>CM-294:RECTANGULAR WITH GODET PKTJ010032</v>
          </cell>
          <cell r="I825">
            <v>53920</v>
          </cell>
          <cell r="J825" t="str">
            <v>UN</v>
          </cell>
          <cell r="K825">
            <v>45660</v>
          </cell>
        </row>
        <row r="826">
          <cell r="A826" t="str">
            <v>50714276310</v>
          </cell>
          <cell r="B826" t="str">
            <v>ZMTD</v>
          </cell>
          <cell r="C826">
            <v>45552</v>
          </cell>
          <cell r="D826" t="str">
            <v>Not delivered</v>
          </cell>
          <cell r="E826">
            <v>507142763</v>
          </cell>
          <cell r="F826">
            <v>10</v>
          </cell>
          <cell r="G826">
            <v>1240862</v>
          </cell>
          <cell r="H826" t="str">
            <v>FP-014 SIFTER NAT W/ORDERED LABEL REVLON</v>
          </cell>
          <cell r="I826">
            <v>38750</v>
          </cell>
          <cell r="J826" t="str">
            <v>UN</v>
          </cell>
          <cell r="K826">
            <v>45660</v>
          </cell>
        </row>
        <row r="827">
          <cell r="A827" t="str">
            <v>50714276320</v>
          </cell>
          <cell r="B827" t="str">
            <v>ZMTD</v>
          </cell>
          <cell r="C827">
            <v>45552</v>
          </cell>
          <cell r="D827" t="str">
            <v>Not delivered</v>
          </cell>
          <cell r="E827">
            <v>507142763</v>
          </cell>
          <cell r="F827">
            <v>20</v>
          </cell>
          <cell r="G827">
            <v>1171483</v>
          </cell>
          <cell r="H827" t="str">
            <v>FP-014:COVER GREY MATTE IN MOLD REVLON</v>
          </cell>
          <cell r="I827">
            <v>34992</v>
          </cell>
          <cell r="J827" t="str">
            <v>UN</v>
          </cell>
          <cell r="K827">
            <v>45660</v>
          </cell>
        </row>
        <row r="828">
          <cell r="A828" t="str">
            <v>50714276460</v>
          </cell>
          <cell r="B828" t="str">
            <v>ZMTD</v>
          </cell>
          <cell r="C828">
            <v>45552</v>
          </cell>
          <cell r="D828" t="str">
            <v>Not delivered</v>
          </cell>
          <cell r="E828">
            <v>507142764</v>
          </cell>
          <cell r="F828">
            <v>60</v>
          </cell>
          <cell r="G828">
            <v>1211756</v>
          </cell>
          <cell r="H828" t="str">
            <v>CM-246:COVER VM SHNY SLV ALMOST PWD</v>
          </cell>
          <cell r="I828">
            <v>120120</v>
          </cell>
          <cell r="J828" t="str">
            <v>UN</v>
          </cell>
          <cell r="K828">
            <v>45660</v>
          </cell>
        </row>
        <row r="829">
          <cell r="A829" t="str">
            <v>50714275810</v>
          </cell>
          <cell r="B829" t="str">
            <v>ZMTD</v>
          </cell>
          <cell r="C829">
            <v>45548</v>
          </cell>
          <cell r="D829" t="str">
            <v>Not delivered</v>
          </cell>
          <cell r="E829">
            <v>507142758</v>
          </cell>
          <cell r="F829">
            <v>10</v>
          </cell>
          <cell r="G829">
            <v>1432080</v>
          </cell>
          <cell r="H829" t="str">
            <v>CM-281:BS/CV TWC BLUE UV P/S/INEZ FTC30M</v>
          </cell>
          <cell r="I829">
            <v>25000</v>
          </cell>
          <cell r="J829" t="str">
            <v>UN</v>
          </cell>
          <cell r="K829">
            <v>45660</v>
          </cell>
        </row>
        <row r="830">
          <cell r="A830" t="str">
            <v>50800533410</v>
          </cell>
          <cell r="B830" t="str">
            <v>ZMFD</v>
          </cell>
          <cell r="C830">
            <v>45574</v>
          </cell>
          <cell r="D830" t="str">
            <v>Not delivered</v>
          </cell>
          <cell r="E830">
            <v>508005334</v>
          </cell>
          <cell r="F830">
            <v>10</v>
          </cell>
          <cell r="G830">
            <v>1437039</v>
          </cell>
          <cell r="H830" t="str">
            <v>CM-290:1PC BS CV MT.BLK S/ EMBOS OMG 40C</v>
          </cell>
          <cell r="I830">
            <v>25000</v>
          </cell>
          <cell r="J830" t="str">
            <v>UN</v>
          </cell>
          <cell r="K830">
            <v>45664</v>
          </cell>
        </row>
        <row r="831">
          <cell r="A831" t="str">
            <v>50800533420</v>
          </cell>
          <cell r="B831" t="str">
            <v>ZMFD</v>
          </cell>
          <cell r="C831">
            <v>45574</v>
          </cell>
          <cell r="D831" t="str">
            <v>Not delivered</v>
          </cell>
          <cell r="E831">
            <v>508005334</v>
          </cell>
          <cell r="F831">
            <v>20</v>
          </cell>
          <cell r="G831">
            <v>1437140</v>
          </cell>
          <cell r="H831" t="str">
            <v>CM-290:ENGINE CV RED, BS BLK OMG PTI 12A</v>
          </cell>
          <cell r="I831">
            <v>25000</v>
          </cell>
          <cell r="J831" t="str">
            <v>UN</v>
          </cell>
          <cell r="K831">
            <v>45664</v>
          </cell>
        </row>
        <row r="832">
          <cell r="A832" t="str">
            <v>50800533430</v>
          </cell>
          <cell r="B832" t="str">
            <v>ZMFD</v>
          </cell>
          <cell r="C832">
            <v>45574</v>
          </cell>
          <cell r="D832" t="str">
            <v>Not delivered</v>
          </cell>
          <cell r="E832">
            <v>508005334</v>
          </cell>
          <cell r="F832">
            <v>30</v>
          </cell>
          <cell r="G832">
            <v>1437141</v>
          </cell>
          <cell r="H832" t="str">
            <v>CM-290:RING BLACK OMG PTI 12A</v>
          </cell>
          <cell r="I832">
            <v>25000</v>
          </cell>
          <cell r="J832" t="str">
            <v>UN</v>
          </cell>
          <cell r="K832">
            <v>45664</v>
          </cell>
        </row>
        <row r="833">
          <cell r="A833" t="str">
            <v>50800531620</v>
          </cell>
          <cell r="B833" t="str">
            <v>ZMFD</v>
          </cell>
          <cell r="C833">
            <v>45573</v>
          </cell>
          <cell r="D833" t="str">
            <v>Not delivered</v>
          </cell>
          <cell r="E833">
            <v>508005316</v>
          </cell>
          <cell r="F833">
            <v>20</v>
          </cell>
          <cell r="G833">
            <v>1206787</v>
          </cell>
          <cell r="H833" t="str">
            <v>CP-090:CAP TONER VM SLV NO EMBOS PTI20F</v>
          </cell>
          <cell r="I833">
            <v>20000</v>
          </cell>
          <cell r="J833" t="str">
            <v>UN</v>
          </cell>
          <cell r="K833">
            <v>45664</v>
          </cell>
        </row>
        <row r="834">
          <cell r="A834" t="str">
            <v>50800532110</v>
          </cell>
          <cell r="B834" t="str">
            <v>ZMFD</v>
          </cell>
          <cell r="C834">
            <v>45573</v>
          </cell>
          <cell r="D834" t="str">
            <v>Not delivered</v>
          </cell>
          <cell r="E834">
            <v>508005321</v>
          </cell>
          <cell r="F834">
            <v>10</v>
          </cell>
          <cell r="G834">
            <v>1342220</v>
          </cell>
          <cell r="H834" t="str">
            <v>LC-010:BTL CLR HTF COLBEIGE CFIT PTI 60C</v>
          </cell>
          <cell r="I834">
            <v>50000</v>
          </cell>
          <cell r="J834" t="str">
            <v>UN</v>
          </cell>
          <cell r="K834">
            <v>45664</v>
          </cell>
        </row>
        <row r="835">
          <cell r="A835" t="str">
            <v>50800532120</v>
          </cell>
          <cell r="B835" t="str">
            <v>ZMFD</v>
          </cell>
          <cell r="C835">
            <v>45573</v>
          </cell>
          <cell r="D835" t="str">
            <v>Not delivered</v>
          </cell>
          <cell r="E835">
            <v>508005321</v>
          </cell>
          <cell r="F835">
            <v>20</v>
          </cell>
          <cell r="G835">
            <v>1342221</v>
          </cell>
          <cell r="H835" t="str">
            <v>LC-010:CAP BEIGE WIP NAT PTI 12A</v>
          </cell>
          <cell r="I835">
            <v>50000</v>
          </cell>
          <cell r="J835" t="str">
            <v>UN</v>
          </cell>
          <cell r="K835">
            <v>45664</v>
          </cell>
        </row>
        <row r="836">
          <cell r="A836" t="str">
            <v>50800532310</v>
          </cell>
          <cell r="B836" t="str">
            <v>ZMFD</v>
          </cell>
          <cell r="C836">
            <v>45573</v>
          </cell>
          <cell r="D836" t="str">
            <v>Not delivered</v>
          </cell>
          <cell r="E836">
            <v>508005323</v>
          </cell>
          <cell r="F836">
            <v>10</v>
          </cell>
          <cell r="G836">
            <v>1361170</v>
          </cell>
          <cell r="H836" t="str">
            <v>PT-097:BODY BLACK HOUSE WHT TRANS PTI12A</v>
          </cell>
          <cell r="I836">
            <v>110000</v>
          </cell>
          <cell r="J836" t="str">
            <v>UN</v>
          </cell>
          <cell r="K836">
            <v>45664</v>
          </cell>
        </row>
        <row r="837">
          <cell r="A837" t="str">
            <v>50800532320</v>
          </cell>
          <cell r="B837" t="str">
            <v>ZMFD</v>
          </cell>
          <cell r="C837">
            <v>45573</v>
          </cell>
          <cell r="D837" t="str">
            <v>Not delivered</v>
          </cell>
          <cell r="E837">
            <v>508005323</v>
          </cell>
          <cell r="F837">
            <v>20</v>
          </cell>
          <cell r="G837">
            <v>1361175</v>
          </cell>
          <cell r="H837" t="str">
            <v>PT-097:CAP BLACK TRANS PTI 12A</v>
          </cell>
          <cell r="I837">
            <v>110000</v>
          </cell>
          <cell r="J837" t="str">
            <v>UN</v>
          </cell>
          <cell r="K837">
            <v>45664</v>
          </cell>
        </row>
        <row r="838">
          <cell r="A838" t="str">
            <v>50800532410</v>
          </cell>
          <cell r="B838" t="str">
            <v>ZMFD</v>
          </cell>
          <cell r="C838">
            <v>45573</v>
          </cell>
          <cell r="D838" t="str">
            <v>Not delivered</v>
          </cell>
          <cell r="E838">
            <v>508005324</v>
          </cell>
          <cell r="F838">
            <v>10</v>
          </cell>
          <cell r="G838">
            <v>1367372</v>
          </cell>
          <cell r="H838" t="str">
            <v>PT-097:BODY GREN HOUSE WHT TRANS PTI 12A</v>
          </cell>
          <cell r="I838">
            <v>50000</v>
          </cell>
          <cell r="J838" t="str">
            <v>UN</v>
          </cell>
          <cell r="K838">
            <v>45664</v>
          </cell>
        </row>
        <row r="839">
          <cell r="A839" t="str">
            <v>50800532420</v>
          </cell>
          <cell r="B839" t="str">
            <v>ZMFD</v>
          </cell>
          <cell r="C839">
            <v>45573</v>
          </cell>
          <cell r="D839" t="str">
            <v>Not delivered</v>
          </cell>
          <cell r="E839">
            <v>508005324</v>
          </cell>
          <cell r="F839">
            <v>20</v>
          </cell>
          <cell r="G839">
            <v>1367370</v>
          </cell>
          <cell r="H839" t="str">
            <v>PT-097:CAP GREN TRANS PTI 12A</v>
          </cell>
          <cell r="I839">
            <v>50000</v>
          </cell>
          <cell r="J839" t="str">
            <v>UN</v>
          </cell>
          <cell r="K839">
            <v>45664</v>
          </cell>
        </row>
        <row r="840">
          <cell r="A840" t="str">
            <v>50800529620</v>
          </cell>
          <cell r="B840" t="str">
            <v>ZMFD</v>
          </cell>
          <cell r="C840">
            <v>45565</v>
          </cell>
          <cell r="D840" t="str">
            <v>Not delivered</v>
          </cell>
          <cell r="E840">
            <v>508005296</v>
          </cell>
          <cell r="F840">
            <v>20</v>
          </cell>
          <cell r="G840">
            <v>1378563</v>
          </cell>
          <cell r="H840" t="str">
            <v>CP-093:CAP D50 MT BLACK Ø.5 YASULOR 12A</v>
          </cell>
          <cell r="I840">
            <v>600000</v>
          </cell>
          <cell r="J840" t="str">
            <v>UN</v>
          </cell>
          <cell r="K840">
            <v>45664</v>
          </cell>
        </row>
        <row r="841">
          <cell r="A841" t="str">
            <v>50800533310</v>
          </cell>
          <cell r="B841" t="str">
            <v>ZMFD</v>
          </cell>
          <cell r="C841">
            <v>45574</v>
          </cell>
          <cell r="D841" t="str">
            <v>Not delivered</v>
          </cell>
          <cell r="E841">
            <v>508005333</v>
          </cell>
          <cell r="F841">
            <v>10</v>
          </cell>
          <cell r="G841">
            <v>1430094</v>
          </cell>
          <cell r="H841" t="str">
            <v>LS-285:BS BLUE NO DC WARDAH PTI 12A</v>
          </cell>
          <cell r="I841">
            <v>50000</v>
          </cell>
          <cell r="J841" t="str">
            <v>UN</v>
          </cell>
          <cell r="K841">
            <v>45665</v>
          </cell>
        </row>
        <row r="842">
          <cell r="A842" t="str">
            <v>50800533320</v>
          </cell>
          <cell r="B842" t="str">
            <v>ZMFD</v>
          </cell>
          <cell r="C842">
            <v>45574</v>
          </cell>
          <cell r="D842" t="str">
            <v>Not delivered</v>
          </cell>
          <cell r="E842">
            <v>508005333</v>
          </cell>
          <cell r="F842">
            <v>20</v>
          </cell>
          <cell r="G842">
            <v>1430093</v>
          </cell>
          <cell r="H842" t="str">
            <v>LS-285:CV MT.TR BLUE P/SHERCLEAR PTI 40H</v>
          </cell>
          <cell r="I842">
            <v>50000</v>
          </cell>
          <cell r="J842" t="str">
            <v>UN</v>
          </cell>
          <cell r="K842">
            <v>45665</v>
          </cell>
        </row>
        <row r="843">
          <cell r="A843" t="str">
            <v>50800532210</v>
          </cell>
          <cell r="B843" t="str">
            <v>ZMFD</v>
          </cell>
          <cell r="C843">
            <v>45573</v>
          </cell>
          <cell r="D843" t="str">
            <v>Not delivered</v>
          </cell>
          <cell r="E843">
            <v>508005322</v>
          </cell>
          <cell r="F843">
            <v>10</v>
          </cell>
          <cell r="G843">
            <v>1408740</v>
          </cell>
          <cell r="H843" t="str">
            <v>PT-097B:BDSR.2 BLU HOUS WHT TRNS PTI12A</v>
          </cell>
          <cell r="I843">
            <v>50000</v>
          </cell>
          <cell r="J843" t="str">
            <v>UN</v>
          </cell>
          <cell r="K843">
            <v>45665</v>
          </cell>
        </row>
        <row r="844">
          <cell r="A844" t="str">
            <v>50800532220</v>
          </cell>
          <cell r="B844" t="str">
            <v>ZMFD</v>
          </cell>
          <cell r="C844">
            <v>45573</v>
          </cell>
          <cell r="D844" t="str">
            <v>Not delivered</v>
          </cell>
          <cell r="E844">
            <v>508005322</v>
          </cell>
          <cell r="F844">
            <v>20</v>
          </cell>
          <cell r="G844">
            <v>1408739</v>
          </cell>
          <cell r="H844" t="str">
            <v>PT-097B:CAP SR.2 BLUE TRANS PTI 12A</v>
          </cell>
          <cell r="I844">
            <v>50000</v>
          </cell>
          <cell r="J844" t="str">
            <v>UN</v>
          </cell>
          <cell r="K844">
            <v>45665</v>
          </cell>
        </row>
        <row r="845">
          <cell r="A845" t="str">
            <v>50800533010</v>
          </cell>
          <cell r="B845" t="str">
            <v>ZMFD</v>
          </cell>
          <cell r="C845">
            <v>45573</v>
          </cell>
          <cell r="D845" t="str">
            <v>Not delivered</v>
          </cell>
          <cell r="E845">
            <v>508005330</v>
          </cell>
          <cell r="F845">
            <v>10</v>
          </cell>
          <cell r="G845">
            <v>1409881</v>
          </cell>
          <cell r="H845" t="str">
            <v>CM-315:CVR/BS BLACK P/CVRLAST OMG RV160B</v>
          </cell>
          <cell r="I845">
            <v>60000</v>
          </cell>
          <cell r="J845" t="str">
            <v>UN</v>
          </cell>
          <cell r="K845">
            <v>45665</v>
          </cell>
        </row>
        <row r="846">
          <cell r="A846" t="str">
            <v>50714285910</v>
          </cell>
          <cell r="B846" t="str">
            <v>ZMTD</v>
          </cell>
          <cell r="C846">
            <v>45572</v>
          </cell>
          <cell r="D846" t="str">
            <v>Not delivered</v>
          </cell>
          <cell r="E846">
            <v>507142859</v>
          </cell>
          <cell r="F846">
            <v>10</v>
          </cell>
          <cell r="G846">
            <v>1406600</v>
          </cell>
          <cell r="H846" t="str">
            <v>CM-310:BLACK M086 CANNAGE S/SLV UV MT</v>
          </cell>
          <cell r="I846">
            <v>39000</v>
          </cell>
          <cell r="J846" t="str">
            <v>UN</v>
          </cell>
          <cell r="K846">
            <v>45665</v>
          </cell>
        </row>
        <row r="847">
          <cell r="A847" t="str">
            <v>50800530440</v>
          </cell>
          <cell r="B847" t="str">
            <v>ZMFD</v>
          </cell>
          <cell r="C847">
            <v>45569</v>
          </cell>
          <cell r="D847" t="str">
            <v>Not delivered</v>
          </cell>
          <cell r="E847">
            <v>508005304</v>
          </cell>
          <cell r="F847">
            <v>40</v>
          </cell>
          <cell r="G847">
            <v>1419488</v>
          </cell>
          <cell r="H847" t="str">
            <v>CP-063R:SPOUT CAP WHITE LOREAL 12A</v>
          </cell>
          <cell r="I847">
            <v>1890000</v>
          </cell>
          <cell r="J847" t="str">
            <v>UN</v>
          </cell>
          <cell r="K847">
            <v>45665</v>
          </cell>
        </row>
        <row r="848">
          <cell r="A848" t="str">
            <v>50800528040</v>
          </cell>
          <cell r="B848" t="str">
            <v>ZMFD</v>
          </cell>
          <cell r="C848">
            <v>45553</v>
          </cell>
          <cell r="D848" t="str">
            <v>Not delivered</v>
          </cell>
          <cell r="E848">
            <v>508005280</v>
          </cell>
          <cell r="F848">
            <v>40</v>
          </cell>
          <cell r="G848">
            <v>1169286</v>
          </cell>
          <cell r="H848" t="str">
            <v>CM-294:RECTANGULAR WITH GODET PKTJ010032</v>
          </cell>
          <cell r="I848">
            <v>41840</v>
          </cell>
          <cell r="J848" t="str">
            <v>UN</v>
          </cell>
          <cell r="K848">
            <v>45665</v>
          </cell>
        </row>
        <row r="849">
          <cell r="A849" t="str">
            <v>50800523570</v>
          </cell>
          <cell r="B849" t="str">
            <v>ZMFD</v>
          </cell>
          <cell r="C849">
            <v>45505</v>
          </cell>
          <cell r="D849" t="str">
            <v>Not delivered</v>
          </cell>
          <cell r="E849">
            <v>508005235</v>
          </cell>
          <cell r="F849">
            <v>70</v>
          </cell>
          <cell r="G849">
            <v>1332995</v>
          </cell>
          <cell r="H849" t="str">
            <v>LC-008:CAP VM SLV WIP NAT EMLC PTI 20F</v>
          </cell>
          <cell r="I849">
            <v>100000</v>
          </cell>
          <cell r="J849" t="str">
            <v>UN</v>
          </cell>
          <cell r="K849">
            <v>45665</v>
          </cell>
        </row>
        <row r="850">
          <cell r="A850" t="str">
            <v>50800523580</v>
          </cell>
          <cell r="B850" t="str">
            <v>ZMFD</v>
          </cell>
          <cell r="C850">
            <v>45505</v>
          </cell>
          <cell r="D850" t="str">
            <v>Not delivered</v>
          </cell>
          <cell r="E850">
            <v>508005235</v>
          </cell>
          <cell r="F850">
            <v>80</v>
          </cell>
          <cell r="G850">
            <v>1434959</v>
          </cell>
          <cell r="H850" t="str">
            <v>LC-008:BTL CLR (PCTG) P/WHT EMLC PTI 60B</v>
          </cell>
          <cell r="I850">
            <v>100000</v>
          </cell>
          <cell r="J850" t="str">
            <v>UN</v>
          </cell>
          <cell r="K850">
            <v>45665</v>
          </cell>
        </row>
        <row r="851">
          <cell r="A851" t="str">
            <v>50800523590</v>
          </cell>
          <cell r="B851" t="str">
            <v>ZMFD</v>
          </cell>
          <cell r="C851">
            <v>45505</v>
          </cell>
          <cell r="D851" t="str">
            <v>Not delivered</v>
          </cell>
          <cell r="E851">
            <v>508005235</v>
          </cell>
          <cell r="F851">
            <v>90</v>
          </cell>
          <cell r="G851">
            <v>1332995</v>
          </cell>
          <cell r="H851" t="str">
            <v>LC-008:CAP VM SLV WIP NAT EMLC PTI 20F</v>
          </cell>
          <cell r="I851">
            <v>100000</v>
          </cell>
          <cell r="J851" t="str">
            <v>UN</v>
          </cell>
          <cell r="K851">
            <v>45665</v>
          </cell>
        </row>
        <row r="852">
          <cell r="A852" t="str">
            <v>508005235100</v>
          </cell>
          <cell r="B852" t="str">
            <v>ZMFD</v>
          </cell>
          <cell r="C852">
            <v>45505</v>
          </cell>
          <cell r="D852" t="str">
            <v>Not delivered</v>
          </cell>
          <cell r="E852">
            <v>508005235</v>
          </cell>
          <cell r="F852">
            <v>100</v>
          </cell>
          <cell r="G852">
            <v>1434959</v>
          </cell>
          <cell r="H852" t="str">
            <v>LC-008:BTL CLR (PCTG) P/WHT EMLC PTI 60B</v>
          </cell>
          <cell r="I852">
            <v>100000</v>
          </cell>
          <cell r="J852" t="str">
            <v>UN</v>
          </cell>
          <cell r="K852">
            <v>45665</v>
          </cell>
        </row>
        <row r="853">
          <cell r="A853" t="str">
            <v>50800532710</v>
          </cell>
          <cell r="B853" t="str">
            <v>ZMFD</v>
          </cell>
          <cell r="C853">
            <v>45573</v>
          </cell>
          <cell r="D853" t="str">
            <v>Not delivered</v>
          </cell>
          <cell r="E853">
            <v>508005327</v>
          </cell>
          <cell r="F853">
            <v>10</v>
          </cell>
          <cell r="G853">
            <v>1417990</v>
          </cell>
          <cell r="H853" t="str">
            <v>LC-009:BTL #2#3 INNER CLR P/OMG PTIPT60B</v>
          </cell>
          <cell r="I853">
            <v>400000</v>
          </cell>
          <cell r="J853" t="str">
            <v>UN</v>
          </cell>
          <cell r="K853">
            <v>45666</v>
          </cell>
        </row>
        <row r="854">
          <cell r="A854" t="str">
            <v>50800532720</v>
          </cell>
          <cell r="B854" t="str">
            <v>ZMFD</v>
          </cell>
          <cell r="C854">
            <v>45573</v>
          </cell>
          <cell r="D854" t="str">
            <v>Not delivered</v>
          </cell>
          <cell r="E854">
            <v>508005327</v>
          </cell>
          <cell r="F854">
            <v>20</v>
          </cell>
          <cell r="G854">
            <v>1417978</v>
          </cell>
          <cell r="H854" t="str">
            <v>LC-009:CAP #2#3 REDTR WIP S/OMG PTIPT60B</v>
          </cell>
          <cell r="I854">
            <v>400000</v>
          </cell>
          <cell r="J854" t="str">
            <v>UN</v>
          </cell>
          <cell r="K854">
            <v>45666</v>
          </cell>
        </row>
        <row r="855">
          <cell r="A855" t="str">
            <v>50800528410</v>
          </cell>
          <cell r="B855" t="str">
            <v>ZMFD</v>
          </cell>
          <cell r="C855">
            <v>45554</v>
          </cell>
          <cell r="D855" t="str">
            <v>Not delivered</v>
          </cell>
          <cell r="E855">
            <v>508005284</v>
          </cell>
          <cell r="F855">
            <v>10</v>
          </cell>
          <cell r="G855">
            <v>1431861</v>
          </cell>
          <cell r="H855" t="str">
            <v>PT6029R JAR GARNIER 18ML NIGHT CRM (659)</v>
          </cell>
          <cell r="I855">
            <v>51856</v>
          </cell>
          <cell r="J855" t="str">
            <v>UN</v>
          </cell>
          <cell r="K855">
            <v>45666</v>
          </cell>
        </row>
        <row r="856">
          <cell r="A856" t="str">
            <v>50800530450</v>
          </cell>
          <cell r="B856" t="str">
            <v>ZMFD</v>
          </cell>
          <cell r="C856">
            <v>45569</v>
          </cell>
          <cell r="D856" t="str">
            <v>Not delivered</v>
          </cell>
          <cell r="E856">
            <v>508005304</v>
          </cell>
          <cell r="F856">
            <v>50</v>
          </cell>
          <cell r="G856">
            <v>1419488</v>
          </cell>
          <cell r="H856" t="str">
            <v>CP-063R:SPOUT CAP WHITE LOREAL 12A</v>
          </cell>
          <cell r="I856">
            <v>1890000</v>
          </cell>
          <cell r="J856" t="str">
            <v>UN</v>
          </cell>
          <cell r="K856">
            <v>45667</v>
          </cell>
        </row>
        <row r="857">
          <cell r="A857" t="str">
            <v>50800530460</v>
          </cell>
          <cell r="B857" t="str">
            <v>ZMFD</v>
          </cell>
          <cell r="C857">
            <v>45569</v>
          </cell>
          <cell r="D857" t="str">
            <v>Not delivered</v>
          </cell>
          <cell r="E857">
            <v>508005304</v>
          </cell>
          <cell r="F857">
            <v>60</v>
          </cell>
          <cell r="G857">
            <v>1419488</v>
          </cell>
          <cell r="H857" t="str">
            <v>CP-063R:SPOUT CAP WHITE LOREAL 12A</v>
          </cell>
          <cell r="I857">
            <v>1890000</v>
          </cell>
          <cell r="J857" t="str">
            <v>UN</v>
          </cell>
          <cell r="K857">
            <v>45667</v>
          </cell>
        </row>
        <row r="858">
          <cell r="A858" t="str">
            <v>50800528520</v>
          </cell>
          <cell r="B858" t="str">
            <v>ZMFD</v>
          </cell>
          <cell r="C858">
            <v>45558</v>
          </cell>
          <cell r="D858" t="str">
            <v>Not delivered</v>
          </cell>
          <cell r="E858">
            <v>508005285</v>
          </cell>
          <cell r="F858">
            <v>20</v>
          </cell>
          <cell r="G858">
            <v>1163327</v>
          </cell>
          <cell r="H858" t="str">
            <v>CM-246:CVR S.SLV PAN WHITE 6MPY 01 0034</v>
          </cell>
          <cell r="I858">
            <v>25056</v>
          </cell>
          <cell r="J858" t="str">
            <v>UN</v>
          </cell>
          <cell r="K858">
            <v>45667</v>
          </cell>
        </row>
        <row r="859">
          <cell r="A859" t="str">
            <v>50714276470</v>
          </cell>
          <cell r="B859" t="str">
            <v>ZMTD</v>
          </cell>
          <cell r="C859">
            <v>45552</v>
          </cell>
          <cell r="D859" t="str">
            <v>Not delivered</v>
          </cell>
          <cell r="E859">
            <v>507142764</v>
          </cell>
          <cell r="F859">
            <v>70</v>
          </cell>
          <cell r="G859">
            <v>1211756</v>
          </cell>
          <cell r="H859" t="str">
            <v>CM-246:COVER VM SHNY SLV ALMOST PWD</v>
          </cell>
          <cell r="I859">
            <v>120120</v>
          </cell>
          <cell r="J859" t="str">
            <v>UN</v>
          </cell>
          <cell r="K859">
            <v>45667</v>
          </cell>
        </row>
        <row r="860">
          <cell r="A860" t="str">
            <v>50800511230</v>
          </cell>
          <cell r="B860" t="str">
            <v>ZMFD</v>
          </cell>
          <cell r="C860">
            <v>45450</v>
          </cell>
          <cell r="D860" t="str">
            <v>Not delivered</v>
          </cell>
          <cell r="E860">
            <v>508005112</v>
          </cell>
          <cell r="F860">
            <v>30</v>
          </cell>
          <cell r="G860">
            <v>1169658</v>
          </cell>
          <cell r="H860" t="str">
            <v>CM-156:NEW GREEN MRBL 6339010303 CLNQ EL</v>
          </cell>
          <cell r="I860">
            <v>22680</v>
          </cell>
          <cell r="J860" t="str">
            <v>UN</v>
          </cell>
          <cell r="K860">
            <v>45667</v>
          </cell>
        </row>
        <row r="861">
          <cell r="A861" t="str">
            <v>50800531810</v>
          </cell>
          <cell r="B861" t="str">
            <v>ZMFD</v>
          </cell>
          <cell r="C861">
            <v>45573</v>
          </cell>
          <cell r="D861" t="str">
            <v>Not delivered</v>
          </cell>
          <cell r="E861">
            <v>508005318</v>
          </cell>
          <cell r="F861">
            <v>10</v>
          </cell>
          <cell r="G861">
            <v>1255662</v>
          </cell>
          <cell r="H861" t="str">
            <v>LC-002:BTL MT VAR12 P/WRDH B.MARK PTI40H</v>
          </cell>
          <cell r="I861">
            <v>25000</v>
          </cell>
          <cell r="J861" t="str">
            <v>UN</v>
          </cell>
          <cell r="K861">
            <v>45670</v>
          </cell>
        </row>
        <row r="862">
          <cell r="A862" t="str">
            <v>50800531820</v>
          </cell>
          <cell r="B862" t="str">
            <v>ZMFD</v>
          </cell>
          <cell r="C862">
            <v>45573</v>
          </cell>
          <cell r="D862" t="str">
            <v>Not delivered</v>
          </cell>
          <cell r="E862">
            <v>508005318</v>
          </cell>
          <cell r="F862">
            <v>20</v>
          </cell>
          <cell r="G862">
            <v>1174820</v>
          </cell>
          <cell r="H862" t="str">
            <v>LC-002:CP S/MT VAR12 STM-WHT WNAT PTI40D</v>
          </cell>
          <cell r="I862">
            <v>25000</v>
          </cell>
          <cell r="J862" t="str">
            <v>UN</v>
          </cell>
          <cell r="K862">
            <v>45670</v>
          </cell>
        </row>
        <row r="863">
          <cell r="A863" t="str">
            <v>50800531920</v>
          </cell>
          <cell r="B863" t="str">
            <v>ZMFD</v>
          </cell>
          <cell r="C863">
            <v>45573</v>
          </cell>
          <cell r="D863" t="str">
            <v>Not delivered</v>
          </cell>
          <cell r="E863">
            <v>508005319</v>
          </cell>
          <cell r="F863">
            <v>20</v>
          </cell>
          <cell r="G863">
            <v>1285116</v>
          </cell>
          <cell r="H863" t="str">
            <v>CM-292:CV/BS MTBLK LENS S/SLV MO PTI 40C</v>
          </cell>
          <cell r="I863">
            <v>25000</v>
          </cell>
          <cell r="J863" t="str">
            <v>UN</v>
          </cell>
          <cell r="K863">
            <v>45670</v>
          </cell>
        </row>
        <row r="864">
          <cell r="A864" t="str">
            <v>50800532630</v>
          </cell>
          <cell r="B864" t="str">
            <v>ZMFD</v>
          </cell>
          <cell r="C864">
            <v>45573</v>
          </cell>
          <cell r="D864" t="str">
            <v>Not delivered</v>
          </cell>
          <cell r="E864">
            <v>508005326</v>
          </cell>
          <cell r="F864">
            <v>30</v>
          </cell>
          <cell r="G864">
            <v>1375595</v>
          </cell>
          <cell r="H864" t="str">
            <v>LC-009:BTL/INNER CLEAR P/OMG PTIPT 60B</v>
          </cell>
          <cell r="I864">
            <v>150000</v>
          </cell>
          <cell r="J864" t="str">
            <v>UN</v>
          </cell>
          <cell r="K864">
            <v>45670</v>
          </cell>
        </row>
        <row r="865">
          <cell r="A865" t="str">
            <v>50800532640</v>
          </cell>
          <cell r="B865" t="str">
            <v>ZMFD</v>
          </cell>
          <cell r="C865">
            <v>45573</v>
          </cell>
          <cell r="D865" t="str">
            <v>Not delivered</v>
          </cell>
          <cell r="E865">
            <v>508005326</v>
          </cell>
          <cell r="F865">
            <v>40</v>
          </cell>
          <cell r="G865">
            <v>1375593</v>
          </cell>
          <cell r="H865" t="str">
            <v>LC-009:CAP REDTRANS WIP S/OMG PTIPT 60B</v>
          </cell>
          <cell r="I865">
            <v>150000</v>
          </cell>
          <cell r="J865" t="str">
            <v>UN</v>
          </cell>
          <cell r="K865">
            <v>45670</v>
          </cell>
        </row>
        <row r="866">
          <cell r="A866" t="str">
            <v>50800533130</v>
          </cell>
          <cell r="B866" t="str">
            <v>ZMFD</v>
          </cell>
          <cell r="C866">
            <v>45573</v>
          </cell>
          <cell r="D866" t="str">
            <v>Not delivered</v>
          </cell>
          <cell r="E866">
            <v>508005331</v>
          </cell>
          <cell r="F866">
            <v>30</v>
          </cell>
          <cell r="G866">
            <v>1168132</v>
          </cell>
          <cell r="H866" t="str">
            <v>LS-285:BS WHT NO DC WARDAH</v>
          </cell>
          <cell r="I866">
            <v>120000</v>
          </cell>
          <cell r="J866" t="str">
            <v>UN</v>
          </cell>
          <cell r="K866">
            <v>45670</v>
          </cell>
        </row>
        <row r="867">
          <cell r="A867" t="str">
            <v>50800533140</v>
          </cell>
          <cell r="B867" t="str">
            <v>ZMFD</v>
          </cell>
          <cell r="C867">
            <v>45573</v>
          </cell>
          <cell r="D867" t="str">
            <v>Not delivered</v>
          </cell>
          <cell r="E867">
            <v>508005331</v>
          </cell>
          <cell r="F867">
            <v>40</v>
          </cell>
          <cell r="G867">
            <v>1421418</v>
          </cell>
          <cell r="H867" t="str">
            <v>LS-285:CV RED P/WHT UV STRAWBERY PTI 30O</v>
          </cell>
          <cell r="I867">
            <v>120000</v>
          </cell>
          <cell r="J867" t="str">
            <v>UN</v>
          </cell>
          <cell r="K867">
            <v>45670</v>
          </cell>
        </row>
        <row r="868">
          <cell r="A868" t="str">
            <v>50800533440</v>
          </cell>
          <cell r="B868" t="str">
            <v>ZMFD</v>
          </cell>
          <cell r="C868">
            <v>45574</v>
          </cell>
          <cell r="D868" t="str">
            <v>Not delivered</v>
          </cell>
          <cell r="E868">
            <v>508005334</v>
          </cell>
          <cell r="F868">
            <v>40</v>
          </cell>
          <cell r="G868">
            <v>1437039</v>
          </cell>
          <cell r="H868" t="str">
            <v>CM-290:1PC BS CV MT.BLK S/ EMBOS OMG 40C</v>
          </cell>
          <cell r="I868">
            <v>25000</v>
          </cell>
          <cell r="J868" t="str">
            <v>UN</v>
          </cell>
          <cell r="K868">
            <v>45671</v>
          </cell>
        </row>
        <row r="869">
          <cell r="A869" t="str">
            <v>50800533450</v>
          </cell>
          <cell r="B869" t="str">
            <v>ZMFD</v>
          </cell>
          <cell r="C869">
            <v>45574</v>
          </cell>
          <cell r="D869" t="str">
            <v>Not delivered</v>
          </cell>
          <cell r="E869">
            <v>508005334</v>
          </cell>
          <cell r="F869">
            <v>50</v>
          </cell>
          <cell r="G869">
            <v>1437140</v>
          </cell>
          <cell r="H869" t="str">
            <v>CM-290:ENGINE CV RED, BS BLK OMG PTI 12A</v>
          </cell>
          <cell r="I869">
            <v>25000</v>
          </cell>
          <cell r="J869" t="str">
            <v>UN</v>
          </cell>
          <cell r="K869">
            <v>45671</v>
          </cell>
        </row>
        <row r="870">
          <cell r="A870" t="str">
            <v>50800533460</v>
          </cell>
          <cell r="B870" t="str">
            <v>ZMFD</v>
          </cell>
          <cell r="C870">
            <v>45574</v>
          </cell>
          <cell r="D870" t="str">
            <v>Not delivered</v>
          </cell>
          <cell r="E870">
            <v>508005334</v>
          </cell>
          <cell r="F870">
            <v>60</v>
          </cell>
          <cell r="G870">
            <v>1437141</v>
          </cell>
          <cell r="H870" t="str">
            <v>CM-290:RING BLACK OMG PTI 12A</v>
          </cell>
          <cell r="I870">
            <v>25000</v>
          </cell>
          <cell r="J870" t="str">
            <v>UN</v>
          </cell>
          <cell r="K870">
            <v>45671</v>
          </cell>
        </row>
        <row r="871">
          <cell r="A871" t="str">
            <v>50800531630</v>
          </cell>
          <cell r="B871" t="str">
            <v>ZMFD</v>
          </cell>
          <cell r="C871">
            <v>45573</v>
          </cell>
          <cell r="D871" t="str">
            <v>Not delivered</v>
          </cell>
          <cell r="E871">
            <v>508005316</v>
          </cell>
          <cell r="F871">
            <v>30</v>
          </cell>
          <cell r="G871">
            <v>1207621</v>
          </cell>
          <cell r="H871" t="str">
            <v>CP-090:CAP DELCATE MTPINK NOEMBOS PTI40D</v>
          </cell>
          <cell r="I871">
            <v>10000</v>
          </cell>
          <cell r="J871" t="str">
            <v>UN</v>
          </cell>
          <cell r="K871">
            <v>45671</v>
          </cell>
        </row>
        <row r="872">
          <cell r="A872" t="str">
            <v>50800532130</v>
          </cell>
          <cell r="B872" t="str">
            <v>ZMFD</v>
          </cell>
          <cell r="C872">
            <v>45573</v>
          </cell>
          <cell r="D872" t="str">
            <v>Not delivered</v>
          </cell>
          <cell r="E872">
            <v>508005321</v>
          </cell>
          <cell r="F872">
            <v>30</v>
          </cell>
          <cell r="G872">
            <v>1342220</v>
          </cell>
          <cell r="H872" t="str">
            <v>LC-010:BTL CLR HTF COLBEIGE CFIT PTI 60C</v>
          </cell>
          <cell r="I872">
            <v>50000</v>
          </cell>
          <cell r="J872" t="str">
            <v>UN</v>
          </cell>
          <cell r="K872">
            <v>45671</v>
          </cell>
        </row>
        <row r="873">
          <cell r="A873" t="str">
            <v>50800532140</v>
          </cell>
          <cell r="B873" t="str">
            <v>ZMFD</v>
          </cell>
          <cell r="C873">
            <v>45573</v>
          </cell>
          <cell r="D873" t="str">
            <v>Not delivered</v>
          </cell>
          <cell r="E873">
            <v>508005321</v>
          </cell>
          <cell r="F873">
            <v>40</v>
          </cell>
          <cell r="G873">
            <v>1342221</v>
          </cell>
          <cell r="H873" t="str">
            <v>LC-010:CAP BEIGE WIP NAT PTI 12A</v>
          </cell>
          <cell r="I873">
            <v>50000</v>
          </cell>
          <cell r="J873" t="str">
            <v>UN</v>
          </cell>
          <cell r="K873">
            <v>45671</v>
          </cell>
        </row>
        <row r="874">
          <cell r="A874" t="str">
            <v>50800532330</v>
          </cell>
          <cell r="B874" t="str">
            <v>ZMFD</v>
          </cell>
          <cell r="C874">
            <v>45573</v>
          </cell>
          <cell r="D874" t="str">
            <v>Not delivered</v>
          </cell>
          <cell r="E874">
            <v>508005323</v>
          </cell>
          <cell r="F874">
            <v>30</v>
          </cell>
          <cell r="G874">
            <v>1361170</v>
          </cell>
          <cell r="H874" t="str">
            <v>PT-097:BODY BLACK HOUSE WHT TRANS PTI12A</v>
          </cell>
          <cell r="I874">
            <v>50000</v>
          </cell>
          <cell r="J874" t="str">
            <v>UN</v>
          </cell>
          <cell r="K874">
            <v>45671</v>
          </cell>
        </row>
        <row r="875">
          <cell r="A875" t="str">
            <v>50800532340</v>
          </cell>
          <cell r="B875" t="str">
            <v>ZMFD</v>
          </cell>
          <cell r="C875">
            <v>45573</v>
          </cell>
          <cell r="D875" t="str">
            <v>Not delivered</v>
          </cell>
          <cell r="E875">
            <v>508005323</v>
          </cell>
          <cell r="F875">
            <v>40</v>
          </cell>
          <cell r="G875">
            <v>1361175</v>
          </cell>
          <cell r="H875" t="str">
            <v>PT-097:CAP BLACK TRANS PTI 12A</v>
          </cell>
          <cell r="I875">
            <v>50000</v>
          </cell>
          <cell r="J875" t="str">
            <v>UN</v>
          </cell>
          <cell r="K875">
            <v>45671</v>
          </cell>
        </row>
        <row r="876">
          <cell r="A876" t="str">
            <v>50800532430</v>
          </cell>
          <cell r="B876" t="str">
            <v>ZMFD</v>
          </cell>
          <cell r="C876">
            <v>45573</v>
          </cell>
          <cell r="D876" t="str">
            <v>Not delivered</v>
          </cell>
          <cell r="E876">
            <v>508005324</v>
          </cell>
          <cell r="F876">
            <v>30</v>
          </cell>
          <cell r="G876">
            <v>1367372</v>
          </cell>
          <cell r="H876" t="str">
            <v>PT-097:BODY GREN HOUSE WHT TRANS PTI 12A</v>
          </cell>
          <cell r="I876">
            <v>50000</v>
          </cell>
          <cell r="J876" t="str">
            <v>UN</v>
          </cell>
          <cell r="K876">
            <v>45671</v>
          </cell>
        </row>
        <row r="877">
          <cell r="A877" t="str">
            <v>50800532440</v>
          </cell>
          <cell r="B877" t="str">
            <v>ZMFD</v>
          </cell>
          <cell r="C877">
            <v>45573</v>
          </cell>
          <cell r="D877" t="str">
            <v>Not delivered</v>
          </cell>
          <cell r="E877">
            <v>508005324</v>
          </cell>
          <cell r="F877">
            <v>40</v>
          </cell>
          <cell r="G877">
            <v>1367370</v>
          </cell>
          <cell r="H877" t="str">
            <v>PT-097:CAP GREN TRANS PTI 12A</v>
          </cell>
          <cell r="I877">
            <v>50000</v>
          </cell>
          <cell r="J877" t="str">
            <v>UN</v>
          </cell>
          <cell r="K877">
            <v>45671</v>
          </cell>
        </row>
        <row r="878">
          <cell r="A878" t="str">
            <v>50800532810</v>
          </cell>
          <cell r="B878" t="str">
            <v>ZMFD</v>
          </cell>
          <cell r="C878">
            <v>45573</v>
          </cell>
          <cell r="D878" t="str">
            <v>Not delivered</v>
          </cell>
          <cell r="E878">
            <v>508005328</v>
          </cell>
          <cell r="F878">
            <v>10</v>
          </cell>
          <cell r="G878">
            <v>1402678</v>
          </cell>
          <cell r="H878" t="str">
            <v>LS-285:BS GREEN NO DC WARDAH 12A</v>
          </cell>
          <cell r="I878">
            <v>10000</v>
          </cell>
          <cell r="J878" t="str">
            <v>UN</v>
          </cell>
          <cell r="K878">
            <v>45671</v>
          </cell>
        </row>
        <row r="879">
          <cell r="A879" t="str">
            <v>50800532820</v>
          </cell>
          <cell r="B879" t="str">
            <v>ZMFD</v>
          </cell>
          <cell r="C879">
            <v>45573</v>
          </cell>
          <cell r="D879" t="str">
            <v>Not delivered</v>
          </cell>
          <cell r="E879">
            <v>508005328</v>
          </cell>
          <cell r="F879">
            <v>20</v>
          </cell>
          <cell r="G879">
            <v>1402740</v>
          </cell>
          <cell r="H879" t="str">
            <v>LS-285:CV MTWHT P/WRDH LIPBLMHAJJ PTI40H</v>
          </cell>
          <cell r="I879">
            <v>10000</v>
          </cell>
          <cell r="J879" t="str">
            <v>UN</v>
          </cell>
          <cell r="K879">
            <v>45671</v>
          </cell>
        </row>
        <row r="880">
          <cell r="A880" t="str">
            <v>50800530470</v>
          </cell>
          <cell r="B880" t="str">
            <v>ZMFD</v>
          </cell>
          <cell r="C880">
            <v>45569</v>
          </cell>
          <cell r="D880" t="str">
            <v>Not delivered</v>
          </cell>
          <cell r="E880">
            <v>508005304</v>
          </cell>
          <cell r="F880">
            <v>70</v>
          </cell>
          <cell r="G880">
            <v>1419488</v>
          </cell>
          <cell r="H880" t="str">
            <v>CP-063R:SPOUT CAP WHITE LOREAL 12A</v>
          </cell>
          <cell r="I880">
            <v>1890000</v>
          </cell>
          <cell r="J880" t="str">
            <v>UN</v>
          </cell>
          <cell r="K880">
            <v>45671</v>
          </cell>
        </row>
        <row r="881">
          <cell r="A881" t="str">
            <v>50800529630</v>
          </cell>
          <cell r="B881" t="str">
            <v>ZMFD</v>
          </cell>
          <cell r="C881">
            <v>45565</v>
          </cell>
          <cell r="D881" t="str">
            <v>Not delivered</v>
          </cell>
          <cell r="E881">
            <v>508005296</v>
          </cell>
          <cell r="F881">
            <v>30</v>
          </cell>
          <cell r="G881">
            <v>1378563</v>
          </cell>
          <cell r="H881" t="str">
            <v>CP-093:CAP D50 MT BLACK Ø.5 YASULOR 12A</v>
          </cell>
          <cell r="I881">
            <v>600000</v>
          </cell>
          <cell r="J881" t="str">
            <v>UN</v>
          </cell>
          <cell r="K881">
            <v>45671</v>
          </cell>
        </row>
        <row r="882">
          <cell r="A882" t="str">
            <v>50714254010</v>
          </cell>
          <cell r="B882" t="str">
            <v>ZMTD</v>
          </cell>
          <cell r="C882">
            <v>45490</v>
          </cell>
          <cell r="D882" t="str">
            <v>Not delivered</v>
          </cell>
          <cell r="E882">
            <v>507142540</v>
          </cell>
          <cell r="F882">
            <v>10</v>
          </cell>
          <cell r="G882">
            <v>1160334</v>
          </cell>
          <cell r="H882" t="str">
            <v>CP-071:CP8364 RL RED 200ML MASS TINT 407</v>
          </cell>
          <cell r="I882">
            <v>43500</v>
          </cell>
          <cell r="J882" t="str">
            <v>UN</v>
          </cell>
          <cell r="K882">
            <v>45671</v>
          </cell>
        </row>
        <row r="883">
          <cell r="A883" t="str">
            <v>50800533510</v>
          </cell>
          <cell r="B883" t="str">
            <v>ZMFD</v>
          </cell>
          <cell r="C883">
            <v>45574</v>
          </cell>
          <cell r="D883" t="str">
            <v>Not delivered</v>
          </cell>
          <cell r="E883">
            <v>508005335</v>
          </cell>
          <cell r="F883">
            <v>10</v>
          </cell>
          <cell r="G883">
            <v>1411899</v>
          </cell>
          <cell r="H883" t="str">
            <v>PT-100:BS/INS GREEN P/WHT KAHF PTI 60B</v>
          </cell>
          <cell r="I883">
            <v>50000</v>
          </cell>
          <cell r="J883" t="str">
            <v>UN</v>
          </cell>
          <cell r="K883">
            <v>45672</v>
          </cell>
        </row>
        <row r="884">
          <cell r="A884" t="str">
            <v>50800533520</v>
          </cell>
          <cell r="B884" t="str">
            <v>ZMFD</v>
          </cell>
          <cell r="C884">
            <v>45574</v>
          </cell>
          <cell r="D884" t="str">
            <v>Not delivered</v>
          </cell>
          <cell r="E884">
            <v>508005335</v>
          </cell>
          <cell r="F884">
            <v>20</v>
          </cell>
          <cell r="G884">
            <v>1411898</v>
          </cell>
          <cell r="H884" t="str">
            <v>PT-100:CVR MT.GREEN EMBOS KAHF PTI 40D</v>
          </cell>
          <cell r="I884">
            <v>50000</v>
          </cell>
          <cell r="J884" t="str">
            <v>UN</v>
          </cell>
          <cell r="K884">
            <v>45672</v>
          </cell>
        </row>
        <row r="885">
          <cell r="A885" t="str">
            <v>50800532230</v>
          </cell>
          <cell r="B885" t="str">
            <v>ZMFD</v>
          </cell>
          <cell r="C885">
            <v>45573</v>
          </cell>
          <cell r="D885" t="str">
            <v>Not delivered</v>
          </cell>
          <cell r="E885">
            <v>508005322</v>
          </cell>
          <cell r="F885">
            <v>30</v>
          </cell>
          <cell r="G885">
            <v>1408740</v>
          </cell>
          <cell r="H885" t="str">
            <v>PT-097B:BDSR.2 BLU HOUS WHT TRNS PTI12A</v>
          </cell>
          <cell r="I885">
            <v>50000</v>
          </cell>
          <cell r="J885" t="str">
            <v>UN</v>
          </cell>
          <cell r="K885">
            <v>45672</v>
          </cell>
        </row>
        <row r="886">
          <cell r="A886" t="str">
            <v>50800532240</v>
          </cell>
          <cell r="B886" t="str">
            <v>ZMFD</v>
          </cell>
          <cell r="C886">
            <v>45573</v>
          </cell>
          <cell r="D886" t="str">
            <v>Not delivered</v>
          </cell>
          <cell r="E886">
            <v>508005322</v>
          </cell>
          <cell r="F886">
            <v>40</v>
          </cell>
          <cell r="G886">
            <v>1408739</v>
          </cell>
          <cell r="H886" t="str">
            <v>PT-097B:CAP SR.2 BLUE TRANS PTI 12A</v>
          </cell>
          <cell r="I886">
            <v>50000</v>
          </cell>
          <cell r="J886" t="str">
            <v>UN</v>
          </cell>
          <cell r="K886">
            <v>45672</v>
          </cell>
        </row>
        <row r="887">
          <cell r="A887" t="str">
            <v>50800533020</v>
          </cell>
          <cell r="B887" t="str">
            <v>ZMFD</v>
          </cell>
          <cell r="C887">
            <v>45573</v>
          </cell>
          <cell r="D887" t="str">
            <v>Not delivered</v>
          </cell>
          <cell r="E887">
            <v>508005330</v>
          </cell>
          <cell r="F887">
            <v>20</v>
          </cell>
          <cell r="G887">
            <v>1409881</v>
          </cell>
          <cell r="H887" t="str">
            <v>CM-315:CVR/BS BLACK P/CVRLAST OMG RV160B</v>
          </cell>
          <cell r="I887">
            <v>60000</v>
          </cell>
          <cell r="J887" t="str">
            <v>UN</v>
          </cell>
          <cell r="K887">
            <v>45672</v>
          </cell>
        </row>
        <row r="888">
          <cell r="A888" t="str">
            <v>50800529910</v>
          </cell>
          <cell r="B888" t="str">
            <v>ZMFD</v>
          </cell>
          <cell r="C888">
            <v>45567</v>
          </cell>
          <cell r="D888" t="str">
            <v>Not delivered</v>
          </cell>
          <cell r="E888">
            <v>508005299</v>
          </cell>
          <cell r="F888">
            <v>10</v>
          </cell>
          <cell r="G888">
            <v>1216572</v>
          </cell>
          <cell r="H888" t="str">
            <v>CM-216:TRUE MATCH CV PF S/SLV LOR (SEA)</v>
          </cell>
          <cell r="I888">
            <v>250000</v>
          </cell>
          <cell r="J888" t="str">
            <v>UN</v>
          </cell>
          <cell r="K888">
            <v>45672</v>
          </cell>
        </row>
        <row r="889">
          <cell r="A889" t="str">
            <v>50800530480</v>
          </cell>
          <cell r="B889" t="str">
            <v>ZMFD</v>
          </cell>
          <cell r="C889">
            <v>45569</v>
          </cell>
          <cell r="D889" t="str">
            <v>Not delivered</v>
          </cell>
          <cell r="E889">
            <v>508005304</v>
          </cell>
          <cell r="F889">
            <v>80</v>
          </cell>
          <cell r="G889">
            <v>1419488</v>
          </cell>
          <cell r="H889" t="str">
            <v>CP-063R:SPOUT CAP WHITE LOREAL 12A</v>
          </cell>
          <cell r="I889">
            <v>1890000</v>
          </cell>
          <cell r="J889" t="str">
            <v>UN</v>
          </cell>
          <cell r="K889">
            <v>45673</v>
          </cell>
        </row>
        <row r="890">
          <cell r="A890" t="str">
            <v>50800532730</v>
          </cell>
          <cell r="B890" t="str">
            <v>ZMFD</v>
          </cell>
          <cell r="C890">
            <v>45573</v>
          </cell>
          <cell r="D890" t="str">
            <v>Not delivered</v>
          </cell>
          <cell r="E890">
            <v>508005327</v>
          </cell>
          <cell r="F890">
            <v>30</v>
          </cell>
          <cell r="G890">
            <v>1417990</v>
          </cell>
          <cell r="H890" t="str">
            <v>LC-009:BTL #2#3 INNER CLR P/OMG PTIPT60B</v>
          </cell>
          <cell r="I890">
            <v>400000</v>
          </cell>
          <cell r="J890" t="str">
            <v>UN</v>
          </cell>
          <cell r="K890">
            <v>45674</v>
          </cell>
        </row>
        <row r="891">
          <cell r="A891" t="str">
            <v>50800532740</v>
          </cell>
          <cell r="B891" t="str">
            <v>ZMFD</v>
          </cell>
          <cell r="C891">
            <v>45573</v>
          </cell>
          <cell r="D891" t="str">
            <v>Not delivered</v>
          </cell>
          <cell r="E891">
            <v>508005327</v>
          </cell>
          <cell r="F891">
            <v>40</v>
          </cell>
          <cell r="G891">
            <v>1417978</v>
          </cell>
          <cell r="H891" t="str">
            <v>LC-009:CAP #2#3 REDTR WIP S/OMG PTIPT60B</v>
          </cell>
          <cell r="I891">
            <v>400000</v>
          </cell>
          <cell r="J891" t="str">
            <v>UN</v>
          </cell>
          <cell r="K891">
            <v>45674</v>
          </cell>
        </row>
        <row r="892">
          <cell r="A892" t="str">
            <v>50800530490</v>
          </cell>
          <cell r="B892" t="str">
            <v>ZMFD</v>
          </cell>
          <cell r="C892">
            <v>45569</v>
          </cell>
          <cell r="D892" t="str">
            <v>Not delivered</v>
          </cell>
          <cell r="E892">
            <v>508005304</v>
          </cell>
          <cell r="F892">
            <v>90</v>
          </cell>
          <cell r="G892">
            <v>1419488</v>
          </cell>
          <cell r="H892" t="str">
            <v>CP-063R:SPOUT CAP WHITE LOREAL 12A</v>
          </cell>
          <cell r="I892">
            <v>1890000</v>
          </cell>
          <cell r="J892" t="str">
            <v>UN</v>
          </cell>
          <cell r="K892">
            <v>45674</v>
          </cell>
        </row>
        <row r="893">
          <cell r="A893" t="str">
            <v>50714276480</v>
          </cell>
          <cell r="B893" t="str">
            <v>ZMTD</v>
          </cell>
          <cell r="C893">
            <v>45552</v>
          </cell>
          <cell r="D893" t="str">
            <v>Not delivered</v>
          </cell>
          <cell r="E893">
            <v>507142764</v>
          </cell>
          <cell r="F893">
            <v>80</v>
          </cell>
          <cell r="G893">
            <v>1211756</v>
          </cell>
          <cell r="H893" t="str">
            <v>CM-246:COVER VM SHNY SLV ALMOST PWD</v>
          </cell>
          <cell r="I893">
            <v>71760</v>
          </cell>
          <cell r="J893" t="str">
            <v>UN</v>
          </cell>
          <cell r="K893">
            <v>45675</v>
          </cell>
        </row>
        <row r="894">
          <cell r="A894" t="str">
            <v>50800533610</v>
          </cell>
          <cell r="B894" t="str">
            <v>ZMFD</v>
          </cell>
          <cell r="C894">
            <v>45574</v>
          </cell>
          <cell r="D894" t="str">
            <v>Not delivered</v>
          </cell>
          <cell r="E894">
            <v>508005336</v>
          </cell>
          <cell r="F894">
            <v>10</v>
          </cell>
          <cell r="G894">
            <v>1411701</v>
          </cell>
          <cell r="H894" t="str">
            <v>PT-100:BS/INS BLUE P/WHT KAHF PTI 60B</v>
          </cell>
          <cell r="I894">
            <v>100000</v>
          </cell>
          <cell r="J894" t="str">
            <v>UN</v>
          </cell>
          <cell r="K894">
            <v>45677</v>
          </cell>
        </row>
        <row r="895">
          <cell r="A895" t="str">
            <v>50800533620</v>
          </cell>
          <cell r="B895" t="str">
            <v>ZMFD</v>
          </cell>
          <cell r="C895">
            <v>45574</v>
          </cell>
          <cell r="D895" t="str">
            <v>Not delivered</v>
          </cell>
          <cell r="E895">
            <v>508005336</v>
          </cell>
          <cell r="F895">
            <v>20</v>
          </cell>
          <cell r="G895">
            <v>1411700</v>
          </cell>
          <cell r="H895" t="str">
            <v>PT-100:CVR MT.BLUE EMBOS KAHF PTI 40D</v>
          </cell>
          <cell r="I895">
            <v>100000</v>
          </cell>
          <cell r="J895" t="str">
            <v>UN</v>
          </cell>
          <cell r="K895">
            <v>45677</v>
          </cell>
        </row>
        <row r="896">
          <cell r="A896" t="str">
            <v>50800531930</v>
          </cell>
          <cell r="B896" t="str">
            <v>ZMFD</v>
          </cell>
          <cell r="C896">
            <v>45573</v>
          </cell>
          <cell r="D896" t="str">
            <v>Not delivered</v>
          </cell>
          <cell r="E896">
            <v>508005319</v>
          </cell>
          <cell r="F896">
            <v>30</v>
          </cell>
          <cell r="G896">
            <v>1285116</v>
          </cell>
          <cell r="H896" t="str">
            <v>CM-292:CV/BS MTBLK LENS S/SLV MO PTI 40C</v>
          </cell>
          <cell r="I896">
            <v>25000</v>
          </cell>
          <cell r="J896" t="str">
            <v>UN</v>
          </cell>
          <cell r="K896">
            <v>45677</v>
          </cell>
        </row>
        <row r="897">
          <cell r="A897" t="str">
            <v>50800532510</v>
          </cell>
          <cell r="B897" t="str">
            <v>ZMFD</v>
          </cell>
          <cell r="C897">
            <v>45573</v>
          </cell>
          <cell r="D897" t="str">
            <v>Not delivered</v>
          </cell>
          <cell r="E897">
            <v>508005325</v>
          </cell>
          <cell r="F897">
            <v>10</v>
          </cell>
          <cell r="G897">
            <v>1336783</v>
          </cell>
          <cell r="H897" t="str">
            <v>LC-003:BTL CLR CLVM P/S/INSTSUEDE PTI20Y</v>
          </cell>
          <cell r="I897">
            <v>25000</v>
          </cell>
          <cell r="J897" t="str">
            <v>UN</v>
          </cell>
          <cell r="K897">
            <v>45677</v>
          </cell>
        </row>
        <row r="898">
          <cell r="A898" t="str">
            <v>50800532520</v>
          </cell>
          <cell r="B898" t="str">
            <v>ZMFD</v>
          </cell>
          <cell r="C898">
            <v>45573</v>
          </cell>
          <cell r="D898" t="str">
            <v>Not delivered</v>
          </cell>
          <cell r="E898">
            <v>508005325</v>
          </cell>
          <cell r="F898">
            <v>20</v>
          </cell>
          <cell r="G898">
            <v>1378266</v>
          </cell>
          <cell r="H898" t="str">
            <v>LC-003:CAP VM RS PINK INSTASUEDE PTI 20F</v>
          </cell>
          <cell r="I898">
            <v>25000</v>
          </cell>
          <cell r="J898" t="str">
            <v>UN</v>
          </cell>
          <cell r="K898">
            <v>45677</v>
          </cell>
        </row>
        <row r="899">
          <cell r="A899" t="str">
            <v>50800532650</v>
          </cell>
          <cell r="B899" t="str">
            <v>ZMFD</v>
          </cell>
          <cell r="C899">
            <v>45573</v>
          </cell>
          <cell r="D899" t="str">
            <v>Not delivered</v>
          </cell>
          <cell r="E899">
            <v>508005326</v>
          </cell>
          <cell r="F899">
            <v>50</v>
          </cell>
          <cell r="G899">
            <v>1375595</v>
          </cell>
          <cell r="H899" t="str">
            <v>LC-009:BTL/INNER CLEAR P/OMG PTIPT 60B</v>
          </cell>
          <cell r="I899">
            <v>150000</v>
          </cell>
          <cell r="J899" t="str">
            <v>UN</v>
          </cell>
          <cell r="K899">
            <v>45677</v>
          </cell>
        </row>
        <row r="900">
          <cell r="A900" t="str">
            <v>50800532660</v>
          </cell>
          <cell r="B900" t="str">
            <v>ZMFD</v>
          </cell>
          <cell r="C900">
            <v>45573</v>
          </cell>
          <cell r="D900" t="str">
            <v>Not delivered</v>
          </cell>
          <cell r="E900">
            <v>508005326</v>
          </cell>
          <cell r="F900">
            <v>60</v>
          </cell>
          <cell r="G900">
            <v>1375593</v>
          </cell>
          <cell r="H900" t="str">
            <v>LC-009:CAP REDTRANS WIP S/OMG PTIPT 60B</v>
          </cell>
          <cell r="I900">
            <v>150000</v>
          </cell>
          <cell r="J900" t="str">
            <v>UN</v>
          </cell>
          <cell r="K900">
            <v>45677</v>
          </cell>
        </row>
        <row r="901">
          <cell r="A901" t="str">
            <v>50800533470</v>
          </cell>
          <cell r="B901" t="str">
            <v>ZMFD</v>
          </cell>
          <cell r="C901">
            <v>45574</v>
          </cell>
          <cell r="D901" t="str">
            <v>Not delivered</v>
          </cell>
          <cell r="E901">
            <v>508005334</v>
          </cell>
          <cell r="F901">
            <v>70</v>
          </cell>
          <cell r="G901">
            <v>1437039</v>
          </cell>
          <cell r="H901" t="str">
            <v>CM-290:1PC BS CV MT.BLK S/ EMBOS OMG 40C</v>
          </cell>
          <cell r="I901">
            <v>25000</v>
          </cell>
          <cell r="J901" t="str">
            <v>UN</v>
          </cell>
          <cell r="K901">
            <v>45678</v>
          </cell>
        </row>
        <row r="902">
          <cell r="A902" t="str">
            <v>50800533480</v>
          </cell>
          <cell r="B902" t="str">
            <v>ZMFD</v>
          </cell>
          <cell r="C902">
            <v>45574</v>
          </cell>
          <cell r="D902" t="str">
            <v>Not delivered</v>
          </cell>
          <cell r="E902">
            <v>508005334</v>
          </cell>
          <cell r="F902">
            <v>80</v>
          </cell>
          <cell r="G902">
            <v>1437140</v>
          </cell>
          <cell r="H902" t="str">
            <v>CM-290:ENGINE CV RED, BS BLK OMG PTI 12A</v>
          </cell>
          <cell r="I902">
            <v>25000</v>
          </cell>
          <cell r="J902" t="str">
            <v>UN</v>
          </cell>
          <cell r="K902">
            <v>45678</v>
          </cell>
        </row>
        <row r="903">
          <cell r="A903" t="str">
            <v>50800533490</v>
          </cell>
          <cell r="B903" t="str">
            <v>ZMFD</v>
          </cell>
          <cell r="C903">
            <v>45574</v>
          </cell>
          <cell r="D903" t="str">
            <v>Not delivered</v>
          </cell>
          <cell r="E903">
            <v>508005334</v>
          </cell>
          <cell r="F903">
            <v>90</v>
          </cell>
          <cell r="G903">
            <v>1437141</v>
          </cell>
          <cell r="H903" t="str">
            <v>CM-290:RING BLACK OMG PTI 12A</v>
          </cell>
          <cell r="I903">
            <v>25000</v>
          </cell>
          <cell r="J903" t="str">
            <v>UN</v>
          </cell>
          <cell r="K903">
            <v>45678</v>
          </cell>
        </row>
        <row r="904">
          <cell r="A904" t="str">
            <v>50800532350</v>
          </cell>
          <cell r="B904" t="str">
            <v>ZMFD</v>
          </cell>
          <cell r="C904">
            <v>45573</v>
          </cell>
          <cell r="D904" t="str">
            <v>Not delivered</v>
          </cell>
          <cell r="E904">
            <v>508005323</v>
          </cell>
          <cell r="F904">
            <v>50</v>
          </cell>
          <cell r="G904">
            <v>1361170</v>
          </cell>
          <cell r="H904" t="str">
            <v>PT-097:BODY BLACK HOUSE WHT TRANS PTI12A</v>
          </cell>
          <cell r="I904">
            <v>50000</v>
          </cell>
          <cell r="J904" t="str">
            <v>UN</v>
          </cell>
          <cell r="K904">
            <v>45678</v>
          </cell>
        </row>
        <row r="905">
          <cell r="A905" t="str">
            <v>50800532360</v>
          </cell>
          <cell r="B905" t="str">
            <v>ZMFD</v>
          </cell>
          <cell r="C905">
            <v>45573</v>
          </cell>
          <cell r="D905" t="str">
            <v>Not delivered</v>
          </cell>
          <cell r="E905">
            <v>508005323</v>
          </cell>
          <cell r="F905">
            <v>60</v>
          </cell>
          <cell r="G905">
            <v>1361175</v>
          </cell>
          <cell r="H905" t="str">
            <v>PT-097:CAP BLACK TRANS PTI 12A</v>
          </cell>
          <cell r="I905">
            <v>50000</v>
          </cell>
          <cell r="J905" t="str">
            <v>UN</v>
          </cell>
          <cell r="K905">
            <v>45678</v>
          </cell>
        </row>
        <row r="906">
          <cell r="A906" t="str">
            <v>50800532450</v>
          </cell>
          <cell r="B906" t="str">
            <v>ZMFD</v>
          </cell>
          <cell r="C906">
            <v>45573</v>
          </cell>
          <cell r="D906" t="str">
            <v>Not delivered</v>
          </cell>
          <cell r="E906">
            <v>508005324</v>
          </cell>
          <cell r="F906">
            <v>50</v>
          </cell>
          <cell r="G906">
            <v>1367372</v>
          </cell>
          <cell r="H906" t="str">
            <v>PT-097:BODY GREN HOUSE WHT TRANS PTI 12A</v>
          </cell>
          <cell r="I906">
            <v>50000</v>
          </cell>
          <cell r="J906" t="str">
            <v>UN</v>
          </cell>
          <cell r="K906">
            <v>45678</v>
          </cell>
        </row>
        <row r="907">
          <cell r="A907" t="str">
            <v>50800532460</v>
          </cell>
          <cell r="B907" t="str">
            <v>ZMFD</v>
          </cell>
          <cell r="C907">
            <v>45573</v>
          </cell>
          <cell r="D907" t="str">
            <v>Not delivered</v>
          </cell>
          <cell r="E907">
            <v>508005324</v>
          </cell>
          <cell r="F907">
            <v>60</v>
          </cell>
          <cell r="G907">
            <v>1367370</v>
          </cell>
          <cell r="H907" t="str">
            <v>PT-097:CAP GREN TRANS PTI 12A</v>
          </cell>
          <cell r="I907">
            <v>50000</v>
          </cell>
          <cell r="J907" t="str">
            <v>UN</v>
          </cell>
          <cell r="K907">
            <v>45678</v>
          </cell>
        </row>
        <row r="908">
          <cell r="A908" t="str">
            <v>50800533210</v>
          </cell>
          <cell r="B908" t="str">
            <v>ZMFD</v>
          </cell>
          <cell r="C908">
            <v>45573</v>
          </cell>
          <cell r="D908" t="str">
            <v>Not delivered</v>
          </cell>
          <cell r="E908">
            <v>508005332</v>
          </cell>
          <cell r="F908">
            <v>10</v>
          </cell>
          <cell r="G908">
            <v>1168132</v>
          </cell>
          <cell r="H908" t="str">
            <v>LS-285:BS WHT NO DC WARDAH</v>
          </cell>
          <cell r="I908">
            <v>120000</v>
          </cell>
          <cell r="J908" t="str">
            <v>UN</v>
          </cell>
          <cell r="K908">
            <v>45678</v>
          </cell>
        </row>
        <row r="909">
          <cell r="A909" t="str">
            <v>50800533220</v>
          </cell>
          <cell r="B909" t="str">
            <v>ZMFD</v>
          </cell>
          <cell r="C909">
            <v>45573</v>
          </cell>
          <cell r="D909" t="str">
            <v>Not delivered</v>
          </cell>
          <cell r="E909">
            <v>508005332</v>
          </cell>
          <cell r="F909">
            <v>20</v>
          </cell>
          <cell r="G909">
            <v>1421510</v>
          </cell>
          <cell r="H909" t="str">
            <v>LS-285:CV PINK P/WHT UV P.BLOSOM PTI 30O</v>
          </cell>
          <cell r="I909">
            <v>120000</v>
          </cell>
          <cell r="J909" t="str">
            <v>UN</v>
          </cell>
          <cell r="K909">
            <v>45678</v>
          </cell>
        </row>
        <row r="910">
          <cell r="A910" t="str">
            <v>50800529640</v>
          </cell>
          <cell r="B910" t="str">
            <v>ZMFD</v>
          </cell>
          <cell r="C910">
            <v>45565</v>
          </cell>
          <cell r="D910" t="str">
            <v>Not delivered</v>
          </cell>
          <cell r="E910">
            <v>508005296</v>
          </cell>
          <cell r="F910">
            <v>40</v>
          </cell>
          <cell r="G910">
            <v>1378563</v>
          </cell>
          <cell r="H910" t="str">
            <v>CP-093:CAP D50 MT BLACK Ø.5 YASULOR 12A</v>
          </cell>
          <cell r="I910">
            <v>600000</v>
          </cell>
          <cell r="J910" t="str">
            <v>UN</v>
          </cell>
          <cell r="K910">
            <v>45678</v>
          </cell>
        </row>
        <row r="911">
          <cell r="A911" t="str">
            <v>50800532010</v>
          </cell>
          <cell r="B911" t="str">
            <v>ZMFD</v>
          </cell>
          <cell r="C911">
            <v>45573</v>
          </cell>
          <cell r="D911" t="str">
            <v>Not delivered</v>
          </cell>
          <cell r="E911">
            <v>508005320</v>
          </cell>
          <cell r="F911">
            <v>10</v>
          </cell>
          <cell r="G911">
            <v>1434959</v>
          </cell>
          <cell r="H911" t="str">
            <v>LC-008:BTL CLR (PCTG) P/WHT EMLC PTI 60B</v>
          </cell>
          <cell r="I911">
            <v>100000</v>
          </cell>
          <cell r="J911" t="str">
            <v>UN</v>
          </cell>
          <cell r="K911">
            <v>45679</v>
          </cell>
        </row>
        <row r="912">
          <cell r="A912" t="str">
            <v>50800532020</v>
          </cell>
          <cell r="B912" t="str">
            <v>ZMFD</v>
          </cell>
          <cell r="C912">
            <v>45573</v>
          </cell>
          <cell r="D912" t="str">
            <v>Not delivered</v>
          </cell>
          <cell r="E912">
            <v>508005320</v>
          </cell>
          <cell r="F912">
            <v>20</v>
          </cell>
          <cell r="G912">
            <v>1332995</v>
          </cell>
          <cell r="H912" t="str">
            <v>LC-008:CAP VM SLV WIP NAT EMLC PTI 20F</v>
          </cell>
          <cell r="I912">
            <v>100000</v>
          </cell>
          <cell r="J912" t="str">
            <v>UN</v>
          </cell>
          <cell r="K912">
            <v>45679</v>
          </cell>
        </row>
        <row r="913">
          <cell r="A913" t="str">
            <v>50800532250</v>
          </cell>
          <cell r="B913" t="str">
            <v>ZMFD</v>
          </cell>
          <cell r="C913">
            <v>45573</v>
          </cell>
          <cell r="D913" t="str">
            <v>Not delivered</v>
          </cell>
          <cell r="E913">
            <v>508005322</v>
          </cell>
          <cell r="F913">
            <v>50</v>
          </cell>
          <cell r="G913">
            <v>1408740</v>
          </cell>
          <cell r="H913" t="str">
            <v>PT-097B:BDSR.2 BLU HOUS WHT TRNS PTI12A</v>
          </cell>
          <cell r="I913">
            <v>50000</v>
          </cell>
          <cell r="J913" t="str">
            <v>UN</v>
          </cell>
          <cell r="K913">
            <v>45679</v>
          </cell>
        </row>
        <row r="914">
          <cell r="A914" t="str">
            <v>50800532260</v>
          </cell>
          <cell r="B914" t="str">
            <v>ZMFD</v>
          </cell>
          <cell r="C914">
            <v>45573</v>
          </cell>
          <cell r="D914" t="str">
            <v>Not delivered</v>
          </cell>
          <cell r="E914">
            <v>508005322</v>
          </cell>
          <cell r="F914">
            <v>60</v>
          </cell>
          <cell r="G914">
            <v>1408739</v>
          </cell>
          <cell r="H914" t="str">
            <v>PT-097B:CAP SR.2 BLUE TRANS PTI 12A</v>
          </cell>
          <cell r="I914">
            <v>50000</v>
          </cell>
          <cell r="J914" t="str">
            <v>UN</v>
          </cell>
          <cell r="K914">
            <v>45679</v>
          </cell>
        </row>
        <row r="915">
          <cell r="A915" t="str">
            <v>50800533030</v>
          </cell>
          <cell r="B915" t="str">
            <v>ZMFD</v>
          </cell>
          <cell r="C915">
            <v>45573</v>
          </cell>
          <cell r="D915" t="str">
            <v>Not delivered</v>
          </cell>
          <cell r="E915">
            <v>508005330</v>
          </cell>
          <cell r="F915">
            <v>30</v>
          </cell>
          <cell r="G915">
            <v>1409881</v>
          </cell>
          <cell r="H915" t="str">
            <v>CM-315:CVR/BS BLACK P/CVRLAST OMG RV160B</v>
          </cell>
          <cell r="I915">
            <v>60000</v>
          </cell>
          <cell r="J915" t="str">
            <v>UN</v>
          </cell>
          <cell r="K915">
            <v>45679</v>
          </cell>
        </row>
        <row r="916">
          <cell r="A916" t="str">
            <v>50800526440</v>
          </cell>
          <cell r="B916" t="str">
            <v>ZMFD</v>
          </cell>
          <cell r="C916">
            <v>45525</v>
          </cell>
          <cell r="D916" t="str">
            <v>Not delivered</v>
          </cell>
          <cell r="E916">
            <v>508005264</v>
          </cell>
          <cell r="F916">
            <v>40</v>
          </cell>
          <cell r="G916">
            <v>1187758</v>
          </cell>
          <cell r="H916" t="str">
            <v>CM-105:VM RAINBOW P/ULTIMA II RUDYS 40C</v>
          </cell>
          <cell r="I916">
            <v>12500</v>
          </cell>
          <cell r="J916" t="str">
            <v>UN</v>
          </cell>
          <cell r="K916">
            <v>45679</v>
          </cell>
        </row>
        <row r="917">
          <cell r="A917" t="str">
            <v>50800532750</v>
          </cell>
          <cell r="B917" t="str">
            <v>ZMFD</v>
          </cell>
          <cell r="C917">
            <v>45573</v>
          </cell>
          <cell r="D917" t="str">
            <v>Not delivered</v>
          </cell>
          <cell r="E917">
            <v>508005327</v>
          </cell>
          <cell r="F917">
            <v>50</v>
          </cell>
          <cell r="G917">
            <v>1417990</v>
          </cell>
          <cell r="H917" t="str">
            <v>LC-009:BTL #2#3 INNER CLR P/OMG PTIPT60B</v>
          </cell>
          <cell r="I917">
            <v>400000</v>
          </cell>
          <cell r="J917" t="str">
            <v>UN</v>
          </cell>
          <cell r="K917">
            <v>45681</v>
          </cell>
        </row>
        <row r="918">
          <cell r="A918" t="str">
            <v>50800532760</v>
          </cell>
          <cell r="B918" t="str">
            <v>ZMFD</v>
          </cell>
          <cell r="C918">
            <v>45573</v>
          </cell>
          <cell r="D918" t="str">
            <v>Not delivered</v>
          </cell>
          <cell r="E918">
            <v>508005327</v>
          </cell>
          <cell r="F918">
            <v>60</v>
          </cell>
          <cell r="G918">
            <v>1417978</v>
          </cell>
          <cell r="H918" t="str">
            <v>LC-009:CAP #2#3 REDTR WIP S/OMG PTIPT60B</v>
          </cell>
          <cell r="I918">
            <v>400000</v>
          </cell>
          <cell r="J918" t="str">
            <v>UN</v>
          </cell>
          <cell r="K918">
            <v>45681</v>
          </cell>
        </row>
        <row r="919">
          <cell r="A919" t="str">
            <v>50800526410</v>
          </cell>
          <cell r="B919" t="str">
            <v>ZMFD</v>
          </cell>
          <cell r="C919">
            <v>45525</v>
          </cell>
          <cell r="D919" t="str">
            <v>Not delivered</v>
          </cell>
          <cell r="E919">
            <v>508005264</v>
          </cell>
          <cell r="F919">
            <v>10</v>
          </cell>
          <cell r="G919">
            <v>1187960</v>
          </cell>
          <cell r="H919" t="str">
            <v>FP-014:CVR VMRAINBOW P/ULTM II RUDYS 40C</v>
          </cell>
          <cell r="I919">
            <v>15000</v>
          </cell>
          <cell r="J919" t="str">
            <v>UN</v>
          </cell>
          <cell r="K919">
            <v>45681</v>
          </cell>
        </row>
        <row r="920">
          <cell r="A920" t="str">
            <v>50800526420</v>
          </cell>
          <cell r="B920" t="str">
            <v>ZMFD</v>
          </cell>
          <cell r="C920">
            <v>45525</v>
          </cell>
          <cell r="D920" t="str">
            <v>Not delivered</v>
          </cell>
          <cell r="E920">
            <v>508005264</v>
          </cell>
          <cell r="F920">
            <v>20</v>
          </cell>
          <cell r="G920">
            <v>1172318</v>
          </cell>
          <cell r="H920" t="str">
            <v>FP-014:BASE CLEAR NO DC ULTIMA II RUDY S</v>
          </cell>
          <cell r="I920">
            <v>15000</v>
          </cell>
          <cell r="J920" t="str">
            <v>UN</v>
          </cell>
          <cell r="K920">
            <v>45681</v>
          </cell>
        </row>
        <row r="921">
          <cell r="A921" t="str">
            <v>50800526430</v>
          </cell>
          <cell r="B921" t="str">
            <v>ZMFD</v>
          </cell>
          <cell r="C921">
            <v>45525</v>
          </cell>
          <cell r="D921" t="str">
            <v>Not delivered</v>
          </cell>
          <cell r="E921">
            <v>508005264</v>
          </cell>
          <cell r="F921">
            <v>30</v>
          </cell>
          <cell r="G921">
            <v>1170826</v>
          </cell>
          <cell r="H921" t="str">
            <v>FP-014:SIFTER NT W/LBL NO DECO ULTIMA II</v>
          </cell>
          <cell r="I921">
            <v>15000</v>
          </cell>
          <cell r="J921" t="str">
            <v>UN</v>
          </cell>
          <cell r="K921">
            <v>45681</v>
          </cell>
        </row>
        <row r="922">
          <cell r="A922" t="str">
            <v>50714150210</v>
          </cell>
          <cell r="B922" t="str">
            <v>ZMTD</v>
          </cell>
          <cell r="C922">
            <v>45282</v>
          </cell>
          <cell r="D922" t="str">
            <v>Not delivered</v>
          </cell>
          <cell r="E922">
            <v>507141502</v>
          </cell>
          <cell r="F922">
            <v>10</v>
          </cell>
          <cell r="G922">
            <v>1378529</v>
          </cell>
          <cell r="H922" t="str">
            <v>CP-093:CAP D50 MT BLACK Ø.3 YASULOR 12A</v>
          </cell>
          <cell r="I922">
            <v>50000</v>
          </cell>
          <cell r="J922" t="str">
            <v>UN</v>
          </cell>
          <cell r="K922">
            <v>45681</v>
          </cell>
        </row>
        <row r="923">
          <cell r="A923" t="str">
            <v>50800533530</v>
          </cell>
          <cell r="B923" t="str">
            <v>ZMFD</v>
          </cell>
          <cell r="C923">
            <v>45574</v>
          </cell>
          <cell r="D923" t="str">
            <v>Not delivered</v>
          </cell>
          <cell r="E923">
            <v>508005335</v>
          </cell>
          <cell r="F923">
            <v>30</v>
          </cell>
          <cell r="G923">
            <v>1411899</v>
          </cell>
          <cell r="H923" t="str">
            <v>PT-100:BS/INS GREEN P/WHT KAHF PTI 60B</v>
          </cell>
          <cell r="I923">
            <v>100000</v>
          </cell>
          <cell r="J923" t="str">
            <v>UN</v>
          </cell>
          <cell r="K923">
            <v>45684</v>
          </cell>
        </row>
        <row r="924">
          <cell r="A924" t="str">
            <v>50800533540</v>
          </cell>
          <cell r="B924" t="str">
            <v>ZMFD</v>
          </cell>
          <cell r="C924">
            <v>45574</v>
          </cell>
          <cell r="D924" t="str">
            <v>Not delivered</v>
          </cell>
          <cell r="E924">
            <v>508005335</v>
          </cell>
          <cell r="F924">
            <v>40</v>
          </cell>
          <cell r="G924">
            <v>1411898</v>
          </cell>
          <cell r="H924" t="str">
            <v>PT-100:CVR MT.GREEN EMBOS KAHF PTI 40D</v>
          </cell>
          <cell r="I924">
            <v>100000</v>
          </cell>
          <cell r="J924" t="str">
            <v>UN</v>
          </cell>
          <cell r="K924">
            <v>45684</v>
          </cell>
        </row>
        <row r="925">
          <cell r="A925" t="str">
            <v>50800531510</v>
          </cell>
          <cell r="B925" t="str">
            <v>ZMFD</v>
          </cell>
          <cell r="C925">
            <v>45573</v>
          </cell>
          <cell r="D925" t="str">
            <v>Not delivered</v>
          </cell>
          <cell r="E925">
            <v>508005315</v>
          </cell>
          <cell r="F925">
            <v>10</v>
          </cell>
          <cell r="G925">
            <v>1169047</v>
          </cell>
          <cell r="H925" t="str">
            <v>LS-285:B V/SL P/1PS SLEV H/SL BLM PTI20R</v>
          </cell>
          <cell r="I925">
            <v>25536</v>
          </cell>
          <cell r="J925" t="str">
            <v>UN</v>
          </cell>
          <cell r="K925">
            <v>45684</v>
          </cell>
        </row>
        <row r="926">
          <cell r="A926" t="str">
            <v>50800531520</v>
          </cell>
          <cell r="B926" t="str">
            <v>ZMFD</v>
          </cell>
          <cell r="C926">
            <v>45573</v>
          </cell>
          <cell r="D926" t="str">
            <v>Not delivered</v>
          </cell>
          <cell r="E926">
            <v>508005315</v>
          </cell>
          <cell r="F926">
            <v>20</v>
          </cell>
          <cell r="G926">
            <v>1171165</v>
          </cell>
          <cell r="H926" t="str">
            <v>LS-285:CV TRANS MATE 3 P/1PS VAR3 PTI40H</v>
          </cell>
          <cell r="I926">
            <v>25536</v>
          </cell>
          <cell r="J926" t="str">
            <v>UN</v>
          </cell>
          <cell r="K926">
            <v>45684</v>
          </cell>
        </row>
        <row r="927">
          <cell r="A927" t="str">
            <v>508005334100</v>
          </cell>
          <cell r="B927" t="str">
            <v>ZMFD</v>
          </cell>
          <cell r="C927">
            <v>45574</v>
          </cell>
          <cell r="D927" t="str">
            <v>Not delivered</v>
          </cell>
          <cell r="E927">
            <v>508005334</v>
          </cell>
          <cell r="F927">
            <v>100</v>
          </cell>
          <cell r="G927">
            <v>1437039</v>
          </cell>
          <cell r="H927" t="str">
            <v>CM-290:1PC BS CV MT.BLK S/ EMBOS OMG 40C</v>
          </cell>
          <cell r="I927">
            <v>25000</v>
          </cell>
          <cell r="J927" t="str">
            <v>UN</v>
          </cell>
          <cell r="K927">
            <v>45685</v>
          </cell>
        </row>
        <row r="928">
          <cell r="A928" t="str">
            <v>508005334110</v>
          </cell>
          <cell r="B928" t="str">
            <v>ZMFD</v>
          </cell>
          <cell r="C928">
            <v>45574</v>
          </cell>
          <cell r="D928" t="str">
            <v>Not delivered</v>
          </cell>
          <cell r="E928">
            <v>508005334</v>
          </cell>
          <cell r="F928">
            <v>110</v>
          </cell>
          <cell r="G928">
            <v>1437140</v>
          </cell>
          <cell r="H928" t="str">
            <v>CM-290:ENGINE CV RED, BS BLK OMG PTI 12A</v>
          </cell>
          <cell r="I928">
            <v>25000</v>
          </cell>
          <cell r="J928" t="str">
            <v>UN</v>
          </cell>
          <cell r="K928">
            <v>45685</v>
          </cell>
        </row>
        <row r="929">
          <cell r="A929" t="str">
            <v>508005334120</v>
          </cell>
          <cell r="B929" t="str">
            <v>ZMFD</v>
          </cell>
          <cell r="C929">
            <v>45574</v>
          </cell>
          <cell r="D929" t="str">
            <v>Not delivered</v>
          </cell>
          <cell r="E929">
            <v>508005334</v>
          </cell>
          <cell r="F929">
            <v>120</v>
          </cell>
          <cell r="G929">
            <v>1437141</v>
          </cell>
          <cell r="H929" t="str">
            <v>CM-290:RING BLACK OMG PTI 12A</v>
          </cell>
          <cell r="I929">
            <v>25000</v>
          </cell>
          <cell r="J929" t="str">
            <v>UN</v>
          </cell>
          <cell r="K929">
            <v>45685</v>
          </cell>
        </row>
        <row r="930">
          <cell r="A930" t="str">
            <v>50800533740</v>
          </cell>
          <cell r="B930" t="str">
            <v>ZMFD</v>
          </cell>
          <cell r="C930">
            <v>45574</v>
          </cell>
          <cell r="D930" t="str">
            <v>Not delivered</v>
          </cell>
          <cell r="E930">
            <v>508005337</v>
          </cell>
          <cell r="F930">
            <v>40</v>
          </cell>
          <cell r="G930">
            <v>1187960</v>
          </cell>
          <cell r="H930" t="str">
            <v>FP-014:CVR VMRAINBOW P/ULTM II RUDYS 40C</v>
          </cell>
          <cell r="I930">
            <v>15000</v>
          </cell>
          <cell r="J930" t="str">
            <v>UN</v>
          </cell>
          <cell r="K930">
            <v>45685</v>
          </cell>
        </row>
        <row r="931">
          <cell r="A931" t="str">
            <v>50800533750</v>
          </cell>
          <cell r="B931" t="str">
            <v>ZMFD</v>
          </cell>
          <cell r="C931">
            <v>45574</v>
          </cell>
          <cell r="D931" t="str">
            <v>Not delivered</v>
          </cell>
          <cell r="E931">
            <v>508005337</v>
          </cell>
          <cell r="F931">
            <v>50</v>
          </cell>
          <cell r="G931">
            <v>1172318</v>
          </cell>
          <cell r="H931" t="str">
            <v>FP-014:BASE CLEAR NO DC ULTIMA II RUDY S</v>
          </cell>
          <cell r="I931">
            <v>15000</v>
          </cell>
          <cell r="J931" t="str">
            <v>UN</v>
          </cell>
          <cell r="K931">
            <v>45685</v>
          </cell>
        </row>
        <row r="932">
          <cell r="A932" t="str">
            <v>50800533760</v>
          </cell>
          <cell r="B932" t="str">
            <v>ZMFD</v>
          </cell>
          <cell r="C932">
            <v>45574</v>
          </cell>
          <cell r="D932" t="str">
            <v>Not delivered</v>
          </cell>
          <cell r="E932">
            <v>508005337</v>
          </cell>
          <cell r="F932">
            <v>60</v>
          </cell>
          <cell r="G932">
            <v>1170826</v>
          </cell>
          <cell r="H932" t="str">
            <v>FP-014:SIFTER NT W/LBL NO DECO ULTIMA II</v>
          </cell>
          <cell r="I932">
            <v>15000</v>
          </cell>
          <cell r="J932" t="str">
            <v>UN</v>
          </cell>
          <cell r="K932">
            <v>45685</v>
          </cell>
        </row>
        <row r="933">
          <cell r="A933" t="str">
            <v>50800531530</v>
          </cell>
          <cell r="B933" t="str">
            <v>ZMFD</v>
          </cell>
          <cell r="C933">
            <v>45573</v>
          </cell>
          <cell r="D933" t="str">
            <v>Not delivered</v>
          </cell>
          <cell r="E933">
            <v>508005315</v>
          </cell>
          <cell r="F933">
            <v>30</v>
          </cell>
          <cell r="G933">
            <v>1169047</v>
          </cell>
          <cell r="H933" t="str">
            <v>LS-285:B V/SL P/1PS SLEV H/SL BLM PTI20R</v>
          </cell>
          <cell r="I933">
            <v>25536</v>
          </cell>
          <cell r="J933" t="str">
            <v>UN</v>
          </cell>
          <cell r="K933">
            <v>45685</v>
          </cell>
        </row>
        <row r="934">
          <cell r="A934" t="str">
            <v>50800531540</v>
          </cell>
          <cell r="B934" t="str">
            <v>ZMFD</v>
          </cell>
          <cell r="C934">
            <v>45573</v>
          </cell>
          <cell r="D934" t="str">
            <v>Not delivered</v>
          </cell>
          <cell r="E934">
            <v>508005315</v>
          </cell>
          <cell r="F934">
            <v>40</v>
          </cell>
          <cell r="G934">
            <v>1171873</v>
          </cell>
          <cell r="H934" t="str">
            <v>LS-285:CV TRANS MATE 6 P/1PS VAR5 PTI40H</v>
          </cell>
          <cell r="I934">
            <v>25536</v>
          </cell>
          <cell r="J934" t="str">
            <v>UN</v>
          </cell>
          <cell r="K934">
            <v>45685</v>
          </cell>
        </row>
        <row r="935">
          <cell r="A935" t="str">
            <v>50800531640</v>
          </cell>
          <cell r="B935" t="str">
            <v>ZMFD</v>
          </cell>
          <cell r="C935">
            <v>45573</v>
          </cell>
          <cell r="D935" t="str">
            <v>Not delivered</v>
          </cell>
          <cell r="E935">
            <v>508005316</v>
          </cell>
          <cell r="F935">
            <v>40</v>
          </cell>
          <cell r="G935">
            <v>1207621</v>
          </cell>
          <cell r="H935" t="str">
            <v>CP-090:CAP DELCATE MTPINK NOEMBOS PTI40D</v>
          </cell>
          <cell r="I935">
            <v>10000</v>
          </cell>
          <cell r="J935" t="str">
            <v>UN</v>
          </cell>
          <cell r="K935">
            <v>45685</v>
          </cell>
        </row>
        <row r="936">
          <cell r="A936" t="str">
            <v>50800531940</v>
          </cell>
          <cell r="B936" t="str">
            <v>ZMFD</v>
          </cell>
          <cell r="C936">
            <v>45573</v>
          </cell>
          <cell r="D936" t="str">
            <v>Not delivered</v>
          </cell>
          <cell r="E936">
            <v>508005319</v>
          </cell>
          <cell r="F936">
            <v>40</v>
          </cell>
          <cell r="G936">
            <v>1285116</v>
          </cell>
          <cell r="H936" t="str">
            <v>CM-292:CV/BS MTBLK LENS S/SLV MO PTI 40C</v>
          </cell>
          <cell r="I936">
            <v>25000</v>
          </cell>
          <cell r="J936" t="str">
            <v>UN</v>
          </cell>
          <cell r="K936">
            <v>45685</v>
          </cell>
        </row>
        <row r="937">
          <cell r="A937" t="str">
            <v>50800532270</v>
          </cell>
          <cell r="B937" t="str">
            <v>ZMFD</v>
          </cell>
          <cell r="C937">
            <v>45573</v>
          </cell>
          <cell r="D937" t="str">
            <v>Not delivered</v>
          </cell>
          <cell r="E937">
            <v>508005322</v>
          </cell>
          <cell r="F937">
            <v>70</v>
          </cell>
          <cell r="G937">
            <v>1408740</v>
          </cell>
          <cell r="H937" t="str">
            <v>PT-097B:BDSR.2 BLU HOUS WHT TRNS PTI12A</v>
          </cell>
          <cell r="I937">
            <v>50000</v>
          </cell>
          <cell r="J937" t="str">
            <v>UN</v>
          </cell>
          <cell r="K937">
            <v>45685</v>
          </cell>
        </row>
        <row r="938">
          <cell r="A938" t="str">
            <v>50800532280</v>
          </cell>
          <cell r="B938" t="str">
            <v>ZMFD</v>
          </cell>
          <cell r="C938">
            <v>45573</v>
          </cell>
          <cell r="D938" t="str">
            <v>Not delivered</v>
          </cell>
          <cell r="E938">
            <v>508005322</v>
          </cell>
          <cell r="F938">
            <v>80</v>
          </cell>
          <cell r="G938">
            <v>1408739</v>
          </cell>
          <cell r="H938" t="str">
            <v>PT-097B:CAP SR.2 BLUE TRANS PTI 12A</v>
          </cell>
          <cell r="I938">
            <v>50000</v>
          </cell>
          <cell r="J938" t="str">
            <v>UN</v>
          </cell>
          <cell r="K938">
            <v>45685</v>
          </cell>
        </row>
        <row r="939">
          <cell r="A939" t="str">
            <v>50800532530</v>
          </cell>
          <cell r="B939" t="str">
            <v>ZMFD</v>
          </cell>
          <cell r="C939">
            <v>45573</v>
          </cell>
          <cell r="D939" t="str">
            <v>Not delivered</v>
          </cell>
          <cell r="E939">
            <v>508005325</v>
          </cell>
          <cell r="F939">
            <v>30</v>
          </cell>
          <cell r="G939">
            <v>1336783</v>
          </cell>
          <cell r="H939" t="str">
            <v>LC-003:BTL CLR CLVM P/S/INSTSUEDE PTI20Y</v>
          </cell>
          <cell r="I939">
            <v>25000</v>
          </cell>
          <cell r="J939" t="str">
            <v>UN</v>
          </cell>
          <cell r="K939">
            <v>45685</v>
          </cell>
        </row>
        <row r="940">
          <cell r="A940" t="str">
            <v>50800532540</v>
          </cell>
          <cell r="B940" t="str">
            <v>ZMFD</v>
          </cell>
          <cell r="C940">
            <v>45573</v>
          </cell>
          <cell r="D940" t="str">
            <v>Not delivered</v>
          </cell>
          <cell r="E940">
            <v>508005325</v>
          </cell>
          <cell r="F940">
            <v>40</v>
          </cell>
          <cell r="G940">
            <v>1378266</v>
          </cell>
          <cell r="H940" t="str">
            <v>LC-003:CAP VM RS PINK INSTASUEDE PTI 20F</v>
          </cell>
          <cell r="I940">
            <v>25000</v>
          </cell>
          <cell r="J940" t="str">
            <v>UN</v>
          </cell>
          <cell r="K940">
            <v>45685</v>
          </cell>
        </row>
        <row r="941">
          <cell r="A941" t="str">
            <v>50800532670</v>
          </cell>
          <cell r="B941" t="str">
            <v>ZMFD</v>
          </cell>
          <cell r="C941">
            <v>45573</v>
          </cell>
          <cell r="D941" t="str">
            <v>Not delivered</v>
          </cell>
          <cell r="E941">
            <v>508005326</v>
          </cell>
          <cell r="F941">
            <v>70</v>
          </cell>
          <cell r="G941">
            <v>1375595</v>
          </cell>
          <cell r="H941" t="str">
            <v>LC-009:BTL/INNER CLEAR P/OMG PTIPT 60B</v>
          </cell>
          <cell r="I941">
            <v>150000</v>
          </cell>
          <cell r="J941" t="str">
            <v>UN</v>
          </cell>
          <cell r="K941">
            <v>45685</v>
          </cell>
        </row>
        <row r="942">
          <cell r="A942" t="str">
            <v>50800532680</v>
          </cell>
          <cell r="B942" t="str">
            <v>ZMFD</v>
          </cell>
          <cell r="C942">
            <v>45573</v>
          </cell>
          <cell r="D942" t="str">
            <v>Not delivered</v>
          </cell>
          <cell r="E942">
            <v>508005326</v>
          </cell>
          <cell r="F942">
            <v>80</v>
          </cell>
          <cell r="G942">
            <v>1375593</v>
          </cell>
          <cell r="H942" t="str">
            <v>LC-009:CAP REDTRANS WIP S/OMG PTIPT 60B</v>
          </cell>
          <cell r="I942">
            <v>150000</v>
          </cell>
          <cell r="J942" t="str">
            <v>UN</v>
          </cell>
          <cell r="K942">
            <v>45685</v>
          </cell>
        </row>
        <row r="943">
          <cell r="A943" t="str">
            <v>50800531550</v>
          </cell>
          <cell r="B943" t="str">
            <v>ZMFD</v>
          </cell>
          <cell r="C943">
            <v>45573</v>
          </cell>
          <cell r="D943" t="str">
            <v>Not delivered</v>
          </cell>
          <cell r="E943">
            <v>508005315</v>
          </cell>
          <cell r="F943">
            <v>50</v>
          </cell>
          <cell r="G943">
            <v>1169047</v>
          </cell>
          <cell r="H943" t="str">
            <v>LS-285:B V/SL P/1PS SLEV H/SL BLM PTI20R</v>
          </cell>
          <cell r="I943">
            <v>25536</v>
          </cell>
          <cell r="J943" t="str">
            <v>UN</v>
          </cell>
          <cell r="K943">
            <v>45686</v>
          </cell>
        </row>
        <row r="944">
          <cell r="A944" t="str">
            <v>50800531560</v>
          </cell>
          <cell r="B944" t="str">
            <v>ZMFD</v>
          </cell>
          <cell r="C944">
            <v>45573</v>
          </cell>
          <cell r="D944" t="str">
            <v>Not delivered</v>
          </cell>
          <cell r="E944">
            <v>508005315</v>
          </cell>
          <cell r="F944">
            <v>60</v>
          </cell>
          <cell r="G944">
            <v>1171889</v>
          </cell>
          <cell r="H944" t="str">
            <v>LS-285:CV TRANS MATE 7 P/1PS VAR6 PTI40H</v>
          </cell>
          <cell r="I944">
            <v>25536</v>
          </cell>
          <cell r="J944" t="str">
            <v>UN</v>
          </cell>
          <cell r="K944">
            <v>45686</v>
          </cell>
        </row>
        <row r="945">
          <cell r="A945" t="str">
            <v>50800533040</v>
          </cell>
          <cell r="B945" t="str">
            <v>ZMFD</v>
          </cell>
          <cell r="C945">
            <v>45573</v>
          </cell>
          <cell r="D945" t="str">
            <v>Not delivered</v>
          </cell>
          <cell r="E945">
            <v>508005330</v>
          </cell>
          <cell r="F945">
            <v>40</v>
          </cell>
          <cell r="G945">
            <v>1409881</v>
          </cell>
          <cell r="H945" t="str">
            <v>CM-315:CVR/BS BLACK P/CVRLAST OMG RV160B</v>
          </cell>
          <cell r="I945">
            <v>60000</v>
          </cell>
          <cell r="J945" t="str">
            <v>UN</v>
          </cell>
          <cell r="K945">
            <v>45686</v>
          </cell>
        </row>
        <row r="946">
          <cell r="A946" t="str">
            <v>50800532030</v>
          </cell>
          <cell r="B946" t="str">
            <v>ZMFD</v>
          </cell>
          <cell r="C946">
            <v>45573</v>
          </cell>
          <cell r="D946" t="str">
            <v>Not delivered</v>
          </cell>
          <cell r="E946">
            <v>508005320</v>
          </cell>
          <cell r="F946">
            <v>30</v>
          </cell>
          <cell r="G946">
            <v>1434959</v>
          </cell>
          <cell r="H946" t="str">
            <v>LC-008:BTL CLR (PCTG) P/WHT EMLC PTI 60B</v>
          </cell>
          <cell r="I946">
            <v>100000</v>
          </cell>
          <cell r="J946" t="str">
            <v>UN</v>
          </cell>
          <cell r="K946">
            <v>45687</v>
          </cell>
        </row>
        <row r="947">
          <cell r="A947" t="str">
            <v>50800532040</v>
          </cell>
          <cell r="B947" t="str">
            <v>ZMFD</v>
          </cell>
          <cell r="C947">
            <v>45573</v>
          </cell>
          <cell r="D947" t="str">
            <v>Not delivered</v>
          </cell>
          <cell r="E947">
            <v>508005320</v>
          </cell>
          <cell r="F947">
            <v>40</v>
          </cell>
          <cell r="G947">
            <v>1332995</v>
          </cell>
          <cell r="H947" t="str">
            <v>LC-008:CAP VM SLV WIP NAT EMLC PTI 20F</v>
          </cell>
          <cell r="I947">
            <v>100000</v>
          </cell>
          <cell r="J947" t="str">
            <v>UN</v>
          </cell>
          <cell r="K947">
            <v>45687</v>
          </cell>
        </row>
        <row r="948">
          <cell r="A948" t="str">
            <v>50800532370</v>
          </cell>
          <cell r="B948" t="str">
            <v>ZMFD</v>
          </cell>
          <cell r="C948">
            <v>45573</v>
          </cell>
          <cell r="D948" t="str">
            <v>Not delivered</v>
          </cell>
          <cell r="E948">
            <v>508005323</v>
          </cell>
          <cell r="F948">
            <v>70</v>
          </cell>
          <cell r="G948">
            <v>1361170</v>
          </cell>
          <cell r="H948" t="str">
            <v>PT-097:BODY BLACK HOUSE WHT TRANS PTI12A</v>
          </cell>
          <cell r="I948">
            <v>50000</v>
          </cell>
          <cell r="J948" t="str">
            <v>UN</v>
          </cell>
          <cell r="K948">
            <v>45687</v>
          </cell>
        </row>
        <row r="949">
          <cell r="A949" t="str">
            <v>50800532380</v>
          </cell>
          <cell r="B949" t="str">
            <v>ZMFD</v>
          </cell>
          <cell r="C949">
            <v>45573</v>
          </cell>
          <cell r="D949" t="str">
            <v>Not delivered</v>
          </cell>
          <cell r="E949">
            <v>508005323</v>
          </cell>
          <cell r="F949">
            <v>80</v>
          </cell>
          <cell r="G949">
            <v>1361175</v>
          </cell>
          <cell r="H949" t="str">
            <v>PT-097:CAP BLACK TRANS PTI 12A</v>
          </cell>
          <cell r="I949">
            <v>50000</v>
          </cell>
          <cell r="J949" t="str">
            <v>UN</v>
          </cell>
          <cell r="K949">
            <v>45687</v>
          </cell>
        </row>
        <row r="950">
          <cell r="A950" t="str">
            <v>50800532770</v>
          </cell>
          <cell r="B950" t="str">
            <v>ZMFD</v>
          </cell>
          <cell r="C950">
            <v>45573</v>
          </cell>
          <cell r="D950" t="str">
            <v>Not delivered</v>
          </cell>
          <cell r="E950">
            <v>508005327</v>
          </cell>
          <cell r="F950">
            <v>70</v>
          </cell>
          <cell r="G950">
            <v>1417990</v>
          </cell>
          <cell r="H950" t="str">
            <v>LC-009:BTL #2#3 INNER CLR P/OMG PTIPT60B</v>
          </cell>
          <cell r="I950">
            <v>400000</v>
          </cell>
          <cell r="J950" t="str">
            <v>UN</v>
          </cell>
          <cell r="K950">
            <v>45687</v>
          </cell>
        </row>
        <row r="951">
          <cell r="A951" t="str">
            <v>50800532780</v>
          </cell>
          <cell r="B951" t="str">
            <v>ZMFD</v>
          </cell>
          <cell r="C951">
            <v>45573</v>
          </cell>
          <cell r="D951" t="str">
            <v>Not delivered</v>
          </cell>
          <cell r="E951">
            <v>508005327</v>
          </cell>
          <cell r="F951">
            <v>80</v>
          </cell>
          <cell r="G951">
            <v>1417978</v>
          </cell>
          <cell r="H951" t="str">
            <v>LC-009:CAP #2#3 REDTR WIP S/OMG PTIPT60B</v>
          </cell>
          <cell r="I951">
            <v>400000</v>
          </cell>
          <cell r="J951" t="str">
            <v>UN</v>
          </cell>
          <cell r="K951">
            <v>45687</v>
          </cell>
        </row>
        <row r="952">
          <cell r="A952" t="str">
            <v>50800532910</v>
          </cell>
          <cell r="B952" t="str">
            <v>ZMFD</v>
          </cell>
          <cell r="C952">
            <v>45573</v>
          </cell>
          <cell r="D952" t="str">
            <v>Not delivered</v>
          </cell>
          <cell r="E952">
            <v>508005329</v>
          </cell>
          <cell r="F952">
            <v>10</v>
          </cell>
          <cell r="G952">
            <v>1153319</v>
          </cell>
          <cell r="H952" t="str">
            <v>LS-285:BS/SPRL BEIGE P/WRDH PTI 40H</v>
          </cell>
          <cell r="I952">
            <v>50000</v>
          </cell>
          <cell r="J952" t="str">
            <v>UN</v>
          </cell>
          <cell r="K952">
            <v>45687</v>
          </cell>
        </row>
        <row r="953">
          <cell r="A953" t="str">
            <v>50800532920</v>
          </cell>
          <cell r="B953" t="str">
            <v>ZMFD</v>
          </cell>
          <cell r="C953">
            <v>45573</v>
          </cell>
          <cell r="D953" t="str">
            <v>Not delivered</v>
          </cell>
          <cell r="E953">
            <v>508005329</v>
          </cell>
          <cell r="F953">
            <v>20</v>
          </cell>
          <cell r="G953">
            <v>1153467</v>
          </cell>
          <cell r="H953" t="str">
            <v>LS-285:CVR MT BEIGE P/S.SEOUL PTI40H</v>
          </cell>
          <cell r="I953">
            <v>50000</v>
          </cell>
          <cell r="J953" t="str">
            <v>UN</v>
          </cell>
          <cell r="K953">
            <v>45687</v>
          </cell>
        </row>
        <row r="954">
          <cell r="A954" t="str">
            <v>50714275910</v>
          </cell>
          <cell r="B954" t="str">
            <v>ZMTD</v>
          </cell>
          <cell r="C954">
            <v>45548</v>
          </cell>
          <cell r="D954" t="str">
            <v>Not delivered</v>
          </cell>
          <cell r="E954">
            <v>507142759</v>
          </cell>
          <cell r="F954">
            <v>10</v>
          </cell>
          <cell r="G954">
            <v>1432080</v>
          </cell>
          <cell r="H954" t="str">
            <v>CM-281:BS/CV TWC BLUE UV P/S/INEZ FTC30M</v>
          </cell>
          <cell r="I954">
            <v>25000</v>
          </cell>
          <cell r="J954" t="str">
            <v>UN</v>
          </cell>
          <cell r="K954">
            <v>45687</v>
          </cell>
        </row>
        <row r="955">
          <cell r="A955" t="str">
            <v>50800528220</v>
          </cell>
          <cell r="B955" t="str">
            <v>ZMFD</v>
          </cell>
          <cell r="C955">
            <v>45554</v>
          </cell>
          <cell r="D955" t="str">
            <v>Not delivered</v>
          </cell>
          <cell r="E955">
            <v>508005282</v>
          </cell>
          <cell r="F955">
            <v>20</v>
          </cell>
          <cell r="G955">
            <v>1431860</v>
          </cell>
          <cell r="H955" t="str">
            <v>PT6029R CAP GARNIER 18ML WHITE PLZ (553)</v>
          </cell>
          <cell r="I955">
            <v>35280</v>
          </cell>
          <cell r="J955" t="str">
            <v>UN</v>
          </cell>
          <cell r="K955">
            <v>45688</v>
          </cell>
        </row>
        <row r="956">
          <cell r="A956" t="str">
            <v>50800530510</v>
          </cell>
          <cell r="B956" t="str">
            <v>ZMFD</v>
          </cell>
          <cell r="C956">
            <v>45569</v>
          </cell>
          <cell r="D956" t="str">
            <v>Not delivered</v>
          </cell>
          <cell r="E956">
            <v>508005305</v>
          </cell>
          <cell r="F956">
            <v>10</v>
          </cell>
          <cell r="G956">
            <v>1419488</v>
          </cell>
          <cell r="H956" t="str">
            <v>CP-063R:SPOUT CAP WHITE LOREAL 12A</v>
          </cell>
          <cell r="I956">
            <v>1890000</v>
          </cell>
          <cell r="J956" t="str">
            <v>UN</v>
          </cell>
          <cell r="K956">
            <v>45691</v>
          </cell>
        </row>
        <row r="957">
          <cell r="A957" t="str">
            <v>50800530520</v>
          </cell>
          <cell r="B957" t="str">
            <v>ZMFD</v>
          </cell>
          <cell r="C957">
            <v>45569</v>
          </cell>
          <cell r="D957" t="str">
            <v>Not delivered</v>
          </cell>
          <cell r="E957">
            <v>508005305</v>
          </cell>
          <cell r="F957">
            <v>20</v>
          </cell>
          <cell r="G957">
            <v>1419488</v>
          </cell>
          <cell r="H957" t="str">
            <v>CP-063R:SPOUT CAP WHITE LOREAL 12A</v>
          </cell>
          <cell r="I957">
            <v>1890000</v>
          </cell>
          <cell r="J957" t="str">
            <v>UN</v>
          </cell>
          <cell r="K957">
            <v>45693</v>
          </cell>
        </row>
        <row r="958">
          <cell r="A958" t="str">
            <v>50800530530</v>
          </cell>
          <cell r="B958" t="str">
            <v>ZMFD</v>
          </cell>
          <cell r="C958">
            <v>45569</v>
          </cell>
          <cell r="D958" t="str">
            <v>Not delivered</v>
          </cell>
          <cell r="E958">
            <v>508005305</v>
          </cell>
          <cell r="F958">
            <v>30</v>
          </cell>
          <cell r="G958">
            <v>1419488</v>
          </cell>
          <cell r="H958" t="str">
            <v>CP-063R:SPOUT CAP WHITE LOREAL 12A</v>
          </cell>
          <cell r="I958">
            <v>1890000</v>
          </cell>
          <cell r="J958" t="str">
            <v>UN</v>
          </cell>
          <cell r="K958">
            <v>45695</v>
          </cell>
        </row>
        <row r="959">
          <cell r="A959" t="str">
            <v>50800530540</v>
          </cell>
          <cell r="B959" t="str">
            <v>ZMFD</v>
          </cell>
          <cell r="C959">
            <v>45569</v>
          </cell>
          <cell r="D959" t="str">
            <v>Not delivered</v>
          </cell>
          <cell r="E959">
            <v>508005305</v>
          </cell>
          <cell r="F959">
            <v>40</v>
          </cell>
          <cell r="G959">
            <v>1419488</v>
          </cell>
          <cell r="H959" t="str">
            <v>CP-063R:SPOUT CAP WHITE LOREAL 12A</v>
          </cell>
          <cell r="I959">
            <v>1890000</v>
          </cell>
          <cell r="J959" t="str">
            <v>UN</v>
          </cell>
          <cell r="K959">
            <v>45698</v>
          </cell>
        </row>
        <row r="960">
          <cell r="A960" t="str">
            <v>50800530550</v>
          </cell>
          <cell r="B960" t="str">
            <v>ZMFD</v>
          </cell>
          <cell r="C960">
            <v>45569</v>
          </cell>
          <cell r="D960" t="str">
            <v>Not delivered</v>
          </cell>
          <cell r="E960">
            <v>508005305</v>
          </cell>
          <cell r="F960">
            <v>50</v>
          </cell>
          <cell r="G960">
            <v>1419488</v>
          </cell>
          <cell r="H960" t="str">
            <v>CP-063R:SPOUT CAP WHITE LOREAL 12A</v>
          </cell>
          <cell r="I960">
            <v>1890000</v>
          </cell>
          <cell r="J960" t="str">
            <v>UN</v>
          </cell>
          <cell r="K960">
            <v>45699</v>
          </cell>
        </row>
        <row r="961">
          <cell r="A961" t="str">
            <v>50800530560</v>
          </cell>
          <cell r="B961" t="str">
            <v>ZMFD</v>
          </cell>
          <cell r="C961">
            <v>45569</v>
          </cell>
          <cell r="D961" t="str">
            <v>Not delivered</v>
          </cell>
          <cell r="E961">
            <v>508005305</v>
          </cell>
          <cell r="F961">
            <v>60</v>
          </cell>
          <cell r="G961">
            <v>1419488</v>
          </cell>
          <cell r="H961" t="str">
            <v>CP-063R:SPOUT CAP WHITE LOREAL 12A</v>
          </cell>
          <cell r="I961">
            <v>1890000</v>
          </cell>
          <cell r="J961" t="str">
            <v>UN</v>
          </cell>
          <cell r="K961">
            <v>45701</v>
          </cell>
        </row>
        <row r="962">
          <cell r="A962" t="str">
            <v>50800530570</v>
          </cell>
          <cell r="B962" t="str">
            <v>ZMFD</v>
          </cell>
          <cell r="C962">
            <v>45569</v>
          </cell>
          <cell r="D962" t="str">
            <v>Not delivered</v>
          </cell>
          <cell r="E962">
            <v>508005305</v>
          </cell>
          <cell r="F962">
            <v>70</v>
          </cell>
          <cell r="G962">
            <v>1419488</v>
          </cell>
          <cell r="H962" t="str">
            <v>CP-063R:SPOUT CAP WHITE LOREAL 12A</v>
          </cell>
          <cell r="I962">
            <v>1890000</v>
          </cell>
          <cell r="J962" t="str">
            <v>UN</v>
          </cell>
          <cell r="K962">
            <v>45702</v>
          </cell>
        </row>
        <row r="963">
          <cell r="A963" t="str">
            <v>50800530580</v>
          </cell>
          <cell r="B963" t="str">
            <v>ZMFD</v>
          </cell>
          <cell r="C963">
            <v>45569</v>
          </cell>
          <cell r="D963" t="str">
            <v>Not delivered</v>
          </cell>
          <cell r="E963">
            <v>508005305</v>
          </cell>
          <cell r="F963">
            <v>80</v>
          </cell>
          <cell r="G963">
            <v>1419488</v>
          </cell>
          <cell r="H963" t="str">
            <v>CP-063R:SPOUT CAP WHITE LOREAL 12A</v>
          </cell>
          <cell r="I963">
            <v>1890000</v>
          </cell>
          <cell r="J963" t="str">
            <v>UN</v>
          </cell>
          <cell r="K963">
            <v>45705</v>
          </cell>
        </row>
        <row r="964">
          <cell r="A964" t="str">
            <v>50800530590</v>
          </cell>
          <cell r="B964" t="str">
            <v>ZMFD</v>
          </cell>
          <cell r="C964">
            <v>45569</v>
          </cell>
          <cell r="D964" t="str">
            <v>Not delivered</v>
          </cell>
          <cell r="E964">
            <v>508005305</v>
          </cell>
          <cell r="F964">
            <v>90</v>
          </cell>
          <cell r="G964">
            <v>1419488</v>
          </cell>
          <cell r="H964" t="str">
            <v>CP-063R:SPOUT CAP WHITE LOREAL 12A</v>
          </cell>
          <cell r="I964">
            <v>1890000</v>
          </cell>
          <cell r="J964" t="str">
            <v>UN</v>
          </cell>
          <cell r="K964">
            <v>45707</v>
          </cell>
        </row>
        <row r="965">
          <cell r="A965" t="str">
            <v>50800533770</v>
          </cell>
          <cell r="B965" t="str">
            <v>ZMFD</v>
          </cell>
          <cell r="C965">
            <v>45574</v>
          </cell>
          <cell r="D965" t="str">
            <v>Not delivered</v>
          </cell>
          <cell r="E965">
            <v>508005337</v>
          </cell>
          <cell r="F965">
            <v>70</v>
          </cell>
          <cell r="G965">
            <v>1187960</v>
          </cell>
          <cell r="H965" t="str">
            <v>FP-014:CVR VMRAINBOW P/ULTM II RUDYS 40C</v>
          </cell>
          <cell r="I965">
            <v>32600</v>
          </cell>
          <cell r="J965" t="str">
            <v>UN</v>
          </cell>
          <cell r="K965">
            <v>45708</v>
          </cell>
        </row>
        <row r="966">
          <cell r="A966" t="str">
            <v>50800533780</v>
          </cell>
          <cell r="B966" t="str">
            <v>ZMFD</v>
          </cell>
          <cell r="C966">
            <v>45574</v>
          </cell>
          <cell r="D966" t="str">
            <v>Not delivered</v>
          </cell>
          <cell r="E966">
            <v>508005337</v>
          </cell>
          <cell r="F966">
            <v>80</v>
          </cell>
          <cell r="G966">
            <v>1172318</v>
          </cell>
          <cell r="H966" t="str">
            <v>FP-014:BASE CLEAR NO DC ULTIMA II RUDY S</v>
          </cell>
          <cell r="I966">
            <v>32600</v>
          </cell>
          <cell r="J966" t="str">
            <v>UN</v>
          </cell>
          <cell r="K966">
            <v>45708</v>
          </cell>
        </row>
        <row r="967">
          <cell r="A967" t="str">
            <v>50800533790</v>
          </cell>
          <cell r="B967" t="str">
            <v>ZMFD</v>
          </cell>
          <cell r="C967">
            <v>45574</v>
          </cell>
          <cell r="D967" t="str">
            <v>Not delivered</v>
          </cell>
          <cell r="E967">
            <v>508005337</v>
          </cell>
          <cell r="F967">
            <v>90</v>
          </cell>
          <cell r="G967">
            <v>1170826</v>
          </cell>
          <cell r="H967" t="str">
            <v>FP-014:SIFTER NT W/LBL NO DECO ULTIMA II</v>
          </cell>
          <cell r="I967">
            <v>32600</v>
          </cell>
          <cell r="J967" t="str">
            <v>UN</v>
          </cell>
          <cell r="K967">
            <v>45708</v>
          </cell>
        </row>
        <row r="968">
          <cell r="A968" t="str">
            <v>50800530710</v>
          </cell>
          <cell r="B968" t="str">
            <v>ZMFD</v>
          </cell>
          <cell r="C968">
            <v>45569</v>
          </cell>
          <cell r="D968" t="str">
            <v>Not delivered</v>
          </cell>
          <cell r="E968">
            <v>508005307</v>
          </cell>
          <cell r="F968">
            <v>10</v>
          </cell>
          <cell r="G968">
            <v>1431862</v>
          </cell>
          <cell r="H968" t="str">
            <v>PT6029R JAR GARNIER 18ML YUZU SPF30(635)</v>
          </cell>
          <cell r="I968">
            <v>56448</v>
          </cell>
          <cell r="J968" t="str">
            <v>UN</v>
          </cell>
          <cell r="K968">
            <v>45715</v>
          </cell>
        </row>
        <row r="969">
          <cell r="A969" t="str">
            <v>50800530610</v>
          </cell>
          <cell r="B969" t="str">
            <v>ZMFD</v>
          </cell>
          <cell r="C969">
            <v>45569</v>
          </cell>
          <cell r="D969" t="str">
            <v>Not delivered</v>
          </cell>
          <cell r="E969">
            <v>508005306</v>
          </cell>
          <cell r="F969">
            <v>10</v>
          </cell>
          <cell r="G969">
            <v>1419488</v>
          </cell>
          <cell r="H969" t="str">
            <v>CP-063R:SPOUT CAP WHITE LOREAL 12A</v>
          </cell>
          <cell r="I969">
            <v>1890000</v>
          </cell>
          <cell r="J969" t="str">
            <v>UN</v>
          </cell>
          <cell r="K969">
            <v>45719</v>
          </cell>
        </row>
        <row r="970">
          <cell r="A970" t="str">
            <v>50800528230</v>
          </cell>
          <cell r="B970" t="str">
            <v>ZMFD</v>
          </cell>
          <cell r="C970">
            <v>45554</v>
          </cell>
          <cell r="D970" t="str">
            <v>Not delivered</v>
          </cell>
          <cell r="E970">
            <v>508005282</v>
          </cell>
          <cell r="F970">
            <v>30</v>
          </cell>
          <cell r="G970">
            <v>1431860</v>
          </cell>
          <cell r="H970" t="str">
            <v>PT6029R CAP GARNIER 18ML WHITE PLZ (553)</v>
          </cell>
          <cell r="I970">
            <v>35280</v>
          </cell>
          <cell r="J970" t="str">
            <v>UN</v>
          </cell>
          <cell r="K970">
            <v>45719</v>
          </cell>
        </row>
        <row r="971">
          <cell r="A971" t="str">
            <v>50800530620</v>
          </cell>
          <cell r="B971" t="str">
            <v>ZMFD</v>
          </cell>
          <cell r="C971">
            <v>45569</v>
          </cell>
          <cell r="D971" t="str">
            <v>Not delivered</v>
          </cell>
          <cell r="E971">
            <v>508005306</v>
          </cell>
          <cell r="F971">
            <v>20</v>
          </cell>
          <cell r="G971">
            <v>1419488</v>
          </cell>
          <cell r="H971" t="str">
            <v>CP-063R:SPOUT CAP WHITE LOREAL 12A</v>
          </cell>
          <cell r="I971">
            <v>1890000</v>
          </cell>
          <cell r="J971" t="str">
            <v>UN</v>
          </cell>
          <cell r="K971">
            <v>45721</v>
          </cell>
        </row>
        <row r="972">
          <cell r="A972" t="str">
            <v>50714260650</v>
          </cell>
          <cell r="B972" t="str">
            <v>ZMTD</v>
          </cell>
          <cell r="C972">
            <v>45509</v>
          </cell>
          <cell r="D972" t="str">
            <v>Not delivered</v>
          </cell>
          <cell r="E972">
            <v>507142606</v>
          </cell>
          <cell r="F972">
            <v>50</v>
          </cell>
          <cell r="G972">
            <v>1172020</v>
          </cell>
          <cell r="H972" t="str">
            <v>FP-028:SLEEVE EYELASHES 01SLMAC EL</v>
          </cell>
          <cell r="I972">
            <v>80256</v>
          </cell>
          <cell r="J972" t="str">
            <v>UN</v>
          </cell>
          <cell r="K972">
            <v>45722</v>
          </cell>
        </row>
        <row r="973">
          <cell r="A973" t="str">
            <v>50714260660</v>
          </cell>
          <cell r="B973" t="str">
            <v>ZMTD</v>
          </cell>
          <cell r="C973">
            <v>45509</v>
          </cell>
          <cell r="D973" t="str">
            <v>Not delivered</v>
          </cell>
          <cell r="E973">
            <v>507142606</v>
          </cell>
          <cell r="F973">
            <v>60</v>
          </cell>
          <cell r="G973">
            <v>1170605</v>
          </cell>
          <cell r="H973" t="str">
            <v>FP-028:WHITE TR EYLSHS P/ 01PLMAC EL</v>
          </cell>
          <cell r="I973">
            <v>80514</v>
          </cell>
          <cell r="J973" t="str">
            <v>UN</v>
          </cell>
          <cell r="K973">
            <v>45722</v>
          </cell>
        </row>
        <row r="974">
          <cell r="A974" t="str">
            <v>50800530630</v>
          </cell>
          <cell r="B974" t="str">
            <v>ZMFD</v>
          </cell>
          <cell r="C974">
            <v>45569</v>
          </cell>
          <cell r="D974" t="str">
            <v>Not delivered</v>
          </cell>
          <cell r="E974">
            <v>508005306</v>
          </cell>
          <cell r="F974">
            <v>30</v>
          </cell>
          <cell r="G974">
            <v>1419488</v>
          </cell>
          <cell r="H974" t="str">
            <v>CP-063R:SPOUT CAP WHITE LOREAL 12A</v>
          </cell>
          <cell r="I974">
            <v>1890000</v>
          </cell>
          <cell r="J974" t="str">
            <v>UN</v>
          </cell>
          <cell r="K974">
            <v>45723</v>
          </cell>
        </row>
        <row r="975">
          <cell r="A975" t="str">
            <v>50800530640</v>
          </cell>
          <cell r="B975" t="str">
            <v>ZMFD</v>
          </cell>
          <cell r="C975">
            <v>45569</v>
          </cell>
          <cell r="D975" t="str">
            <v>Not delivered</v>
          </cell>
          <cell r="E975">
            <v>508005306</v>
          </cell>
          <cell r="F975">
            <v>40</v>
          </cell>
          <cell r="G975">
            <v>1419488</v>
          </cell>
          <cell r="H975" t="str">
            <v>CP-063R:SPOUT CAP WHITE LOREAL 12A</v>
          </cell>
          <cell r="I975">
            <v>1890000</v>
          </cell>
          <cell r="J975" t="str">
            <v>UN</v>
          </cell>
          <cell r="K975">
            <v>45723</v>
          </cell>
        </row>
        <row r="976">
          <cell r="A976" t="str">
            <v>50800530650</v>
          </cell>
          <cell r="B976" t="str">
            <v>ZMFD</v>
          </cell>
          <cell r="C976">
            <v>45569</v>
          </cell>
          <cell r="D976" t="str">
            <v>Not delivered</v>
          </cell>
          <cell r="E976">
            <v>508005306</v>
          </cell>
          <cell r="F976">
            <v>50</v>
          </cell>
          <cell r="G976">
            <v>1419488</v>
          </cell>
          <cell r="H976" t="str">
            <v>CP-063R:SPOUT CAP WHITE LOREAL 12A</v>
          </cell>
          <cell r="I976">
            <v>1890000</v>
          </cell>
          <cell r="J976" t="str">
            <v>UN</v>
          </cell>
          <cell r="K976">
            <v>45727</v>
          </cell>
        </row>
        <row r="977">
          <cell r="A977" t="str">
            <v>50800530660</v>
          </cell>
          <cell r="B977" t="str">
            <v>ZMFD</v>
          </cell>
          <cell r="C977">
            <v>45569</v>
          </cell>
          <cell r="D977" t="str">
            <v>Not delivered</v>
          </cell>
          <cell r="E977">
            <v>508005306</v>
          </cell>
          <cell r="F977">
            <v>60</v>
          </cell>
          <cell r="G977">
            <v>1419488</v>
          </cell>
          <cell r="H977" t="str">
            <v>CP-063R:SPOUT CAP WHITE LOREAL 12A</v>
          </cell>
          <cell r="I977">
            <v>1890000</v>
          </cell>
          <cell r="J977" t="str">
            <v>UN</v>
          </cell>
          <cell r="K977">
            <v>45729</v>
          </cell>
        </row>
        <row r="978">
          <cell r="A978" t="str">
            <v>50800530720</v>
          </cell>
          <cell r="B978" t="str">
            <v>ZMFD</v>
          </cell>
          <cell r="C978">
            <v>45569</v>
          </cell>
          <cell r="D978" t="str">
            <v>Not delivered</v>
          </cell>
          <cell r="E978">
            <v>508005307</v>
          </cell>
          <cell r="F978">
            <v>20</v>
          </cell>
          <cell r="G978">
            <v>1431862</v>
          </cell>
          <cell r="H978" t="str">
            <v>PT6029R JAR GARNIER 18ML YUZU SPF30(635)</v>
          </cell>
          <cell r="I978">
            <v>42336</v>
          </cell>
          <cell r="J978" t="str">
            <v>UN</v>
          </cell>
          <cell r="K978">
            <v>45743</v>
          </cell>
        </row>
        <row r="979">
          <cell r="A979" t="str">
            <v>50800528420</v>
          </cell>
          <cell r="B979" t="str">
            <v>ZMFD</v>
          </cell>
          <cell r="C979">
            <v>45554</v>
          </cell>
          <cell r="D979" t="str">
            <v>Not delivered</v>
          </cell>
          <cell r="E979">
            <v>508005284</v>
          </cell>
          <cell r="F979">
            <v>20</v>
          </cell>
          <cell r="G979">
            <v>1431861</v>
          </cell>
          <cell r="H979" t="str">
            <v>PT6029R JAR GARNIER 18ML NIGHT CRM (659)</v>
          </cell>
          <cell r="I979">
            <v>51855</v>
          </cell>
          <cell r="J979" t="str">
            <v>UN</v>
          </cell>
          <cell r="K979">
            <v>45750</v>
          </cell>
        </row>
        <row r="980">
          <cell r="A980" t="str">
            <v>50800528240</v>
          </cell>
          <cell r="B980" t="str">
            <v>ZMFD</v>
          </cell>
          <cell r="C980">
            <v>45554</v>
          </cell>
          <cell r="D980" t="str">
            <v>Not delivered</v>
          </cell>
          <cell r="E980">
            <v>508005282</v>
          </cell>
          <cell r="F980">
            <v>40</v>
          </cell>
          <cell r="G980">
            <v>1431860</v>
          </cell>
          <cell r="H980" t="str">
            <v>PT6029R CAP GARNIER 18ML WHITE PLZ (553)</v>
          </cell>
          <cell r="I980">
            <v>70560</v>
          </cell>
          <cell r="J980" t="str">
            <v>UN</v>
          </cell>
          <cell r="K980">
            <v>45792</v>
          </cell>
        </row>
        <row r="981">
          <cell r="A981" t="str">
            <v>50800530730</v>
          </cell>
          <cell r="B981" t="str">
            <v>ZMFD</v>
          </cell>
          <cell r="C981">
            <v>45569</v>
          </cell>
          <cell r="D981" t="str">
            <v>Not delivered</v>
          </cell>
          <cell r="E981">
            <v>508005307</v>
          </cell>
          <cell r="F981">
            <v>30</v>
          </cell>
          <cell r="G981">
            <v>1431862</v>
          </cell>
          <cell r="H981" t="str">
            <v>PT6029R JAR GARNIER 18ML YUZU SPF30(635)</v>
          </cell>
          <cell r="I981">
            <v>56448</v>
          </cell>
          <cell r="J981" t="str">
            <v>UN</v>
          </cell>
          <cell r="K981">
            <v>45805</v>
          </cell>
        </row>
        <row r="982">
          <cell r="A982" t="str">
            <v>50714283310</v>
          </cell>
          <cell r="B982" t="str">
            <v>ZMTD</v>
          </cell>
          <cell r="C982">
            <v>45561</v>
          </cell>
          <cell r="D982" t="str">
            <v>Not delivered</v>
          </cell>
          <cell r="E982">
            <v>507142833</v>
          </cell>
          <cell r="F982">
            <v>10</v>
          </cell>
          <cell r="G982">
            <v>1405658</v>
          </cell>
          <cell r="H982" t="str">
            <v>LC-012:BTL VR08 P/GLASTNG PTI60B</v>
          </cell>
          <cell r="I982">
            <v>25326</v>
          </cell>
          <cell r="J982" t="str">
            <v>UN</v>
          </cell>
          <cell r="K982">
            <v>45920</v>
          </cell>
        </row>
        <row r="983">
          <cell r="A983" t="str">
            <v>50714283320</v>
          </cell>
          <cell r="B983" t="str">
            <v>ZMTD</v>
          </cell>
          <cell r="C983">
            <v>45561</v>
          </cell>
          <cell r="D983" t="str">
            <v>Not delivered</v>
          </cell>
          <cell r="E983">
            <v>507142833</v>
          </cell>
          <cell r="F983">
            <v>20</v>
          </cell>
          <cell r="G983">
            <v>1385814</v>
          </cell>
          <cell r="H983" t="str">
            <v>LC-012:CAP VM BRWN WIP GLASTING PTI 20F</v>
          </cell>
          <cell r="I983">
            <v>25326</v>
          </cell>
          <cell r="J983" t="str">
            <v>UN</v>
          </cell>
          <cell r="K983">
            <v>45920</v>
          </cell>
        </row>
        <row r="984">
          <cell r="A984" t="str">
            <v>50900100110</v>
          </cell>
          <cell r="B984" t="str">
            <v>ZMRX</v>
          </cell>
          <cell r="C984">
            <v>45560</v>
          </cell>
          <cell r="D984" t="str">
            <v>Not delivered</v>
          </cell>
          <cell r="E984">
            <v>509001001</v>
          </cell>
          <cell r="F984">
            <v>10</v>
          </cell>
          <cell r="G984">
            <v>1385814</v>
          </cell>
          <cell r="H984" t="str">
            <v>LC-012:CAP VM BRWN WIP GLASTING PTI 20F</v>
          </cell>
          <cell r="I984">
            <v>12096</v>
          </cell>
          <cell r="J984" t="str">
            <v>UN</v>
          </cell>
          <cell r="K984">
            <v>45920</v>
          </cell>
        </row>
        <row r="985">
          <cell r="A985" t="str">
            <v>50900100120</v>
          </cell>
          <cell r="B985" t="str">
            <v>ZMRX</v>
          </cell>
          <cell r="C985">
            <v>45560</v>
          </cell>
          <cell r="D985" t="str">
            <v>Not delivered</v>
          </cell>
          <cell r="E985">
            <v>509001001</v>
          </cell>
          <cell r="F985">
            <v>20</v>
          </cell>
          <cell r="G985">
            <v>1382935</v>
          </cell>
          <cell r="H985" t="str">
            <v>LC-012:BTL VR2 PEACHPLS P/GLASTNG PTI60B</v>
          </cell>
          <cell r="I985">
            <v>12096</v>
          </cell>
          <cell r="J985" t="str">
            <v>UN</v>
          </cell>
          <cell r="K985">
            <v>45920</v>
          </cell>
        </row>
        <row r="986">
          <cell r="A986" t="str">
            <v>50714278510</v>
          </cell>
          <cell r="B986" t="str">
            <v>ZMTD</v>
          </cell>
          <cell r="C986">
            <v>45554</v>
          </cell>
          <cell r="D986" t="str">
            <v>Not delivered</v>
          </cell>
          <cell r="E986">
            <v>507142785</v>
          </cell>
          <cell r="F986">
            <v>10</v>
          </cell>
          <cell r="G986">
            <v>1405659</v>
          </cell>
          <cell r="H986" t="str">
            <v>LC-012:BTL VR12 P/GLASTNG PTI60B</v>
          </cell>
          <cell r="I986">
            <v>25326</v>
          </cell>
          <cell r="J986" t="str">
            <v>UN</v>
          </cell>
          <cell r="K986">
            <v>45920</v>
          </cell>
        </row>
        <row r="987">
          <cell r="A987" t="str">
            <v>50714278520</v>
          </cell>
          <cell r="B987" t="str">
            <v>ZMTD</v>
          </cell>
          <cell r="C987">
            <v>45554</v>
          </cell>
          <cell r="D987" t="str">
            <v>Not delivered</v>
          </cell>
          <cell r="E987">
            <v>507142785</v>
          </cell>
          <cell r="F987">
            <v>20</v>
          </cell>
          <cell r="G987">
            <v>1385814</v>
          </cell>
          <cell r="H987" t="str">
            <v>LC-012:CAP VM BRWN WIP GLASTING PTI 20F</v>
          </cell>
          <cell r="I987">
            <v>25326</v>
          </cell>
          <cell r="J987" t="str">
            <v>UN</v>
          </cell>
          <cell r="K987">
            <v>45920</v>
          </cell>
        </row>
        <row r="988">
          <cell r="A988" t="str">
            <v>50714279110</v>
          </cell>
          <cell r="B988" t="str">
            <v>ZMTD</v>
          </cell>
          <cell r="C988">
            <v>45554</v>
          </cell>
          <cell r="D988" t="str">
            <v>Not delivered</v>
          </cell>
          <cell r="E988">
            <v>507142791</v>
          </cell>
          <cell r="F988">
            <v>10</v>
          </cell>
          <cell r="G988">
            <v>1390981</v>
          </cell>
          <cell r="H988" t="str">
            <v>LC-012:BTL VR5 GLAZBERY P/GLASTNG PTI60B</v>
          </cell>
          <cell r="I988">
            <v>25326</v>
          </cell>
          <cell r="J988" t="str">
            <v>UN</v>
          </cell>
          <cell r="K988">
            <v>45920</v>
          </cell>
        </row>
        <row r="989">
          <cell r="A989" t="str">
            <v>50714279120</v>
          </cell>
          <cell r="B989" t="str">
            <v>ZMTD</v>
          </cell>
          <cell r="C989">
            <v>45554</v>
          </cell>
          <cell r="D989" t="str">
            <v>Not delivered</v>
          </cell>
          <cell r="E989">
            <v>507142791</v>
          </cell>
          <cell r="F989">
            <v>20</v>
          </cell>
          <cell r="G989">
            <v>1385814</v>
          </cell>
          <cell r="H989" t="str">
            <v>LC-012:CAP VM BRWN WIP GLASTING PTI 20F</v>
          </cell>
          <cell r="I989">
            <v>25326</v>
          </cell>
          <cell r="J989" t="str">
            <v>UN</v>
          </cell>
          <cell r="K989">
            <v>45920</v>
          </cell>
        </row>
        <row r="990">
          <cell r="A990" t="str">
            <v>50714252710</v>
          </cell>
          <cell r="B990" t="str">
            <v>ZMTD</v>
          </cell>
          <cell r="C990">
            <v>45488</v>
          </cell>
          <cell r="D990" t="str">
            <v>Not delivered</v>
          </cell>
          <cell r="E990">
            <v>507142527</v>
          </cell>
          <cell r="F990">
            <v>10</v>
          </cell>
          <cell r="G990">
            <v>1385814</v>
          </cell>
          <cell r="H990" t="str">
            <v>LC-012:CAP VM BRWN WIP GLASTING PTI 20F</v>
          </cell>
          <cell r="I990">
            <v>53298</v>
          </cell>
          <cell r="J990" t="str">
            <v>UN</v>
          </cell>
          <cell r="K990">
            <v>45920</v>
          </cell>
        </row>
        <row r="991">
          <cell r="A991" t="str">
            <v>50714252720</v>
          </cell>
          <cell r="B991" t="str">
            <v>ZMTD</v>
          </cell>
          <cell r="C991">
            <v>45488</v>
          </cell>
          <cell r="D991" t="str">
            <v>Not delivered</v>
          </cell>
          <cell r="E991">
            <v>507142527</v>
          </cell>
          <cell r="F991">
            <v>20</v>
          </cell>
          <cell r="G991">
            <v>1382935</v>
          </cell>
          <cell r="H991" t="str">
            <v>LC-012:BTL VR2 PEACHPLS P/GLASTNG PTI60B</v>
          </cell>
          <cell r="I991">
            <v>53298</v>
          </cell>
          <cell r="J991" t="str">
            <v>UN</v>
          </cell>
          <cell r="K991">
            <v>45920</v>
          </cell>
        </row>
        <row r="992">
          <cell r="A992" t="str">
            <v>50714249310</v>
          </cell>
          <cell r="B992" t="str">
            <v>ZMTD</v>
          </cell>
          <cell r="C992">
            <v>45485</v>
          </cell>
          <cell r="D992" t="str">
            <v>Not delivered</v>
          </cell>
          <cell r="E992">
            <v>507142493</v>
          </cell>
          <cell r="F992">
            <v>10</v>
          </cell>
          <cell r="G992">
            <v>1385814</v>
          </cell>
          <cell r="H992" t="str">
            <v>LC-012:CAP VM BRWN WIP GLASTING PTI 20F</v>
          </cell>
          <cell r="I992">
            <v>14364</v>
          </cell>
          <cell r="J992" t="str">
            <v>UN</v>
          </cell>
          <cell r="K992">
            <v>45920</v>
          </cell>
        </row>
        <row r="993">
          <cell r="A993" t="str">
            <v>50714249320</v>
          </cell>
          <cell r="B993" t="str">
            <v>ZMTD</v>
          </cell>
          <cell r="C993">
            <v>45485</v>
          </cell>
          <cell r="D993" t="str">
            <v>Not delivered</v>
          </cell>
          <cell r="E993">
            <v>507142493</v>
          </cell>
          <cell r="F993">
            <v>20</v>
          </cell>
          <cell r="G993">
            <v>1385811</v>
          </cell>
          <cell r="H993" t="str">
            <v>LC-012:BTL VR4 ROSEWOOD P/GLASTNG PTI60B</v>
          </cell>
          <cell r="I993">
            <v>14364</v>
          </cell>
          <cell r="J993" t="str">
            <v>UN</v>
          </cell>
          <cell r="K993">
            <v>45920</v>
          </cell>
        </row>
        <row r="994">
          <cell r="A994" t="str">
            <v>50714249330</v>
          </cell>
          <cell r="B994" t="str">
            <v>ZMTD</v>
          </cell>
          <cell r="C994">
            <v>45485</v>
          </cell>
          <cell r="D994" t="str">
            <v>Not delivered</v>
          </cell>
          <cell r="E994">
            <v>507142493</v>
          </cell>
          <cell r="F994">
            <v>30</v>
          </cell>
          <cell r="G994">
            <v>1385814</v>
          </cell>
          <cell r="H994" t="str">
            <v>LC-012:CAP VM BRWN WIP GLASTING PTI 20F</v>
          </cell>
          <cell r="I994">
            <v>38934</v>
          </cell>
          <cell r="J994" t="str">
            <v>UN</v>
          </cell>
          <cell r="K994">
            <v>45920</v>
          </cell>
        </row>
        <row r="995">
          <cell r="A995" t="str">
            <v>50714249340</v>
          </cell>
          <cell r="B995" t="str">
            <v>ZMTD</v>
          </cell>
          <cell r="C995">
            <v>45485</v>
          </cell>
          <cell r="D995" t="str">
            <v>Not delivered</v>
          </cell>
          <cell r="E995">
            <v>507142493</v>
          </cell>
          <cell r="F995">
            <v>40</v>
          </cell>
          <cell r="G995">
            <v>1385811</v>
          </cell>
          <cell r="H995" t="str">
            <v>LC-012:BTL VR4 ROSEWOOD P/GLASTNG PTI60B</v>
          </cell>
          <cell r="I995">
            <v>38934</v>
          </cell>
          <cell r="J995" t="str">
            <v>UN</v>
          </cell>
          <cell r="K995">
            <v>45920</v>
          </cell>
        </row>
        <row r="996">
          <cell r="A996" t="str">
            <v>50714248710</v>
          </cell>
          <cell r="B996" t="str">
            <v>ZMTD</v>
          </cell>
          <cell r="C996">
            <v>45484</v>
          </cell>
          <cell r="D996" t="str">
            <v>Not delivered</v>
          </cell>
          <cell r="E996">
            <v>507142487</v>
          </cell>
          <cell r="F996">
            <v>10</v>
          </cell>
          <cell r="G996">
            <v>1405377</v>
          </cell>
          <cell r="H996" t="str">
            <v>LC-012:BTL VR11 P/GLASTNG PTI60B</v>
          </cell>
          <cell r="I996">
            <v>53298</v>
          </cell>
          <cell r="J996" t="str">
            <v>UN</v>
          </cell>
          <cell r="K996">
            <v>45920</v>
          </cell>
        </row>
        <row r="997">
          <cell r="A997" t="str">
            <v>50714248720</v>
          </cell>
          <cell r="B997" t="str">
            <v>ZMTD</v>
          </cell>
          <cell r="C997">
            <v>45484</v>
          </cell>
          <cell r="D997" t="str">
            <v>Not delivered</v>
          </cell>
          <cell r="E997">
            <v>507142487</v>
          </cell>
          <cell r="F997">
            <v>20</v>
          </cell>
          <cell r="G997">
            <v>1385814</v>
          </cell>
          <cell r="H997" t="str">
            <v>LC-012:CAP VM BRWN WIP GLASTING PTI 20F</v>
          </cell>
          <cell r="I997">
            <v>53298</v>
          </cell>
          <cell r="J997" t="str">
            <v>UN</v>
          </cell>
          <cell r="K997">
            <v>45920</v>
          </cell>
        </row>
        <row r="998">
          <cell r="A998" t="str">
            <v>50714247030</v>
          </cell>
          <cell r="B998" t="str">
            <v>ZMTD</v>
          </cell>
          <cell r="C998">
            <v>45482</v>
          </cell>
          <cell r="D998" t="str">
            <v>Not delivered</v>
          </cell>
          <cell r="E998">
            <v>507142470</v>
          </cell>
          <cell r="F998">
            <v>30</v>
          </cell>
          <cell r="G998">
            <v>1390981</v>
          </cell>
          <cell r="H998" t="str">
            <v>LC-012:BTL VR5 GLAZBERY P/GLASTNG PTI60B</v>
          </cell>
          <cell r="I998">
            <v>24948</v>
          </cell>
          <cell r="J998" t="str">
            <v>UN</v>
          </cell>
          <cell r="K998">
            <v>45920</v>
          </cell>
        </row>
        <row r="999">
          <cell r="A999" t="str">
            <v>50714247040</v>
          </cell>
          <cell r="B999" t="str">
            <v>ZMTD</v>
          </cell>
          <cell r="C999">
            <v>45482</v>
          </cell>
          <cell r="D999" t="str">
            <v>Not delivered</v>
          </cell>
          <cell r="E999">
            <v>507142470</v>
          </cell>
          <cell r="F999">
            <v>40</v>
          </cell>
          <cell r="G999">
            <v>1385814</v>
          </cell>
          <cell r="H999" t="str">
            <v>LC-012:CAP VM BRWN WIP GLASTING PTI 20F</v>
          </cell>
          <cell r="I999">
            <v>24948</v>
          </cell>
          <cell r="J999" t="str">
            <v>UN</v>
          </cell>
          <cell r="K999">
            <v>45920</v>
          </cell>
        </row>
        <row r="1000">
          <cell r="A1000" t="str">
            <v>50714245810</v>
          </cell>
          <cell r="B1000" t="str">
            <v>ZMTD</v>
          </cell>
          <cell r="C1000">
            <v>45481</v>
          </cell>
          <cell r="D1000" t="str">
            <v>Not delivered</v>
          </cell>
          <cell r="E1000">
            <v>507142458</v>
          </cell>
          <cell r="F1000">
            <v>10</v>
          </cell>
          <cell r="G1000">
            <v>1385814</v>
          </cell>
          <cell r="H1000" t="str">
            <v>LC-012:CAP VM BRWN WIP GLASTING PTI 20F</v>
          </cell>
          <cell r="I1000">
            <v>25326</v>
          </cell>
          <cell r="J1000" t="str">
            <v>UN</v>
          </cell>
          <cell r="K1000">
            <v>45920</v>
          </cell>
        </row>
        <row r="1001">
          <cell r="A1001" t="str">
            <v>50714245820</v>
          </cell>
          <cell r="B1001" t="str">
            <v>ZMTD</v>
          </cell>
          <cell r="C1001">
            <v>45481</v>
          </cell>
          <cell r="D1001" t="str">
            <v>Not delivered</v>
          </cell>
          <cell r="E1001">
            <v>507142458</v>
          </cell>
          <cell r="F1001">
            <v>20</v>
          </cell>
          <cell r="G1001">
            <v>1405883</v>
          </cell>
          <cell r="H1001" t="str">
            <v>LC-012:BTL VR13 P/GLASTNG PTI60B</v>
          </cell>
          <cell r="I1001">
            <v>25326</v>
          </cell>
          <cell r="J1001" t="str">
            <v>UN</v>
          </cell>
          <cell r="K1001">
            <v>45920</v>
          </cell>
        </row>
        <row r="1002">
          <cell r="A1002" t="str">
            <v>50714241210</v>
          </cell>
          <cell r="B1002" t="str">
            <v>ZMTD</v>
          </cell>
          <cell r="C1002">
            <v>45470</v>
          </cell>
          <cell r="D1002" t="str">
            <v>Partially delivered</v>
          </cell>
          <cell r="E1002">
            <v>507142412</v>
          </cell>
          <cell r="F1002">
            <v>10</v>
          </cell>
          <cell r="G1002">
            <v>1385814</v>
          </cell>
          <cell r="H1002" t="str">
            <v>LC-012:CAP VM BRWN WIP GLASTING PTI 20F</v>
          </cell>
          <cell r="I1002">
            <v>53298</v>
          </cell>
          <cell r="J1002" t="str">
            <v>UN</v>
          </cell>
          <cell r="K1002">
            <v>45920</v>
          </cell>
        </row>
        <row r="1003">
          <cell r="A1003" t="str">
            <v>50714241220</v>
          </cell>
          <cell r="B1003" t="str">
            <v>ZMTD</v>
          </cell>
          <cell r="C1003">
            <v>45470</v>
          </cell>
          <cell r="D1003" t="str">
            <v>Partially delivered</v>
          </cell>
          <cell r="E1003">
            <v>507142412</v>
          </cell>
          <cell r="F1003">
            <v>20</v>
          </cell>
          <cell r="G1003">
            <v>1405377</v>
          </cell>
          <cell r="H1003" t="str">
            <v>LC-012:BTL VR11 P/GLASTNG PTI60B</v>
          </cell>
          <cell r="I1003">
            <v>53298</v>
          </cell>
          <cell r="J1003" t="str">
            <v>UN</v>
          </cell>
          <cell r="K1003">
            <v>45920</v>
          </cell>
        </row>
        <row r="1004">
          <cell r="A1004" t="str">
            <v>50714229430</v>
          </cell>
          <cell r="B1004" t="str">
            <v>ZMTD</v>
          </cell>
          <cell r="C1004">
            <v>45448</v>
          </cell>
          <cell r="D1004" t="str">
            <v>Partially delivered</v>
          </cell>
          <cell r="E1004">
            <v>507142294</v>
          </cell>
          <cell r="F1004">
            <v>30</v>
          </cell>
          <cell r="G1004">
            <v>1385814</v>
          </cell>
          <cell r="H1004" t="str">
            <v>LC-012:CAP VM BRWN WIP GLASTING PTI 20F</v>
          </cell>
          <cell r="I1004">
            <v>52920</v>
          </cell>
          <cell r="J1004" t="str">
            <v>UN</v>
          </cell>
          <cell r="K1004">
            <v>45920</v>
          </cell>
        </row>
        <row r="1005">
          <cell r="A1005" t="str">
            <v>50714229440</v>
          </cell>
          <cell r="B1005" t="str">
            <v>ZMTD</v>
          </cell>
          <cell r="C1005">
            <v>45448</v>
          </cell>
          <cell r="D1005" t="str">
            <v>Partially delivered</v>
          </cell>
          <cell r="E1005">
            <v>507142294</v>
          </cell>
          <cell r="F1005">
            <v>40</v>
          </cell>
          <cell r="G1005">
            <v>1390058</v>
          </cell>
          <cell r="H1005" t="str">
            <v>LC-012:BTL VR6 RUBYSPAR P/GLASTNG PTI60B</v>
          </cell>
          <cell r="I1005">
            <v>52920</v>
          </cell>
          <cell r="J1005" t="str">
            <v>UN</v>
          </cell>
          <cell r="K1005">
            <v>45920</v>
          </cell>
        </row>
        <row r="1006">
          <cell r="A1006" t="str">
            <v>50800530670</v>
          </cell>
          <cell r="B1006" t="str">
            <v>ZMFD</v>
          </cell>
          <cell r="C1006">
            <v>45569</v>
          </cell>
          <cell r="D1006" t="str">
            <v>Not delivered</v>
          </cell>
          <cell r="E1006">
            <v>508005306</v>
          </cell>
          <cell r="F1006">
            <v>70</v>
          </cell>
          <cell r="G1006">
            <v>1419488</v>
          </cell>
          <cell r="H1006" t="str">
            <v>CP-063R:SPOUT CAP WHITE LOREAL 12A</v>
          </cell>
          <cell r="I1006">
            <v>1890000</v>
          </cell>
          <cell r="J1006" t="str">
            <v>UN</v>
          </cell>
          <cell r="K1006">
            <v>45947</v>
          </cell>
        </row>
        <row r="1007">
          <cell r="A1007" t="str">
            <v>50800530680</v>
          </cell>
          <cell r="B1007" t="str">
            <v>ZMFD</v>
          </cell>
          <cell r="C1007">
            <v>45569</v>
          </cell>
          <cell r="D1007" t="str">
            <v>Not delivered</v>
          </cell>
          <cell r="E1007">
            <v>508005306</v>
          </cell>
          <cell r="F1007">
            <v>80</v>
          </cell>
          <cell r="G1007">
            <v>1419488</v>
          </cell>
          <cell r="H1007" t="str">
            <v>CP-063R:SPOUT CAP WHITE LOREAL 12A</v>
          </cell>
          <cell r="I1007">
            <v>1890000</v>
          </cell>
          <cell r="J1007" t="str">
            <v>UN</v>
          </cell>
          <cell r="K1007">
            <v>45947</v>
          </cell>
        </row>
        <row r="1008">
          <cell r="A1008" t="str">
            <v>50800530690</v>
          </cell>
          <cell r="B1008" t="str">
            <v>ZMFD</v>
          </cell>
          <cell r="C1008">
            <v>45569</v>
          </cell>
          <cell r="D1008" t="str">
            <v>Not delivered</v>
          </cell>
          <cell r="E1008">
            <v>508005306</v>
          </cell>
          <cell r="F1008">
            <v>90</v>
          </cell>
          <cell r="G1008">
            <v>1419488</v>
          </cell>
          <cell r="H1008" t="str">
            <v>CP-063R:SPOUT CAP WHITE LOREAL 12A</v>
          </cell>
          <cell r="I1008">
            <v>1890000</v>
          </cell>
          <cell r="J1008" t="str">
            <v>UN</v>
          </cell>
          <cell r="K1008">
            <v>45951</v>
          </cell>
        </row>
        <row r="1009">
          <cell r="A1009" t="str">
            <v>50800514920</v>
          </cell>
          <cell r="B1009" t="str">
            <v>ZMFD</v>
          </cell>
          <cell r="C1009">
            <v>45464</v>
          </cell>
          <cell r="D1009" t="str">
            <v>Not delivered</v>
          </cell>
          <cell r="E1009">
            <v>508005149</v>
          </cell>
          <cell r="F1009">
            <v>20</v>
          </cell>
          <cell r="G1009">
            <v>1378563</v>
          </cell>
          <cell r="H1009" t="str">
            <v>CP-093:CAP D50 MT BLACK Ø.5 YASULOR 12A</v>
          </cell>
          <cell r="I1009">
            <v>600000</v>
          </cell>
          <cell r="J1009" t="str">
            <v>UN</v>
          </cell>
          <cell r="K1009">
            <v>45988</v>
          </cell>
        </row>
        <row r="1010">
          <cell r="A1010" t="str">
            <v>50800514930</v>
          </cell>
          <cell r="B1010" t="str">
            <v>ZMFD</v>
          </cell>
          <cell r="C1010">
            <v>45464</v>
          </cell>
          <cell r="D1010" t="str">
            <v>Not delivered</v>
          </cell>
          <cell r="E1010">
            <v>508005149</v>
          </cell>
          <cell r="F1010">
            <v>30</v>
          </cell>
          <cell r="G1010">
            <v>1378563</v>
          </cell>
          <cell r="H1010" t="str">
            <v>CP-093:CAP D50 MT BLACK Ø.5 YASULOR 12A</v>
          </cell>
          <cell r="I1010">
            <v>600000</v>
          </cell>
          <cell r="J1010" t="str">
            <v>UN</v>
          </cell>
          <cell r="K1010">
            <v>45993</v>
          </cell>
        </row>
        <row r="1011">
          <cell r="A1011" t="str">
            <v>50800514940</v>
          </cell>
          <cell r="B1011" t="str">
            <v>ZMFD</v>
          </cell>
          <cell r="C1011">
            <v>45464</v>
          </cell>
          <cell r="D1011" t="str">
            <v>Not delivered</v>
          </cell>
          <cell r="E1011">
            <v>508005149</v>
          </cell>
          <cell r="F1011">
            <v>40</v>
          </cell>
          <cell r="G1011">
            <v>1378563</v>
          </cell>
          <cell r="H1011" t="str">
            <v>CP-093:CAP D50 MT BLACK Ø.5 YASULOR 12A</v>
          </cell>
          <cell r="I1011">
            <v>600000</v>
          </cell>
          <cell r="J1011" t="str">
            <v>UN</v>
          </cell>
          <cell r="K1011">
            <v>46000</v>
          </cell>
        </row>
        <row r="1012">
          <cell r="A1012" t="str">
            <v>50714150830</v>
          </cell>
          <cell r="B1012" t="str">
            <v>ZMTD</v>
          </cell>
          <cell r="C1012">
            <v>45282</v>
          </cell>
          <cell r="D1012" t="str">
            <v>Not delivered</v>
          </cell>
          <cell r="E1012">
            <v>507141508</v>
          </cell>
          <cell r="F1012">
            <v>30</v>
          </cell>
          <cell r="G1012">
            <v>1171684</v>
          </cell>
          <cell r="H1012" t="str">
            <v>LS-091:CVR WHT HTF NATURAL ROHTO60C</v>
          </cell>
          <cell r="I1012">
            <v>38532</v>
          </cell>
          <cell r="J1012" t="str">
            <v>UN</v>
          </cell>
          <cell r="K1012">
            <v>46015</v>
          </cell>
        </row>
        <row r="1013">
          <cell r="A1013" t="str">
            <v>50714150860</v>
          </cell>
          <cell r="B1013" t="str">
            <v>ZMTD</v>
          </cell>
          <cell r="C1013">
            <v>45282</v>
          </cell>
          <cell r="D1013" t="str">
            <v>Not delivered</v>
          </cell>
          <cell r="E1013">
            <v>507141508</v>
          </cell>
          <cell r="F1013">
            <v>60</v>
          </cell>
          <cell r="G1013">
            <v>1243794</v>
          </cell>
          <cell r="H1013" t="str">
            <v>LS-091:BS PINK P/SHEER CLR NEW ROHTO 60B</v>
          </cell>
          <cell r="I1013">
            <v>38856</v>
          </cell>
          <cell r="J1013" t="str">
            <v>UN</v>
          </cell>
          <cell r="K1013">
            <v>46015</v>
          </cell>
        </row>
        <row r="1014">
          <cell r="A1014" t="str">
            <v>50714150950</v>
          </cell>
          <cell r="B1014" t="str">
            <v>ZMTD</v>
          </cell>
          <cell r="C1014">
            <v>45282</v>
          </cell>
          <cell r="D1014" t="str">
            <v>Not delivered</v>
          </cell>
          <cell r="E1014">
            <v>507141509</v>
          </cell>
          <cell r="F1014">
            <v>50</v>
          </cell>
          <cell r="G1014">
            <v>1194708</v>
          </cell>
          <cell r="H1014" t="str">
            <v>LS-091:CVR WHT HTF APPLE ROHTO 60C</v>
          </cell>
          <cell r="I1014">
            <v>9880</v>
          </cell>
          <cell r="J1014" t="str">
            <v>UN</v>
          </cell>
          <cell r="K1014">
            <v>46015</v>
          </cell>
        </row>
        <row r="1015">
          <cell r="A1015" t="str">
            <v>50714150960</v>
          </cell>
          <cell r="B1015" t="str">
            <v>ZMTD</v>
          </cell>
          <cell r="C1015">
            <v>45282</v>
          </cell>
          <cell r="D1015" t="str">
            <v>Not delivered</v>
          </cell>
          <cell r="E1015">
            <v>507141509</v>
          </cell>
          <cell r="F1015">
            <v>60</v>
          </cell>
          <cell r="G1015">
            <v>1243794</v>
          </cell>
          <cell r="H1015" t="str">
            <v>LS-091:BS PINK P/SHEER CLR NEW ROHTO 60B</v>
          </cell>
          <cell r="I1015">
            <v>9880</v>
          </cell>
          <cell r="J1015" t="str">
            <v>UN</v>
          </cell>
          <cell r="K1015">
            <v>46015</v>
          </cell>
        </row>
        <row r="1016">
          <cell r="A1016" t="str">
            <v>50714150970</v>
          </cell>
          <cell r="B1016" t="str">
            <v>ZMTD</v>
          </cell>
          <cell r="C1016">
            <v>45282</v>
          </cell>
          <cell r="D1016" t="str">
            <v>Not delivered</v>
          </cell>
          <cell r="E1016">
            <v>507141509</v>
          </cell>
          <cell r="F1016">
            <v>70</v>
          </cell>
          <cell r="G1016">
            <v>1173392</v>
          </cell>
          <cell r="H1016" t="str">
            <v>LS-091:CVR WHT HTF ORANGE ROHTO60C</v>
          </cell>
          <cell r="I1016">
            <v>9880</v>
          </cell>
          <cell r="J1016" t="str">
            <v>UN</v>
          </cell>
          <cell r="K1016">
            <v>46015</v>
          </cell>
        </row>
        <row r="1017">
          <cell r="A1017" t="str">
            <v>50714150980</v>
          </cell>
          <cell r="B1017" t="str">
            <v>ZMTD</v>
          </cell>
          <cell r="C1017">
            <v>45282</v>
          </cell>
          <cell r="D1017" t="str">
            <v>Not delivered</v>
          </cell>
          <cell r="E1017">
            <v>507141509</v>
          </cell>
          <cell r="F1017">
            <v>80</v>
          </cell>
          <cell r="G1017">
            <v>1243794</v>
          </cell>
          <cell r="H1017" t="str">
            <v>LS-091:BS PINK P/SHEER CLR NEW ROHTO 60B</v>
          </cell>
          <cell r="I1017">
            <v>9880</v>
          </cell>
          <cell r="J1017" t="str">
            <v>UN</v>
          </cell>
          <cell r="K1017">
            <v>46015</v>
          </cell>
        </row>
        <row r="1018">
          <cell r="A1018" t="str">
            <v>50714150990</v>
          </cell>
          <cell r="B1018" t="str">
            <v>ZMTD</v>
          </cell>
          <cell r="C1018">
            <v>45282</v>
          </cell>
          <cell r="D1018" t="str">
            <v>Not delivered</v>
          </cell>
          <cell r="E1018">
            <v>507141509</v>
          </cell>
          <cell r="F1018">
            <v>90</v>
          </cell>
          <cell r="G1018">
            <v>1170054</v>
          </cell>
          <cell r="H1018" t="str">
            <v>LS-091:CVR WHT HTF BUBLEGUM ROHTO 60C</v>
          </cell>
          <cell r="I1018">
            <v>9880</v>
          </cell>
          <cell r="J1018" t="str">
            <v>UN</v>
          </cell>
          <cell r="K1018">
            <v>46015</v>
          </cell>
        </row>
        <row r="1019">
          <cell r="A1019" t="str">
            <v>507141509100</v>
          </cell>
          <cell r="B1019" t="str">
            <v>ZMTD</v>
          </cell>
          <cell r="C1019">
            <v>45282</v>
          </cell>
          <cell r="D1019" t="str">
            <v>Not delivered</v>
          </cell>
          <cell r="E1019">
            <v>507141509</v>
          </cell>
          <cell r="F1019">
            <v>100</v>
          </cell>
          <cell r="G1019">
            <v>1243794</v>
          </cell>
          <cell r="H1019" t="str">
            <v>LS-091:BS PINK P/SHEER CLR NEW ROHTO 60B</v>
          </cell>
          <cell r="I1019">
            <v>9880</v>
          </cell>
          <cell r="J1019" t="str">
            <v>UN</v>
          </cell>
          <cell r="K1019">
            <v>46015</v>
          </cell>
        </row>
        <row r="1020">
          <cell r="A1020" t="str">
            <v>50714150050</v>
          </cell>
          <cell r="B1020" t="str">
            <v>ZMTD</v>
          </cell>
          <cell r="C1020">
            <v>45281</v>
          </cell>
          <cell r="D1020" t="str">
            <v>Not delivered</v>
          </cell>
          <cell r="E1020">
            <v>507141500</v>
          </cell>
          <cell r="F1020">
            <v>50</v>
          </cell>
          <cell r="G1020">
            <v>1173392</v>
          </cell>
          <cell r="H1020" t="str">
            <v>LS-091:CVR WHT HTF ORANGE ROHTO60C</v>
          </cell>
          <cell r="I1020">
            <v>15808</v>
          </cell>
          <cell r="J1020" t="str">
            <v>UN</v>
          </cell>
          <cell r="K1020">
            <v>46015</v>
          </cell>
        </row>
        <row r="1021">
          <cell r="A1021" t="str">
            <v>507141500130</v>
          </cell>
          <cell r="B1021" t="str">
            <v>ZMTD</v>
          </cell>
          <cell r="C1021">
            <v>45281</v>
          </cell>
          <cell r="D1021" t="str">
            <v>Not delivered</v>
          </cell>
          <cell r="E1021">
            <v>507141500</v>
          </cell>
          <cell r="F1021">
            <v>130</v>
          </cell>
          <cell r="G1021">
            <v>1194708</v>
          </cell>
          <cell r="H1021" t="str">
            <v>LS-091:CVR WHT HTF APPLE ROHTO 60C</v>
          </cell>
          <cell r="I1021">
            <v>7408</v>
          </cell>
          <cell r="J1021" t="str">
            <v>UN</v>
          </cell>
          <cell r="K1021">
            <v>46015</v>
          </cell>
        </row>
        <row r="1022">
          <cell r="A1022" t="str">
            <v>507141500140</v>
          </cell>
          <cell r="B1022" t="str">
            <v>ZMTD</v>
          </cell>
          <cell r="C1022">
            <v>45281</v>
          </cell>
          <cell r="D1022" t="str">
            <v>Not delivered</v>
          </cell>
          <cell r="E1022">
            <v>507141500</v>
          </cell>
          <cell r="F1022">
            <v>140</v>
          </cell>
          <cell r="G1022">
            <v>1170054</v>
          </cell>
          <cell r="H1022" t="str">
            <v>LS-091:CVR WHT HTF BUBLEGUM ROHTO 60C</v>
          </cell>
          <cell r="I1022">
            <v>3908</v>
          </cell>
          <cell r="J1022" t="str">
            <v>UN</v>
          </cell>
          <cell r="K1022">
            <v>46015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Material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EPLPV"/>
      <sheetName val="Summary"/>
      <sheetName val="VA05"/>
      <sheetName val="OpenSOwDel"/>
      <sheetName val="MB52FG"/>
      <sheetName val="ZEPLSOALL"/>
      <sheetName val="Ref2"/>
      <sheetName val="REFERENCE"/>
      <sheetName val="Routing"/>
      <sheetName val="UAP"/>
      <sheetName val="LIST MN BM"/>
      <sheetName val="Plot"/>
      <sheetName val="Work Center"/>
    </sheetNames>
    <sheetDataSet>
      <sheetData sheetId="0"/>
      <sheetData sheetId="1"/>
      <sheetData sheetId="2">
        <row r="1">
          <cell r="A1" t="str">
            <v>SORef2</v>
          </cell>
          <cell r="B1" t="str">
            <v>SaTy</v>
          </cell>
          <cell r="C1" t="str">
            <v>Doc. Date</v>
          </cell>
          <cell r="D1" t="str">
            <v>Status</v>
          </cell>
          <cell r="E1" t="str">
            <v>Document</v>
          </cell>
          <cell r="F1" t="str">
            <v>Item</v>
          </cell>
          <cell r="G1" t="str">
            <v>Material</v>
          </cell>
          <cell r="H1" t="str">
            <v>Description</v>
          </cell>
          <cell r="I1" t="str">
            <v xml:space="preserve">     Order Qty</v>
          </cell>
          <cell r="J1" t="str">
            <v>BUn</v>
          </cell>
          <cell r="K1" t="str">
            <v>GI Date</v>
          </cell>
        </row>
        <row r="2">
          <cell r="A2" t="str">
            <v>50714131980</v>
          </cell>
          <cell r="B2" t="str">
            <v>ZMTD</v>
          </cell>
          <cell r="C2">
            <v>45247</v>
          </cell>
          <cell r="D2" t="str">
            <v>Not delivered</v>
          </cell>
          <cell r="E2">
            <v>507141319</v>
          </cell>
          <cell r="F2">
            <v>80</v>
          </cell>
          <cell r="G2">
            <v>1393667</v>
          </cell>
          <cell r="H2" t="str">
            <v>CM-105:BLACK NO DC GENERAL 10A</v>
          </cell>
          <cell r="I2">
            <v>960</v>
          </cell>
          <cell r="J2" t="str">
            <v>UN</v>
          </cell>
          <cell r="K2">
            <v>45294</v>
          </cell>
        </row>
        <row r="3">
          <cell r="A3" t="str">
            <v>507141319130</v>
          </cell>
          <cell r="B3" t="str">
            <v>ZMTD</v>
          </cell>
          <cell r="C3">
            <v>45247</v>
          </cell>
          <cell r="D3" t="str">
            <v>Not delivered</v>
          </cell>
          <cell r="E3">
            <v>507141319</v>
          </cell>
          <cell r="F3">
            <v>130</v>
          </cell>
          <cell r="G3">
            <v>1395395</v>
          </cell>
          <cell r="H3" t="str">
            <v>FP-014:BS CLEAR NO DC GENERAL 12A</v>
          </cell>
          <cell r="I3">
            <v>1530</v>
          </cell>
          <cell r="J3" t="str">
            <v>UN</v>
          </cell>
          <cell r="K3">
            <v>45301</v>
          </cell>
        </row>
        <row r="4">
          <cell r="A4" t="str">
            <v>507141319140</v>
          </cell>
          <cell r="B4" t="str">
            <v>ZMTD</v>
          </cell>
          <cell r="C4">
            <v>45247</v>
          </cell>
          <cell r="D4" t="str">
            <v>Not delivered</v>
          </cell>
          <cell r="E4">
            <v>507141319</v>
          </cell>
          <cell r="F4">
            <v>140</v>
          </cell>
          <cell r="G4">
            <v>1395396</v>
          </cell>
          <cell r="H4" t="str">
            <v>FP-014:CVR BLCK NO DC GENERAL 12A</v>
          </cell>
          <cell r="I4">
            <v>1530</v>
          </cell>
          <cell r="J4" t="str">
            <v>UN</v>
          </cell>
          <cell r="K4">
            <v>45301</v>
          </cell>
        </row>
        <row r="5">
          <cell r="A5" t="str">
            <v>507141319150</v>
          </cell>
          <cell r="B5" t="str">
            <v>ZMTD</v>
          </cell>
          <cell r="C5">
            <v>45247</v>
          </cell>
          <cell r="D5" t="str">
            <v>Not delivered</v>
          </cell>
          <cell r="E5">
            <v>507141319</v>
          </cell>
          <cell r="F5">
            <v>150</v>
          </cell>
          <cell r="G5">
            <v>1395397</v>
          </cell>
          <cell r="H5" t="str">
            <v>FP-014:SFTR NAT W/ LABEL NODC GENERAL12A</v>
          </cell>
          <cell r="I5">
            <v>1530</v>
          </cell>
          <cell r="J5" t="str">
            <v>UN</v>
          </cell>
          <cell r="K5">
            <v>45301</v>
          </cell>
        </row>
        <row r="6">
          <cell r="A6" t="str">
            <v>507141319240</v>
          </cell>
          <cell r="B6" t="str">
            <v>ZMTD</v>
          </cell>
          <cell r="C6">
            <v>45247</v>
          </cell>
          <cell r="D6" t="str">
            <v>Not delivered</v>
          </cell>
          <cell r="E6">
            <v>507141319</v>
          </cell>
          <cell r="F6">
            <v>240</v>
          </cell>
          <cell r="G6">
            <v>1394201</v>
          </cell>
          <cell r="H6" t="str">
            <v>PT-099:BS-CVR BEIGE INS WHT12.5G GNRL12A</v>
          </cell>
          <cell r="I6">
            <v>2400</v>
          </cell>
          <cell r="J6" t="str">
            <v>UN</v>
          </cell>
          <cell r="K6">
            <v>45318</v>
          </cell>
        </row>
        <row r="7">
          <cell r="A7" t="str">
            <v>507141319250</v>
          </cell>
          <cell r="B7" t="str">
            <v>ZMTD</v>
          </cell>
          <cell r="C7">
            <v>45247</v>
          </cell>
          <cell r="D7" t="str">
            <v>Not delivered</v>
          </cell>
          <cell r="E7">
            <v>507141319</v>
          </cell>
          <cell r="F7">
            <v>250</v>
          </cell>
          <cell r="G7">
            <v>1174578</v>
          </cell>
          <cell r="H7" t="str">
            <v>FP-008:CVR WHT S/SLV NO DC,BASE WHT IMM</v>
          </cell>
          <cell r="I7">
            <v>1600</v>
          </cell>
          <cell r="J7" t="str">
            <v>UN</v>
          </cell>
          <cell r="K7">
            <v>45320</v>
          </cell>
        </row>
        <row r="8">
          <cell r="A8" t="str">
            <v>507141319260</v>
          </cell>
          <cell r="B8" t="str">
            <v>ZMTD</v>
          </cell>
          <cell r="C8">
            <v>45247</v>
          </cell>
          <cell r="D8" t="str">
            <v>Not delivered</v>
          </cell>
          <cell r="E8">
            <v>507141319</v>
          </cell>
          <cell r="F8">
            <v>260</v>
          </cell>
          <cell r="G8">
            <v>1173473</v>
          </cell>
          <cell r="H8" t="str">
            <v>FP-008:SIFTER NAT LIVINGHINGE W/LBL IMM</v>
          </cell>
          <cell r="I8">
            <v>1600</v>
          </cell>
          <cell r="J8" t="str">
            <v>UN</v>
          </cell>
          <cell r="K8">
            <v>45320</v>
          </cell>
        </row>
        <row r="9">
          <cell r="A9" t="str">
            <v>50714085410</v>
          </cell>
          <cell r="B9" t="str">
            <v>ZMTD</v>
          </cell>
          <cell r="C9">
            <v>45120</v>
          </cell>
          <cell r="D9" t="str">
            <v>Not delivered</v>
          </cell>
          <cell r="E9">
            <v>507140854</v>
          </cell>
          <cell r="F9">
            <v>10</v>
          </cell>
          <cell r="G9">
            <v>1319568</v>
          </cell>
          <cell r="H9" t="str">
            <v>FP-041:CVR WHT BS CLR SFTR W/LBL NDC 12A</v>
          </cell>
          <cell r="I9">
            <v>1056</v>
          </cell>
          <cell r="J9" t="str">
            <v>UN</v>
          </cell>
          <cell r="K9">
            <v>45322</v>
          </cell>
        </row>
        <row r="10">
          <cell r="A10" t="str">
            <v>507141319270</v>
          </cell>
          <cell r="B10" t="str">
            <v>ZMTD</v>
          </cell>
          <cell r="C10">
            <v>45247</v>
          </cell>
          <cell r="D10" t="str">
            <v>Not delivered</v>
          </cell>
          <cell r="E10">
            <v>507141319</v>
          </cell>
          <cell r="F10">
            <v>270</v>
          </cell>
          <cell r="G10">
            <v>1395871</v>
          </cell>
          <cell r="H10" t="str">
            <v>CL-003:CAP BEIGE WIPNAT NODC GENERAL 12A</v>
          </cell>
          <cell r="I10">
            <v>2772</v>
          </cell>
          <cell r="J10" t="str">
            <v>UN</v>
          </cell>
          <cell r="K10">
            <v>45331</v>
          </cell>
        </row>
        <row r="11">
          <cell r="A11" t="str">
            <v>507141319280</v>
          </cell>
          <cell r="B11" t="str">
            <v>ZMTD</v>
          </cell>
          <cell r="C11">
            <v>45247</v>
          </cell>
          <cell r="D11" t="str">
            <v>Not delivered</v>
          </cell>
          <cell r="E11">
            <v>507141319</v>
          </cell>
          <cell r="F11">
            <v>280</v>
          </cell>
          <cell r="G11">
            <v>1395831</v>
          </cell>
          <cell r="H11" t="str">
            <v>CL-003:BTL CLR COL BEIGE NODC GENERAL12A</v>
          </cell>
          <cell r="I11">
            <v>2772</v>
          </cell>
          <cell r="J11" t="str">
            <v>UN</v>
          </cell>
          <cell r="K11">
            <v>45331</v>
          </cell>
        </row>
        <row r="12">
          <cell r="A12" t="str">
            <v>507141319290</v>
          </cell>
          <cell r="B12" t="str">
            <v>ZMTD</v>
          </cell>
          <cell r="C12">
            <v>45247</v>
          </cell>
          <cell r="D12" t="str">
            <v>Not delivered</v>
          </cell>
          <cell r="E12">
            <v>507141319</v>
          </cell>
          <cell r="F12">
            <v>290</v>
          </cell>
          <cell r="G12">
            <v>1394095</v>
          </cell>
          <cell r="H12" t="str">
            <v>CM-133:CVR/BS GREN NODC GENERAL 12A</v>
          </cell>
          <cell r="I12">
            <v>960</v>
          </cell>
          <cell r="J12" t="str">
            <v>UN</v>
          </cell>
          <cell r="K12">
            <v>45332</v>
          </cell>
        </row>
        <row r="13">
          <cell r="A13" t="str">
            <v>507141319300</v>
          </cell>
          <cell r="B13" t="str">
            <v>ZMTD</v>
          </cell>
          <cell r="C13">
            <v>45247</v>
          </cell>
          <cell r="D13" t="str">
            <v>Not delivered</v>
          </cell>
          <cell r="E13">
            <v>507141319</v>
          </cell>
          <cell r="F13">
            <v>300</v>
          </cell>
          <cell r="G13">
            <v>1394099</v>
          </cell>
          <cell r="H13" t="str">
            <v>CM-253:CV CLR BS PINK NODC GENERAL 12A</v>
          </cell>
          <cell r="I13">
            <v>1620</v>
          </cell>
          <cell r="J13" t="str">
            <v>UN</v>
          </cell>
          <cell r="K13">
            <v>45337</v>
          </cell>
        </row>
        <row r="14">
          <cell r="A14" t="str">
            <v>50714131910</v>
          </cell>
          <cell r="B14" t="str">
            <v>ZMTD</v>
          </cell>
          <cell r="C14">
            <v>45247</v>
          </cell>
          <cell r="D14" t="str">
            <v>Not delivered</v>
          </cell>
          <cell r="E14">
            <v>507141319</v>
          </cell>
          <cell r="F14">
            <v>10</v>
          </cell>
          <cell r="G14">
            <v>1393662</v>
          </cell>
          <cell r="H14" t="str">
            <v>CM-290:1PC CVR/BS BEIGE NODC GENERAL 12A</v>
          </cell>
          <cell r="I14">
            <v>840</v>
          </cell>
          <cell r="J14" t="str">
            <v>UN</v>
          </cell>
          <cell r="K14">
            <v>45387</v>
          </cell>
        </row>
        <row r="15">
          <cell r="A15" t="str">
            <v>50714131920</v>
          </cell>
          <cell r="B15" t="str">
            <v>ZMTD</v>
          </cell>
          <cell r="C15">
            <v>45247</v>
          </cell>
          <cell r="D15" t="str">
            <v>Not delivered</v>
          </cell>
          <cell r="E15">
            <v>507141319</v>
          </cell>
          <cell r="F15">
            <v>20</v>
          </cell>
          <cell r="G15">
            <v>1393665</v>
          </cell>
          <cell r="H15" t="str">
            <v>CM-290:ENGINE BEIGE GENERAL 12A</v>
          </cell>
          <cell r="I15">
            <v>840</v>
          </cell>
          <cell r="J15" t="str">
            <v>UN</v>
          </cell>
          <cell r="K15">
            <v>45387</v>
          </cell>
        </row>
        <row r="16">
          <cell r="A16" t="str">
            <v>50714131930</v>
          </cell>
          <cell r="B16" t="str">
            <v>ZMTD</v>
          </cell>
          <cell r="C16">
            <v>45247</v>
          </cell>
          <cell r="D16" t="str">
            <v>Not delivered</v>
          </cell>
          <cell r="E16">
            <v>507141319</v>
          </cell>
          <cell r="F16">
            <v>30</v>
          </cell>
          <cell r="G16">
            <v>1393666</v>
          </cell>
          <cell r="H16" t="str">
            <v>CM-290:RING BEIGE GENERAL 12A</v>
          </cell>
          <cell r="I16">
            <v>1080</v>
          </cell>
          <cell r="J16" t="str">
            <v>UN</v>
          </cell>
          <cell r="K16">
            <v>45387</v>
          </cell>
        </row>
        <row r="17">
          <cell r="A17" t="str">
            <v>50714131940</v>
          </cell>
          <cell r="B17" t="str">
            <v>ZMTD</v>
          </cell>
          <cell r="C17">
            <v>45247</v>
          </cell>
          <cell r="D17" t="str">
            <v>Not delivered</v>
          </cell>
          <cell r="E17">
            <v>507141319</v>
          </cell>
          <cell r="F17">
            <v>40</v>
          </cell>
          <cell r="G17">
            <v>1183641</v>
          </cell>
          <cell r="H17" t="str">
            <v>PT-073:CV BS GOLD PEARL S/LIST SLV JHONY</v>
          </cell>
          <cell r="I17">
            <v>1200</v>
          </cell>
          <cell r="J17" t="str">
            <v>UN</v>
          </cell>
          <cell r="K17">
            <v>45399</v>
          </cell>
        </row>
        <row r="18">
          <cell r="A18" t="str">
            <v>50714131950</v>
          </cell>
          <cell r="B18" t="str">
            <v>ZMTD</v>
          </cell>
          <cell r="C18">
            <v>45247</v>
          </cell>
          <cell r="D18" t="str">
            <v>Not delivered</v>
          </cell>
          <cell r="E18">
            <v>507141319</v>
          </cell>
          <cell r="F18">
            <v>50</v>
          </cell>
          <cell r="G18">
            <v>1307478</v>
          </cell>
          <cell r="H18" t="str">
            <v>LS-085:BS CVR WHT NODC CEC 12A</v>
          </cell>
          <cell r="I18">
            <v>1815</v>
          </cell>
          <cell r="J18" t="str">
            <v>UN</v>
          </cell>
          <cell r="K18">
            <v>45401</v>
          </cell>
        </row>
        <row r="19">
          <cell r="A19" t="str">
            <v>50714175210</v>
          </cell>
          <cell r="B19" t="str">
            <v>ZMTD</v>
          </cell>
          <cell r="C19">
            <v>45342</v>
          </cell>
          <cell r="D19" t="str">
            <v>Partially delivered</v>
          </cell>
          <cell r="E19">
            <v>507141752</v>
          </cell>
          <cell r="F19">
            <v>10</v>
          </cell>
          <cell r="G19">
            <v>1333155</v>
          </cell>
          <cell r="H19" t="str">
            <v>LC-003:CAP P7605C VMRSGLD ESNZA 20V</v>
          </cell>
          <cell r="I19">
            <v>51660</v>
          </cell>
          <cell r="J19" t="str">
            <v>UN</v>
          </cell>
          <cell r="K19">
            <v>45429</v>
          </cell>
        </row>
        <row r="20">
          <cell r="A20" t="str">
            <v>50714175220</v>
          </cell>
          <cell r="B20" t="str">
            <v>ZMTD</v>
          </cell>
          <cell r="C20">
            <v>45342</v>
          </cell>
          <cell r="D20" t="str">
            <v>Partially delivered</v>
          </cell>
          <cell r="E20">
            <v>507141752</v>
          </cell>
          <cell r="F20">
            <v>20</v>
          </cell>
          <cell r="G20">
            <v>1333156</v>
          </cell>
          <cell r="H20" t="str">
            <v>LC-003:BTL CLR COL VMRSGLD P/MAHATIC 20X</v>
          </cell>
          <cell r="I20">
            <v>51660</v>
          </cell>
          <cell r="J20" t="str">
            <v>UN</v>
          </cell>
          <cell r="K20">
            <v>45429</v>
          </cell>
        </row>
        <row r="21">
          <cell r="A21" t="str">
            <v>50714100170</v>
          </cell>
          <cell r="B21" t="str">
            <v>ZMTD</v>
          </cell>
          <cell r="C21">
            <v>45161</v>
          </cell>
          <cell r="D21" t="str">
            <v>Not delivered</v>
          </cell>
          <cell r="E21">
            <v>507141001</v>
          </cell>
          <cell r="F21">
            <v>70</v>
          </cell>
          <cell r="G21">
            <v>1179792</v>
          </cell>
          <cell r="H21" t="str">
            <v>LC-003:BTL CLR COL WHT NO DC GENERAL 12A</v>
          </cell>
          <cell r="I21">
            <v>3070</v>
          </cell>
          <cell r="J21" t="str">
            <v>UN</v>
          </cell>
          <cell r="K21">
            <v>45455</v>
          </cell>
        </row>
        <row r="22">
          <cell r="A22" t="str">
            <v>50714100180</v>
          </cell>
          <cell r="B22" t="str">
            <v>ZMTD</v>
          </cell>
          <cell r="C22">
            <v>45161</v>
          </cell>
          <cell r="D22" t="str">
            <v>Not delivered</v>
          </cell>
          <cell r="E22">
            <v>507141001</v>
          </cell>
          <cell r="F22">
            <v>80</v>
          </cell>
          <cell r="G22">
            <v>1179769</v>
          </cell>
          <cell r="H22" t="str">
            <v>LC-003:CVR WHT NO DC WIP NAT GENERAL 12A</v>
          </cell>
          <cell r="I22">
            <v>3070</v>
          </cell>
          <cell r="J22" t="str">
            <v>UN</v>
          </cell>
          <cell r="K22">
            <v>45455</v>
          </cell>
        </row>
        <row r="23">
          <cell r="A23" t="str">
            <v>50714108010</v>
          </cell>
          <cell r="B23" t="str">
            <v>ZMTD</v>
          </cell>
          <cell r="C23">
            <v>45187</v>
          </cell>
          <cell r="D23" t="str">
            <v>Not delivered</v>
          </cell>
          <cell r="E23">
            <v>507141080</v>
          </cell>
          <cell r="F23">
            <v>10</v>
          </cell>
          <cell r="G23">
            <v>1194582</v>
          </cell>
          <cell r="H23" t="str">
            <v>LC-002:BTL CLR COL WHT NO DC GENERAL</v>
          </cell>
          <cell r="I23">
            <v>1404</v>
          </cell>
          <cell r="J23" t="str">
            <v>UN</v>
          </cell>
          <cell r="K23">
            <v>45498</v>
          </cell>
        </row>
        <row r="24">
          <cell r="A24" t="str">
            <v>50714108020</v>
          </cell>
          <cell r="B24" t="str">
            <v>ZMTD</v>
          </cell>
          <cell r="C24">
            <v>45187</v>
          </cell>
          <cell r="D24" t="str">
            <v>Not delivered</v>
          </cell>
          <cell r="E24">
            <v>507141080</v>
          </cell>
          <cell r="F24">
            <v>20</v>
          </cell>
          <cell r="G24">
            <v>1194581</v>
          </cell>
          <cell r="H24" t="str">
            <v>LC-002:CAP WHT NO DC WIPER NAT GENERAL</v>
          </cell>
          <cell r="I24">
            <v>1404</v>
          </cell>
          <cell r="J24" t="str">
            <v>UN</v>
          </cell>
          <cell r="K24">
            <v>45498</v>
          </cell>
        </row>
        <row r="25">
          <cell r="A25" t="str">
            <v>50714108030</v>
          </cell>
          <cell r="B25" t="str">
            <v>ZMTD</v>
          </cell>
          <cell r="C25">
            <v>45187</v>
          </cell>
          <cell r="D25" t="str">
            <v>Not delivered</v>
          </cell>
          <cell r="E25">
            <v>507141080</v>
          </cell>
          <cell r="F25">
            <v>30</v>
          </cell>
          <cell r="G25">
            <v>1181519</v>
          </cell>
          <cell r="H25" t="str">
            <v>LC-002:BTL CLR COL BLK NO DC GENERAL</v>
          </cell>
          <cell r="I25">
            <v>17904</v>
          </cell>
          <cell r="J25" t="str">
            <v>UN</v>
          </cell>
          <cell r="K25">
            <v>45523</v>
          </cell>
        </row>
        <row r="26">
          <cell r="A26" t="str">
            <v>50714108040</v>
          </cell>
          <cell r="B26" t="str">
            <v>ZMTD</v>
          </cell>
          <cell r="C26">
            <v>45187</v>
          </cell>
          <cell r="D26" t="str">
            <v>Not delivered</v>
          </cell>
          <cell r="E26">
            <v>507141080</v>
          </cell>
          <cell r="F26">
            <v>40</v>
          </cell>
          <cell r="G26">
            <v>1194673</v>
          </cell>
          <cell r="H26" t="str">
            <v>LC-002:CAP BLK NO DC WIPER NAT GENERAL</v>
          </cell>
          <cell r="I26">
            <v>17904</v>
          </cell>
          <cell r="J26" t="str">
            <v>UN</v>
          </cell>
          <cell r="K26">
            <v>45523</v>
          </cell>
        </row>
        <row r="27">
          <cell r="A27" t="str">
            <v>50714255610</v>
          </cell>
          <cell r="B27" t="str">
            <v>ZMTD</v>
          </cell>
          <cell r="C27">
            <v>45495</v>
          </cell>
          <cell r="D27" t="str">
            <v>Not delivered</v>
          </cell>
          <cell r="E27">
            <v>507142556</v>
          </cell>
          <cell r="F27">
            <v>10</v>
          </cell>
          <cell r="G27">
            <v>1429645</v>
          </cell>
          <cell r="H27" t="str">
            <v>PT-055:BD CV D.BLUE P/100-1080 INVBIO60B</v>
          </cell>
          <cell r="I27">
            <v>5000</v>
          </cell>
          <cell r="J27" t="str">
            <v>UN</v>
          </cell>
          <cell r="K27">
            <v>45538</v>
          </cell>
        </row>
        <row r="28">
          <cell r="A28" t="str">
            <v>50714255620</v>
          </cell>
          <cell r="B28" t="str">
            <v>ZMTD</v>
          </cell>
          <cell r="C28">
            <v>45495</v>
          </cell>
          <cell r="D28" t="str">
            <v>Not delivered</v>
          </cell>
          <cell r="E28">
            <v>507142556</v>
          </cell>
          <cell r="F28">
            <v>20</v>
          </cell>
          <cell r="G28">
            <v>1282199</v>
          </cell>
          <cell r="H28" t="str">
            <v>PT-055:PLUG D.BLUE NO DC INVBIOCARE</v>
          </cell>
          <cell r="I28">
            <v>5000</v>
          </cell>
          <cell r="J28" t="str">
            <v>UN</v>
          </cell>
          <cell r="K28">
            <v>45538</v>
          </cell>
        </row>
        <row r="29">
          <cell r="A29" t="str">
            <v>50714270410</v>
          </cell>
          <cell r="B29" t="str">
            <v>ZMTD</v>
          </cell>
          <cell r="C29">
            <v>45534</v>
          </cell>
          <cell r="D29" t="str">
            <v>Not delivered</v>
          </cell>
          <cell r="E29">
            <v>507142704</v>
          </cell>
          <cell r="F29">
            <v>10</v>
          </cell>
          <cell r="G29">
            <v>1255664</v>
          </cell>
          <cell r="H29" t="str">
            <v>LC-002:BTL MT VAR14 P/WRDH B.MARK PTI40H</v>
          </cell>
          <cell r="I29">
            <v>25200</v>
          </cell>
          <cell r="J29" t="str">
            <v>UN</v>
          </cell>
          <cell r="K29">
            <v>45540</v>
          </cell>
        </row>
        <row r="30">
          <cell r="A30" t="str">
            <v>50714270420</v>
          </cell>
          <cell r="B30" t="str">
            <v>ZMTD</v>
          </cell>
          <cell r="C30">
            <v>45534</v>
          </cell>
          <cell r="D30" t="str">
            <v>Not delivered</v>
          </cell>
          <cell r="E30">
            <v>507142704</v>
          </cell>
          <cell r="F30">
            <v>20</v>
          </cell>
          <cell r="G30">
            <v>1264032</v>
          </cell>
          <cell r="H30" t="str">
            <v>LC-002:CP S/MT VAR14 STM-WHT WNAT PTI40D</v>
          </cell>
          <cell r="I30">
            <v>25200</v>
          </cell>
          <cell r="J30" t="str">
            <v>UN</v>
          </cell>
          <cell r="K30">
            <v>45540</v>
          </cell>
        </row>
        <row r="31">
          <cell r="A31" t="str">
            <v>50800526510</v>
          </cell>
          <cell r="B31" t="str">
            <v>ZMFD</v>
          </cell>
          <cell r="C31">
            <v>45530</v>
          </cell>
          <cell r="D31" t="str">
            <v>Not delivered</v>
          </cell>
          <cell r="E31">
            <v>508005265</v>
          </cell>
          <cell r="F31">
            <v>10</v>
          </cell>
          <cell r="G31">
            <v>1413967</v>
          </cell>
          <cell r="H31" t="str">
            <v>CM-323:VM SILVER DIOR JUMBO M080</v>
          </cell>
          <cell r="I31">
            <v>6000</v>
          </cell>
          <cell r="J31" t="str">
            <v>UN</v>
          </cell>
          <cell r="K31">
            <v>45540</v>
          </cell>
        </row>
        <row r="32">
          <cell r="A32" t="str">
            <v>50714250210</v>
          </cell>
          <cell r="B32" t="str">
            <v>ZMTD</v>
          </cell>
          <cell r="C32">
            <v>45485</v>
          </cell>
          <cell r="D32" t="str">
            <v>Partially delivered</v>
          </cell>
          <cell r="E32">
            <v>507142502</v>
          </cell>
          <cell r="F32">
            <v>10</v>
          </cell>
          <cell r="G32">
            <v>1209355</v>
          </cell>
          <cell r="H32" t="str">
            <v>CP-092:VM SLVR WRDH TREAT ESSENCE PTI20F</v>
          </cell>
          <cell r="I32">
            <v>25200</v>
          </cell>
          <cell r="J32" t="str">
            <v>UN</v>
          </cell>
          <cell r="K32">
            <v>45540</v>
          </cell>
        </row>
        <row r="33">
          <cell r="A33" t="str">
            <v>50714226910</v>
          </cell>
          <cell r="B33" t="str">
            <v>ZMTD</v>
          </cell>
          <cell r="C33">
            <v>45443</v>
          </cell>
          <cell r="D33" t="str">
            <v>Partially delivered</v>
          </cell>
          <cell r="E33">
            <v>507142269</v>
          </cell>
          <cell r="F33">
            <v>10</v>
          </cell>
          <cell r="G33">
            <v>1187758</v>
          </cell>
          <cell r="H33" t="str">
            <v>CM-105:VM RAINBOW P/ULTIMA II RUDYS 40C</v>
          </cell>
          <cell r="I33">
            <v>22000</v>
          </cell>
          <cell r="J33" t="str">
            <v>UN</v>
          </cell>
          <cell r="K33">
            <v>45540</v>
          </cell>
        </row>
        <row r="34">
          <cell r="A34" t="str">
            <v>50714235110</v>
          </cell>
          <cell r="B34" t="str">
            <v>ZMTD</v>
          </cell>
          <cell r="C34">
            <v>45462</v>
          </cell>
          <cell r="D34" t="str">
            <v>Partially delivered</v>
          </cell>
          <cell r="E34">
            <v>507142351</v>
          </cell>
          <cell r="F34">
            <v>10</v>
          </cell>
          <cell r="G34">
            <v>1388326</v>
          </cell>
          <cell r="H34" t="str">
            <v>CM-253:CV BS MTPEACH P/C.BLSH RV1 PTI40H</v>
          </cell>
          <cell r="I34">
            <v>15120</v>
          </cell>
          <cell r="J34" t="str">
            <v>UN</v>
          </cell>
          <cell r="K34">
            <v>45545</v>
          </cell>
        </row>
        <row r="35">
          <cell r="A35" t="str">
            <v>50714159630</v>
          </cell>
          <cell r="B35" t="str">
            <v>ZMTD</v>
          </cell>
          <cell r="C35">
            <v>45308</v>
          </cell>
          <cell r="D35" t="str">
            <v>Not delivered</v>
          </cell>
          <cell r="E35">
            <v>507141596</v>
          </cell>
          <cell r="F35">
            <v>30</v>
          </cell>
          <cell r="G35">
            <v>1194713</v>
          </cell>
          <cell r="H35" t="str">
            <v>LC-003:BTL CLR COL BLK NO DC GENERAL 12A</v>
          </cell>
          <cell r="I35">
            <v>1180</v>
          </cell>
          <cell r="J35" t="str">
            <v>UN</v>
          </cell>
          <cell r="K35">
            <v>45546</v>
          </cell>
        </row>
        <row r="36">
          <cell r="A36" t="str">
            <v>50714159640</v>
          </cell>
          <cell r="B36" t="str">
            <v>ZMTD</v>
          </cell>
          <cell r="C36">
            <v>45308</v>
          </cell>
          <cell r="D36" t="str">
            <v>Not delivered</v>
          </cell>
          <cell r="E36">
            <v>507141596</v>
          </cell>
          <cell r="F36">
            <v>40</v>
          </cell>
          <cell r="G36">
            <v>1173440</v>
          </cell>
          <cell r="H36" t="str">
            <v>LC-003:CVR BLK NO DC WIP NAT GENERAL 12A</v>
          </cell>
          <cell r="I36">
            <v>1180</v>
          </cell>
          <cell r="J36" t="str">
            <v>UN</v>
          </cell>
          <cell r="K36">
            <v>45546</v>
          </cell>
        </row>
        <row r="37">
          <cell r="A37" t="str">
            <v>50714226620</v>
          </cell>
          <cell r="B37" t="str">
            <v>ZMTD</v>
          </cell>
          <cell r="C37">
            <v>45443</v>
          </cell>
          <cell r="D37" t="str">
            <v>Partially delivered</v>
          </cell>
          <cell r="E37">
            <v>507142266</v>
          </cell>
          <cell r="F37">
            <v>20</v>
          </cell>
          <cell r="G37">
            <v>1215637</v>
          </cell>
          <cell r="H37" t="str">
            <v>CM-105:UV DBRW P/P8022C WWGLAM RUDYS 40C</v>
          </cell>
          <cell r="I37">
            <v>10000</v>
          </cell>
          <cell r="J37" t="str">
            <v>UN</v>
          </cell>
          <cell r="K37">
            <v>45547</v>
          </cell>
        </row>
        <row r="38">
          <cell r="A38" t="str">
            <v>50714212010</v>
          </cell>
          <cell r="B38" t="str">
            <v>ZMTD</v>
          </cell>
          <cell r="C38">
            <v>45425</v>
          </cell>
          <cell r="D38" t="str">
            <v>Partially delivered</v>
          </cell>
          <cell r="E38">
            <v>507142120</v>
          </cell>
          <cell r="F38">
            <v>10</v>
          </cell>
          <cell r="G38">
            <v>1420101</v>
          </cell>
          <cell r="H38" t="str">
            <v>LS-091:BS RED P/RED FRTY CHERRY NEW 60B</v>
          </cell>
          <cell r="I38">
            <v>14820</v>
          </cell>
          <cell r="J38" t="str">
            <v>UN</v>
          </cell>
          <cell r="K38">
            <v>45548</v>
          </cell>
        </row>
        <row r="39">
          <cell r="A39" t="str">
            <v>50714212020</v>
          </cell>
          <cell r="B39" t="str">
            <v>ZMTD</v>
          </cell>
          <cell r="C39">
            <v>45425</v>
          </cell>
          <cell r="D39" t="str">
            <v>Partially delivered</v>
          </cell>
          <cell r="E39">
            <v>507142120</v>
          </cell>
          <cell r="F39">
            <v>20</v>
          </cell>
          <cell r="G39">
            <v>1420102</v>
          </cell>
          <cell r="H39" t="str">
            <v>LS-091:CV WHT P/ICE FRUITY CHERRY 60B</v>
          </cell>
          <cell r="I39">
            <v>14820</v>
          </cell>
          <cell r="J39" t="str">
            <v>UN</v>
          </cell>
          <cell r="K39">
            <v>45551</v>
          </cell>
        </row>
        <row r="40">
          <cell r="A40" t="str">
            <v>50714260110</v>
          </cell>
          <cell r="B40" t="str">
            <v>ZMTD</v>
          </cell>
          <cell r="C40">
            <v>45509</v>
          </cell>
          <cell r="D40" t="str">
            <v>Not delivered</v>
          </cell>
          <cell r="E40">
            <v>507142601</v>
          </cell>
          <cell r="F40">
            <v>10</v>
          </cell>
          <cell r="G40">
            <v>1158837</v>
          </cell>
          <cell r="H40" t="str">
            <v>SD-007:SM16 WH SLDR D40 SCREW ORI7.5</v>
          </cell>
          <cell r="I40">
            <v>252000</v>
          </cell>
          <cell r="J40" t="str">
            <v>UN</v>
          </cell>
          <cell r="K40">
            <v>45552</v>
          </cell>
        </row>
        <row r="41">
          <cell r="A41" t="str">
            <v>50714259410</v>
          </cell>
          <cell r="B41" t="str">
            <v>ZMTD</v>
          </cell>
          <cell r="C41">
            <v>45505</v>
          </cell>
          <cell r="D41" t="str">
            <v>Not delivered</v>
          </cell>
          <cell r="E41">
            <v>507142594</v>
          </cell>
          <cell r="F41">
            <v>10</v>
          </cell>
          <cell r="G41">
            <v>1307478</v>
          </cell>
          <cell r="H41" t="str">
            <v>LS-085:BS CVR WHT NODC CEC 12A</v>
          </cell>
          <cell r="I41">
            <v>5000</v>
          </cell>
          <cell r="J41" t="str">
            <v>UN</v>
          </cell>
          <cell r="K41">
            <v>45552</v>
          </cell>
        </row>
        <row r="42">
          <cell r="A42" t="str">
            <v>50714259420</v>
          </cell>
          <cell r="B42" t="str">
            <v>ZMTD</v>
          </cell>
          <cell r="C42">
            <v>45505</v>
          </cell>
          <cell r="D42" t="str">
            <v>Not delivered</v>
          </cell>
          <cell r="E42">
            <v>507142594</v>
          </cell>
          <cell r="F42">
            <v>20</v>
          </cell>
          <cell r="G42">
            <v>1307478</v>
          </cell>
          <cell r="H42" t="str">
            <v>LS-085:BS CVR WHT NODC CEC 12A</v>
          </cell>
          <cell r="I42">
            <v>5000</v>
          </cell>
          <cell r="J42" t="str">
            <v>UN</v>
          </cell>
          <cell r="K42">
            <v>45552</v>
          </cell>
        </row>
        <row r="43">
          <cell r="A43" t="str">
            <v>50714272210</v>
          </cell>
          <cell r="B43" t="str">
            <v>ZMTD</v>
          </cell>
          <cell r="C43">
            <v>45541</v>
          </cell>
          <cell r="D43" t="str">
            <v>Not delivered</v>
          </cell>
          <cell r="E43">
            <v>507142722</v>
          </cell>
          <cell r="F43">
            <v>10</v>
          </cell>
          <cell r="G43">
            <v>1361869</v>
          </cell>
          <cell r="H43" t="str">
            <v>CP-091:NATURAL BETTS</v>
          </cell>
          <cell r="I43">
            <v>51300</v>
          </cell>
          <cell r="J43" t="str">
            <v>UN</v>
          </cell>
          <cell r="K43">
            <v>45553</v>
          </cell>
        </row>
        <row r="44">
          <cell r="A44" t="str">
            <v>50714269810</v>
          </cell>
          <cell r="B44" t="str">
            <v>ZMTD</v>
          </cell>
          <cell r="C44">
            <v>45533</v>
          </cell>
          <cell r="D44" t="str">
            <v>Not delivered</v>
          </cell>
          <cell r="E44">
            <v>507142698</v>
          </cell>
          <cell r="F44">
            <v>10</v>
          </cell>
          <cell r="G44">
            <v>1408740</v>
          </cell>
          <cell r="H44" t="str">
            <v>PT-097B:BDSR.2 BLU HOUS WHT TRNS PTI12A</v>
          </cell>
          <cell r="I44">
            <v>110160</v>
          </cell>
          <cell r="J44" t="str">
            <v>UN</v>
          </cell>
          <cell r="K44">
            <v>45553</v>
          </cell>
        </row>
        <row r="45">
          <cell r="A45" t="str">
            <v>50714269820</v>
          </cell>
          <cell r="B45" t="str">
            <v>ZMTD</v>
          </cell>
          <cell r="C45">
            <v>45533</v>
          </cell>
          <cell r="D45" t="str">
            <v>Not delivered</v>
          </cell>
          <cell r="E45">
            <v>507142698</v>
          </cell>
          <cell r="F45">
            <v>20</v>
          </cell>
          <cell r="G45">
            <v>1408739</v>
          </cell>
          <cell r="H45" t="str">
            <v>PT-097B:CAP SR.2 BLUE TRANS PTI 12A</v>
          </cell>
          <cell r="I45">
            <v>110160</v>
          </cell>
          <cell r="J45" t="str">
            <v>UN</v>
          </cell>
          <cell r="K45">
            <v>45553</v>
          </cell>
        </row>
        <row r="46">
          <cell r="A46" t="str">
            <v>50714159610</v>
          </cell>
          <cell r="B46" t="str">
            <v>ZMTD</v>
          </cell>
          <cell r="C46">
            <v>45308</v>
          </cell>
          <cell r="D46" t="str">
            <v>Not delivered</v>
          </cell>
          <cell r="E46">
            <v>507141596</v>
          </cell>
          <cell r="F46">
            <v>10</v>
          </cell>
          <cell r="G46">
            <v>1187151</v>
          </cell>
          <cell r="H46" t="str">
            <v>LC-004:BTL CLR COL BLK NO DC GENERAL 12A</v>
          </cell>
          <cell r="I46">
            <v>8966</v>
          </cell>
          <cell r="J46" t="str">
            <v>UN</v>
          </cell>
          <cell r="K46">
            <v>45554</v>
          </cell>
        </row>
        <row r="47">
          <cell r="A47" t="str">
            <v>50714159620</v>
          </cell>
          <cell r="B47" t="str">
            <v>ZMTD</v>
          </cell>
          <cell r="C47">
            <v>45308</v>
          </cell>
          <cell r="D47" t="str">
            <v>Not delivered</v>
          </cell>
          <cell r="E47">
            <v>507141596</v>
          </cell>
          <cell r="F47">
            <v>20</v>
          </cell>
          <cell r="G47">
            <v>1187152</v>
          </cell>
          <cell r="H47" t="str">
            <v>LC-004:CVR BLK NO DC WIP NAT GENERAL 12A</v>
          </cell>
          <cell r="I47">
            <v>8966</v>
          </cell>
          <cell r="J47" t="str">
            <v>UN</v>
          </cell>
          <cell r="K47">
            <v>45554</v>
          </cell>
        </row>
        <row r="48">
          <cell r="A48" t="str">
            <v>50714159650</v>
          </cell>
          <cell r="B48" t="str">
            <v>ZMTD</v>
          </cell>
          <cell r="C48">
            <v>45308</v>
          </cell>
          <cell r="D48" t="str">
            <v>Not delivered</v>
          </cell>
          <cell r="E48">
            <v>507141596</v>
          </cell>
          <cell r="F48">
            <v>50</v>
          </cell>
          <cell r="G48">
            <v>1173704</v>
          </cell>
          <cell r="H48" t="str">
            <v>LC-004:BTL CLR COL WHT NO DC GENERAL 12A</v>
          </cell>
          <cell r="I48">
            <v>8912</v>
          </cell>
          <cell r="J48" t="str">
            <v>UN</v>
          </cell>
          <cell r="K48">
            <v>45554</v>
          </cell>
        </row>
        <row r="49">
          <cell r="A49" t="str">
            <v>50714159660</v>
          </cell>
          <cell r="B49" t="str">
            <v>ZMTD</v>
          </cell>
          <cell r="C49">
            <v>45308</v>
          </cell>
          <cell r="D49" t="str">
            <v>Not delivered</v>
          </cell>
          <cell r="E49">
            <v>507141596</v>
          </cell>
          <cell r="F49">
            <v>60</v>
          </cell>
          <cell r="G49">
            <v>1173705</v>
          </cell>
          <cell r="H49" t="str">
            <v>LC-004:CAP WHT NO DC WIP NAT GENERAL 12A</v>
          </cell>
          <cell r="I49">
            <v>8912</v>
          </cell>
          <cell r="J49" t="str">
            <v>UN</v>
          </cell>
          <cell r="K49">
            <v>45554</v>
          </cell>
        </row>
        <row r="50">
          <cell r="A50" t="str">
            <v>50714268910</v>
          </cell>
          <cell r="B50" t="str">
            <v>ZMTD</v>
          </cell>
          <cell r="C50">
            <v>45532</v>
          </cell>
          <cell r="D50" t="str">
            <v>Not delivered</v>
          </cell>
          <cell r="E50">
            <v>507142689</v>
          </cell>
          <cell r="F50">
            <v>10</v>
          </cell>
          <cell r="G50">
            <v>1168132</v>
          </cell>
          <cell r="H50" t="str">
            <v>LS-285:BS WHT NO DC WARDAH</v>
          </cell>
          <cell r="I50">
            <v>75544</v>
          </cell>
          <cell r="J50" t="str">
            <v>UN</v>
          </cell>
          <cell r="K50">
            <v>45558</v>
          </cell>
        </row>
        <row r="51">
          <cell r="A51" t="str">
            <v>50714268920</v>
          </cell>
          <cell r="B51" t="str">
            <v>ZMTD</v>
          </cell>
          <cell r="C51">
            <v>45532</v>
          </cell>
          <cell r="D51" t="str">
            <v>Not delivered</v>
          </cell>
          <cell r="E51">
            <v>507142689</v>
          </cell>
          <cell r="F51">
            <v>20</v>
          </cell>
          <cell r="G51">
            <v>1421418</v>
          </cell>
          <cell r="H51" t="str">
            <v>LS-285:CV RED P/WHT UV STRAWBERY PTI 30O</v>
          </cell>
          <cell r="I51">
            <v>75544</v>
          </cell>
          <cell r="J51" t="str">
            <v>UN</v>
          </cell>
          <cell r="K51">
            <v>45558</v>
          </cell>
        </row>
        <row r="52">
          <cell r="A52" t="str">
            <v>50714244410</v>
          </cell>
          <cell r="B52" t="str">
            <v>ZMTD</v>
          </cell>
          <cell r="C52">
            <v>45476</v>
          </cell>
          <cell r="D52" t="str">
            <v>Partially delivered</v>
          </cell>
          <cell r="E52">
            <v>507142444</v>
          </cell>
          <cell r="F52">
            <v>10</v>
          </cell>
          <cell r="G52">
            <v>1430485</v>
          </cell>
          <cell r="H52" t="str">
            <v>LS-091:CVR GREEN P/BUTTER MATCHA 60C</v>
          </cell>
          <cell r="I52">
            <v>15808</v>
          </cell>
          <cell r="J52" t="str">
            <v>UN</v>
          </cell>
          <cell r="K52">
            <v>45558</v>
          </cell>
        </row>
        <row r="53">
          <cell r="A53" t="str">
            <v>50714244420</v>
          </cell>
          <cell r="B53" t="str">
            <v>ZMTD</v>
          </cell>
          <cell r="C53">
            <v>45476</v>
          </cell>
          <cell r="D53" t="str">
            <v>Partially delivered</v>
          </cell>
          <cell r="E53">
            <v>507142444</v>
          </cell>
          <cell r="F53">
            <v>20</v>
          </cell>
          <cell r="G53">
            <v>1430486</v>
          </cell>
          <cell r="H53" t="str">
            <v>LS-091:BS GREEN P/WHITE MATCHA ROHTO 12A</v>
          </cell>
          <cell r="I53">
            <v>15808</v>
          </cell>
          <cell r="J53" t="str">
            <v>UN</v>
          </cell>
          <cell r="K53">
            <v>45558</v>
          </cell>
        </row>
        <row r="54">
          <cell r="A54" t="str">
            <v>50714222910</v>
          </cell>
          <cell r="B54" t="str">
            <v>ZMTD</v>
          </cell>
          <cell r="C54">
            <v>45436</v>
          </cell>
          <cell r="D54" t="str">
            <v>Partially delivered</v>
          </cell>
          <cell r="E54">
            <v>507142229</v>
          </cell>
          <cell r="F54">
            <v>10</v>
          </cell>
          <cell r="G54">
            <v>1331787</v>
          </cell>
          <cell r="H54" t="str">
            <v>CM-216:TRUE MATCH BLUSH W/O BRUSH LOR US</v>
          </cell>
          <cell r="I54">
            <v>159400</v>
          </cell>
          <cell r="J54" t="str">
            <v>UN</v>
          </cell>
          <cell r="K54">
            <v>45559</v>
          </cell>
        </row>
        <row r="55">
          <cell r="A55" t="str">
            <v>50714276510</v>
          </cell>
          <cell r="B55" t="str">
            <v>ZMTD</v>
          </cell>
          <cell r="C55">
            <v>45552</v>
          </cell>
          <cell r="D55" t="str">
            <v>Not delivered</v>
          </cell>
          <cell r="E55">
            <v>507142765</v>
          </cell>
          <cell r="F55">
            <v>10</v>
          </cell>
          <cell r="G55">
            <v>1398383</v>
          </cell>
          <cell r="H55" t="str">
            <v>CM-319:WHITE P/BLACK UV MATTE NARS</v>
          </cell>
          <cell r="I55">
            <v>10080</v>
          </cell>
          <cell r="J55" t="str">
            <v>UN</v>
          </cell>
          <cell r="K55">
            <v>45560</v>
          </cell>
        </row>
        <row r="56">
          <cell r="A56" t="str">
            <v>50714276610</v>
          </cell>
          <cell r="B56" t="str">
            <v>ZMTD</v>
          </cell>
          <cell r="C56">
            <v>45552</v>
          </cell>
          <cell r="D56" t="str">
            <v>Not delivered</v>
          </cell>
          <cell r="E56">
            <v>507142766</v>
          </cell>
          <cell r="F56">
            <v>10</v>
          </cell>
          <cell r="G56">
            <v>1398763</v>
          </cell>
          <cell r="H56" t="str">
            <v>CM-320:WHITE S/BLACK UV MATTE NARS</v>
          </cell>
          <cell r="I56">
            <v>10260</v>
          </cell>
          <cell r="J56" t="str">
            <v>UN</v>
          </cell>
          <cell r="K56">
            <v>45560</v>
          </cell>
        </row>
        <row r="57">
          <cell r="A57" t="str">
            <v>50714241720</v>
          </cell>
          <cell r="B57" t="str">
            <v>ZMTD</v>
          </cell>
          <cell r="C57">
            <v>45474</v>
          </cell>
          <cell r="D57" t="str">
            <v>Not delivered</v>
          </cell>
          <cell r="E57">
            <v>507142417</v>
          </cell>
          <cell r="F57">
            <v>20</v>
          </cell>
          <cell r="G57">
            <v>1405657</v>
          </cell>
          <cell r="H57" t="str">
            <v>CM-273:CV UV BS BRONZE P/PIXYSLKY RV130L</v>
          </cell>
          <cell r="I57">
            <v>10000</v>
          </cell>
          <cell r="J57" t="str">
            <v>UN</v>
          </cell>
          <cell r="K57">
            <v>45560</v>
          </cell>
        </row>
        <row r="58">
          <cell r="A58" t="str">
            <v>50714262520</v>
          </cell>
          <cell r="B58" t="str">
            <v>ZMTD</v>
          </cell>
          <cell r="C58">
            <v>45513</v>
          </cell>
          <cell r="D58" t="str">
            <v>Not delivered</v>
          </cell>
          <cell r="E58">
            <v>507142625</v>
          </cell>
          <cell r="F58">
            <v>20</v>
          </cell>
          <cell r="G58">
            <v>1305089</v>
          </cell>
          <cell r="H58" t="str">
            <v>CM-207:VM SHY SLV P/MATTE ZGH6010038 EL</v>
          </cell>
          <cell r="I58">
            <v>25920</v>
          </cell>
          <cell r="J58" t="str">
            <v>UN</v>
          </cell>
          <cell r="K58">
            <v>45561</v>
          </cell>
        </row>
        <row r="59">
          <cell r="A59" t="str">
            <v>50714256530</v>
          </cell>
          <cell r="B59" t="str">
            <v>ZMTD</v>
          </cell>
          <cell r="C59">
            <v>45497</v>
          </cell>
          <cell r="D59" t="str">
            <v>Not delivered</v>
          </cell>
          <cell r="E59">
            <v>507142565</v>
          </cell>
          <cell r="F59">
            <v>30</v>
          </cell>
          <cell r="G59">
            <v>1313073</v>
          </cell>
          <cell r="H59" t="str">
            <v>PT-055:PLUG BEIGE CASHMERE INTERPARFUM</v>
          </cell>
          <cell r="I59">
            <v>78570</v>
          </cell>
          <cell r="J59" t="str">
            <v>UN</v>
          </cell>
          <cell r="K59">
            <v>45561</v>
          </cell>
        </row>
        <row r="60">
          <cell r="A60" t="str">
            <v>50714256610</v>
          </cell>
          <cell r="B60" t="str">
            <v>ZMTD</v>
          </cell>
          <cell r="C60">
            <v>45497</v>
          </cell>
          <cell r="D60" t="str">
            <v>Not delivered</v>
          </cell>
          <cell r="E60">
            <v>507142566</v>
          </cell>
          <cell r="F60">
            <v>10</v>
          </cell>
          <cell r="G60">
            <v>1428697</v>
          </cell>
          <cell r="H60" t="str">
            <v>PT-055:BD DK ANTI-PERS 94025-BS3 INTPRF</v>
          </cell>
          <cell r="I60">
            <v>20385</v>
          </cell>
          <cell r="J60" t="str">
            <v>UN</v>
          </cell>
          <cell r="K60">
            <v>45561</v>
          </cell>
        </row>
        <row r="61">
          <cell r="A61" t="str">
            <v>50714256720</v>
          </cell>
          <cell r="B61" t="str">
            <v>ZMTD</v>
          </cell>
          <cell r="C61">
            <v>45497</v>
          </cell>
          <cell r="D61" t="str">
            <v>Not delivered</v>
          </cell>
          <cell r="E61">
            <v>507142567</v>
          </cell>
          <cell r="F61">
            <v>20</v>
          </cell>
          <cell r="G61">
            <v>1313073</v>
          </cell>
          <cell r="H61" t="str">
            <v>PT-055:PLUG BEIGE CASHMERE INTERPARFUM</v>
          </cell>
          <cell r="I61">
            <v>16200</v>
          </cell>
          <cell r="J61" t="str">
            <v>UN</v>
          </cell>
          <cell r="K61">
            <v>45561</v>
          </cell>
        </row>
        <row r="62">
          <cell r="A62" t="str">
            <v>50714256730</v>
          </cell>
          <cell r="B62" t="str">
            <v>ZMTD</v>
          </cell>
          <cell r="C62">
            <v>45497</v>
          </cell>
          <cell r="D62" t="str">
            <v>Not delivered</v>
          </cell>
          <cell r="E62">
            <v>507142567</v>
          </cell>
          <cell r="F62">
            <v>30</v>
          </cell>
          <cell r="G62">
            <v>1432260</v>
          </cell>
          <cell r="H62" t="str">
            <v>PT-055:BD BEIGE 94440-BS INTERPARFUM</v>
          </cell>
          <cell r="I62">
            <v>15390</v>
          </cell>
          <cell r="J62" t="str">
            <v>UN</v>
          </cell>
          <cell r="K62">
            <v>45561</v>
          </cell>
        </row>
        <row r="63">
          <cell r="A63" t="str">
            <v>50714276620</v>
          </cell>
          <cell r="B63" t="str">
            <v>ZMTD</v>
          </cell>
          <cell r="C63">
            <v>45552</v>
          </cell>
          <cell r="D63" t="str">
            <v>Not delivered</v>
          </cell>
          <cell r="E63">
            <v>507142766</v>
          </cell>
          <cell r="F63">
            <v>20</v>
          </cell>
          <cell r="G63">
            <v>1398763</v>
          </cell>
          <cell r="H63" t="str">
            <v>CM-320:WHITE S/BLACK UV MATTE NARS</v>
          </cell>
          <cell r="I63">
            <v>20520</v>
          </cell>
          <cell r="J63" t="str">
            <v>UN</v>
          </cell>
          <cell r="K63">
            <v>45562</v>
          </cell>
        </row>
        <row r="64">
          <cell r="A64" t="str">
            <v>50900099910</v>
          </cell>
          <cell r="B64" t="str">
            <v>ZMRX</v>
          </cell>
          <cell r="C64">
            <v>45560</v>
          </cell>
          <cell r="D64" t="str">
            <v>Not delivered</v>
          </cell>
          <cell r="E64">
            <v>509000999</v>
          </cell>
          <cell r="F64">
            <v>10</v>
          </cell>
          <cell r="G64">
            <v>1169047</v>
          </cell>
          <cell r="H64" t="str">
            <v>LS-285:B V/SL P/1PS SLEV H/SL BLM PTI20R</v>
          </cell>
          <cell r="I64">
            <v>11704</v>
          </cell>
          <cell r="J64" t="str">
            <v>UN</v>
          </cell>
          <cell r="K64">
            <v>45565</v>
          </cell>
        </row>
        <row r="65">
          <cell r="A65" t="str">
            <v>50900099920</v>
          </cell>
          <cell r="B65" t="str">
            <v>ZMRX</v>
          </cell>
          <cell r="C65">
            <v>45560</v>
          </cell>
          <cell r="D65" t="str">
            <v>Not delivered</v>
          </cell>
          <cell r="E65">
            <v>509000999</v>
          </cell>
          <cell r="F65">
            <v>20</v>
          </cell>
          <cell r="G65">
            <v>1171160</v>
          </cell>
          <cell r="H65" t="str">
            <v>LS-285:CV TRANS LONG 9 P/1PS VAR7 PTI40H</v>
          </cell>
          <cell r="I65">
            <v>11704</v>
          </cell>
          <cell r="J65" t="str">
            <v>UN</v>
          </cell>
          <cell r="K65">
            <v>45565</v>
          </cell>
        </row>
        <row r="66">
          <cell r="A66" t="str">
            <v>50900100010</v>
          </cell>
          <cell r="B66" t="str">
            <v>ZMRX</v>
          </cell>
          <cell r="C66">
            <v>45560</v>
          </cell>
          <cell r="D66" t="str">
            <v>Not delivered</v>
          </cell>
          <cell r="E66">
            <v>509001000</v>
          </cell>
          <cell r="F66">
            <v>10</v>
          </cell>
          <cell r="G66">
            <v>1375593</v>
          </cell>
          <cell r="H66" t="str">
            <v>LC-009:CAP REDTRANS WIP S/OMG PTIPT 60B</v>
          </cell>
          <cell r="I66">
            <v>630</v>
          </cell>
          <cell r="J66" t="str">
            <v>UN</v>
          </cell>
          <cell r="K66">
            <v>45565</v>
          </cell>
        </row>
        <row r="67">
          <cell r="A67" t="str">
            <v>50714271110</v>
          </cell>
          <cell r="B67" t="str">
            <v>ZMTD</v>
          </cell>
          <cell r="C67">
            <v>45534</v>
          </cell>
          <cell r="D67" t="str">
            <v>Not delivered</v>
          </cell>
          <cell r="E67">
            <v>507142711</v>
          </cell>
          <cell r="F67">
            <v>10</v>
          </cell>
          <cell r="G67">
            <v>1313402</v>
          </cell>
          <cell r="H67" t="str">
            <v>LC-004:BTL COL MTGRAD P/SWETBRWN MLA40H</v>
          </cell>
          <cell r="I67">
            <v>32700</v>
          </cell>
          <cell r="J67" t="str">
            <v>UN</v>
          </cell>
          <cell r="K67">
            <v>45565</v>
          </cell>
        </row>
        <row r="68">
          <cell r="A68" t="str">
            <v>50714271120</v>
          </cell>
          <cell r="B68" t="str">
            <v>ZMTD</v>
          </cell>
          <cell r="C68">
            <v>45534</v>
          </cell>
          <cell r="D68" t="str">
            <v>Not delivered</v>
          </cell>
          <cell r="E68">
            <v>507142711</v>
          </cell>
          <cell r="F68">
            <v>20</v>
          </cell>
          <cell r="G68">
            <v>1313403</v>
          </cell>
          <cell r="H68" t="str">
            <v>LC-004:CAP MTBRWN WIPNAT SWETBRWN MLA40D</v>
          </cell>
          <cell r="I68">
            <v>32700</v>
          </cell>
          <cell r="J68" t="str">
            <v>UN</v>
          </cell>
          <cell r="K68">
            <v>45565</v>
          </cell>
        </row>
        <row r="69">
          <cell r="A69" t="str">
            <v>50714264710</v>
          </cell>
          <cell r="B69" t="str">
            <v>ZMTD</v>
          </cell>
          <cell r="C69">
            <v>45523</v>
          </cell>
          <cell r="D69" t="str">
            <v>Partially delivered</v>
          </cell>
          <cell r="E69">
            <v>507142647</v>
          </cell>
          <cell r="F69">
            <v>10</v>
          </cell>
          <cell r="G69">
            <v>1168132</v>
          </cell>
          <cell r="H69" t="str">
            <v>LS-285:BS WHT NO DC WARDAH</v>
          </cell>
          <cell r="I69">
            <v>53200</v>
          </cell>
          <cell r="J69" t="str">
            <v>UN</v>
          </cell>
          <cell r="K69">
            <v>45565</v>
          </cell>
        </row>
        <row r="70">
          <cell r="A70" t="str">
            <v>50714264720</v>
          </cell>
          <cell r="B70" t="str">
            <v>ZMTD</v>
          </cell>
          <cell r="C70">
            <v>45523</v>
          </cell>
          <cell r="D70" t="str">
            <v>Partially delivered</v>
          </cell>
          <cell r="E70">
            <v>507142647</v>
          </cell>
          <cell r="F70">
            <v>20</v>
          </cell>
          <cell r="G70">
            <v>1421418</v>
          </cell>
          <cell r="H70" t="str">
            <v>LS-285:CV RED P/WHT UV STRAWBERY PTI 30O</v>
          </cell>
          <cell r="I70">
            <v>53200</v>
          </cell>
          <cell r="J70" t="str">
            <v>UN</v>
          </cell>
          <cell r="K70">
            <v>45565</v>
          </cell>
        </row>
        <row r="71">
          <cell r="A71" t="str">
            <v>50714264210</v>
          </cell>
          <cell r="B71" t="str">
            <v>ZMTD</v>
          </cell>
          <cell r="C71">
            <v>45520</v>
          </cell>
          <cell r="D71" t="str">
            <v>Not delivered</v>
          </cell>
          <cell r="E71">
            <v>507142642</v>
          </cell>
          <cell r="F71">
            <v>10</v>
          </cell>
          <cell r="G71">
            <v>1434087</v>
          </cell>
          <cell r="H71" t="str">
            <v>LC-002:CAP MT PINK NODC NACIFIC CSMX 40D</v>
          </cell>
          <cell r="I71">
            <v>15246</v>
          </cell>
          <cell r="J71" t="str">
            <v>UN</v>
          </cell>
          <cell r="K71">
            <v>45565</v>
          </cell>
        </row>
        <row r="72">
          <cell r="A72" t="str">
            <v>50714264220</v>
          </cell>
          <cell r="B72" t="str">
            <v>ZMTD</v>
          </cell>
          <cell r="C72">
            <v>45520</v>
          </cell>
          <cell r="D72" t="str">
            <v>Not delivered</v>
          </cell>
          <cell r="E72">
            <v>507142642</v>
          </cell>
          <cell r="F72">
            <v>20</v>
          </cell>
          <cell r="G72">
            <v>1434088</v>
          </cell>
          <cell r="H72" t="str">
            <v>LC-002:BTL/COL MTPINK P/NACIFIC CSMX 40H</v>
          </cell>
          <cell r="I72">
            <v>15246</v>
          </cell>
          <cell r="J72" t="str">
            <v>UN</v>
          </cell>
          <cell r="K72">
            <v>45565</v>
          </cell>
        </row>
        <row r="73">
          <cell r="A73" t="str">
            <v>50714241730</v>
          </cell>
          <cell r="B73" t="str">
            <v>ZMTD</v>
          </cell>
          <cell r="C73">
            <v>45474</v>
          </cell>
          <cell r="D73" t="str">
            <v>Not delivered</v>
          </cell>
          <cell r="E73">
            <v>507142417</v>
          </cell>
          <cell r="F73">
            <v>30</v>
          </cell>
          <cell r="G73">
            <v>1405657</v>
          </cell>
          <cell r="H73" t="str">
            <v>CM-273:CV UV BS BRONZE P/PIXYSLKY RV130L</v>
          </cell>
          <cell r="I73">
            <v>10000</v>
          </cell>
          <cell r="J73" t="str">
            <v>UN</v>
          </cell>
          <cell r="K73">
            <v>45565</v>
          </cell>
        </row>
        <row r="74">
          <cell r="A74" t="str">
            <v>50714227010</v>
          </cell>
          <cell r="B74" t="str">
            <v>ZMTD</v>
          </cell>
          <cell r="C74">
            <v>45443</v>
          </cell>
          <cell r="D74" t="str">
            <v>Not delivered</v>
          </cell>
          <cell r="E74">
            <v>507142270</v>
          </cell>
          <cell r="F74">
            <v>10</v>
          </cell>
          <cell r="G74">
            <v>1187758</v>
          </cell>
          <cell r="H74" t="str">
            <v>CM-105:VM RAINBOW P/ULTIMA II RUDYS 40C</v>
          </cell>
          <cell r="I74">
            <v>5000</v>
          </cell>
          <cell r="J74" t="str">
            <v>UN</v>
          </cell>
          <cell r="K74">
            <v>45565</v>
          </cell>
        </row>
        <row r="75">
          <cell r="A75" t="str">
            <v>50714227020</v>
          </cell>
          <cell r="B75" t="str">
            <v>ZMTD</v>
          </cell>
          <cell r="C75">
            <v>45443</v>
          </cell>
          <cell r="D75" t="str">
            <v>Not delivered</v>
          </cell>
          <cell r="E75">
            <v>507142270</v>
          </cell>
          <cell r="F75">
            <v>20</v>
          </cell>
          <cell r="G75">
            <v>1187758</v>
          </cell>
          <cell r="H75" t="str">
            <v>CM-105:VM RAINBOW P/ULTIMA II RUDYS 40C</v>
          </cell>
          <cell r="I75">
            <v>15000</v>
          </cell>
          <cell r="J75" t="str">
            <v>UN</v>
          </cell>
          <cell r="K75">
            <v>45565</v>
          </cell>
        </row>
        <row r="76">
          <cell r="A76" t="str">
            <v>50714263610</v>
          </cell>
          <cell r="B76" t="str">
            <v>ZMTD</v>
          </cell>
          <cell r="C76">
            <v>45518</v>
          </cell>
          <cell r="D76" t="str">
            <v>Partially delivered</v>
          </cell>
          <cell r="E76">
            <v>507142636</v>
          </cell>
          <cell r="F76">
            <v>10</v>
          </cell>
          <cell r="G76">
            <v>1437046</v>
          </cell>
          <cell r="H76" t="str">
            <v>PT-085:BS MTGRN CV BRWNPLZ P/HNI HRBA40H</v>
          </cell>
          <cell r="I76">
            <v>50000</v>
          </cell>
          <cell r="J76" t="str">
            <v>UN</v>
          </cell>
          <cell r="K76">
            <v>45566</v>
          </cell>
        </row>
        <row r="77">
          <cell r="A77" t="str">
            <v>50714250810</v>
          </cell>
          <cell r="B77" t="str">
            <v>ZMTD</v>
          </cell>
          <cell r="C77">
            <v>45488</v>
          </cell>
          <cell r="D77" t="str">
            <v>Not delivered</v>
          </cell>
          <cell r="E77">
            <v>507142508</v>
          </cell>
          <cell r="F77">
            <v>10</v>
          </cell>
          <cell r="G77">
            <v>1255663</v>
          </cell>
          <cell r="H77" t="str">
            <v>LC-002:BTL MT VAR13 P/WRDH B.MARK PTI40H</v>
          </cell>
          <cell r="I77">
            <v>25200</v>
          </cell>
          <cell r="J77" t="str">
            <v>UN</v>
          </cell>
          <cell r="K77">
            <v>45566</v>
          </cell>
        </row>
        <row r="78">
          <cell r="A78" t="str">
            <v>50714250820</v>
          </cell>
          <cell r="B78" t="str">
            <v>ZMTD</v>
          </cell>
          <cell r="C78">
            <v>45488</v>
          </cell>
          <cell r="D78" t="str">
            <v>Not delivered</v>
          </cell>
          <cell r="E78">
            <v>507142508</v>
          </cell>
          <cell r="F78">
            <v>20</v>
          </cell>
          <cell r="G78">
            <v>1173170</v>
          </cell>
          <cell r="H78" t="str">
            <v>LC-002:CP S/MT VAR13 STM-WHT WNAT PTI40D</v>
          </cell>
          <cell r="I78">
            <v>25200</v>
          </cell>
          <cell r="J78" t="str">
            <v>UN</v>
          </cell>
          <cell r="K78">
            <v>45566</v>
          </cell>
        </row>
        <row r="79">
          <cell r="A79" t="str">
            <v>50714234510</v>
          </cell>
          <cell r="B79" t="str">
            <v>ZMTD</v>
          </cell>
          <cell r="C79">
            <v>45462</v>
          </cell>
          <cell r="D79" t="str">
            <v>Not delivered</v>
          </cell>
          <cell r="E79">
            <v>507142345</v>
          </cell>
          <cell r="F79">
            <v>10</v>
          </cell>
          <cell r="G79">
            <v>1418416</v>
          </cell>
          <cell r="H79" t="str">
            <v>FP-010:WHITE BASE S/LIST SILVR NATASHA</v>
          </cell>
          <cell r="I79">
            <v>10000</v>
          </cell>
          <cell r="J79" t="str">
            <v>UN</v>
          </cell>
          <cell r="K79">
            <v>45566</v>
          </cell>
        </row>
        <row r="80">
          <cell r="A80" t="str">
            <v>50714180710</v>
          </cell>
          <cell r="B80" t="str">
            <v>ZMTD</v>
          </cell>
          <cell r="C80">
            <v>45350</v>
          </cell>
          <cell r="D80" t="str">
            <v>Not delivered</v>
          </cell>
          <cell r="E80">
            <v>507141807</v>
          </cell>
          <cell r="F80">
            <v>10</v>
          </cell>
          <cell r="G80">
            <v>1404888</v>
          </cell>
          <cell r="H80" t="str">
            <v>LS-091:BS MGNTA P/SHEER COLOR ROHTO 60B</v>
          </cell>
          <cell r="I80">
            <v>27664</v>
          </cell>
          <cell r="J80" t="str">
            <v>UN</v>
          </cell>
          <cell r="K80">
            <v>45566</v>
          </cell>
        </row>
        <row r="81">
          <cell r="A81" t="str">
            <v>50714180720</v>
          </cell>
          <cell r="B81" t="str">
            <v>ZMTD</v>
          </cell>
          <cell r="C81">
            <v>45350</v>
          </cell>
          <cell r="D81" t="str">
            <v>Not delivered</v>
          </cell>
          <cell r="E81">
            <v>507141807</v>
          </cell>
          <cell r="F81">
            <v>20</v>
          </cell>
          <cell r="G81">
            <v>1407563</v>
          </cell>
          <cell r="H81" t="str">
            <v>LS-091:CVR MGNTA GRAD UV P/STRWBRY ROHTO</v>
          </cell>
          <cell r="I81">
            <v>27664</v>
          </cell>
          <cell r="J81" t="str">
            <v>UN</v>
          </cell>
          <cell r="K81">
            <v>45566</v>
          </cell>
        </row>
        <row r="82">
          <cell r="A82" t="str">
            <v>50714273710</v>
          </cell>
          <cell r="B82" t="str">
            <v>ZMTD</v>
          </cell>
          <cell r="C82">
            <v>45544</v>
          </cell>
          <cell r="D82" t="str">
            <v>Not delivered</v>
          </cell>
          <cell r="E82">
            <v>507142737</v>
          </cell>
          <cell r="F82">
            <v>10</v>
          </cell>
          <cell r="G82">
            <v>1264031</v>
          </cell>
          <cell r="H82" t="str">
            <v>LC-002:CP S/MT VAR9 STM-WHT WNAT PTI40D</v>
          </cell>
          <cell r="I82">
            <v>25200</v>
          </cell>
          <cell r="J82" t="str">
            <v>UN</v>
          </cell>
          <cell r="K82">
            <v>45567</v>
          </cell>
        </row>
        <row r="83">
          <cell r="A83" t="str">
            <v>50714273720</v>
          </cell>
          <cell r="B83" t="str">
            <v>ZMTD</v>
          </cell>
          <cell r="C83">
            <v>45544</v>
          </cell>
          <cell r="D83" t="str">
            <v>Not delivered</v>
          </cell>
          <cell r="E83">
            <v>507142737</v>
          </cell>
          <cell r="F83">
            <v>20</v>
          </cell>
          <cell r="G83">
            <v>1255659</v>
          </cell>
          <cell r="H83" t="str">
            <v>LC-002:BTL MT VAR9 P/WRDH B.MARK PTI40H</v>
          </cell>
          <cell r="I83">
            <v>25200</v>
          </cell>
          <cell r="J83" t="str">
            <v>UN</v>
          </cell>
          <cell r="K83">
            <v>45567</v>
          </cell>
        </row>
        <row r="84">
          <cell r="A84" t="str">
            <v>50714273810</v>
          </cell>
          <cell r="B84" t="str">
            <v>ZMTD</v>
          </cell>
          <cell r="C84">
            <v>45544</v>
          </cell>
          <cell r="D84" t="str">
            <v>Not delivered</v>
          </cell>
          <cell r="E84">
            <v>507142738</v>
          </cell>
          <cell r="F84">
            <v>10</v>
          </cell>
          <cell r="G84">
            <v>1361170</v>
          </cell>
          <cell r="H84" t="str">
            <v>PT-097:BODY BLACK HOUSE WHT TRANS PTI12A</v>
          </cell>
          <cell r="I84">
            <v>110160</v>
          </cell>
          <cell r="J84" t="str">
            <v>UN</v>
          </cell>
          <cell r="K84">
            <v>45567</v>
          </cell>
        </row>
        <row r="85">
          <cell r="A85" t="str">
            <v>50714273820</v>
          </cell>
          <cell r="B85" t="str">
            <v>ZMTD</v>
          </cell>
          <cell r="C85">
            <v>45544</v>
          </cell>
          <cell r="D85" t="str">
            <v>Not delivered</v>
          </cell>
          <cell r="E85">
            <v>507142738</v>
          </cell>
          <cell r="F85">
            <v>20</v>
          </cell>
          <cell r="G85">
            <v>1361175</v>
          </cell>
          <cell r="H85" t="str">
            <v>PT-097:CAP BLACK TRANS PTI 12A</v>
          </cell>
          <cell r="I85">
            <v>110160</v>
          </cell>
          <cell r="J85" t="str">
            <v>UN</v>
          </cell>
          <cell r="K85">
            <v>45567</v>
          </cell>
        </row>
        <row r="86">
          <cell r="A86" t="str">
            <v>50714270610</v>
          </cell>
          <cell r="B86" t="str">
            <v>ZMTD</v>
          </cell>
          <cell r="C86">
            <v>45534</v>
          </cell>
          <cell r="D86" t="str">
            <v>Not delivered</v>
          </cell>
          <cell r="E86">
            <v>507142706</v>
          </cell>
          <cell r="F86">
            <v>10</v>
          </cell>
          <cell r="G86">
            <v>1207621</v>
          </cell>
          <cell r="H86" t="str">
            <v>CP-090:CAP DELCATE MTPINK NOEMBOS PTI40D</v>
          </cell>
          <cell r="I86">
            <v>10044</v>
          </cell>
          <cell r="J86" t="str">
            <v>UN</v>
          </cell>
          <cell r="K86">
            <v>45567</v>
          </cell>
        </row>
        <row r="87">
          <cell r="A87" t="str">
            <v>50714269510</v>
          </cell>
          <cell r="B87" t="str">
            <v>ZMTD</v>
          </cell>
          <cell r="C87">
            <v>45533</v>
          </cell>
          <cell r="D87" t="str">
            <v>Partially delivered</v>
          </cell>
          <cell r="E87">
            <v>507142695</v>
          </cell>
          <cell r="F87">
            <v>10</v>
          </cell>
          <cell r="G87">
            <v>1420925</v>
          </cell>
          <cell r="H87" t="str">
            <v>CM-253:CV BS MT ROSE 04 P/C.BLSH PTI40H</v>
          </cell>
          <cell r="I87">
            <v>15120</v>
          </cell>
          <cell r="J87" t="str">
            <v>UN</v>
          </cell>
          <cell r="K87">
            <v>45567</v>
          </cell>
        </row>
        <row r="88">
          <cell r="A88" t="str">
            <v>50714269830</v>
          </cell>
          <cell r="B88" t="str">
            <v>ZMTD</v>
          </cell>
          <cell r="C88">
            <v>45533</v>
          </cell>
          <cell r="D88" t="str">
            <v>Not delivered</v>
          </cell>
          <cell r="E88">
            <v>507142698</v>
          </cell>
          <cell r="F88">
            <v>30</v>
          </cell>
          <cell r="G88">
            <v>1408740</v>
          </cell>
          <cell r="H88" t="str">
            <v>PT-097B:BDSR.2 BLU HOUS WHT TRNS PTI12A</v>
          </cell>
          <cell r="I88">
            <v>109890</v>
          </cell>
          <cell r="J88" t="str">
            <v>UN</v>
          </cell>
          <cell r="K88">
            <v>45567</v>
          </cell>
        </row>
        <row r="89">
          <cell r="A89" t="str">
            <v>50714269840</v>
          </cell>
          <cell r="B89" t="str">
            <v>ZMTD</v>
          </cell>
          <cell r="C89">
            <v>45533</v>
          </cell>
          <cell r="D89" t="str">
            <v>Not delivered</v>
          </cell>
          <cell r="E89">
            <v>507142698</v>
          </cell>
          <cell r="F89">
            <v>40</v>
          </cell>
          <cell r="G89">
            <v>1408739</v>
          </cell>
          <cell r="H89" t="str">
            <v>PT-097B:CAP SR.2 BLUE TRANS PTI 12A</v>
          </cell>
          <cell r="I89">
            <v>109890</v>
          </cell>
          <cell r="J89" t="str">
            <v>UN</v>
          </cell>
          <cell r="K89">
            <v>45567</v>
          </cell>
        </row>
        <row r="90">
          <cell r="A90" t="str">
            <v>50714180330</v>
          </cell>
          <cell r="B90" t="str">
            <v>ZMTD</v>
          </cell>
          <cell r="C90">
            <v>45349</v>
          </cell>
          <cell r="D90" t="str">
            <v>Partially delivered</v>
          </cell>
          <cell r="E90">
            <v>507141803</v>
          </cell>
          <cell r="F90">
            <v>30</v>
          </cell>
          <cell r="G90">
            <v>1404888</v>
          </cell>
          <cell r="H90" t="str">
            <v>LS-091:BS MGNTA P/SHEER COLOR ROHTO 60B</v>
          </cell>
          <cell r="I90">
            <v>27664</v>
          </cell>
          <cell r="J90" t="str">
            <v>UN</v>
          </cell>
          <cell r="K90">
            <v>45567</v>
          </cell>
        </row>
        <row r="91">
          <cell r="A91" t="str">
            <v>50714266310</v>
          </cell>
          <cell r="B91" t="str">
            <v>ZMTD</v>
          </cell>
          <cell r="C91">
            <v>45525</v>
          </cell>
          <cell r="D91" t="str">
            <v>Not delivered</v>
          </cell>
          <cell r="E91">
            <v>507142663</v>
          </cell>
          <cell r="F91">
            <v>10</v>
          </cell>
          <cell r="G91">
            <v>1216572</v>
          </cell>
          <cell r="H91" t="str">
            <v>CM-216:TRUE MATCH CV PF S/SLV LOR (SEA)</v>
          </cell>
          <cell r="I91">
            <v>57600</v>
          </cell>
          <cell r="J91" t="str">
            <v>UN</v>
          </cell>
          <cell r="K91">
            <v>45568</v>
          </cell>
        </row>
        <row r="92">
          <cell r="A92" t="str">
            <v>50714262530</v>
          </cell>
          <cell r="B92" t="str">
            <v>ZMTD</v>
          </cell>
          <cell r="C92">
            <v>45513</v>
          </cell>
          <cell r="D92" t="str">
            <v>Not delivered</v>
          </cell>
          <cell r="E92">
            <v>507142625</v>
          </cell>
          <cell r="F92">
            <v>30</v>
          </cell>
          <cell r="G92">
            <v>1305089</v>
          </cell>
          <cell r="H92" t="str">
            <v>CM-207:VM SHY SLV P/MATTE ZGH6010038 EL</v>
          </cell>
          <cell r="I92">
            <v>25920</v>
          </cell>
          <cell r="J92" t="str">
            <v>UN</v>
          </cell>
          <cell r="K92">
            <v>45568</v>
          </cell>
        </row>
        <row r="93">
          <cell r="A93" t="str">
            <v>50714180730</v>
          </cell>
          <cell r="B93" t="str">
            <v>ZMTD</v>
          </cell>
          <cell r="C93">
            <v>45350</v>
          </cell>
          <cell r="D93" t="str">
            <v>Not delivered</v>
          </cell>
          <cell r="E93">
            <v>507141807</v>
          </cell>
          <cell r="F93">
            <v>30</v>
          </cell>
          <cell r="G93">
            <v>1404888</v>
          </cell>
          <cell r="H93" t="str">
            <v>LS-091:BS MGNTA P/SHEER COLOR ROHTO 60B</v>
          </cell>
          <cell r="I93">
            <v>14820</v>
          </cell>
          <cell r="J93" t="str">
            <v>UN</v>
          </cell>
          <cell r="K93">
            <v>45568</v>
          </cell>
        </row>
        <row r="94">
          <cell r="A94" t="str">
            <v>50714180740</v>
          </cell>
          <cell r="B94" t="str">
            <v>ZMTD</v>
          </cell>
          <cell r="C94">
            <v>45350</v>
          </cell>
          <cell r="D94" t="str">
            <v>Not delivered</v>
          </cell>
          <cell r="E94">
            <v>507141807</v>
          </cell>
          <cell r="F94">
            <v>40</v>
          </cell>
          <cell r="G94">
            <v>1404887</v>
          </cell>
          <cell r="H94" t="str">
            <v>LS-091:CVR MGNTA GRAD UV P/APPLE ROHTO</v>
          </cell>
          <cell r="I94">
            <v>14820</v>
          </cell>
          <cell r="J94" t="str">
            <v>UN</v>
          </cell>
          <cell r="K94">
            <v>45568</v>
          </cell>
        </row>
        <row r="95">
          <cell r="A95" t="str">
            <v>50714276530</v>
          </cell>
          <cell r="B95" t="str">
            <v>ZMTD</v>
          </cell>
          <cell r="C95">
            <v>45552</v>
          </cell>
          <cell r="D95" t="str">
            <v>Not delivered</v>
          </cell>
          <cell r="E95">
            <v>507142765</v>
          </cell>
          <cell r="F95">
            <v>30</v>
          </cell>
          <cell r="G95">
            <v>1398383</v>
          </cell>
          <cell r="H95" t="str">
            <v>CM-319:WHITE P/BLACK UV MATTE NARS</v>
          </cell>
          <cell r="I95">
            <v>30720</v>
          </cell>
          <cell r="J95" t="str">
            <v>UN</v>
          </cell>
          <cell r="K95">
            <v>45569</v>
          </cell>
        </row>
        <row r="96">
          <cell r="A96" t="str">
            <v>50714273510</v>
          </cell>
          <cell r="B96" t="str">
            <v>ZMTD</v>
          </cell>
          <cell r="C96">
            <v>45544</v>
          </cell>
          <cell r="D96" t="str">
            <v>Not delivered</v>
          </cell>
          <cell r="E96">
            <v>507142735</v>
          </cell>
          <cell r="F96">
            <v>10</v>
          </cell>
          <cell r="G96">
            <v>1417990</v>
          </cell>
          <cell r="H96" t="str">
            <v>LC-009:BTL #2#3 INNER CLR P/OMG PTIPT60B</v>
          </cell>
          <cell r="I96">
            <v>400050</v>
          </cell>
          <cell r="J96" t="str">
            <v>UN</v>
          </cell>
          <cell r="K96">
            <v>45569</v>
          </cell>
        </row>
        <row r="97">
          <cell r="A97" t="str">
            <v>50714273520</v>
          </cell>
          <cell r="B97" t="str">
            <v>ZMTD</v>
          </cell>
          <cell r="C97">
            <v>45544</v>
          </cell>
          <cell r="D97" t="str">
            <v>Not delivered</v>
          </cell>
          <cell r="E97">
            <v>507142735</v>
          </cell>
          <cell r="F97">
            <v>20</v>
          </cell>
          <cell r="G97">
            <v>1417978</v>
          </cell>
          <cell r="H97" t="str">
            <v>LC-009:CAP #2#3 REDTR WIP S/OMG PTIPT60B</v>
          </cell>
          <cell r="I97">
            <v>400050</v>
          </cell>
          <cell r="J97" t="str">
            <v>UN</v>
          </cell>
          <cell r="K97">
            <v>45569</v>
          </cell>
        </row>
        <row r="98">
          <cell r="A98" t="str">
            <v>50714270070</v>
          </cell>
          <cell r="B98" t="str">
            <v>ZMTD</v>
          </cell>
          <cell r="C98">
            <v>45533</v>
          </cell>
          <cell r="D98" t="str">
            <v>Not delivered</v>
          </cell>
          <cell r="E98">
            <v>507142700</v>
          </cell>
          <cell r="F98">
            <v>70</v>
          </cell>
          <cell r="G98">
            <v>1417990</v>
          </cell>
          <cell r="H98" t="str">
            <v>LC-009:BTL #2#3 INNER CLR P/OMG PTIPT60B</v>
          </cell>
          <cell r="I98">
            <v>200970</v>
          </cell>
          <cell r="J98" t="str">
            <v>UN</v>
          </cell>
          <cell r="K98">
            <v>45569</v>
          </cell>
        </row>
        <row r="99">
          <cell r="A99" t="str">
            <v>50714270080</v>
          </cell>
          <cell r="B99" t="str">
            <v>ZMTD</v>
          </cell>
          <cell r="C99">
            <v>45533</v>
          </cell>
          <cell r="D99" t="str">
            <v>Not delivered</v>
          </cell>
          <cell r="E99">
            <v>507142700</v>
          </cell>
          <cell r="F99">
            <v>80</v>
          </cell>
          <cell r="G99">
            <v>1417978</v>
          </cell>
          <cell r="H99" t="str">
            <v>LC-009:CAP #2#3 REDTR WIP S/OMG PTIPT60B</v>
          </cell>
          <cell r="I99">
            <v>200970</v>
          </cell>
          <cell r="J99" t="str">
            <v>UN</v>
          </cell>
          <cell r="K99">
            <v>45569</v>
          </cell>
        </row>
        <row r="100">
          <cell r="A100" t="str">
            <v>50714269110</v>
          </cell>
          <cell r="B100" t="str">
            <v>ZMTD</v>
          </cell>
          <cell r="C100">
            <v>45532</v>
          </cell>
          <cell r="D100" t="str">
            <v>Partially delivered</v>
          </cell>
          <cell r="E100">
            <v>507142691</v>
          </cell>
          <cell r="F100">
            <v>10</v>
          </cell>
          <cell r="G100">
            <v>1168132</v>
          </cell>
          <cell r="H100" t="str">
            <v>LS-285:BS WHT NO DC WARDAH</v>
          </cell>
          <cell r="I100">
            <v>50008</v>
          </cell>
          <cell r="J100" t="str">
            <v>UN</v>
          </cell>
          <cell r="K100">
            <v>45569</v>
          </cell>
        </row>
        <row r="101">
          <cell r="A101" t="str">
            <v>50714269120</v>
          </cell>
          <cell r="B101" t="str">
            <v>ZMTD</v>
          </cell>
          <cell r="C101">
            <v>45532</v>
          </cell>
          <cell r="D101" t="str">
            <v>Partially delivered</v>
          </cell>
          <cell r="E101">
            <v>507142691</v>
          </cell>
          <cell r="F101">
            <v>20</v>
          </cell>
          <cell r="G101">
            <v>1421510</v>
          </cell>
          <cell r="H101" t="str">
            <v>LS-285:CV PINK P/WHT UV P.BLOSOM PTI 30O</v>
          </cell>
          <cell r="I101">
            <v>50008</v>
          </cell>
          <cell r="J101" t="str">
            <v>UN</v>
          </cell>
          <cell r="K101">
            <v>45569</v>
          </cell>
        </row>
        <row r="102">
          <cell r="A102" t="str">
            <v>50714227610</v>
          </cell>
          <cell r="B102" t="str">
            <v>ZMTD</v>
          </cell>
          <cell r="C102">
            <v>45447</v>
          </cell>
          <cell r="D102" t="str">
            <v>Not delivered</v>
          </cell>
          <cell r="E102">
            <v>507142276</v>
          </cell>
          <cell r="F102">
            <v>10</v>
          </cell>
          <cell r="G102">
            <v>1419488</v>
          </cell>
          <cell r="H102" t="str">
            <v>CP-063R:SPOUT CAP WHITE LOREAL 12A</v>
          </cell>
          <cell r="I102">
            <v>1890000</v>
          </cell>
          <cell r="J102" t="str">
            <v>UN</v>
          </cell>
          <cell r="K102">
            <v>45569</v>
          </cell>
        </row>
        <row r="103">
          <cell r="A103" t="str">
            <v>50714211020</v>
          </cell>
          <cell r="B103" t="str">
            <v>ZMTD</v>
          </cell>
          <cell r="C103">
            <v>45422</v>
          </cell>
          <cell r="D103" t="str">
            <v>Partially delivered</v>
          </cell>
          <cell r="E103">
            <v>507142110</v>
          </cell>
          <cell r="F103">
            <v>20</v>
          </cell>
          <cell r="G103">
            <v>1419205</v>
          </cell>
          <cell r="H103" t="str">
            <v>PT-099:CVR GREN BS PINK 12.5G CHARSM 12A</v>
          </cell>
          <cell r="I103">
            <v>26592</v>
          </cell>
          <cell r="J103" t="str">
            <v>UN</v>
          </cell>
          <cell r="K103">
            <v>45569</v>
          </cell>
        </row>
        <row r="104">
          <cell r="A104" t="str">
            <v>50714268030</v>
          </cell>
          <cell r="B104" t="str">
            <v>ZMTD</v>
          </cell>
          <cell r="C104">
            <v>45530</v>
          </cell>
          <cell r="D104" t="str">
            <v>Partially delivered</v>
          </cell>
          <cell r="E104">
            <v>507142680</v>
          </cell>
          <cell r="F104">
            <v>30</v>
          </cell>
          <cell r="G104">
            <v>1209411</v>
          </cell>
          <cell r="H104" t="str">
            <v>FP-014:CV BLK SLV/QUEEN BS M.CLR VTPR</v>
          </cell>
          <cell r="I104">
            <v>24960</v>
          </cell>
          <cell r="J104" t="str">
            <v>UN</v>
          </cell>
          <cell r="K104">
            <v>45572</v>
          </cell>
        </row>
        <row r="105">
          <cell r="A105" t="str">
            <v>50714268040</v>
          </cell>
          <cell r="B105" t="str">
            <v>ZMTD</v>
          </cell>
          <cell r="C105">
            <v>45530</v>
          </cell>
          <cell r="D105" t="str">
            <v>Partially delivered</v>
          </cell>
          <cell r="E105">
            <v>507142680</v>
          </cell>
          <cell r="F105">
            <v>40</v>
          </cell>
          <cell r="G105">
            <v>1209412</v>
          </cell>
          <cell r="H105" t="str">
            <v>FP-014:SFTR W/ WHITE LABEL VTPHARM</v>
          </cell>
          <cell r="I105">
            <v>24960</v>
          </cell>
          <cell r="J105" t="str">
            <v>UN</v>
          </cell>
          <cell r="K105">
            <v>45572</v>
          </cell>
        </row>
        <row r="106">
          <cell r="A106" t="str">
            <v>50714265710</v>
          </cell>
          <cell r="B106" t="str">
            <v>ZMTD</v>
          </cell>
          <cell r="C106">
            <v>45524</v>
          </cell>
          <cell r="D106" t="str">
            <v>Not delivered</v>
          </cell>
          <cell r="E106">
            <v>507142657</v>
          </cell>
          <cell r="F106">
            <v>10</v>
          </cell>
          <cell r="G106">
            <v>1163327</v>
          </cell>
          <cell r="H106" t="str">
            <v>CM-246:CVR S.SLV PAN WHITE 6MPY 01 0034</v>
          </cell>
          <cell r="I106">
            <v>25056</v>
          </cell>
          <cell r="J106" t="str">
            <v>UN</v>
          </cell>
          <cell r="K106">
            <v>45572</v>
          </cell>
        </row>
        <row r="107">
          <cell r="A107" t="str">
            <v>50714261610</v>
          </cell>
          <cell r="B107" t="str">
            <v>ZMTD</v>
          </cell>
          <cell r="C107">
            <v>45511</v>
          </cell>
          <cell r="D107" t="str">
            <v>Not delivered</v>
          </cell>
          <cell r="E107">
            <v>507142616</v>
          </cell>
          <cell r="F107">
            <v>10</v>
          </cell>
          <cell r="G107">
            <v>1229927</v>
          </cell>
          <cell r="H107" t="str">
            <v>CM-273:INJ WHT 1PHS PURP PRSNAL COLCTION</v>
          </cell>
          <cell r="I107">
            <v>50000</v>
          </cell>
          <cell r="J107" t="str">
            <v>UN</v>
          </cell>
          <cell r="K107">
            <v>45572</v>
          </cell>
        </row>
        <row r="108">
          <cell r="A108" t="str">
            <v>50714259810</v>
          </cell>
          <cell r="B108" t="str">
            <v>ZMTD</v>
          </cell>
          <cell r="C108">
            <v>45509</v>
          </cell>
          <cell r="D108" t="str">
            <v>Partially delivered</v>
          </cell>
          <cell r="E108">
            <v>507142598</v>
          </cell>
          <cell r="F108">
            <v>10</v>
          </cell>
          <cell r="G108">
            <v>1233451</v>
          </cell>
          <cell r="H108" t="str">
            <v>CM-260:EYSHDW CVR BLKSPRY S/GLD VIVA 40C</v>
          </cell>
          <cell r="I108">
            <v>15120</v>
          </cell>
          <cell r="J108" t="str">
            <v>UN</v>
          </cell>
          <cell r="K108">
            <v>45572</v>
          </cell>
        </row>
        <row r="109">
          <cell r="A109" t="str">
            <v>50714241410</v>
          </cell>
          <cell r="B109" t="str">
            <v>ZMTD</v>
          </cell>
          <cell r="C109">
            <v>45471</v>
          </cell>
          <cell r="D109" t="str">
            <v>Partially delivered</v>
          </cell>
          <cell r="E109">
            <v>507142414</v>
          </cell>
          <cell r="F109">
            <v>10</v>
          </cell>
          <cell r="G109">
            <v>1379003</v>
          </cell>
          <cell r="H109" t="str">
            <v>PT-096:CVR WHITE INEZ 12A</v>
          </cell>
          <cell r="I109">
            <v>25000</v>
          </cell>
          <cell r="J109" t="str">
            <v>UN</v>
          </cell>
          <cell r="K109">
            <v>45572</v>
          </cell>
        </row>
        <row r="110">
          <cell r="A110" t="str">
            <v>50714241420</v>
          </cell>
          <cell r="B110" t="str">
            <v>ZMTD</v>
          </cell>
          <cell r="C110">
            <v>45471</v>
          </cell>
          <cell r="D110" t="str">
            <v>Partially delivered</v>
          </cell>
          <cell r="E110">
            <v>507142414</v>
          </cell>
          <cell r="F110">
            <v>20</v>
          </cell>
          <cell r="G110">
            <v>1379004</v>
          </cell>
          <cell r="H110" t="str">
            <v>PT-096:BS MT BLUETRANS P/WHT BEAUTY INEZ</v>
          </cell>
          <cell r="I110">
            <v>25000</v>
          </cell>
          <cell r="J110" t="str">
            <v>UN</v>
          </cell>
          <cell r="K110">
            <v>45572</v>
          </cell>
        </row>
        <row r="111">
          <cell r="A111" t="str">
            <v>50714180810</v>
          </cell>
          <cell r="B111" t="str">
            <v>ZMTD</v>
          </cell>
          <cell r="C111">
            <v>45350</v>
          </cell>
          <cell r="D111" t="str">
            <v>Not delivered</v>
          </cell>
          <cell r="E111">
            <v>507141808</v>
          </cell>
          <cell r="F111">
            <v>10</v>
          </cell>
          <cell r="G111">
            <v>1404888</v>
          </cell>
          <cell r="H111" t="str">
            <v>LS-091:BS MGNTA P/SHEER COLOR ROHTO 60B</v>
          </cell>
          <cell r="I111">
            <v>14820</v>
          </cell>
          <cell r="J111" t="str">
            <v>UN</v>
          </cell>
          <cell r="K111">
            <v>45572</v>
          </cell>
        </row>
        <row r="112">
          <cell r="A112" t="str">
            <v>50714180820</v>
          </cell>
          <cell r="B112" t="str">
            <v>ZMTD</v>
          </cell>
          <cell r="C112">
            <v>45350</v>
          </cell>
          <cell r="D112" t="str">
            <v>Not delivered</v>
          </cell>
          <cell r="E112">
            <v>507141808</v>
          </cell>
          <cell r="F112">
            <v>20</v>
          </cell>
          <cell r="G112">
            <v>1404886</v>
          </cell>
          <cell r="H112" t="str">
            <v>LS-091:CVR MGNTA GRAD UV P/CHERRY ROHTO</v>
          </cell>
          <cell r="I112">
            <v>14820</v>
          </cell>
          <cell r="J112" t="str">
            <v>UN</v>
          </cell>
          <cell r="K112">
            <v>45572</v>
          </cell>
        </row>
        <row r="113">
          <cell r="A113" t="str">
            <v>50714273610</v>
          </cell>
          <cell r="B113" t="str">
            <v>ZMTD</v>
          </cell>
          <cell r="C113">
            <v>45544</v>
          </cell>
          <cell r="D113" t="str">
            <v>Not delivered</v>
          </cell>
          <cell r="E113">
            <v>507142736</v>
          </cell>
          <cell r="F113">
            <v>10</v>
          </cell>
          <cell r="G113">
            <v>1408740</v>
          </cell>
          <cell r="H113" t="str">
            <v>PT-097B:BDSR.2 BLU HOUS WHT TRNS PTI12A</v>
          </cell>
          <cell r="I113">
            <v>110160</v>
          </cell>
          <cell r="J113" t="str">
            <v>UN</v>
          </cell>
          <cell r="K113">
            <v>45573</v>
          </cell>
        </row>
        <row r="114">
          <cell r="A114" t="str">
            <v>50714273620</v>
          </cell>
          <cell r="B114" t="str">
            <v>ZMTD</v>
          </cell>
          <cell r="C114">
            <v>45544</v>
          </cell>
          <cell r="D114" t="str">
            <v>Not delivered</v>
          </cell>
          <cell r="E114">
            <v>507142736</v>
          </cell>
          <cell r="F114">
            <v>20</v>
          </cell>
          <cell r="G114">
            <v>1408739</v>
          </cell>
          <cell r="H114" t="str">
            <v>PT-097B:CAP SR.2 BLUE TRANS PTI 12A</v>
          </cell>
          <cell r="I114">
            <v>110160</v>
          </cell>
          <cell r="J114" t="str">
            <v>UN</v>
          </cell>
          <cell r="K114">
            <v>45573</v>
          </cell>
        </row>
        <row r="115">
          <cell r="A115" t="str">
            <v>50714273920</v>
          </cell>
          <cell r="B115" t="str">
            <v>ZMTD</v>
          </cell>
          <cell r="C115">
            <v>45544</v>
          </cell>
          <cell r="D115" t="str">
            <v>Not delivered</v>
          </cell>
          <cell r="E115">
            <v>507142739</v>
          </cell>
          <cell r="F115">
            <v>20</v>
          </cell>
          <cell r="G115">
            <v>1409881</v>
          </cell>
          <cell r="H115" t="str">
            <v>CM-315:CVR/BS BLACK P/CVRLAST OMG RV160B</v>
          </cell>
          <cell r="I115">
            <v>50204</v>
          </cell>
          <cell r="J115" t="str">
            <v>UN</v>
          </cell>
          <cell r="K115">
            <v>45573</v>
          </cell>
        </row>
        <row r="116">
          <cell r="A116" t="str">
            <v>50714274010</v>
          </cell>
          <cell r="B116" t="str">
            <v>ZMTD</v>
          </cell>
          <cell r="C116">
            <v>45544</v>
          </cell>
          <cell r="D116" t="str">
            <v>Not delivered</v>
          </cell>
          <cell r="E116">
            <v>507142740</v>
          </cell>
          <cell r="F116">
            <v>10</v>
          </cell>
          <cell r="G116">
            <v>1340516</v>
          </cell>
          <cell r="H116" t="str">
            <v>CM-133:CVR BS MTLC GRN UV DP S/WARDH 30T</v>
          </cell>
          <cell r="I116">
            <v>10080</v>
          </cell>
          <cell r="J116" t="str">
            <v>UN</v>
          </cell>
          <cell r="K116">
            <v>45573</v>
          </cell>
        </row>
        <row r="117">
          <cell r="A117" t="str">
            <v>50714272510</v>
          </cell>
          <cell r="B117" t="str">
            <v>ZMTD</v>
          </cell>
          <cell r="C117">
            <v>45541</v>
          </cell>
          <cell r="D117" t="str">
            <v>Not delivered</v>
          </cell>
          <cell r="E117">
            <v>507142725</v>
          </cell>
          <cell r="F117">
            <v>10</v>
          </cell>
          <cell r="G117">
            <v>1420605</v>
          </cell>
          <cell r="H117" t="str">
            <v>CM-253:CV BS MT BRICK 06 P/C.BLSH PTI40H</v>
          </cell>
          <cell r="I117">
            <v>15120</v>
          </cell>
          <cell r="J117" t="str">
            <v>UN</v>
          </cell>
          <cell r="K117">
            <v>45573</v>
          </cell>
        </row>
        <row r="118">
          <cell r="A118" t="str">
            <v>50714256230</v>
          </cell>
          <cell r="B118" t="str">
            <v>ZMTD</v>
          </cell>
          <cell r="C118">
            <v>45496</v>
          </cell>
          <cell r="D118" t="str">
            <v>Not delivered</v>
          </cell>
          <cell r="E118">
            <v>507142562</v>
          </cell>
          <cell r="F118">
            <v>30</v>
          </cell>
          <cell r="G118">
            <v>1428696</v>
          </cell>
          <cell r="H118" t="str">
            <v>PT-055:BD ANTI-PERS 94006-BS2 INERPARFUM</v>
          </cell>
          <cell r="I118">
            <v>81675</v>
          </cell>
          <cell r="J118" t="str">
            <v>UN</v>
          </cell>
          <cell r="K118">
            <v>45573</v>
          </cell>
        </row>
        <row r="119">
          <cell r="A119" t="str">
            <v>50714256240</v>
          </cell>
          <cell r="B119" t="str">
            <v>ZMTD</v>
          </cell>
          <cell r="C119">
            <v>45496</v>
          </cell>
          <cell r="D119" t="str">
            <v>Not delivered</v>
          </cell>
          <cell r="E119">
            <v>507142562</v>
          </cell>
          <cell r="F119">
            <v>40</v>
          </cell>
          <cell r="G119">
            <v>1313073</v>
          </cell>
          <cell r="H119" t="str">
            <v>PT-055:PLUG BEIGE CASHMERE INTERPARFUM</v>
          </cell>
          <cell r="I119">
            <v>83430</v>
          </cell>
          <cell r="J119" t="str">
            <v>UN</v>
          </cell>
          <cell r="K119">
            <v>45573</v>
          </cell>
        </row>
        <row r="120">
          <cell r="A120" t="str">
            <v>507142416120</v>
          </cell>
          <cell r="B120" t="str">
            <v>ZMTD</v>
          </cell>
          <cell r="C120">
            <v>45474</v>
          </cell>
          <cell r="D120" t="str">
            <v>Not delivered</v>
          </cell>
          <cell r="E120">
            <v>507142416</v>
          </cell>
          <cell r="F120">
            <v>120</v>
          </cell>
          <cell r="G120">
            <v>1255971</v>
          </cell>
          <cell r="H120" t="str">
            <v>LS-285:COVER PINK PX LCC NO DC MNDOM 12A</v>
          </cell>
          <cell r="I120">
            <v>10000</v>
          </cell>
          <cell r="J120" t="str">
            <v>UN</v>
          </cell>
          <cell r="K120">
            <v>45573</v>
          </cell>
        </row>
        <row r="121">
          <cell r="A121" t="str">
            <v>507142416130</v>
          </cell>
          <cell r="B121" t="str">
            <v>ZMTD</v>
          </cell>
          <cell r="C121">
            <v>45474</v>
          </cell>
          <cell r="D121" t="str">
            <v>Not delivered</v>
          </cell>
          <cell r="E121">
            <v>507142416</v>
          </cell>
          <cell r="F121">
            <v>130</v>
          </cell>
          <cell r="G121">
            <v>1393255</v>
          </cell>
          <cell r="H121" t="str">
            <v>LS-285:BS PINK PX LCC P/BLK MNDOM RV160B</v>
          </cell>
          <cell r="I121">
            <v>10000</v>
          </cell>
          <cell r="J121" t="str">
            <v>UN</v>
          </cell>
          <cell r="K121">
            <v>45573</v>
          </cell>
        </row>
        <row r="122">
          <cell r="A122" t="str">
            <v>50714227710</v>
          </cell>
          <cell r="B122" t="str">
            <v>ZMTD</v>
          </cell>
          <cell r="C122">
            <v>45447</v>
          </cell>
          <cell r="D122" t="str">
            <v>Not delivered</v>
          </cell>
          <cell r="E122">
            <v>507142277</v>
          </cell>
          <cell r="F122">
            <v>10</v>
          </cell>
          <cell r="G122">
            <v>1419488</v>
          </cell>
          <cell r="H122" t="str">
            <v>CP-063R:SPOUT CAP WHITE LOREAL 12A</v>
          </cell>
          <cell r="I122">
            <v>1890000</v>
          </cell>
          <cell r="J122" t="str">
            <v>UN</v>
          </cell>
          <cell r="K122">
            <v>45573</v>
          </cell>
        </row>
        <row r="123">
          <cell r="A123" t="str">
            <v>50714180340</v>
          </cell>
          <cell r="B123" t="str">
            <v>ZMTD</v>
          </cell>
          <cell r="C123">
            <v>45349</v>
          </cell>
          <cell r="D123" t="str">
            <v>Partially delivered</v>
          </cell>
          <cell r="E123">
            <v>507141803</v>
          </cell>
          <cell r="F123">
            <v>40</v>
          </cell>
          <cell r="G123">
            <v>1407563</v>
          </cell>
          <cell r="H123" t="str">
            <v>LS-091:CVR MGNTA GRAD UV P/STRWBRY ROHTO</v>
          </cell>
          <cell r="I123">
            <v>27664</v>
          </cell>
          <cell r="J123" t="str">
            <v>UN</v>
          </cell>
          <cell r="K123">
            <v>45573</v>
          </cell>
        </row>
        <row r="124">
          <cell r="A124" t="str">
            <v>50714260310</v>
          </cell>
          <cell r="B124" t="str">
            <v>ZMTD</v>
          </cell>
          <cell r="C124">
            <v>45509</v>
          </cell>
          <cell r="D124" t="str">
            <v>Not delivered</v>
          </cell>
          <cell r="E124">
            <v>507142603</v>
          </cell>
          <cell r="F124">
            <v>10</v>
          </cell>
          <cell r="G124">
            <v>1217479</v>
          </cell>
          <cell r="H124" t="str">
            <v>CM-172:8W UV SLV P/ S.CLNQ 6P40010031 EL</v>
          </cell>
          <cell r="I124">
            <v>25080</v>
          </cell>
          <cell r="J124" t="str">
            <v>UN</v>
          </cell>
          <cell r="K124">
            <v>45574</v>
          </cell>
        </row>
        <row r="125">
          <cell r="A125" t="str">
            <v>50714250620</v>
          </cell>
          <cell r="B125" t="str">
            <v>ZMTD</v>
          </cell>
          <cell r="C125">
            <v>45488</v>
          </cell>
          <cell r="D125" t="str">
            <v>Partially delivered</v>
          </cell>
          <cell r="E125">
            <v>507142506</v>
          </cell>
          <cell r="F125">
            <v>20</v>
          </cell>
          <cell r="G125">
            <v>1276491</v>
          </cell>
          <cell r="H125" t="str">
            <v>CM-105:CV VM RSGLD BS MT P/INSTA PTI 20X</v>
          </cell>
          <cell r="I125">
            <v>24960</v>
          </cell>
          <cell r="J125" t="str">
            <v>UN</v>
          </cell>
          <cell r="K125">
            <v>45574</v>
          </cell>
        </row>
        <row r="126">
          <cell r="A126" t="str">
            <v>50714286310</v>
          </cell>
          <cell r="B126" t="str">
            <v>ZMTD</v>
          </cell>
          <cell r="C126">
            <v>45574</v>
          </cell>
          <cell r="D126" t="str">
            <v>Partially delivered</v>
          </cell>
          <cell r="E126">
            <v>507142863</v>
          </cell>
          <cell r="F126">
            <v>10</v>
          </cell>
          <cell r="G126">
            <v>1414554</v>
          </cell>
          <cell r="H126" t="str">
            <v>SPIRAL SPRING MO SS304,11G,54.5MM PTI(T)</v>
          </cell>
          <cell r="I126">
            <v>361600</v>
          </cell>
          <cell r="J126" t="str">
            <v>UN</v>
          </cell>
          <cell r="K126">
            <v>45575</v>
          </cell>
        </row>
        <row r="127">
          <cell r="A127" t="str">
            <v>50714277010</v>
          </cell>
          <cell r="B127" t="str">
            <v>ZMTD</v>
          </cell>
          <cell r="C127">
            <v>45554</v>
          </cell>
          <cell r="D127" t="str">
            <v>Not delivered</v>
          </cell>
          <cell r="E127">
            <v>507142770</v>
          </cell>
          <cell r="F127">
            <v>10</v>
          </cell>
          <cell r="G127">
            <v>1378563</v>
          </cell>
          <cell r="H127" t="str">
            <v>CP-093:CAP D50 MT BLACK Ø.5 YASULOR 12A</v>
          </cell>
          <cell r="I127">
            <v>600000</v>
          </cell>
          <cell r="J127" t="str">
            <v>UN</v>
          </cell>
          <cell r="K127">
            <v>45575</v>
          </cell>
        </row>
        <row r="128">
          <cell r="A128" t="str">
            <v>50714276210</v>
          </cell>
          <cell r="B128" t="str">
            <v>ZMTD</v>
          </cell>
          <cell r="C128">
            <v>45552</v>
          </cell>
          <cell r="D128" t="str">
            <v>Partially delivered</v>
          </cell>
          <cell r="E128">
            <v>507142762</v>
          </cell>
          <cell r="F128">
            <v>10</v>
          </cell>
          <cell r="G128">
            <v>1191832</v>
          </cell>
          <cell r="H128" t="str">
            <v>PT-085:BS CP INS 15GR WHITE ND 12A</v>
          </cell>
          <cell r="I128">
            <v>40000</v>
          </cell>
          <cell r="J128" t="str">
            <v>UN</v>
          </cell>
          <cell r="K128">
            <v>45575</v>
          </cell>
        </row>
        <row r="129">
          <cell r="A129" t="str">
            <v>50714273410</v>
          </cell>
          <cell r="B129" t="str">
            <v>ZMTD</v>
          </cell>
          <cell r="C129">
            <v>45544</v>
          </cell>
          <cell r="D129" t="str">
            <v>Partially delivered</v>
          </cell>
          <cell r="E129">
            <v>507142734</v>
          </cell>
          <cell r="F129">
            <v>10</v>
          </cell>
          <cell r="G129">
            <v>1388036</v>
          </cell>
          <cell r="H129" t="str">
            <v>CM-253:CV BS MTMAUVE P/C.BLSH RV1 PTI40H</v>
          </cell>
          <cell r="I129">
            <v>15120</v>
          </cell>
          <cell r="J129" t="str">
            <v>UN</v>
          </cell>
          <cell r="K129">
            <v>45575</v>
          </cell>
        </row>
        <row r="130">
          <cell r="A130" t="str">
            <v>50714274310</v>
          </cell>
          <cell r="B130" t="str">
            <v>ZMTD</v>
          </cell>
          <cell r="C130">
            <v>45544</v>
          </cell>
          <cell r="D130" t="str">
            <v>Not delivered</v>
          </cell>
          <cell r="E130">
            <v>507142743</v>
          </cell>
          <cell r="F130">
            <v>10</v>
          </cell>
          <cell r="G130">
            <v>1388036</v>
          </cell>
          <cell r="H130" t="str">
            <v>CM-253:CV BS MTMAUVE P/C.BLSH RV1 PTI40H</v>
          </cell>
          <cell r="I130">
            <v>15120</v>
          </cell>
          <cell r="J130" t="str">
            <v>UN</v>
          </cell>
          <cell r="K130">
            <v>45575</v>
          </cell>
        </row>
        <row r="131">
          <cell r="A131" t="str">
            <v>50714272710</v>
          </cell>
          <cell r="B131" t="str">
            <v>ZMTD</v>
          </cell>
          <cell r="C131">
            <v>45541</v>
          </cell>
          <cell r="D131" t="str">
            <v>Not delivered</v>
          </cell>
          <cell r="E131">
            <v>507142727</v>
          </cell>
          <cell r="F131">
            <v>10</v>
          </cell>
          <cell r="G131">
            <v>1285453</v>
          </cell>
          <cell r="H131" t="str">
            <v>CM-216:TRUE MATCH PP CV PF S/SLV LOR US</v>
          </cell>
          <cell r="I131">
            <v>125400</v>
          </cell>
          <cell r="J131" t="str">
            <v>UN</v>
          </cell>
          <cell r="K131">
            <v>45575</v>
          </cell>
        </row>
        <row r="132">
          <cell r="A132" t="str">
            <v>50714269240</v>
          </cell>
          <cell r="B132" t="str">
            <v>ZMTD</v>
          </cell>
          <cell r="C132">
            <v>45532</v>
          </cell>
          <cell r="D132" t="str">
            <v>Partially delivered</v>
          </cell>
          <cell r="E132">
            <v>507142692</v>
          </cell>
          <cell r="F132">
            <v>40</v>
          </cell>
          <cell r="G132">
            <v>1367370</v>
          </cell>
          <cell r="H132" t="str">
            <v>PT-097:CAP GREN TRANS PTI 12A</v>
          </cell>
          <cell r="I132">
            <v>99900</v>
          </cell>
          <cell r="J132" t="str">
            <v>UN</v>
          </cell>
          <cell r="K132">
            <v>45575</v>
          </cell>
        </row>
        <row r="133">
          <cell r="A133" t="str">
            <v>50714260910</v>
          </cell>
          <cell r="B133" t="str">
            <v>ZMTD</v>
          </cell>
          <cell r="C133">
            <v>45509</v>
          </cell>
          <cell r="D133" t="str">
            <v>Partially delivered</v>
          </cell>
          <cell r="E133">
            <v>507142609</v>
          </cell>
          <cell r="F133">
            <v>10</v>
          </cell>
          <cell r="G133">
            <v>1432505</v>
          </cell>
          <cell r="H133" t="str">
            <v>CP-091:CAP D40 BLACK GLOSSY 12A</v>
          </cell>
          <cell r="I133">
            <v>59400</v>
          </cell>
          <cell r="J133" t="str">
            <v>UN</v>
          </cell>
          <cell r="K133">
            <v>45575</v>
          </cell>
        </row>
        <row r="134">
          <cell r="A134" t="str">
            <v>50714257820</v>
          </cell>
          <cell r="B134" t="str">
            <v>ZMTD</v>
          </cell>
          <cell r="C134">
            <v>45502</v>
          </cell>
          <cell r="D134" t="str">
            <v>Partially delivered</v>
          </cell>
          <cell r="E134">
            <v>507142578</v>
          </cell>
          <cell r="F134">
            <v>20</v>
          </cell>
          <cell r="G134">
            <v>1433095</v>
          </cell>
          <cell r="H134" t="str">
            <v>LC-002:BTL CLR HTF/SPICY CHRM CHILI RAMA</v>
          </cell>
          <cell r="I134">
            <v>31000</v>
          </cell>
          <cell r="J134" t="str">
            <v>UN</v>
          </cell>
          <cell r="K134">
            <v>45575</v>
          </cell>
        </row>
        <row r="135">
          <cell r="A135" t="str">
            <v>50714257850</v>
          </cell>
          <cell r="B135" t="str">
            <v>ZMTD</v>
          </cell>
          <cell r="C135">
            <v>45502</v>
          </cell>
          <cell r="D135" t="str">
            <v>Partially delivered</v>
          </cell>
          <cell r="E135">
            <v>507142578</v>
          </cell>
          <cell r="F135">
            <v>50</v>
          </cell>
          <cell r="G135">
            <v>1433012</v>
          </cell>
          <cell r="H135" t="str">
            <v>LC-002:CAP ORANGE P/SUNKISTOMATO RAMA60B</v>
          </cell>
          <cell r="I135">
            <v>31000</v>
          </cell>
          <cell r="J135" t="str">
            <v>UN</v>
          </cell>
          <cell r="K135">
            <v>45575</v>
          </cell>
        </row>
        <row r="136">
          <cell r="A136" t="str">
            <v>50714257860</v>
          </cell>
          <cell r="B136" t="str">
            <v>ZMTD</v>
          </cell>
          <cell r="C136">
            <v>45502</v>
          </cell>
          <cell r="D136" t="str">
            <v>Partially delivered</v>
          </cell>
          <cell r="E136">
            <v>507142578</v>
          </cell>
          <cell r="F136">
            <v>60</v>
          </cell>
          <cell r="G136">
            <v>1433011</v>
          </cell>
          <cell r="H136" t="str">
            <v>LC-002:BTL CLR HTF/SUNKISSEDTOMATO RAMA</v>
          </cell>
          <cell r="I136">
            <v>31000</v>
          </cell>
          <cell r="J136" t="str">
            <v>UN</v>
          </cell>
          <cell r="K136">
            <v>45575</v>
          </cell>
        </row>
        <row r="137">
          <cell r="A137" t="str">
            <v>50714258410</v>
          </cell>
          <cell r="B137" t="str">
            <v>ZMTD</v>
          </cell>
          <cell r="C137">
            <v>45502</v>
          </cell>
          <cell r="D137" t="str">
            <v>Partially delivered</v>
          </cell>
          <cell r="E137">
            <v>507142584</v>
          </cell>
          <cell r="F137">
            <v>10</v>
          </cell>
          <cell r="G137">
            <v>1388034</v>
          </cell>
          <cell r="H137" t="str">
            <v>CM-253:CV BS MTCORL P/C.BLSH RV1 PTI40H</v>
          </cell>
          <cell r="I137">
            <v>27000</v>
          </cell>
          <cell r="J137" t="str">
            <v>UN</v>
          </cell>
          <cell r="K137">
            <v>45575</v>
          </cell>
        </row>
        <row r="138">
          <cell r="A138" t="str">
            <v>50714257410</v>
          </cell>
          <cell r="B138" t="str">
            <v>ZMTD</v>
          </cell>
          <cell r="C138">
            <v>45499</v>
          </cell>
          <cell r="D138" t="str">
            <v>Not delivered</v>
          </cell>
          <cell r="E138">
            <v>507142574</v>
          </cell>
          <cell r="F138">
            <v>10</v>
          </cell>
          <cell r="G138">
            <v>1431860</v>
          </cell>
          <cell r="H138" t="str">
            <v>PT6029R CAP GARNIER 18ML WHITE PLZ (553)</v>
          </cell>
          <cell r="I138">
            <v>52080</v>
          </cell>
          <cell r="J138" t="str">
            <v>UN</v>
          </cell>
          <cell r="K138">
            <v>45575</v>
          </cell>
        </row>
        <row r="139">
          <cell r="A139" t="str">
            <v>50714256110</v>
          </cell>
          <cell r="B139" t="str">
            <v>ZMTD</v>
          </cell>
          <cell r="C139">
            <v>45496</v>
          </cell>
          <cell r="D139" t="str">
            <v>Not delivered</v>
          </cell>
          <cell r="E139">
            <v>507142561</v>
          </cell>
          <cell r="F139">
            <v>10</v>
          </cell>
          <cell r="G139">
            <v>1279282</v>
          </cell>
          <cell r="H139" t="str">
            <v>VT:TG-001 IXPE 560X357X2 MM US</v>
          </cell>
          <cell r="I139">
            <v>22260</v>
          </cell>
          <cell r="J139" t="str">
            <v>UN</v>
          </cell>
          <cell r="K139">
            <v>45575</v>
          </cell>
        </row>
        <row r="140">
          <cell r="A140" t="str">
            <v>50714276910</v>
          </cell>
          <cell r="B140" t="str">
            <v>ZMTD</v>
          </cell>
          <cell r="C140">
            <v>45553</v>
          </cell>
          <cell r="D140" t="str">
            <v>Partially delivered</v>
          </cell>
          <cell r="E140">
            <v>507142769</v>
          </cell>
          <cell r="F140">
            <v>10</v>
          </cell>
          <cell r="G140">
            <v>1167571</v>
          </cell>
          <cell r="H140" t="str">
            <v>FP-014:BS CLEAR NO DC PTI</v>
          </cell>
          <cell r="I140">
            <v>30096</v>
          </cell>
          <cell r="J140" t="str">
            <v>UN</v>
          </cell>
          <cell r="K140">
            <v>45576</v>
          </cell>
        </row>
        <row r="141">
          <cell r="A141" t="str">
            <v>50714276920</v>
          </cell>
          <cell r="B141" t="str">
            <v>ZMTD</v>
          </cell>
          <cell r="C141">
            <v>45553</v>
          </cell>
          <cell r="D141" t="str">
            <v>Partially delivered</v>
          </cell>
          <cell r="E141">
            <v>507142769</v>
          </cell>
          <cell r="F141">
            <v>20</v>
          </cell>
          <cell r="G141">
            <v>1174020</v>
          </cell>
          <cell r="H141" t="str">
            <v>FP-014:CVR BLCK COAT P/DC MAKE OVER  PTI</v>
          </cell>
          <cell r="I141">
            <v>30096</v>
          </cell>
          <cell r="J141" t="str">
            <v>UN</v>
          </cell>
          <cell r="K141">
            <v>45576</v>
          </cell>
        </row>
        <row r="142">
          <cell r="A142" t="str">
            <v>50714276930</v>
          </cell>
          <cell r="B142" t="str">
            <v>ZMTD</v>
          </cell>
          <cell r="C142">
            <v>45553</v>
          </cell>
          <cell r="D142" t="str">
            <v>Partially delivered</v>
          </cell>
          <cell r="E142">
            <v>507142769</v>
          </cell>
          <cell r="F142">
            <v>30</v>
          </cell>
          <cell r="G142">
            <v>1167434</v>
          </cell>
          <cell r="H142" t="str">
            <v>FP-014:SFTR NATURAL W/ LABEL POLOS PTI</v>
          </cell>
          <cell r="I142">
            <v>30096</v>
          </cell>
          <cell r="J142" t="str">
            <v>UN</v>
          </cell>
          <cell r="K142">
            <v>45576</v>
          </cell>
        </row>
        <row r="143">
          <cell r="A143" t="str">
            <v>50714276520</v>
          </cell>
          <cell r="B143" t="str">
            <v>ZMTD</v>
          </cell>
          <cell r="C143">
            <v>45552</v>
          </cell>
          <cell r="D143" t="str">
            <v>Not delivered</v>
          </cell>
          <cell r="E143">
            <v>507142765</v>
          </cell>
          <cell r="F143">
            <v>20</v>
          </cell>
          <cell r="G143">
            <v>1398383</v>
          </cell>
          <cell r="H143" t="str">
            <v>CM-319:WHITE P/BLACK UV MATTE NARS</v>
          </cell>
          <cell r="I143">
            <v>20160</v>
          </cell>
          <cell r="J143" t="str">
            <v>UN</v>
          </cell>
          <cell r="K143">
            <v>45576</v>
          </cell>
        </row>
        <row r="144">
          <cell r="A144" t="str">
            <v>50714276540</v>
          </cell>
          <cell r="B144" t="str">
            <v>ZMTD</v>
          </cell>
          <cell r="C144">
            <v>45552</v>
          </cell>
          <cell r="D144" t="str">
            <v>Not delivered</v>
          </cell>
          <cell r="E144">
            <v>507142765</v>
          </cell>
          <cell r="F144">
            <v>40</v>
          </cell>
          <cell r="G144">
            <v>1398383</v>
          </cell>
          <cell r="H144" t="str">
            <v>CM-319:WHITE P/BLACK UV MATTE NARS</v>
          </cell>
          <cell r="I144">
            <v>30960</v>
          </cell>
          <cell r="J144" t="str">
            <v>UN</v>
          </cell>
          <cell r="K144">
            <v>45576</v>
          </cell>
        </row>
        <row r="145">
          <cell r="A145" t="str">
            <v>50714274230</v>
          </cell>
          <cell r="B145" t="str">
            <v>ZMTD</v>
          </cell>
          <cell r="C145">
            <v>45544</v>
          </cell>
          <cell r="D145" t="str">
            <v>Partially delivered</v>
          </cell>
          <cell r="E145">
            <v>507142742</v>
          </cell>
          <cell r="F145">
            <v>30</v>
          </cell>
          <cell r="G145">
            <v>1437141</v>
          </cell>
          <cell r="H145" t="str">
            <v>CM-290:RING BLACK OMG PTI 12A</v>
          </cell>
          <cell r="I145">
            <v>35112</v>
          </cell>
          <cell r="J145" t="str">
            <v>UN</v>
          </cell>
          <cell r="K145">
            <v>45576</v>
          </cell>
        </row>
        <row r="146">
          <cell r="A146" t="str">
            <v>50714268610</v>
          </cell>
          <cell r="B146" t="str">
            <v>ZMTD</v>
          </cell>
          <cell r="C146">
            <v>45532</v>
          </cell>
          <cell r="D146" t="str">
            <v>Partially delivered</v>
          </cell>
          <cell r="E146">
            <v>507142686</v>
          </cell>
          <cell r="F146">
            <v>10</v>
          </cell>
          <cell r="G146">
            <v>1420861</v>
          </cell>
          <cell r="H146" t="str">
            <v>CM-253:CV BS MT PLUM 05  P/C.BLSH PTI40H</v>
          </cell>
          <cell r="I146">
            <v>15120</v>
          </cell>
          <cell r="J146" t="str">
            <v>UN</v>
          </cell>
          <cell r="K146">
            <v>45576</v>
          </cell>
        </row>
        <row r="147">
          <cell r="A147" t="str">
            <v>50714268820</v>
          </cell>
          <cell r="B147" t="str">
            <v>ZMTD</v>
          </cell>
          <cell r="C147">
            <v>45532</v>
          </cell>
          <cell r="D147" t="str">
            <v>Partially delivered</v>
          </cell>
          <cell r="E147">
            <v>507142688</v>
          </cell>
          <cell r="F147">
            <v>20</v>
          </cell>
          <cell r="G147">
            <v>1430093</v>
          </cell>
          <cell r="H147" t="str">
            <v>LS-285:CV MT.TR BLUE P/SHERCLEAR PTI 40H</v>
          </cell>
          <cell r="I147">
            <v>120232</v>
          </cell>
          <cell r="J147" t="str">
            <v>UN</v>
          </cell>
          <cell r="K147">
            <v>45576</v>
          </cell>
        </row>
        <row r="148">
          <cell r="A148" t="str">
            <v>50714269230</v>
          </cell>
          <cell r="B148" t="str">
            <v>ZMTD</v>
          </cell>
          <cell r="C148">
            <v>45532</v>
          </cell>
          <cell r="D148" t="str">
            <v>Partially delivered</v>
          </cell>
          <cell r="E148">
            <v>507142692</v>
          </cell>
          <cell r="F148">
            <v>30</v>
          </cell>
          <cell r="G148">
            <v>1367372</v>
          </cell>
          <cell r="H148" t="str">
            <v>PT-097:BODY GREN HOUSE WHT TRANS PTI 12A</v>
          </cell>
          <cell r="I148">
            <v>99900</v>
          </cell>
          <cell r="J148" t="str">
            <v>UN</v>
          </cell>
          <cell r="K148">
            <v>45576</v>
          </cell>
        </row>
        <row r="149">
          <cell r="A149" t="str">
            <v>50900099710</v>
          </cell>
          <cell r="B149" t="str">
            <v>ZMRX</v>
          </cell>
          <cell r="C149">
            <v>45525</v>
          </cell>
          <cell r="D149" t="str">
            <v>Not delivered</v>
          </cell>
          <cell r="E149">
            <v>509000997</v>
          </cell>
          <cell r="F149">
            <v>10</v>
          </cell>
          <cell r="G149">
            <v>1279676</v>
          </cell>
          <cell r="H149" t="str">
            <v>CM-290:CVR/BS YELOW P/EMINA DAILY PTI60B</v>
          </cell>
          <cell r="I149">
            <v>2248</v>
          </cell>
          <cell r="J149" t="str">
            <v>UN</v>
          </cell>
          <cell r="K149">
            <v>45576</v>
          </cell>
        </row>
        <row r="150">
          <cell r="A150" t="str">
            <v>50900099810</v>
          </cell>
          <cell r="B150" t="str">
            <v>ZMRX</v>
          </cell>
          <cell r="C150">
            <v>45525</v>
          </cell>
          <cell r="D150" t="str">
            <v>Not delivered</v>
          </cell>
          <cell r="E150">
            <v>509000998</v>
          </cell>
          <cell r="F150">
            <v>10</v>
          </cell>
          <cell r="G150">
            <v>1279676</v>
          </cell>
          <cell r="H150" t="str">
            <v>CM-290:CVR/BS YELOW P/EMINA DAILY PTI60B</v>
          </cell>
          <cell r="I150">
            <v>3295</v>
          </cell>
          <cell r="J150" t="str">
            <v>UN</v>
          </cell>
          <cell r="K150">
            <v>45576</v>
          </cell>
        </row>
        <row r="151">
          <cell r="A151" t="str">
            <v>50714257810</v>
          </cell>
          <cell r="B151" t="str">
            <v>ZMTD</v>
          </cell>
          <cell r="C151">
            <v>45502</v>
          </cell>
          <cell r="D151" t="str">
            <v>Partially delivered</v>
          </cell>
          <cell r="E151">
            <v>507142578</v>
          </cell>
          <cell r="F151">
            <v>10</v>
          </cell>
          <cell r="G151">
            <v>1432954</v>
          </cell>
          <cell r="H151" t="str">
            <v>LC-002:CAP RED P/SPICYCHARM RAMA 60B</v>
          </cell>
          <cell r="I151">
            <v>31000</v>
          </cell>
          <cell r="J151" t="str">
            <v>UN</v>
          </cell>
          <cell r="K151">
            <v>45576</v>
          </cell>
        </row>
        <row r="152">
          <cell r="A152" t="str">
            <v>50714257840</v>
          </cell>
          <cell r="B152" t="str">
            <v>ZMTD</v>
          </cell>
          <cell r="C152">
            <v>45502</v>
          </cell>
          <cell r="D152" t="str">
            <v>Partially delivered</v>
          </cell>
          <cell r="E152">
            <v>507142578</v>
          </cell>
          <cell r="F152">
            <v>40</v>
          </cell>
          <cell r="G152">
            <v>1432953</v>
          </cell>
          <cell r="H152" t="str">
            <v>LC-002:BTL CLR HTF/BLUSH BLSOMCHILI RAMA</v>
          </cell>
          <cell r="I152">
            <v>31000</v>
          </cell>
          <cell r="J152" t="str">
            <v>UN</v>
          </cell>
          <cell r="K152">
            <v>45576</v>
          </cell>
        </row>
        <row r="153">
          <cell r="A153" t="str">
            <v>50714255410</v>
          </cell>
          <cell r="B153" t="str">
            <v>ZMTD</v>
          </cell>
          <cell r="C153">
            <v>45495</v>
          </cell>
          <cell r="D153" t="str">
            <v>Not delivered</v>
          </cell>
          <cell r="E153">
            <v>507142554</v>
          </cell>
          <cell r="F153">
            <v>10</v>
          </cell>
          <cell r="G153">
            <v>1432356</v>
          </cell>
          <cell r="H153" t="str">
            <v>CM-280:BS/CV BO BLUE UV P/S/INEZ FTC 30M</v>
          </cell>
          <cell r="I153">
            <v>30000</v>
          </cell>
          <cell r="J153" t="str">
            <v>UN</v>
          </cell>
          <cell r="K153">
            <v>45576</v>
          </cell>
        </row>
        <row r="154">
          <cell r="A154" t="str">
            <v>50714254310</v>
          </cell>
          <cell r="B154" t="str">
            <v>ZMTD</v>
          </cell>
          <cell r="C154">
            <v>45491</v>
          </cell>
          <cell r="D154" t="str">
            <v>Not delivered</v>
          </cell>
          <cell r="E154">
            <v>507142543</v>
          </cell>
          <cell r="F154">
            <v>10</v>
          </cell>
          <cell r="G154">
            <v>1278860</v>
          </cell>
          <cell r="H154" t="str">
            <v>CM-296:WHT P/L.AGELES W/O HOLE COTY TAOR</v>
          </cell>
          <cell r="I154">
            <v>72000</v>
          </cell>
          <cell r="J154" t="str">
            <v>UN</v>
          </cell>
          <cell r="K154">
            <v>45576</v>
          </cell>
        </row>
        <row r="155">
          <cell r="A155" t="str">
            <v>50714248620</v>
          </cell>
          <cell r="B155" t="str">
            <v>ZMTD</v>
          </cell>
          <cell r="C155">
            <v>45484</v>
          </cell>
          <cell r="D155" t="str">
            <v>Partially delivered</v>
          </cell>
          <cell r="E155">
            <v>507142486</v>
          </cell>
          <cell r="F155">
            <v>20</v>
          </cell>
          <cell r="G155">
            <v>1225723</v>
          </cell>
          <cell r="H155" t="str">
            <v>CL-003:CAP BEIGE P/EMINA WIP NAT PTI 60B</v>
          </cell>
          <cell r="I155">
            <v>25641</v>
          </cell>
          <cell r="J155" t="str">
            <v>UN</v>
          </cell>
          <cell r="K155">
            <v>45576</v>
          </cell>
        </row>
        <row r="156">
          <cell r="A156" t="str">
            <v>50714241660</v>
          </cell>
          <cell r="B156" t="str">
            <v>ZMTD</v>
          </cell>
          <cell r="C156">
            <v>45474</v>
          </cell>
          <cell r="D156" t="str">
            <v>Not delivered</v>
          </cell>
          <cell r="E156">
            <v>507142416</v>
          </cell>
          <cell r="F156">
            <v>60</v>
          </cell>
          <cell r="G156">
            <v>1376248</v>
          </cell>
          <cell r="H156" t="str">
            <v>FP-008:CVR L.PINK P/BLK MANDOM RV1 12A</v>
          </cell>
          <cell r="I156">
            <v>10000</v>
          </cell>
          <cell r="J156" t="str">
            <v>UN</v>
          </cell>
          <cell r="K156">
            <v>45576</v>
          </cell>
        </row>
        <row r="157">
          <cell r="A157" t="str">
            <v>50714241670</v>
          </cell>
          <cell r="B157" t="str">
            <v>ZMTD</v>
          </cell>
          <cell r="C157">
            <v>45474</v>
          </cell>
          <cell r="D157" t="str">
            <v>Not delivered</v>
          </cell>
          <cell r="E157">
            <v>507142416</v>
          </cell>
          <cell r="F157">
            <v>70</v>
          </cell>
          <cell r="G157">
            <v>1171179</v>
          </cell>
          <cell r="H157" t="str">
            <v>FP-008:BS INJ BLK NO DC MANDOM</v>
          </cell>
          <cell r="I157">
            <v>10000</v>
          </cell>
          <cell r="J157" t="str">
            <v>UN</v>
          </cell>
          <cell r="K157">
            <v>45576</v>
          </cell>
        </row>
        <row r="158">
          <cell r="A158" t="str">
            <v>50714241680</v>
          </cell>
          <cell r="B158" t="str">
            <v>ZMTD</v>
          </cell>
          <cell r="C158">
            <v>45474</v>
          </cell>
          <cell r="D158" t="str">
            <v>Not delivered</v>
          </cell>
          <cell r="E158">
            <v>507142416</v>
          </cell>
          <cell r="F158">
            <v>80</v>
          </cell>
          <cell r="G158">
            <v>1172027</v>
          </cell>
          <cell r="H158" t="str">
            <v>FP-008:SFT NAT L.HINGE W/LBL NO DC MDM</v>
          </cell>
          <cell r="I158">
            <v>10000</v>
          </cell>
          <cell r="J158" t="str">
            <v>UN</v>
          </cell>
          <cell r="K158">
            <v>45576</v>
          </cell>
        </row>
        <row r="159">
          <cell r="A159" t="str">
            <v>507142416140</v>
          </cell>
          <cell r="B159" t="str">
            <v>ZMTD</v>
          </cell>
          <cell r="C159">
            <v>45474</v>
          </cell>
          <cell r="D159" t="str">
            <v>Not delivered</v>
          </cell>
          <cell r="E159">
            <v>507142416</v>
          </cell>
          <cell r="F159">
            <v>140</v>
          </cell>
          <cell r="G159">
            <v>1269316</v>
          </cell>
          <cell r="H159" t="str">
            <v>LS-285:COVER PX LIP COND NO DC MNDOM 12A</v>
          </cell>
          <cell r="I159">
            <v>10000</v>
          </cell>
          <cell r="J159" t="str">
            <v>UN</v>
          </cell>
          <cell r="K159">
            <v>45576</v>
          </cell>
        </row>
        <row r="160">
          <cell r="A160" t="str">
            <v>507142416150</v>
          </cell>
          <cell r="B160" t="str">
            <v>ZMTD</v>
          </cell>
          <cell r="C160">
            <v>45474</v>
          </cell>
          <cell r="D160" t="str">
            <v>Not delivered</v>
          </cell>
          <cell r="E160">
            <v>507142416</v>
          </cell>
          <cell r="F160">
            <v>150</v>
          </cell>
          <cell r="G160">
            <v>1393258</v>
          </cell>
          <cell r="H160" t="str">
            <v>LS-285:BS PX LIP COND P/BLK MNDOM RV160B</v>
          </cell>
          <cell r="I160">
            <v>10000</v>
          </cell>
          <cell r="J160" t="str">
            <v>UN</v>
          </cell>
          <cell r="K160">
            <v>45576</v>
          </cell>
        </row>
        <row r="161">
          <cell r="A161" t="str">
            <v>50714226510</v>
          </cell>
          <cell r="B161" t="str">
            <v>ZMTD</v>
          </cell>
          <cell r="C161">
            <v>45442</v>
          </cell>
          <cell r="D161" t="str">
            <v>Not delivered</v>
          </cell>
          <cell r="E161">
            <v>507142265</v>
          </cell>
          <cell r="F161">
            <v>10</v>
          </cell>
          <cell r="G161">
            <v>1187960</v>
          </cell>
          <cell r="H161" t="str">
            <v>FP-014:CVR VMRAINBOW P/ULTM II RUDYS 40C</v>
          </cell>
          <cell r="I161">
            <v>40000</v>
          </cell>
          <cell r="J161" t="str">
            <v>UN</v>
          </cell>
          <cell r="K161">
            <v>45576</v>
          </cell>
        </row>
        <row r="162">
          <cell r="A162" t="str">
            <v>50714226520</v>
          </cell>
          <cell r="B162" t="str">
            <v>ZMTD</v>
          </cell>
          <cell r="C162">
            <v>45442</v>
          </cell>
          <cell r="D162" t="str">
            <v>Not delivered</v>
          </cell>
          <cell r="E162">
            <v>507142265</v>
          </cell>
          <cell r="F162">
            <v>20</v>
          </cell>
          <cell r="G162">
            <v>1172318</v>
          </cell>
          <cell r="H162" t="str">
            <v>FP-014:BASE CLEAR NO DC ULTIMA II RUDY S</v>
          </cell>
          <cell r="I162">
            <v>40000</v>
          </cell>
          <cell r="J162" t="str">
            <v>UN</v>
          </cell>
          <cell r="K162">
            <v>45576</v>
          </cell>
        </row>
        <row r="163">
          <cell r="A163" t="str">
            <v>50714226530</v>
          </cell>
          <cell r="B163" t="str">
            <v>ZMTD</v>
          </cell>
          <cell r="C163">
            <v>45442</v>
          </cell>
          <cell r="D163" t="str">
            <v>Not delivered</v>
          </cell>
          <cell r="E163">
            <v>507142265</v>
          </cell>
          <cell r="F163">
            <v>30</v>
          </cell>
          <cell r="G163">
            <v>1170826</v>
          </cell>
          <cell r="H163" t="str">
            <v>FP-014:SIFTER NT W/LBL NO DECO ULTIMA II</v>
          </cell>
          <cell r="I163">
            <v>40000</v>
          </cell>
          <cell r="J163" t="str">
            <v>UN</v>
          </cell>
          <cell r="K163">
            <v>45576</v>
          </cell>
        </row>
        <row r="164">
          <cell r="A164" t="str">
            <v>50714277710</v>
          </cell>
          <cell r="B164" t="str">
            <v>ZMTD</v>
          </cell>
          <cell r="C164">
            <v>45554</v>
          </cell>
          <cell r="D164" t="str">
            <v>Not delivered</v>
          </cell>
          <cell r="E164">
            <v>507142777</v>
          </cell>
          <cell r="F164">
            <v>10</v>
          </cell>
          <cell r="G164">
            <v>1435311</v>
          </cell>
          <cell r="H164" t="str">
            <v>LC-002:BTL/COL MTGRAD SLV AZURA LION 40D</v>
          </cell>
          <cell r="I164">
            <v>50589</v>
          </cell>
          <cell r="J164" t="str">
            <v>UN</v>
          </cell>
          <cell r="K164">
            <v>45577</v>
          </cell>
        </row>
        <row r="165">
          <cell r="A165" t="str">
            <v>50714277720</v>
          </cell>
          <cell r="B165" t="str">
            <v>ZMTD</v>
          </cell>
          <cell r="C165">
            <v>45554</v>
          </cell>
          <cell r="D165" t="str">
            <v>Not delivered</v>
          </cell>
          <cell r="E165">
            <v>507142777</v>
          </cell>
          <cell r="F165">
            <v>20</v>
          </cell>
          <cell r="G165">
            <v>1435313</v>
          </cell>
          <cell r="H165" t="str">
            <v>LC-002:CAP MT SILVER S/AZURA LION 40C</v>
          </cell>
          <cell r="I165">
            <v>50589</v>
          </cell>
          <cell r="J165" t="str">
            <v>UN</v>
          </cell>
          <cell r="K165">
            <v>45577</v>
          </cell>
        </row>
        <row r="166">
          <cell r="A166" t="str">
            <v>50714263230</v>
          </cell>
          <cell r="B166" t="str">
            <v>ZMTD</v>
          </cell>
          <cell r="C166">
            <v>45517</v>
          </cell>
          <cell r="D166" t="str">
            <v>Not delivered</v>
          </cell>
          <cell r="E166">
            <v>507142632</v>
          </cell>
          <cell r="F166">
            <v>30</v>
          </cell>
          <cell r="G166">
            <v>1371896</v>
          </cell>
          <cell r="H166" t="str">
            <v>RX-056:CM-316 CVR BLUE P/WHT SP/MTCLR</v>
          </cell>
          <cell r="I166">
            <v>109968</v>
          </cell>
          <cell r="J166" t="str">
            <v>UN</v>
          </cell>
          <cell r="K166">
            <v>45577</v>
          </cell>
        </row>
        <row r="167">
          <cell r="A167" t="str">
            <v>50714283910</v>
          </cell>
          <cell r="B167" t="str">
            <v>ZMTD</v>
          </cell>
          <cell r="C167">
            <v>45562</v>
          </cell>
          <cell r="D167" t="str">
            <v>Not delivered</v>
          </cell>
          <cell r="E167">
            <v>507142839</v>
          </cell>
          <cell r="F167">
            <v>10</v>
          </cell>
          <cell r="G167">
            <v>1424980</v>
          </cell>
          <cell r="H167" t="str">
            <v>CP-093R:CAP D50 MT.YELOW Ø.5 YASULOR 12A</v>
          </cell>
          <cell r="I167">
            <v>110000</v>
          </cell>
          <cell r="J167" t="str">
            <v>UN</v>
          </cell>
          <cell r="K167">
            <v>45579</v>
          </cell>
        </row>
        <row r="168">
          <cell r="A168" t="str">
            <v>50714280810</v>
          </cell>
          <cell r="B168" t="str">
            <v>ZMTD</v>
          </cell>
          <cell r="C168">
            <v>45559</v>
          </cell>
          <cell r="D168" t="str">
            <v>Not delivered</v>
          </cell>
          <cell r="E168">
            <v>507142808</v>
          </cell>
          <cell r="F168">
            <v>10</v>
          </cell>
          <cell r="G168">
            <v>1169703</v>
          </cell>
          <cell r="H168" t="str">
            <v>CP-064:CAP 25 SCREW WHITE MT TR L'OREAL</v>
          </cell>
          <cell r="I168">
            <v>204000</v>
          </cell>
          <cell r="J168" t="str">
            <v>UN</v>
          </cell>
          <cell r="K168">
            <v>45579</v>
          </cell>
        </row>
        <row r="169">
          <cell r="A169" t="str">
            <v>50714279610</v>
          </cell>
          <cell r="B169" t="str">
            <v>ZMTD</v>
          </cell>
          <cell r="C169">
            <v>45558</v>
          </cell>
          <cell r="D169" t="str">
            <v>Not delivered</v>
          </cell>
          <cell r="E169">
            <v>507142796</v>
          </cell>
          <cell r="F169">
            <v>10</v>
          </cell>
          <cell r="G169">
            <v>1170578</v>
          </cell>
          <cell r="H169" t="str">
            <v>FP-029:CAP VM GOLD S/MATTE REEY010073</v>
          </cell>
          <cell r="I169">
            <v>25080</v>
          </cell>
          <cell r="J169" t="str">
            <v>UN</v>
          </cell>
          <cell r="K169">
            <v>45579</v>
          </cell>
        </row>
        <row r="170">
          <cell r="A170" t="str">
            <v>50714275650</v>
          </cell>
          <cell r="B170" t="str">
            <v>ZMTD</v>
          </cell>
          <cell r="C170">
            <v>45547</v>
          </cell>
          <cell r="D170" t="str">
            <v>Partially delivered</v>
          </cell>
          <cell r="E170">
            <v>507142756</v>
          </cell>
          <cell r="F170">
            <v>50</v>
          </cell>
          <cell r="G170">
            <v>1411899</v>
          </cell>
          <cell r="H170" t="str">
            <v>PT-100:BS/INS GREEN P/WHT KAHF PTI 60B</v>
          </cell>
          <cell r="I170">
            <v>20224</v>
          </cell>
          <cell r="J170" t="str">
            <v>UN</v>
          </cell>
          <cell r="K170">
            <v>45579</v>
          </cell>
        </row>
        <row r="171">
          <cell r="A171" t="str">
            <v>50714275660</v>
          </cell>
          <cell r="B171" t="str">
            <v>ZMTD</v>
          </cell>
          <cell r="C171">
            <v>45547</v>
          </cell>
          <cell r="D171" t="str">
            <v>Partially delivered</v>
          </cell>
          <cell r="E171">
            <v>507142756</v>
          </cell>
          <cell r="F171">
            <v>60</v>
          </cell>
          <cell r="G171">
            <v>1411898</v>
          </cell>
          <cell r="H171" t="str">
            <v>PT-100:CVR MT.GREEN EMBOS KAHF PTI 40D</v>
          </cell>
          <cell r="I171">
            <v>20224</v>
          </cell>
          <cell r="J171" t="str">
            <v>UN</v>
          </cell>
          <cell r="K171">
            <v>45579</v>
          </cell>
        </row>
        <row r="172">
          <cell r="A172" t="str">
            <v>50714275730</v>
          </cell>
          <cell r="B172" t="str">
            <v>ZMTD</v>
          </cell>
          <cell r="C172">
            <v>45547</v>
          </cell>
          <cell r="D172" t="str">
            <v>Partially delivered</v>
          </cell>
          <cell r="E172">
            <v>507142757</v>
          </cell>
          <cell r="F172">
            <v>30</v>
          </cell>
          <cell r="G172">
            <v>1411701</v>
          </cell>
          <cell r="H172" t="str">
            <v>PT-100:BS/INS BLUE P/WHT KAHF PTI 60B</v>
          </cell>
          <cell r="I172">
            <v>120064</v>
          </cell>
          <cell r="J172" t="str">
            <v>UN</v>
          </cell>
          <cell r="K172">
            <v>45579</v>
          </cell>
        </row>
        <row r="173">
          <cell r="A173" t="str">
            <v>50714275740</v>
          </cell>
          <cell r="B173" t="str">
            <v>ZMTD</v>
          </cell>
          <cell r="C173">
            <v>45547</v>
          </cell>
          <cell r="D173" t="str">
            <v>Partially delivered</v>
          </cell>
          <cell r="E173">
            <v>507142757</v>
          </cell>
          <cell r="F173">
            <v>40</v>
          </cell>
          <cell r="G173">
            <v>1411700</v>
          </cell>
          <cell r="H173" t="str">
            <v>PT-100:CVR MT.BLUE EMBOS KAHF PTI 40D</v>
          </cell>
          <cell r="I173">
            <v>120064</v>
          </cell>
          <cell r="J173" t="str">
            <v>UN</v>
          </cell>
          <cell r="K173">
            <v>45579</v>
          </cell>
        </row>
        <row r="174">
          <cell r="A174" t="str">
            <v>50714274510</v>
          </cell>
          <cell r="B174" t="str">
            <v>ZMTD</v>
          </cell>
          <cell r="C174">
            <v>45545</v>
          </cell>
          <cell r="D174" t="str">
            <v>Partially delivered</v>
          </cell>
          <cell r="E174">
            <v>507142745</v>
          </cell>
          <cell r="F174">
            <v>10</v>
          </cell>
          <cell r="G174">
            <v>1141319</v>
          </cell>
          <cell r="H174" t="str">
            <v>CP-089:FTCAP D40 OVAL PONDS FC WH UNIL</v>
          </cell>
          <cell r="I174">
            <v>801000</v>
          </cell>
          <cell r="J174" t="str">
            <v>UN</v>
          </cell>
          <cell r="K174">
            <v>45579</v>
          </cell>
        </row>
        <row r="175">
          <cell r="A175" t="str">
            <v>50714273910</v>
          </cell>
          <cell r="B175" t="str">
            <v>ZMTD</v>
          </cell>
          <cell r="C175">
            <v>45544</v>
          </cell>
          <cell r="D175" t="str">
            <v>Partially delivered</v>
          </cell>
          <cell r="E175">
            <v>507142739</v>
          </cell>
          <cell r="F175">
            <v>10</v>
          </cell>
          <cell r="G175">
            <v>1409881</v>
          </cell>
          <cell r="H175" t="str">
            <v>CM-315:CVR/BS BLACK P/CVRLAST OMG RV160B</v>
          </cell>
          <cell r="I175">
            <v>21868</v>
          </cell>
          <cell r="J175" t="str">
            <v>UN</v>
          </cell>
          <cell r="K175">
            <v>45579</v>
          </cell>
        </row>
        <row r="176">
          <cell r="A176" t="str">
            <v>50714274210</v>
          </cell>
          <cell r="B176" t="str">
            <v>ZMTD</v>
          </cell>
          <cell r="C176">
            <v>45544</v>
          </cell>
          <cell r="D176" t="str">
            <v>Partially delivered</v>
          </cell>
          <cell r="E176">
            <v>507142742</v>
          </cell>
          <cell r="F176">
            <v>10</v>
          </cell>
          <cell r="G176">
            <v>1437039</v>
          </cell>
          <cell r="H176" t="str">
            <v>CM-290:1PC BS CV MT.BLK S/ EMBOS OMG 40C</v>
          </cell>
          <cell r="I176">
            <v>28560</v>
          </cell>
          <cell r="J176" t="str">
            <v>UN</v>
          </cell>
          <cell r="K176">
            <v>45579</v>
          </cell>
        </row>
        <row r="177">
          <cell r="A177" t="str">
            <v>50714274220</v>
          </cell>
          <cell r="B177" t="str">
            <v>ZMTD</v>
          </cell>
          <cell r="C177">
            <v>45544</v>
          </cell>
          <cell r="D177" t="str">
            <v>Partially delivered</v>
          </cell>
          <cell r="E177">
            <v>507142742</v>
          </cell>
          <cell r="F177">
            <v>20</v>
          </cell>
          <cell r="G177">
            <v>1437140</v>
          </cell>
          <cell r="H177" t="str">
            <v>CM-290:ENGINE CV RED, BS BLK OMG PTI 12A</v>
          </cell>
          <cell r="I177">
            <v>35112</v>
          </cell>
          <cell r="J177" t="str">
            <v>UN</v>
          </cell>
          <cell r="K177">
            <v>45579</v>
          </cell>
        </row>
        <row r="178">
          <cell r="A178" t="str">
            <v>50714270210</v>
          </cell>
          <cell r="B178" t="str">
            <v>ZMTD</v>
          </cell>
          <cell r="C178">
            <v>45534</v>
          </cell>
          <cell r="D178" t="str">
            <v>Partially delivered</v>
          </cell>
          <cell r="E178">
            <v>507142702</v>
          </cell>
          <cell r="F178">
            <v>10</v>
          </cell>
          <cell r="G178">
            <v>1255656</v>
          </cell>
          <cell r="H178" t="str">
            <v>LC-002:BTL MT VAR6 P/WRDH B.MARK PTI40H</v>
          </cell>
          <cell r="I178">
            <v>25200</v>
          </cell>
          <cell r="J178" t="str">
            <v>UN</v>
          </cell>
          <cell r="K178">
            <v>45579</v>
          </cell>
        </row>
        <row r="179">
          <cell r="A179" t="str">
            <v>50714270220</v>
          </cell>
          <cell r="B179" t="str">
            <v>ZMTD</v>
          </cell>
          <cell r="C179">
            <v>45534</v>
          </cell>
          <cell r="D179" t="str">
            <v>Partially delivered</v>
          </cell>
          <cell r="E179">
            <v>507142702</v>
          </cell>
          <cell r="F179">
            <v>20</v>
          </cell>
          <cell r="G179">
            <v>1264018</v>
          </cell>
          <cell r="H179" t="str">
            <v>LC-002:CAP S/MTVAR6 STM-WHT WPNAT PTI40D</v>
          </cell>
          <cell r="I179">
            <v>25200</v>
          </cell>
          <cell r="J179" t="str">
            <v>UN</v>
          </cell>
          <cell r="K179">
            <v>45579</v>
          </cell>
        </row>
        <row r="180">
          <cell r="A180" t="str">
            <v>50714269620</v>
          </cell>
          <cell r="B180" t="str">
            <v>ZMTD</v>
          </cell>
          <cell r="C180">
            <v>45533</v>
          </cell>
          <cell r="D180" t="str">
            <v>Partially delivered</v>
          </cell>
          <cell r="E180">
            <v>507142696</v>
          </cell>
          <cell r="F180">
            <v>20</v>
          </cell>
          <cell r="G180">
            <v>1340516</v>
          </cell>
          <cell r="H180" t="str">
            <v>CM-133:CVR BS MTLC GRN UV DP S/WARDH 30T</v>
          </cell>
          <cell r="I180">
            <v>10080</v>
          </cell>
          <cell r="J180" t="str">
            <v>UN</v>
          </cell>
          <cell r="K180">
            <v>45579</v>
          </cell>
        </row>
        <row r="181">
          <cell r="A181" t="str">
            <v>50714270050</v>
          </cell>
          <cell r="B181" t="str">
            <v>ZMTD</v>
          </cell>
          <cell r="C181">
            <v>45533</v>
          </cell>
          <cell r="D181" t="str">
            <v>Partially delivered</v>
          </cell>
          <cell r="E181">
            <v>507142700</v>
          </cell>
          <cell r="F181">
            <v>50</v>
          </cell>
          <cell r="G181">
            <v>1417990</v>
          </cell>
          <cell r="H181" t="str">
            <v>LC-009:BTL #2#3 INNER CLR P/OMG PTIPT60B</v>
          </cell>
          <cell r="I181">
            <v>400050</v>
          </cell>
          <cell r="J181" t="str">
            <v>UN</v>
          </cell>
          <cell r="K181">
            <v>45579</v>
          </cell>
        </row>
        <row r="182">
          <cell r="A182" t="str">
            <v>50714270060</v>
          </cell>
          <cell r="B182" t="str">
            <v>ZMTD</v>
          </cell>
          <cell r="C182">
            <v>45533</v>
          </cell>
          <cell r="D182" t="str">
            <v>Partially delivered</v>
          </cell>
          <cell r="E182">
            <v>507142700</v>
          </cell>
          <cell r="F182">
            <v>60</v>
          </cell>
          <cell r="G182">
            <v>1417978</v>
          </cell>
          <cell r="H182" t="str">
            <v>LC-009:CAP #2#3 REDTR WIP S/OMG PTIPT60B</v>
          </cell>
          <cell r="I182">
            <v>400050</v>
          </cell>
          <cell r="J182" t="str">
            <v>UN</v>
          </cell>
          <cell r="K182">
            <v>45579</v>
          </cell>
        </row>
        <row r="183">
          <cell r="A183" t="str">
            <v>50714268810</v>
          </cell>
          <cell r="B183" t="str">
            <v>ZMTD</v>
          </cell>
          <cell r="C183">
            <v>45532</v>
          </cell>
          <cell r="D183" t="str">
            <v>Partially delivered</v>
          </cell>
          <cell r="E183">
            <v>507142688</v>
          </cell>
          <cell r="F183">
            <v>10</v>
          </cell>
          <cell r="G183">
            <v>1430094</v>
          </cell>
          <cell r="H183" t="str">
            <v>LS-285:BS BLUE NO DC WARDAH PTI 12A</v>
          </cell>
          <cell r="I183">
            <v>120232</v>
          </cell>
          <cell r="J183" t="str">
            <v>UN</v>
          </cell>
          <cell r="K183">
            <v>45579</v>
          </cell>
        </row>
        <row r="184">
          <cell r="A184" t="str">
            <v>50714269010</v>
          </cell>
          <cell r="B184" t="str">
            <v>ZMTD</v>
          </cell>
          <cell r="C184">
            <v>45532</v>
          </cell>
          <cell r="D184" t="str">
            <v>Partially delivered</v>
          </cell>
          <cell r="E184">
            <v>507142690</v>
          </cell>
          <cell r="F184">
            <v>10</v>
          </cell>
          <cell r="G184">
            <v>1285116</v>
          </cell>
          <cell r="H184" t="str">
            <v>CM-292:CV/BS MTBLK LENS S/SLV MO PTI 40C</v>
          </cell>
          <cell r="I184">
            <v>49968</v>
          </cell>
          <cell r="J184" t="str">
            <v>UN</v>
          </cell>
          <cell r="K184">
            <v>45579</v>
          </cell>
        </row>
        <row r="185">
          <cell r="A185" t="str">
            <v>50714269350</v>
          </cell>
          <cell r="B185" t="str">
            <v>ZMTD</v>
          </cell>
          <cell r="C185">
            <v>45532</v>
          </cell>
          <cell r="D185" t="str">
            <v>Partially delivered</v>
          </cell>
          <cell r="E185">
            <v>507142693</v>
          </cell>
          <cell r="F185">
            <v>50</v>
          </cell>
          <cell r="G185">
            <v>1375595</v>
          </cell>
          <cell r="H185" t="str">
            <v>LC-009:BTL/INNER CLEAR P/OMG PTIPT 60B</v>
          </cell>
          <cell r="I185">
            <v>149310</v>
          </cell>
          <cell r="J185" t="str">
            <v>UN</v>
          </cell>
          <cell r="K185">
            <v>45579</v>
          </cell>
        </row>
        <row r="186">
          <cell r="A186" t="str">
            <v>50714269360</v>
          </cell>
          <cell r="B186" t="str">
            <v>ZMTD</v>
          </cell>
          <cell r="C186">
            <v>45532</v>
          </cell>
          <cell r="D186" t="str">
            <v>Partially delivered</v>
          </cell>
          <cell r="E186">
            <v>507142693</v>
          </cell>
          <cell r="F186">
            <v>60</v>
          </cell>
          <cell r="G186">
            <v>1375593</v>
          </cell>
          <cell r="H186" t="str">
            <v>LC-009:CAP REDTRANS WIP S/OMG PTIPT 60B</v>
          </cell>
          <cell r="I186">
            <v>149310</v>
          </cell>
          <cell r="J186" t="str">
            <v>UN</v>
          </cell>
          <cell r="K186">
            <v>45579</v>
          </cell>
        </row>
        <row r="187">
          <cell r="A187" t="str">
            <v>50714267810</v>
          </cell>
          <cell r="B187" t="str">
            <v>ZMTD</v>
          </cell>
          <cell r="C187">
            <v>45527</v>
          </cell>
          <cell r="D187" t="str">
            <v>Partially delivered</v>
          </cell>
          <cell r="E187">
            <v>507142678</v>
          </cell>
          <cell r="F187">
            <v>10</v>
          </cell>
          <cell r="G187">
            <v>1378563</v>
          </cell>
          <cell r="H187" t="str">
            <v>CP-093:CAP D50 MT BLACK Ø.5 YASULOR 12A</v>
          </cell>
          <cell r="I187">
            <v>450000</v>
          </cell>
          <cell r="J187" t="str">
            <v>UN</v>
          </cell>
          <cell r="K187">
            <v>45579</v>
          </cell>
        </row>
        <row r="188">
          <cell r="A188" t="str">
            <v>50714265810</v>
          </cell>
          <cell r="B188" t="str">
            <v>ZMTD</v>
          </cell>
          <cell r="C188">
            <v>45524</v>
          </cell>
          <cell r="D188" t="str">
            <v>Not delivered</v>
          </cell>
          <cell r="E188">
            <v>507142658</v>
          </cell>
          <cell r="F188">
            <v>10</v>
          </cell>
          <cell r="G188">
            <v>1331630</v>
          </cell>
          <cell r="H188" t="str">
            <v>CM-216:INFAILLIBLE HIGHLIGHTER L'OREAL</v>
          </cell>
          <cell r="I188">
            <v>100000</v>
          </cell>
          <cell r="J188" t="str">
            <v>UN</v>
          </cell>
          <cell r="K188">
            <v>45579</v>
          </cell>
        </row>
        <row r="189">
          <cell r="A189" t="str">
            <v>50714263850</v>
          </cell>
          <cell r="B189" t="str">
            <v>ZMTD</v>
          </cell>
          <cell r="C189">
            <v>45519</v>
          </cell>
          <cell r="D189" t="str">
            <v>Partially delivered</v>
          </cell>
          <cell r="E189">
            <v>507142638</v>
          </cell>
          <cell r="F189">
            <v>50</v>
          </cell>
          <cell r="G189">
            <v>1361170</v>
          </cell>
          <cell r="H189" t="str">
            <v>PT-097:BODY BLACK HOUSE WHT TRANS PTI12A</v>
          </cell>
          <cell r="I189">
            <v>109890</v>
          </cell>
          <cell r="J189" t="str">
            <v>UN</v>
          </cell>
          <cell r="K189">
            <v>45579</v>
          </cell>
        </row>
        <row r="190">
          <cell r="A190" t="str">
            <v>50714263860</v>
          </cell>
          <cell r="B190" t="str">
            <v>ZMTD</v>
          </cell>
          <cell r="C190">
            <v>45519</v>
          </cell>
          <cell r="D190" t="str">
            <v>Partially delivered</v>
          </cell>
          <cell r="E190">
            <v>507142638</v>
          </cell>
          <cell r="F190">
            <v>60</v>
          </cell>
          <cell r="G190">
            <v>1361175</v>
          </cell>
          <cell r="H190" t="str">
            <v>PT-097:CAP BLACK TRANS PTI 12A</v>
          </cell>
          <cell r="I190">
            <v>109890</v>
          </cell>
          <cell r="J190" t="str">
            <v>UN</v>
          </cell>
          <cell r="K190">
            <v>45579</v>
          </cell>
        </row>
        <row r="191">
          <cell r="A191" t="str">
            <v>50714263220</v>
          </cell>
          <cell r="B191" t="str">
            <v>ZMTD</v>
          </cell>
          <cell r="C191">
            <v>45517</v>
          </cell>
          <cell r="D191" t="str">
            <v>Partially delivered</v>
          </cell>
          <cell r="E191">
            <v>507142632</v>
          </cell>
          <cell r="F191">
            <v>20</v>
          </cell>
          <cell r="G191">
            <v>1371896</v>
          </cell>
          <cell r="H191" t="str">
            <v>RX-056:CM-316 CVR BLUE P/WHT SP/MTCLR</v>
          </cell>
          <cell r="I191">
            <v>110016</v>
          </cell>
          <cell r="J191" t="str">
            <v>UN</v>
          </cell>
          <cell r="K191">
            <v>45579</v>
          </cell>
        </row>
        <row r="192">
          <cell r="A192" t="str">
            <v>50714261710</v>
          </cell>
          <cell r="B192" t="str">
            <v>ZMTD</v>
          </cell>
          <cell r="C192">
            <v>45511</v>
          </cell>
          <cell r="D192" t="str">
            <v>Not delivered</v>
          </cell>
          <cell r="E192">
            <v>507142617</v>
          </cell>
          <cell r="F192">
            <v>10</v>
          </cell>
          <cell r="G192">
            <v>1181524</v>
          </cell>
          <cell r="H192" t="str">
            <v>CM-297:WHITE PERFECT LIGHT PP BOOTS</v>
          </cell>
          <cell r="I192">
            <v>25032</v>
          </cell>
          <cell r="J192" t="str">
            <v>UN</v>
          </cell>
          <cell r="K192">
            <v>45579</v>
          </cell>
        </row>
        <row r="193">
          <cell r="A193" t="str">
            <v>50714257830</v>
          </cell>
          <cell r="B193" t="str">
            <v>ZMTD</v>
          </cell>
          <cell r="C193">
            <v>45502</v>
          </cell>
          <cell r="D193" t="str">
            <v>Partially delivered</v>
          </cell>
          <cell r="E193">
            <v>507142578</v>
          </cell>
          <cell r="F193">
            <v>30</v>
          </cell>
          <cell r="G193">
            <v>1433092</v>
          </cell>
          <cell r="H193" t="str">
            <v>LC-002:CAP PINK P/BLUSH BLSOM RAMA 60B</v>
          </cell>
          <cell r="I193">
            <v>31000</v>
          </cell>
          <cell r="J193" t="str">
            <v>UN</v>
          </cell>
          <cell r="K193">
            <v>45579</v>
          </cell>
        </row>
        <row r="194">
          <cell r="A194" t="str">
            <v>50714254510</v>
          </cell>
          <cell r="B194" t="str">
            <v>ZMTD</v>
          </cell>
          <cell r="C194">
            <v>45491</v>
          </cell>
          <cell r="D194" t="str">
            <v>Not delivered</v>
          </cell>
          <cell r="E194">
            <v>507142545</v>
          </cell>
          <cell r="F194">
            <v>10</v>
          </cell>
          <cell r="G194">
            <v>1338042</v>
          </cell>
          <cell r="H194" t="str">
            <v>CM-301:COTY LANCASTER BROWN SP PRL UV</v>
          </cell>
          <cell r="I194">
            <v>51840</v>
          </cell>
          <cell r="J194" t="str">
            <v>UN</v>
          </cell>
          <cell r="K194">
            <v>45579</v>
          </cell>
        </row>
        <row r="195">
          <cell r="A195" t="str">
            <v>50714248610</v>
          </cell>
          <cell r="B195" t="str">
            <v>ZMTD</v>
          </cell>
          <cell r="C195">
            <v>45484</v>
          </cell>
          <cell r="D195" t="str">
            <v>Partially delivered</v>
          </cell>
          <cell r="E195">
            <v>507142486</v>
          </cell>
          <cell r="F195">
            <v>10</v>
          </cell>
          <cell r="G195">
            <v>1225724</v>
          </cell>
          <cell r="H195" t="str">
            <v>CL-003:BTL CLR COL BEIGE P/EMINA PTI 60B</v>
          </cell>
          <cell r="I195">
            <v>25641</v>
          </cell>
          <cell r="J195" t="str">
            <v>UN</v>
          </cell>
          <cell r="K195">
            <v>45579</v>
          </cell>
        </row>
        <row r="196">
          <cell r="A196" t="str">
            <v>50714246810</v>
          </cell>
          <cell r="B196" t="str">
            <v>ZMTD</v>
          </cell>
          <cell r="C196">
            <v>45482</v>
          </cell>
          <cell r="D196" t="str">
            <v>Not delivered</v>
          </cell>
          <cell r="E196">
            <v>507142468</v>
          </cell>
          <cell r="F196">
            <v>10</v>
          </cell>
          <cell r="G196">
            <v>1388326</v>
          </cell>
          <cell r="H196" t="str">
            <v>CM-253:CV BS MTPEACH P/C.BLSH RV1 PTI40H</v>
          </cell>
          <cell r="I196">
            <v>15120</v>
          </cell>
          <cell r="J196" t="str">
            <v>UN</v>
          </cell>
          <cell r="K196">
            <v>45579</v>
          </cell>
        </row>
        <row r="197">
          <cell r="A197" t="str">
            <v>507142416160</v>
          </cell>
          <cell r="B197" t="str">
            <v>ZMTD</v>
          </cell>
          <cell r="C197">
            <v>45474</v>
          </cell>
          <cell r="D197" t="str">
            <v>Partially delivered</v>
          </cell>
          <cell r="E197">
            <v>507142416</v>
          </cell>
          <cell r="F197">
            <v>160</v>
          </cell>
          <cell r="G197">
            <v>1267279</v>
          </cell>
          <cell r="H197" t="str">
            <v>LS-285:CVR ORANGE PX LCC NO DC MNDOM 12A</v>
          </cell>
          <cell r="I197">
            <v>10000</v>
          </cell>
          <cell r="J197" t="str">
            <v>UN</v>
          </cell>
          <cell r="K197">
            <v>45579</v>
          </cell>
        </row>
        <row r="198">
          <cell r="A198" t="str">
            <v>507142416170</v>
          </cell>
          <cell r="B198" t="str">
            <v>ZMTD</v>
          </cell>
          <cell r="C198">
            <v>45474</v>
          </cell>
          <cell r="D198" t="str">
            <v>Partially delivered</v>
          </cell>
          <cell r="E198">
            <v>507142416</v>
          </cell>
          <cell r="F198">
            <v>170</v>
          </cell>
          <cell r="G198">
            <v>1393254</v>
          </cell>
          <cell r="H198" t="str">
            <v>LS-285:BS ORNG PX LCC P/BLK MNDOM RV160B</v>
          </cell>
          <cell r="I198">
            <v>10000</v>
          </cell>
          <cell r="J198" t="str">
            <v>UN</v>
          </cell>
          <cell r="K198">
            <v>45579</v>
          </cell>
        </row>
        <row r="199">
          <cell r="A199" t="str">
            <v>50714240410</v>
          </cell>
          <cell r="B199" t="str">
            <v>ZMTD</v>
          </cell>
          <cell r="C199">
            <v>45470</v>
          </cell>
          <cell r="D199" t="str">
            <v>Partially delivered</v>
          </cell>
          <cell r="E199">
            <v>507142404</v>
          </cell>
          <cell r="F199">
            <v>10</v>
          </cell>
          <cell r="G199">
            <v>1425748</v>
          </cell>
          <cell r="H199" t="str">
            <v>FP-011:COVER DG/HTF ACNEACT RV2 ERHA 40L</v>
          </cell>
          <cell r="I199">
            <v>30000</v>
          </cell>
          <cell r="J199" t="str">
            <v>UN</v>
          </cell>
          <cell r="K199">
            <v>45579</v>
          </cell>
        </row>
        <row r="200">
          <cell r="A200" t="str">
            <v>50714240420</v>
          </cell>
          <cell r="B200" t="str">
            <v>ZMTD</v>
          </cell>
          <cell r="C200">
            <v>45470</v>
          </cell>
          <cell r="D200" t="str">
            <v>Partially delivered</v>
          </cell>
          <cell r="E200">
            <v>507142404</v>
          </cell>
          <cell r="F200">
            <v>20</v>
          </cell>
          <cell r="G200">
            <v>1187674</v>
          </cell>
          <cell r="H200" t="str">
            <v>FP-011:BASE WHITE NO DECO ERHA DERMATO</v>
          </cell>
          <cell r="I200">
            <v>30000</v>
          </cell>
          <cell r="J200" t="str">
            <v>UN</v>
          </cell>
          <cell r="K200">
            <v>45579</v>
          </cell>
        </row>
        <row r="201">
          <cell r="A201" t="str">
            <v>50714240430</v>
          </cell>
          <cell r="B201" t="str">
            <v>ZMTD</v>
          </cell>
          <cell r="C201">
            <v>45470</v>
          </cell>
          <cell r="D201" t="str">
            <v>Partially delivered</v>
          </cell>
          <cell r="E201">
            <v>507142404</v>
          </cell>
          <cell r="F201">
            <v>30</v>
          </cell>
          <cell r="G201">
            <v>1187675</v>
          </cell>
          <cell r="H201" t="str">
            <v>FP-011:SIFTER NAT W/LABEL NO DECO ERHA D</v>
          </cell>
          <cell r="I201">
            <v>30000</v>
          </cell>
          <cell r="J201" t="str">
            <v>UN</v>
          </cell>
          <cell r="K201">
            <v>45579</v>
          </cell>
        </row>
        <row r="202">
          <cell r="A202" t="str">
            <v>50714239710</v>
          </cell>
          <cell r="B202" t="str">
            <v>ZMTD</v>
          </cell>
          <cell r="C202">
            <v>45468</v>
          </cell>
          <cell r="D202" t="str">
            <v>Not delivered</v>
          </cell>
          <cell r="E202">
            <v>507142397</v>
          </cell>
          <cell r="F202">
            <v>10</v>
          </cell>
          <cell r="G202">
            <v>1195535</v>
          </cell>
          <cell r="H202" t="str">
            <v>FP-039:BASE SAN CLEAR HS KIKO PREMIER</v>
          </cell>
          <cell r="I202">
            <v>60480</v>
          </cell>
          <cell r="J202" t="str">
            <v>UN</v>
          </cell>
          <cell r="K202">
            <v>45579</v>
          </cell>
        </row>
        <row r="203">
          <cell r="A203" t="str">
            <v>50714239810</v>
          </cell>
          <cell r="B203" t="str">
            <v>ZMTD</v>
          </cell>
          <cell r="C203">
            <v>45468</v>
          </cell>
          <cell r="D203" t="str">
            <v>Not delivered</v>
          </cell>
          <cell r="E203">
            <v>507142398</v>
          </cell>
          <cell r="F203">
            <v>10</v>
          </cell>
          <cell r="G203">
            <v>1191869</v>
          </cell>
          <cell r="H203" t="str">
            <v>FP-039:CVR WHITE VM DARK SILVER  KIKO</v>
          </cell>
          <cell r="I203">
            <v>61440</v>
          </cell>
          <cell r="J203" t="str">
            <v>UN</v>
          </cell>
          <cell r="K203">
            <v>45579</v>
          </cell>
        </row>
        <row r="204">
          <cell r="A204" t="str">
            <v>50714227810</v>
          </cell>
          <cell r="B204" t="str">
            <v>ZMTD</v>
          </cell>
          <cell r="C204">
            <v>45447</v>
          </cell>
          <cell r="D204" t="str">
            <v>Not delivered</v>
          </cell>
          <cell r="E204">
            <v>507142278</v>
          </cell>
          <cell r="F204">
            <v>10</v>
          </cell>
          <cell r="G204">
            <v>1419488</v>
          </cell>
          <cell r="H204" t="str">
            <v>CP-063R:SPOUT CAP WHITE LOREAL 12A</v>
          </cell>
          <cell r="I204">
            <v>1890000</v>
          </cell>
          <cell r="J204" t="str">
            <v>UN</v>
          </cell>
          <cell r="K204">
            <v>45579</v>
          </cell>
        </row>
        <row r="205">
          <cell r="A205" t="str">
            <v>50714221010</v>
          </cell>
          <cell r="B205" t="str">
            <v>ZMTD</v>
          </cell>
          <cell r="C205">
            <v>45434</v>
          </cell>
          <cell r="D205" t="str">
            <v>Partially delivered</v>
          </cell>
          <cell r="E205">
            <v>507142210</v>
          </cell>
          <cell r="F205">
            <v>10</v>
          </cell>
          <cell r="G205">
            <v>1383924</v>
          </cell>
          <cell r="H205" t="str">
            <v>LS-087:BS MTPEACH P/BLP L.BULET CSMAX40H</v>
          </cell>
          <cell r="I205">
            <v>25750</v>
          </cell>
          <cell r="J205" t="str">
            <v>UN</v>
          </cell>
          <cell r="K205">
            <v>45579</v>
          </cell>
        </row>
        <row r="206">
          <cell r="A206" t="str">
            <v>50714180350</v>
          </cell>
          <cell r="B206" t="str">
            <v>ZMTD</v>
          </cell>
          <cell r="C206">
            <v>45349</v>
          </cell>
          <cell r="D206" t="str">
            <v>Partially delivered</v>
          </cell>
          <cell r="E206">
            <v>507141803</v>
          </cell>
          <cell r="F206">
            <v>50</v>
          </cell>
          <cell r="G206">
            <v>1404888</v>
          </cell>
          <cell r="H206" t="str">
            <v>LS-091:BS MGNTA P/SHEER COLOR ROHTO 60B</v>
          </cell>
          <cell r="I206">
            <v>27664</v>
          </cell>
          <cell r="J206" t="str">
            <v>UN</v>
          </cell>
          <cell r="K206">
            <v>45579</v>
          </cell>
        </row>
        <row r="207">
          <cell r="A207" t="str">
            <v>50714180360</v>
          </cell>
          <cell r="B207" t="str">
            <v>ZMTD</v>
          </cell>
          <cell r="C207">
            <v>45349</v>
          </cell>
          <cell r="D207" t="str">
            <v>Partially delivered</v>
          </cell>
          <cell r="E207">
            <v>507141803</v>
          </cell>
          <cell r="F207">
            <v>60</v>
          </cell>
          <cell r="G207">
            <v>1404885</v>
          </cell>
          <cell r="H207" t="str">
            <v>LS-091:CVR MGNTA GRAD UV P/NATURAL ROHTO</v>
          </cell>
          <cell r="I207">
            <v>27664</v>
          </cell>
          <cell r="J207" t="str">
            <v>UN</v>
          </cell>
          <cell r="K207">
            <v>45579</v>
          </cell>
        </row>
        <row r="208">
          <cell r="A208" t="str">
            <v>50714277610</v>
          </cell>
          <cell r="B208" t="str">
            <v>ZMTD</v>
          </cell>
          <cell r="C208">
            <v>45554</v>
          </cell>
          <cell r="D208" t="str">
            <v>Not delivered</v>
          </cell>
          <cell r="E208">
            <v>507142776</v>
          </cell>
          <cell r="F208">
            <v>10</v>
          </cell>
          <cell r="G208">
            <v>1331787</v>
          </cell>
          <cell r="H208" t="str">
            <v>CM-216:TRUE MATCH BLUSH W/O BRUSH LOR US</v>
          </cell>
          <cell r="I208">
            <v>75800</v>
          </cell>
          <cell r="J208" t="str">
            <v>UN</v>
          </cell>
          <cell r="K208">
            <v>45580</v>
          </cell>
        </row>
        <row r="209">
          <cell r="A209" t="str">
            <v>50714277910</v>
          </cell>
          <cell r="B209" t="str">
            <v>ZMTD</v>
          </cell>
          <cell r="C209">
            <v>45554</v>
          </cell>
          <cell r="D209" t="str">
            <v>Not delivered</v>
          </cell>
          <cell r="E209">
            <v>507142779</v>
          </cell>
          <cell r="F209">
            <v>10</v>
          </cell>
          <cell r="G209">
            <v>1174001</v>
          </cell>
          <cell r="H209" t="str">
            <v>CM-133:CVR/BS MTLC GREN UV S/SLV WRDH30C</v>
          </cell>
          <cell r="I209">
            <v>10080</v>
          </cell>
          <cell r="J209" t="str">
            <v>UN</v>
          </cell>
          <cell r="K209">
            <v>45580</v>
          </cell>
        </row>
        <row r="210">
          <cell r="A210" t="str">
            <v>50714278010</v>
          </cell>
          <cell r="B210" t="str">
            <v>ZMTD</v>
          </cell>
          <cell r="C210">
            <v>45554</v>
          </cell>
          <cell r="D210" t="str">
            <v>Not delivered</v>
          </cell>
          <cell r="E210">
            <v>507142780</v>
          </cell>
          <cell r="F210">
            <v>10</v>
          </cell>
          <cell r="G210">
            <v>1409881</v>
          </cell>
          <cell r="H210" t="str">
            <v>CM-315:CVR/BS BLACK P/CVRLAST OMG RV160B</v>
          </cell>
          <cell r="I210">
            <v>31724</v>
          </cell>
          <cell r="J210" t="str">
            <v>UN</v>
          </cell>
          <cell r="K210">
            <v>45580</v>
          </cell>
        </row>
        <row r="211">
          <cell r="A211" t="str">
            <v>50714278410</v>
          </cell>
          <cell r="B211" t="str">
            <v>ZMTD</v>
          </cell>
          <cell r="C211">
            <v>45554</v>
          </cell>
          <cell r="D211" t="str">
            <v>Not delivered</v>
          </cell>
          <cell r="E211">
            <v>507142784</v>
          </cell>
          <cell r="F211">
            <v>10</v>
          </cell>
          <cell r="G211">
            <v>1340516</v>
          </cell>
          <cell r="H211" t="str">
            <v>CM-133:CVR BS MTLC GRN UV DP S/WARDH 30T</v>
          </cell>
          <cell r="I211">
            <v>10080</v>
          </cell>
          <cell r="J211" t="str">
            <v>UN</v>
          </cell>
          <cell r="K211">
            <v>45580</v>
          </cell>
        </row>
        <row r="212">
          <cell r="A212" t="str">
            <v>50714273930</v>
          </cell>
          <cell r="B212" t="str">
            <v>ZMTD</v>
          </cell>
          <cell r="C212">
            <v>45544</v>
          </cell>
          <cell r="D212" t="str">
            <v>Not delivered</v>
          </cell>
          <cell r="E212">
            <v>507142739</v>
          </cell>
          <cell r="F212">
            <v>30</v>
          </cell>
          <cell r="G212">
            <v>1409881</v>
          </cell>
          <cell r="H212" t="str">
            <v>CM-315:CVR/BS BLACK P/CVRLAST OMG RV160B</v>
          </cell>
          <cell r="I212">
            <v>28028</v>
          </cell>
          <cell r="J212" t="str">
            <v>UN</v>
          </cell>
          <cell r="K212">
            <v>45580</v>
          </cell>
        </row>
        <row r="213">
          <cell r="A213" t="str">
            <v>50714274240</v>
          </cell>
          <cell r="B213" t="str">
            <v>ZMTD</v>
          </cell>
          <cell r="C213">
            <v>45544</v>
          </cell>
          <cell r="D213" t="str">
            <v>Not delivered</v>
          </cell>
          <cell r="E213">
            <v>507142742</v>
          </cell>
          <cell r="F213">
            <v>40</v>
          </cell>
          <cell r="G213">
            <v>1437039</v>
          </cell>
          <cell r="H213" t="str">
            <v>CM-290:1PC BS CV MT.BLK S/ EMBOS OMG 40C</v>
          </cell>
          <cell r="I213">
            <v>35112</v>
          </cell>
          <cell r="J213" t="str">
            <v>UN</v>
          </cell>
          <cell r="K213">
            <v>45580</v>
          </cell>
        </row>
        <row r="214">
          <cell r="A214" t="str">
            <v>50714274250</v>
          </cell>
          <cell r="B214" t="str">
            <v>ZMTD</v>
          </cell>
          <cell r="C214">
            <v>45544</v>
          </cell>
          <cell r="D214" t="str">
            <v>Not delivered</v>
          </cell>
          <cell r="E214">
            <v>507142742</v>
          </cell>
          <cell r="F214">
            <v>50</v>
          </cell>
          <cell r="G214">
            <v>1437140</v>
          </cell>
          <cell r="H214" t="str">
            <v>CM-290:ENGINE CV RED, BS BLK OMG PTI 12A</v>
          </cell>
          <cell r="I214">
            <v>35112</v>
          </cell>
          <cell r="J214" t="str">
            <v>UN</v>
          </cell>
          <cell r="K214">
            <v>45580</v>
          </cell>
        </row>
        <row r="215">
          <cell r="A215" t="str">
            <v>50714274260</v>
          </cell>
          <cell r="B215" t="str">
            <v>ZMTD</v>
          </cell>
          <cell r="C215">
            <v>45544</v>
          </cell>
          <cell r="D215" t="str">
            <v>Not delivered</v>
          </cell>
          <cell r="E215">
            <v>507142742</v>
          </cell>
          <cell r="F215">
            <v>60</v>
          </cell>
          <cell r="G215">
            <v>1437141</v>
          </cell>
          <cell r="H215" t="str">
            <v>CM-290:RING BLACK OMG PTI 12A</v>
          </cell>
          <cell r="I215">
            <v>35112</v>
          </cell>
          <cell r="J215" t="str">
            <v>UN</v>
          </cell>
          <cell r="K215">
            <v>45580</v>
          </cell>
        </row>
        <row r="216">
          <cell r="A216" t="str">
            <v>50714273010</v>
          </cell>
          <cell r="B216" t="str">
            <v>ZMTD</v>
          </cell>
          <cell r="C216">
            <v>45541</v>
          </cell>
          <cell r="D216" t="str">
            <v>Not delivered</v>
          </cell>
          <cell r="E216">
            <v>507142730</v>
          </cell>
          <cell r="F216">
            <v>10</v>
          </cell>
          <cell r="G216">
            <v>1371896</v>
          </cell>
          <cell r="H216" t="str">
            <v>RX-056:CM-316 CVR BLUE P/WHT SP/MTCLR</v>
          </cell>
          <cell r="I216">
            <v>110016</v>
          </cell>
          <cell r="J216" t="str">
            <v>UN</v>
          </cell>
          <cell r="K216">
            <v>45580</v>
          </cell>
        </row>
        <row r="217">
          <cell r="A217" t="str">
            <v>50714271910</v>
          </cell>
          <cell r="B217" t="str">
            <v>ZMTD</v>
          </cell>
          <cell r="C217">
            <v>45539</v>
          </cell>
          <cell r="D217" t="str">
            <v>Not delivered</v>
          </cell>
          <cell r="E217">
            <v>507142719</v>
          </cell>
          <cell r="F217">
            <v>10</v>
          </cell>
          <cell r="G217">
            <v>1431862</v>
          </cell>
          <cell r="H217" t="str">
            <v>PT6029R JAR GARNIER 18ML YUZU SPF30(635)</v>
          </cell>
          <cell r="I217">
            <v>42336</v>
          </cell>
          <cell r="J217" t="str">
            <v>UN</v>
          </cell>
          <cell r="K217">
            <v>45580</v>
          </cell>
        </row>
        <row r="218">
          <cell r="A218" t="str">
            <v>50714255420</v>
          </cell>
          <cell r="B218" t="str">
            <v>ZMTD</v>
          </cell>
          <cell r="C218">
            <v>45495</v>
          </cell>
          <cell r="D218" t="str">
            <v>Not delivered</v>
          </cell>
          <cell r="E218">
            <v>507142554</v>
          </cell>
          <cell r="F218">
            <v>20</v>
          </cell>
          <cell r="G218">
            <v>1432080</v>
          </cell>
          <cell r="H218" t="str">
            <v>CM-281:BS/CV TWC BLUE UV P/S/INEZ FTC30M</v>
          </cell>
          <cell r="I218">
            <v>25000</v>
          </cell>
          <cell r="J218" t="str">
            <v>UN</v>
          </cell>
          <cell r="K218">
            <v>45580</v>
          </cell>
        </row>
        <row r="219">
          <cell r="A219" t="str">
            <v>50714241690</v>
          </cell>
          <cell r="B219" t="str">
            <v>ZMTD</v>
          </cell>
          <cell r="C219">
            <v>45474</v>
          </cell>
          <cell r="D219" t="str">
            <v>Not delivered</v>
          </cell>
          <cell r="E219">
            <v>507142416</v>
          </cell>
          <cell r="F219">
            <v>90</v>
          </cell>
          <cell r="G219">
            <v>1376248</v>
          </cell>
          <cell r="H219" t="str">
            <v>FP-008:CVR L.PINK P/BLK MANDOM RV1 12A</v>
          </cell>
          <cell r="I219">
            <v>10000</v>
          </cell>
          <cell r="J219" t="str">
            <v>UN</v>
          </cell>
          <cell r="K219">
            <v>45580</v>
          </cell>
        </row>
        <row r="220">
          <cell r="A220" t="str">
            <v>507142416100</v>
          </cell>
          <cell r="B220" t="str">
            <v>ZMTD</v>
          </cell>
          <cell r="C220">
            <v>45474</v>
          </cell>
          <cell r="D220" t="str">
            <v>Not delivered</v>
          </cell>
          <cell r="E220">
            <v>507142416</v>
          </cell>
          <cell r="F220">
            <v>100</v>
          </cell>
          <cell r="G220">
            <v>1171179</v>
          </cell>
          <cell r="H220" t="str">
            <v>FP-008:BS INJ BLK NO DC MANDOM</v>
          </cell>
          <cell r="I220">
            <v>10000</v>
          </cell>
          <cell r="J220" t="str">
            <v>UN</v>
          </cell>
          <cell r="K220">
            <v>45580</v>
          </cell>
        </row>
        <row r="221">
          <cell r="A221" t="str">
            <v>507142416110</v>
          </cell>
          <cell r="B221" t="str">
            <v>ZMTD</v>
          </cell>
          <cell r="C221">
            <v>45474</v>
          </cell>
          <cell r="D221" t="str">
            <v>Not delivered</v>
          </cell>
          <cell r="E221">
            <v>507142416</v>
          </cell>
          <cell r="F221">
            <v>110</v>
          </cell>
          <cell r="G221">
            <v>1172027</v>
          </cell>
          <cell r="H221" t="str">
            <v>FP-008:SFT NAT L.HINGE W/LBL NO DC MDM</v>
          </cell>
          <cell r="I221">
            <v>10000</v>
          </cell>
          <cell r="J221" t="str">
            <v>UN</v>
          </cell>
          <cell r="K221">
            <v>45580</v>
          </cell>
        </row>
        <row r="222">
          <cell r="A222" t="str">
            <v>50714281910</v>
          </cell>
          <cell r="B222" t="str">
            <v>ZMTD</v>
          </cell>
          <cell r="C222">
            <v>45560</v>
          </cell>
          <cell r="D222" t="str">
            <v>Not delivered</v>
          </cell>
          <cell r="E222">
            <v>507142819</v>
          </cell>
          <cell r="F222">
            <v>10</v>
          </cell>
          <cell r="G222">
            <v>1402678</v>
          </cell>
          <cell r="H222" t="str">
            <v>LS-285:BS GREEN NO DC WARDAH 12A</v>
          </cell>
          <cell r="I222">
            <v>10640</v>
          </cell>
          <cell r="J222" t="str">
            <v>UN</v>
          </cell>
          <cell r="K222">
            <v>45581</v>
          </cell>
        </row>
        <row r="223">
          <cell r="A223" t="str">
            <v>50714281920</v>
          </cell>
          <cell r="B223" t="str">
            <v>ZMTD</v>
          </cell>
          <cell r="C223">
            <v>45560</v>
          </cell>
          <cell r="D223" t="str">
            <v>Not delivered</v>
          </cell>
          <cell r="E223">
            <v>507142819</v>
          </cell>
          <cell r="F223">
            <v>20</v>
          </cell>
          <cell r="G223">
            <v>1402740</v>
          </cell>
          <cell r="H223" t="str">
            <v>LS-285:CV MTWHT P/WRDH LIPBLMHAJJ PTI40H</v>
          </cell>
          <cell r="I223">
            <v>10640</v>
          </cell>
          <cell r="J223" t="str">
            <v>UN</v>
          </cell>
          <cell r="K223">
            <v>45581</v>
          </cell>
        </row>
        <row r="224">
          <cell r="A224" t="str">
            <v>50714280910</v>
          </cell>
          <cell r="B224" t="str">
            <v>ZMTD</v>
          </cell>
          <cell r="C224">
            <v>45559</v>
          </cell>
          <cell r="D224" t="str">
            <v>Not delivered</v>
          </cell>
          <cell r="E224">
            <v>507142809</v>
          </cell>
          <cell r="F224">
            <v>10</v>
          </cell>
          <cell r="G224">
            <v>1159912</v>
          </cell>
          <cell r="H224" t="str">
            <v>CP-064:CAP 25 SCREW BLK MT L'OREAL</v>
          </cell>
          <cell r="I224">
            <v>150000</v>
          </cell>
          <cell r="J224" t="str">
            <v>UN</v>
          </cell>
          <cell r="K224">
            <v>45581</v>
          </cell>
        </row>
        <row r="225">
          <cell r="A225" t="str">
            <v>50714277810</v>
          </cell>
          <cell r="B225" t="str">
            <v>ZMTD</v>
          </cell>
          <cell r="C225">
            <v>45554</v>
          </cell>
          <cell r="D225" t="str">
            <v>Not delivered</v>
          </cell>
          <cell r="E225">
            <v>507142778</v>
          </cell>
          <cell r="F225">
            <v>10</v>
          </cell>
          <cell r="G225">
            <v>1417990</v>
          </cell>
          <cell r="H225" t="str">
            <v>LC-009:BTL #2#3 INNER CLR P/OMG PTIPT60B</v>
          </cell>
          <cell r="I225">
            <v>400050</v>
          </cell>
          <cell r="J225" t="str">
            <v>UN</v>
          </cell>
          <cell r="K225">
            <v>45581</v>
          </cell>
        </row>
        <row r="226">
          <cell r="A226" t="str">
            <v>50714277820</v>
          </cell>
          <cell r="B226" t="str">
            <v>ZMTD</v>
          </cell>
          <cell r="C226">
            <v>45554</v>
          </cell>
          <cell r="D226" t="str">
            <v>Not delivered</v>
          </cell>
          <cell r="E226">
            <v>507142778</v>
          </cell>
          <cell r="F226">
            <v>20</v>
          </cell>
          <cell r="G226">
            <v>1417978</v>
          </cell>
          <cell r="H226" t="str">
            <v>LC-009:CAP #2#3 REDTR WIP S/OMG PTIPT60B</v>
          </cell>
          <cell r="I226">
            <v>400050</v>
          </cell>
          <cell r="J226" t="str">
            <v>UN</v>
          </cell>
          <cell r="K226">
            <v>45581</v>
          </cell>
        </row>
        <row r="227">
          <cell r="A227" t="str">
            <v>50714273310</v>
          </cell>
          <cell r="B227" t="str">
            <v>ZMTD</v>
          </cell>
          <cell r="C227">
            <v>45544</v>
          </cell>
          <cell r="D227" t="str">
            <v>Not delivered</v>
          </cell>
          <cell r="E227">
            <v>507142733</v>
          </cell>
          <cell r="F227">
            <v>10</v>
          </cell>
          <cell r="G227">
            <v>1375595</v>
          </cell>
          <cell r="H227" t="str">
            <v>LC-009:BTL/INNER CLEAR P/OMG PTIPT 60B</v>
          </cell>
          <cell r="I227">
            <v>150570</v>
          </cell>
          <cell r="J227" t="str">
            <v>UN</v>
          </cell>
          <cell r="K227">
            <v>45581</v>
          </cell>
        </row>
        <row r="228">
          <cell r="A228" t="str">
            <v>50714273320</v>
          </cell>
          <cell r="B228" t="str">
            <v>ZMTD</v>
          </cell>
          <cell r="C228">
            <v>45544</v>
          </cell>
          <cell r="D228" t="str">
            <v>Not delivered</v>
          </cell>
          <cell r="E228">
            <v>507142733</v>
          </cell>
          <cell r="F228">
            <v>20</v>
          </cell>
          <cell r="G228">
            <v>1375593</v>
          </cell>
          <cell r="H228" t="str">
            <v>LC-009:CAP REDTRANS WIP S/OMG PTIPT 60B</v>
          </cell>
          <cell r="I228">
            <v>150570</v>
          </cell>
          <cell r="J228" t="str">
            <v>UN</v>
          </cell>
          <cell r="K228">
            <v>45581</v>
          </cell>
        </row>
        <row r="229">
          <cell r="A229" t="str">
            <v>50714271520</v>
          </cell>
          <cell r="B229" t="str">
            <v>ZMTD</v>
          </cell>
          <cell r="C229">
            <v>45538</v>
          </cell>
          <cell r="D229" t="str">
            <v>Partially delivered</v>
          </cell>
          <cell r="E229">
            <v>507142715</v>
          </cell>
          <cell r="F229">
            <v>20</v>
          </cell>
          <cell r="G229">
            <v>1382368</v>
          </cell>
          <cell r="H229" t="str">
            <v>CP-067R:FT CAP35 SNAP BLK MATTE  Ø5 LRL</v>
          </cell>
          <cell r="I229">
            <v>300000</v>
          </cell>
          <cell r="J229" t="str">
            <v>UN</v>
          </cell>
          <cell r="K229">
            <v>45581</v>
          </cell>
        </row>
        <row r="230">
          <cell r="A230" t="str">
            <v>50714264830</v>
          </cell>
          <cell r="B230" t="str">
            <v>ZMTD</v>
          </cell>
          <cell r="C230">
            <v>45523</v>
          </cell>
          <cell r="D230" t="str">
            <v>Partially delivered</v>
          </cell>
          <cell r="E230">
            <v>507142648</v>
          </cell>
          <cell r="F230">
            <v>30</v>
          </cell>
          <cell r="G230">
            <v>1168132</v>
          </cell>
          <cell r="H230" t="str">
            <v>LS-285:BS WHT NO DC WARDAH</v>
          </cell>
          <cell r="I230">
            <v>70224</v>
          </cell>
          <cell r="J230" t="str">
            <v>UN</v>
          </cell>
          <cell r="K230">
            <v>45581</v>
          </cell>
        </row>
        <row r="231">
          <cell r="A231" t="str">
            <v>50714264840</v>
          </cell>
          <cell r="B231" t="str">
            <v>ZMTD</v>
          </cell>
          <cell r="C231">
            <v>45523</v>
          </cell>
          <cell r="D231" t="str">
            <v>Partially delivered</v>
          </cell>
          <cell r="E231">
            <v>507142648</v>
          </cell>
          <cell r="F231">
            <v>40</v>
          </cell>
          <cell r="G231">
            <v>1421509</v>
          </cell>
          <cell r="H231" t="str">
            <v>LS-285:CV ORNG P/WHT UV ORGSQUEZE PTI30O</v>
          </cell>
          <cell r="I231">
            <v>70224</v>
          </cell>
          <cell r="J231" t="str">
            <v>UN</v>
          </cell>
          <cell r="K231">
            <v>45581</v>
          </cell>
        </row>
        <row r="232">
          <cell r="A232" t="str">
            <v>50714261810</v>
          </cell>
          <cell r="B232" t="str">
            <v>ZMTD</v>
          </cell>
          <cell r="C232">
            <v>45512</v>
          </cell>
          <cell r="D232" t="str">
            <v>Not delivered</v>
          </cell>
          <cell r="E232">
            <v>507142618</v>
          </cell>
          <cell r="F232">
            <v>10</v>
          </cell>
          <cell r="G232">
            <v>1409850</v>
          </cell>
          <cell r="H232" t="str">
            <v>RX-068:BT8445 VENUS 60ML MATCLR 40D</v>
          </cell>
          <cell r="I232">
            <v>11500</v>
          </cell>
          <cell r="J232" t="str">
            <v>UN</v>
          </cell>
          <cell r="K232">
            <v>45581</v>
          </cell>
        </row>
        <row r="233">
          <cell r="A233" t="str">
            <v>50714260410</v>
          </cell>
          <cell r="B233" t="str">
            <v>ZMTD</v>
          </cell>
          <cell r="C233">
            <v>45509</v>
          </cell>
          <cell r="D233" t="str">
            <v>Not delivered</v>
          </cell>
          <cell r="E233">
            <v>507142604</v>
          </cell>
          <cell r="F233">
            <v>10</v>
          </cell>
          <cell r="G233">
            <v>1171241</v>
          </cell>
          <cell r="H233" t="str">
            <v>CP-059:60ML UV GOLD WHT LN 7712010071 EL</v>
          </cell>
          <cell r="I233">
            <v>25080</v>
          </cell>
          <cell r="J233" t="str">
            <v>UN</v>
          </cell>
          <cell r="K233">
            <v>45581</v>
          </cell>
        </row>
        <row r="234">
          <cell r="A234" t="str">
            <v>50714227910</v>
          </cell>
          <cell r="B234" t="str">
            <v>ZMTD</v>
          </cell>
          <cell r="C234">
            <v>45447</v>
          </cell>
          <cell r="D234" t="str">
            <v>Not delivered</v>
          </cell>
          <cell r="E234">
            <v>507142279</v>
          </cell>
          <cell r="F234">
            <v>10</v>
          </cell>
          <cell r="G234">
            <v>1419488</v>
          </cell>
          <cell r="H234" t="str">
            <v>CP-063R:SPOUT CAP WHITE LOREAL 12A</v>
          </cell>
          <cell r="I234">
            <v>1890000</v>
          </cell>
          <cell r="J234" t="str">
            <v>UN</v>
          </cell>
          <cell r="K234">
            <v>45581</v>
          </cell>
        </row>
        <row r="235">
          <cell r="A235" t="str">
            <v>50714282610</v>
          </cell>
          <cell r="B235" t="str">
            <v>ZMTD</v>
          </cell>
          <cell r="C235">
            <v>45560</v>
          </cell>
          <cell r="D235" t="str">
            <v>Not delivered</v>
          </cell>
          <cell r="E235">
            <v>507142826</v>
          </cell>
          <cell r="F235">
            <v>10</v>
          </cell>
          <cell r="G235">
            <v>1442332</v>
          </cell>
          <cell r="H235" t="str">
            <v>CM-256:BS CV PF TRNS BRWN MTCLR P/KUSUMA</v>
          </cell>
          <cell r="I235">
            <v>10000</v>
          </cell>
          <cell r="J235" t="str">
            <v>UN</v>
          </cell>
          <cell r="K235">
            <v>45582</v>
          </cell>
        </row>
        <row r="236">
          <cell r="A236" t="str">
            <v>50714282910</v>
          </cell>
          <cell r="B236" t="str">
            <v>ZMTD</v>
          </cell>
          <cell r="C236">
            <v>45560</v>
          </cell>
          <cell r="D236" t="str">
            <v>Not delivered</v>
          </cell>
          <cell r="E236">
            <v>507142829</v>
          </cell>
          <cell r="F236">
            <v>10</v>
          </cell>
          <cell r="G236">
            <v>1340516</v>
          </cell>
          <cell r="H236" t="str">
            <v>CM-133:CVR BS MTLC GRN UV DP S/WARDH 30T</v>
          </cell>
          <cell r="I236">
            <v>10080</v>
          </cell>
          <cell r="J236" t="str">
            <v>UN</v>
          </cell>
          <cell r="K236">
            <v>45582</v>
          </cell>
        </row>
        <row r="237">
          <cell r="A237" t="str">
            <v>50714278310</v>
          </cell>
          <cell r="B237" t="str">
            <v>ZMTD</v>
          </cell>
          <cell r="C237">
            <v>45554</v>
          </cell>
          <cell r="D237" t="str">
            <v>Not delivered</v>
          </cell>
          <cell r="E237">
            <v>507142783</v>
          </cell>
          <cell r="F237">
            <v>10</v>
          </cell>
          <cell r="G237">
            <v>1255658</v>
          </cell>
          <cell r="H237" t="str">
            <v>LC-002:BTL MT VAR8 P/WRDH B.MARK PTI40H</v>
          </cell>
          <cell r="I237">
            <v>25200</v>
          </cell>
          <cell r="J237" t="str">
            <v>UN</v>
          </cell>
          <cell r="K237">
            <v>45582</v>
          </cell>
        </row>
        <row r="238">
          <cell r="A238" t="str">
            <v>50714278320</v>
          </cell>
          <cell r="B238" t="str">
            <v>ZMTD</v>
          </cell>
          <cell r="C238">
            <v>45554</v>
          </cell>
          <cell r="D238" t="str">
            <v>Not delivered</v>
          </cell>
          <cell r="E238">
            <v>507142783</v>
          </cell>
          <cell r="F238">
            <v>20</v>
          </cell>
          <cell r="G238">
            <v>1264030</v>
          </cell>
          <cell r="H238" t="str">
            <v>LC-002:CAP S/MTVAR8 STM-WHT WPNAT PTI40D</v>
          </cell>
          <cell r="I238">
            <v>25200</v>
          </cell>
          <cell r="J238" t="str">
            <v>UN</v>
          </cell>
          <cell r="K238">
            <v>45582</v>
          </cell>
        </row>
        <row r="239">
          <cell r="A239" t="str">
            <v>50714278710</v>
          </cell>
          <cell r="B239" t="str">
            <v>ZMTD</v>
          </cell>
          <cell r="C239">
            <v>45554</v>
          </cell>
          <cell r="D239" t="str">
            <v>Not delivered</v>
          </cell>
          <cell r="E239">
            <v>507142787</v>
          </cell>
          <cell r="F239">
            <v>10</v>
          </cell>
          <cell r="G239">
            <v>1336783</v>
          </cell>
          <cell r="H239" t="str">
            <v>LC-003:BTL CLR CLVM P/S/INSTSUEDE PTI20Y</v>
          </cell>
          <cell r="I239">
            <v>25200</v>
          </cell>
          <cell r="J239" t="str">
            <v>UN</v>
          </cell>
          <cell r="K239">
            <v>45582</v>
          </cell>
        </row>
        <row r="240">
          <cell r="A240" t="str">
            <v>50714278720</v>
          </cell>
          <cell r="B240" t="str">
            <v>ZMTD</v>
          </cell>
          <cell r="C240">
            <v>45554</v>
          </cell>
          <cell r="D240" t="str">
            <v>Not delivered</v>
          </cell>
          <cell r="E240">
            <v>507142787</v>
          </cell>
          <cell r="F240">
            <v>20</v>
          </cell>
          <cell r="G240">
            <v>1378266</v>
          </cell>
          <cell r="H240" t="str">
            <v>LC-003:CAP VM RS PINK INSTASUEDE PTI 20F</v>
          </cell>
          <cell r="I240">
            <v>25200</v>
          </cell>
          <cell r="J240" t="str">
            <v>UN</v>
          </cell>
          <cell r="K240">
            <v>45582</v>
          </cell>
        </row>
        <row r="241">
          <cell r="A241" t="str">
            <v>50714278810</v>
          </cell>
          <cell r="B241" t="str">
            <v>ZMTD</v>
          </cell>
          <cell r="C241">
            <v>45554</v>
          </cell>
          <cell r="D241" t="str">
            <v>Not delivered</v>
          </cell>
          <cell r="E241">
            <v>507142788</v>
          </cell>
          <cell r="F241">
            <v>10</v>
          </cell>
          <cell r="G241">
            <v>1168132</v>
          </cell>
          <cell r="H241" t="str">
            <v>LS-285:BS WHT NO DC WARDAH</v>
          </cell>
          <cell r="I241">
            <v>55328</v>
          </cell>
          <cell r="J241" t="str">
            <v>UN</v>
          </cell>
          <cell r="K241">
            <v>45582</v>
          </cell>
        </row>
        <row r="242">
          <cell r="A242" t="str">
            <v>50714278820</v>
          </cell>
          <cell r="B242" t="str">
            <v>ZMTD</v>
          </cell>
          <cell r="C242">
            <v>45554</v>
          </cell>
          <cell r="D242" t="str">
            <v>Not delivered</v>
          </cell>
          <cell r="E242">
            <v>507142788</v>
          </cell>
          <cell r="F242">
            <v>20</v>
          </cell>
          <cell r="G242">
            <v>1421418</v>
          </cell>
          <cell r="H242" t="str">
            <v>LS-285:CV RED P/WHT UV STRAWBERY PTI 30O</v>
          </cell>
          <cell r="I242">
            <v>55328</v>
          </cell>
          <cell r="J242" t="str">
            <v>UN</v>
          </cell>
          <cell r="K242">
            <v>45582</v>
          </cell>
        </row>
        <row r="243">
          <cell r="A243" t="str">
            <v>50714275670</v>
          </cell>
          <cell r="B243" t="str">
            <v>ZMTD</v>
          </cell>
          <cell r="C243">
            <v>45547</v>
          </cell>
          <cell r="D243" t="str">
            <v>Not delivered</v>
          </cell>
          <cell r="E243">
            <v>507142756</v>
          </cell>
          <cell r="F243">
            <v>70</v>
          </cell>
          <cell r="G243">
            <v>1411899</v>
          </cell>
          <cell r="H243" t="str">
            <v>PT-100:BS/INS GREEN P/WHT KAHF PTI 60B</v>
          </cell>
          <cell r="I243">
            <v>120064</v>
          </cell>
          <cell r="J243" t="str">
            <v>UN</v>
          </cell>
          <cell r="K243">
            <v>45582</v>
          </cell>
        </row>
        <row r="244">
          <cell r="A244" t="str">
            <v>50714275680</v>
          </cell>
          <cell r="B244" t="str">
            <v>ZMTD</v>
          </cell>
          <cell r="C244">
            <v>45547</v>
          </cell>
          <cell r="D244" t="str">
            <v>Not delivered</v>
          </cell>
          <cell r="E244">
            <v>507142756</v>
          </cell>
          <cell r="F244">
            <v>80</v>
          </cell>
          <cell r="G244">
            <v>1411898</v>
          </cell>
          <cell r="H244" t="str">
            <v>PT-100:CVR MT.GREEN EMBOS KAHF PTI 40D</v>
          </cell>
          <cell r="I244">
            <v>120064</v>
          </cell>
          <cell r="J244" t="str">
            <v>UN</v>
          </cell>
          <cell r="K244">
            <v>45582</v>
          </cell>
        </row>
        <row r="245">
          <cell r="A245" t="str">
            <v>50714266410</v>
          </cell>
          <cell r="B245" t="str">
            <v>ZMTD</v>
          </cell>
          <cell r="C245">
            <v>45525</v>
          </cell>
          <cell r="D245" t="str">
            <v>Not delivered</v>
          </cell>
          <cell r="E245">
            <v>507142664</v>
          </cell>
          <cell r="F245">
            <v>10</v>
          </cell>
          <cell r="G245">
            <v>1216572</v>
          </cell>
          <cell r="H245" t="str">
            <v>CM-216:TRUE MATCH CV PF S/SLV LOR (SEA)</v>
          </cell>
          <cell r="I245">
            <v>230400</v>
          </cell>
          <cell r="J245" t="str">
            <v>UN</v>
          </cell>
          <cell r="K245">
            <v>45582</v>
          </cell>
        </row>
        <row r="246">
          <cell r="A246" t="str">
            <v>507142416200</v>
          </cell>
          <cell r="B246" t="str">
            <v>ZMTD</v>
          </cell>
          <cell r="C246">
            <v>45474</v>
          </cell>
          <cell r="D246" t="str">
            <v>Not delivered</v>
          </cell>
          <cell r="E246">
            <v>507142416</v>
          </cell>
          <cell r="F246">
            <v>200</v>
          </cell>
          <cell r="G246">
            <v>1172027</v>
          </cell>
          <cell r="H246" t="str">
            <v>FP-008:SFT NAT L.HINGE W/LBL NO DC MDM</v>
          </cell>
          <cell r="I246">
            <v>10000</v>
          </cell>
          <cell r="J246" t="str">
            <v>UN</v>
          </cell>
          <cell r="K246">
            <v>45582</v>
          </cell>
        </row>
        <row r="247">
          <cell r="A247" t="str">
            <v>50714277110</v>
          </cell>
          <cell r="B247" t="str">
            <v>ZMTD</v>
          </cell>
          <cell r="C247">
            <v>45554</v>
          </cell>
          <cell r="D247" t="str">
            <v>Not delivered</v>
          </cell>
          <cell r="E247">
            <v>507142771</v>
          </cell>
          <cell r="F247">
            <v>10</v>
          </cell>
          <cell r="G247">
            <v>1378563</v>
          </cell>
          <cell r="H247" t="str">
            <v>CP-093:CAP D50 MT BLACK Ø.5 YASULOR 12A</v>
          </cell>
          <cell r="I247">
            <v>400000</v>
          </cell>
          <cell r="J247" t="str">
            <v>UN</v>
          </cell>
          <cell r="K247">
            <v>45583</v>
          </cell>
        </row>
        <row r="248">
          <cell r="A248" t="str">
            <v>50714278220</v>
          </cell>
          <cell r="B248" t="str">
            <v>ZMTD</v>
          </cell>
          <cell r="C248">
            <v>45554</v>
          </cell>
          <cell r="D248" t="str">
            <v>Not delivered</v>
          </cell>
          <cell r="E248">
            <v>507142782</v>
          </cell>
          <cell r="F248">
            <v>20</v>
          </cell>
          <cell r="G248">
            <v>1420102</v>
          </cell>
          <cell r="H248" t="str">
            <v>LS-091:CV WHT P/ICE FRUITY CHERRY 60B</v>
          </cell>
          <cell r="I248">
            <v>25688</v>
          </cell>
          <cell r="J248" t="str">
            <v>UN</v>
          </cell>
          <cell r="K248">
            <v>45583</v>
          </cell>
        </row>
        <row r="249">
          <cell r="A249" t="str">
            <v>50714278610</v>
          </cell>
          <cell r="B249" t="str">
            <v>ZMTD</v>
          </cell>
          <cell r="C249">
            <v>45554</v>
          </cell>
          <cell r="D249" t="str">
            <v>Partially delivered</v>
          </cell>
          <cell r="E249">
            <v>507142786</v>
          </cell>
          <cell r="F249">
            <v>10</v>
          </cell>
          <cell r="G249">
            <v>1304094</v>
          </cell>
          <cell r="H249" t="str">
            <v>CM-253:CV CLR BS M.PINK P/EMINA C.LIT40H</v>
          </cell>
          <cell r="I249">
            <v>25380</v>
          </cell>
          <cell r="J249" t="str">
            <v>UN</v>
          </cell>
          <cell r="K249">
            <v>45583</v>
          </cell>
        </row>
        <row r="250">
          <cell r="A250" t="str">
            <v>50714278910</v>
          </cell>
          <cell r="B250" t="str">
            <v>ZMTD</v>
          </cell>
          <cell r="C250">
            <v>45554</v>
          </cell>
          <cell r="D250" t="str">
            <v>Partially delivered</v>
          </cell>
          <cell r="E250">
            <v>507142789</v>
          </cell>
          <cell r="F250">
            <v>10</v>
          </cell>
          <cell r="G250">
            <v>1411213</v>
          </cell>
          <cell r="H250" t="str">
            <v>CM-105:BLCK COAT P/MAKE OVER PTI RV1 40H</v>
          </cell>
          <cell r="I250">
            <v>10080</v>
          </cell>
          <cell r="J250" t="str">
            <v>UN</v>
          </cell>
          <cell r="K250">
            <v>45583</v>
          </cell>
        </row>
        <row r="251">
          <cell r="A251" t="str">
            <v>50714279010</v>
          </cell>
          <cell r="B251" t="str">
            <v>ZMTD</v>
          </cell>
          <cell r="C251">
            <v>45554</v>
          </cell>
          <cell r="D251" t="str">
            <v>Not delivered</v>
          </cell>
          <cell r="E251">
            <v>507142790</v>
          </cell>
          <cell r="F251">
            <v>10</v>
          </cell>
          <cell r="G251">
            <v>1361170</v>
          </cell>
          <cell r="H251" t="str">
            <v>PT-097:BODY BLACK HOUSE WHT TRANS PTI12A</v>
          </cell>
          <cell r="I251">
            <v>110160</v>
          </cell>
          <cell r="J251" t="str">
            <v>UN</v>
          </cell>
          <cell r="K251">
            <v>45583</v>
          </cell>
        </row>
        <row r="252">
          <cell r="A252" t="str">
            <v>50714279020</v>
          </cell>
          <cell r="B252" t="str">
            <v>ZMTD</v>
          </cell>
          <cell r="C252">
            <v>45554</v>
          </cell>
          <cell r="D252" t="str">
            <v>Not delivered</v>
          </cell>
          <cell r="E252">
            <v>507142790</v>
          </cell>
          <cell r="F252">
            <v>20</v>
          </cell>
          <cell r="G252">
            <v>1361175</v>
          </cell>
          <cell r="H252" t="str">
            <v>PT-097:CAP BLACK TRANS PTI 12A</v>
          </cell>
          <cell r="I252">
            <v>110160</v>
          </cell>
          <cell r="J252" t="str">
            <v>UN</v>
          </cell>
          <cell r="K252">
            <v>45583</v>
          </cell>
        </row>
        <row r="253">
          <cell r="A253" t="str">
            <v>50714276550</v>
          </cell>
          <cell r="B253" t="str">
            <v>ZMTD</v>
          </cell>
          <cell r="C253">
            <v>45552</v>
          </cell>
          <cell r="D253" t="str">
            <v>Not delivered</v>
          </cell>
          <cell r="E253">
            <v>507142765</v>
          </cell>
          <cell r="F253">
            <v>50</v>
          </cell>
          <cell r="G253">
            <v>1398383</v>
          </cell>
          <cell r="H253" t="str">
            <v>CM-319:WHITE P/BLACK UV MATTE NARS</v>
          </cell>
          <cell r="I253">
            <v>40080</v>
          </cell>
          <cell r="J253" t="str">
            <v>UN</v>
          </cell>
          <cell r="K253">
            <v>45583</v>
          </cell>
        </row>
        <row r="254">
          <cell r="A254" t="str">
            <v>50714272310</v>
          </cell>
          <cell r="B254" t="str">
            <v>ZMTD</v>
          </cell>
          <cell r="C254">
            <v>45541</v>
          </cell>
          <cell r="D254" t="str">
            <v>Not delivered</v>
          </cell>
          <cell r="E254">
            <v>507142723</v>
          </cell>
          <cell r="F254">
            <v>10</v>
          </cell>
          <cell r="G254">
            <v>1409850</v>
          </cell>
          <cell r="H254" t="str">
            <v>RX-068:BT8445 VENUS 60ML MATCLR 40D</v>
          </cell>
          <cell r="I254">
            <v>33000</v>
          </cell>
          <cell r="J254" t="str">
            <v>UN</v>
          </cell>
          <cell r="K254">
            <v>45583</v>
          </cell>
        </row>
        <row r="255">
          <cell r="A255" t="str">
            <v>50714270910</v>
          </cell>
          <cell r="B255" t="str">
            <v>ZMTD</v>
          </cell>
          <cell r="C255">
            <v>45534</v>
          </cell>
          <cell r="D255" t="str">
            <v>Not delivered</v>
          </cell>
          <cell r="E255">
            <v>507142709</v>
          </cell>
          <cell r="F255">
            <v>10</v>
          </cell>
          <cell r="G255">
            <v>1187960</v>
          </cell>
          <cell r="H255" t="str">
            <v>FP-014:CVR VMRAINBOW P/ULTM II RUDYS 40C</v>
          </cell>
          <cell r="I255">
            <v>30000</v>
          </cell>
          <cell r="J255" t="str">
            <v>UN</v>
          </cell>
          <cell r="K255">
            <v>45583</v>
          </cell>
        </row>
        <row r="256">
          <cell r="A256" t="str">
            <v>50714270920</v>
          </cell>
          <cell r="B256" t="str">
            <v>ZMTD</v>
          </cell>
          <cell r="C256">
            <v>45534</v>
          </cell>
          <cell r="D256" t="str">
            <v>Not delivered</v>
          </cell>
          <cell r="E256">
            <v>507142709</v>
          </cell>
          <cell r="F256">
            <v>20</v>
          </cell>
          <cell r="G256">
            <v>1172318</v>
          </cell>
          <cell r="H256" t="str">
            <v>FP-014:BASE CLEAR NO DC ULTIMA II RUDY S</v>
          </cell>
          <cell r="I256">
            <v>30000</v>
          </cell>
          <cell r="J256" t="str">
            <v>UN</v>
          </cell>
          <cell r="K256">
            <v>45583</v>
          </cell>
        </row>
        <row r="257">
          <cell r="A257" t="str">
            <v>50714270930</v>
          </cell>
          <cell r="B257" t="str">
            <v>ZMTD</v>
          </cell>
          <cell r="C257">
            <v>45534</v>
          </cell>
          <cell r="D257" t="str">
            <v>Not delivered</v>
          </cell>
          <cell r="E257">
            <v>507142709</v>
          </cell>
          <cell r="F257">
            <v>30</v>
          </cell>
          <cell r="G257">
            <v>1170826</v>
          </cell>
          <cell r="H257" t="str">
            <v>FP-014:SIFTER NT W/LBL NO DECO ULTIMA II</v>
          </cell>
          <cell r="I257">
            <v>30000</v>
          </cell>
          <cell r="J257" t="str">
            <v>UN</v>
          </cell>
          <cell r="K257">
            <v>45583</v>
          </cell>
        </row>
        <row r="258">
          <cell r="A258" t="str">
            <v>50714254320</v>
          </cell>
          <cell r="B258" t="str">
            <v>ZMTD</v>
          </cell>
          <cell r="C258">
            <v>45491</v>
          </cell>
          <cell r="D258" t="str">
            <v>Not delivered</v>
          </cell>
          <cell r="E258">
            <v>507142543</v>
          </cell>
          <cell r="F258">
            <v>20</v>
          </cell>
          <cell r="G258">
            <v>1278860</v>
          </cell>
          <cell r="H258" t="str">
            <v>CM-296:WHT P/L.AGELES W/O HOLE COTY TAOR</v>
          </cell>
          <cell r="I258">
            <v>72000</v>
          </cell>
          <cell r="J258" t="str">
            <v>UN</v>
          </cell>
          <cell r="K258">
            <v>45583</v>
          </cell>
        </row>
        <row r="259">
          <cell r="A259" t="str">
            <v>507142416180</v>
          </cell>
          <cell r="B259" t="str">
            <v>ZMTD</v>
          </cell>
          <cell r="C259">
            <v>45474</v>
          </cell>
          <cell r="D259" t="str">
            <v>Not delivered</v>
          </cell>
          <cell r="E259">
            <v>507142416</v>
          </cell>
          <cell r="F259">
            <v>180</v>
          </cell>
          <cell r="G259">
            <v>1376248</v>
          </cell>
          <cell r="H259" t="str">
            <v>FP-008:CVR L.PINK P/BLK MANDOM RV1 12A</v>
          </cell>
          <cell r="I259">
            <v>10000</v>
          </cell>
          <cell r="J259" t="str">
            <v>UN</v>
          </cell>
          <cell r="K259">
            <v>45583</v>
          </cell>
        </row>
        <row r="260">
          <cell r="A260" t="str">
            <v>507142416190</v>
          </cell>
          <cell r="B260" t="str">
            <v>ZMTD</v>
          </cell>
          <cell r="C260">
            <v>45474</v>
          </cell>
          <cell r="D260" t="str">
            <v>Not delivered</v>
          </cell>
          <cell r="E260">
            <v>507142416</v>
          </cell>
          <cell r="F260">
            <v>190</v>
          </cell>
          <cell r="G260">
            <v>1171179</v>
          </cell>
          <cell r="H260" t="str">
            <v>FP-008:BS INJ BLK NO DC MANDOM</v>
          </cell>
          <cell r="I260">
            <v>10000</v>
          </cell>
          <cell r="J260" t="str">
            <v>UN</v>
          </cell>
          <cell r="K260">
            <v>45583</v>
          </cell>
        </row>
        <row r="261">
          <cell r="A261" t="str">
            <v>50714228010</v>
          </cell>
          <cell r="B261" t="str">
            <v>ZMTD</v>
          </cell>
          <cell r="C261">
            <v>45447</v>
          </cell>
          <cell r="D261" t="str">
            <v>Not delivered</v>
          </cell>
          <cell r="E261">
            <v>507142280</v>
          </cell>
          <cell r="F261">
            <v>10</v>
          </cell>
          <cell r="G261">
            <v>1419488</v>
          </cell>
          <cell r="H261" t="str">
            <v>CP-063R:SPOUT CAP WHITE LOREAL 12A</v>
          </cell>
          <cell r="I261">
            <v>1890000</v>
          </cell>
          <cell r="J261" t="str">
            <v>UN</v>
          </cell>
          <cell r="K261">
            <v>45584</v>
          </cell>
        </row>
        <row r="262">
          <cell r="A262" t="str">
            <v>50714275210</v>
          </cell>
          <cell r="B262" t="str">
            <v>ZMTD</v>
          </cell>
          <cell r="C262">
            <v>45545</v>
          </cell>
          <cell r="D262" t="str">
            <v>Not delivered</v>
          </cell>
          <cell r="E262">
            <v>507142752</v>
          </cell>
          <cell r="F262">
            <v>10</v>
          </cell>
          <cell r="G262">
            <v>1169286</v>
          </cell>
          <cell r="H262" t="str">
            <v>CM-294:RECTANGULAR WITH GODET PKTJ010032</v>
          </cell>
          <cell r="I262">
            <v>43280</v>
          </cell>
          <cell r="J262" t="str">
            <v>UN</v>
          </cell>
          <cell r="K262">
            <v>45585</v>
          </cell>
        </row>
        <row r="263">
          <cell r="A263" t="str">
            <v>50714284010</v>
          </cell>
          <cell r="B263" t="str">
            <v>ZMTD</v>
          </cell>
          <cell r="C263">
            <v>45562</v>
          </cell>
          <cell r="D263" t="str">
            <v>Not delivered</v>
          </cell>
          <cell r="E263">
            <v>507142840</v>
          </cell>
          <cell r="F263">
            <v>10</v>
          </cell>
          <cell r="G263">
            <v>1225388</v>
          </cell>
          <cell r="H263" t="str">
            <v>RX-039 PT-024 CVR WHT SP/MAT CLR</v>
          </cell>
          <cell r="I263">
            <v>27000</v>
          </cell>
          <cell r="J263" t="str">
            <v>UN</v>
          </cell>
          <cell r="K263">
            <v>45586</v>
          </cell>
        </row>
        <row r="264">
          <cell r="A264" t="str">
            <v>50714278210</v>
          </cell>
          <cell r="B264" t="str">
            <v>ZMTD</v>
          </cell>
          <cell r="C264">
            <v>45554</v>
          </cell>
          <cell r="D264" t="str">
            <v>Not delivered</v>
          </cell>
          <cell r="E264">
            <v>507142782</v>
          </cell>
          <cell r="F264">
            <v>10</v>
          </cell>
          <cell r="G264">
            <v>1420101</v>
          </cell>
          <cell r="H264" t="str">
            <v>LS-091:BS RED P/RED FRTY CHERRY NEW 60B</v>
          </cell>
          <cell r="I264">
            <v>25688</v>
          </cell>
          <cell r="J264" t="str">
            <v>UN</v>
          </cell>
          <cell r="K264">
            <v>45586</v>
          </cell>
        </row>
        <row r="265">
          <cell r="A265" t="str">
            <v>50714273330</v>
          </cell>
          <cell r="B265" t="str">
            <v>ZMTD</v>
          </cell>
          <cell r="C265">
            <v>45544</v>
          </cell>
          <cell r="D265" t="str">
            <v>Not delivered</v>
          </cell>
          <cell r="E265">
            <v>507142733</v>
          </cell>
          <cell r="F265">
            <v>30</v>
          </cell>
          <cell r="G265">
            <v>1375595</v>
          </cell>
          <cell r="H265" t="str">
            <v>LC-009:BTL/INNER CLEAR P/OMG PTIPT 60B</v>
          </cell>
          <cell r="I265">
            <v>49770</v>
          </cell>
          <cell r="J265" t="str">
            <v>UN</v>
          </cell>
          <cell r="K265">
            <v>45586</v>
          </cell>
        </row>
        <row r="266">
          <cell r="A266" t="str">
            <v>50714273340</v>
          </cell>
          <cell r="B266" t="str">
            <v>ZMTD</v>
          </cell>
          <cell r="C266">
            <v>45544</v>
          </cell>
          <cell r="D266" t="str">
            <v>Not delivered</v>
          </cell>
          <cell r="E266">
            <v>507142733</v>
          </cell>
          <cell r="F266">
            <v>40</v>
          </cell>
          <cell r="G266">
            <v>1375593</v>
          </cell>
          <cell r="H266" t="str">
            <v>LC-009:CAP REDTRANS WIP S/OMG PTIPT 60B</v>
          </cell>
          <cell r="I266">
            <v>49770</v>
          </cell>
          <cell r="J266" t="str">
            <v>UN</v>
          </cell>
          <cell r="K266">
            <v>45586</v>
          </cell>
        </row>
        <row r="267">
          <cell r="A267" t="str">
            <v>50714271530</v>
          </cell>
          <cell r="B267" t="str">
            <v>ZMTD</v>
          </cell>
          <cell r="C267">
            <v>45538</v>
          </cell>
          <cell r="D267" t="str">
            <v>Not delivered</v>
          </cell>
          <cell r="E267">
            <v>507142715</v>
          </cell>
          <cell r="F267">
            <v>30</v>
          </cell>
          <cell r="G267">
            <v>1382368</v>
          </cell>
          <cell r="H267" t="str">
            <v>CP-067R:FT CAP35 SNAP BLK MATTE  Ø5 LRL</v>
          </cell>
          <cell r="I267">
            <v>400000</v>
          </cell>
          <cell r="J267" t="str">
            <v>UN</v>
          </cell>
          <cell r="K267">
            <v>45586</v>
          </cell>
        </row>
        <row r="268">
          <cell r="A268" t="str">
            <v>50714269910</v>
          </cell>
          <cell r="B268" t="str">
            <v>ZMTD</v>
          </cell>
          <cell r="C268">
            <v>45533</v>
          </cell>
          <cell r="D268" t="str">
            <v>Not delivered</v>
          </cell>
          <cell r="E268">
            <v>507142699</v>
          </cell>
          <cell r="F268">
            <v>10</v>
          </cell>
          <cell r="G268">
            <v>1315622</v>
          </cell>
          <cell r="H268" t="str">
            <v>CM-306:COTY BURBERRY PLATFORM QUAD</v>
          </cell>
          <cell r="I268">
            <v>32400</v>
          </cell>
          <cell r="J268" t="str">
            <v>UN</v>
          </cell>
          <cell r="K268">
            <v>45586</v>
          </cell>
        </row>
        <row r="269">
          <cell r="A269" t="str">
            <v>50714260630</v>
          </cell>
          <cell r="B269" t="str">
            <v>ZMTD</v>
          </cell>
          <cell r="C269">
            <v>45509</v>
          </cell>
          <cell r="D269" t="str">
            <v>Not delivered</v>
          </cell>
          <cell r="E269">
            <v>507142606</v>
          </cell>
          <cell r="F269">
            <v>30</v>
          </cell>
          <cell r="G269">
            <v>1172020</v>
          </cell>
          <cell r="H269" t="str">
            <v>FP-028:SLEEVE EYELASHES 01SLMAC EL</v>
          </cell>
          <cell r="I269">
            <v>80256</v>
          </cell>
          <cell r="J269" t="str">
            <v>UN</v>
          </cell>
          <cell r="K269">
            <v>45586</v>
          </cell>
        </row>
        <row r="270">
          <cell r="A270" t="str">
            <v>50714260640</v>
          </cell>
          <cell r="B270" t="str">
            <v>ZMTD</v>
          </cell>
          <cell r="C270">
            <v>45509</v>
          </cell>
          <cell r="D270" t="str">
            <v>Not delivered</v>
          </cell>
          <cell r="E270">
            <v>507142606</v>
          </cell>
          <cell r="F270">
            <v>40</v>
          </cell>
          <cell r="G270">
            <v>1170605</v>
          </cell>
          <cell r="H270" t="str">
            <v>FP-028:WHITE TR EYLSHS P/ 01PLMAC EL</v>
          </cell>
          <cell r="I270">
            <v>80514</v>
          </cell>
          <cell r="J270" t="str">
            <v>UN</v>
          </cell>
          <cell r="K270">
            <v>45586</v>
          </cell>
        </row>
        <row r="271">
          <cell r="A271" t="str">
            <v>50714243310</v>
          </cell>
          <cell r="B271" t="str">
            <v>ZMTD</v>
          </cell>
          <cell r="C271">
            <v>45475</v>
          </cell>
          <cell r="D271" t="str">
            <v>Not delivered</v>
          </cell>
          <cell r="E271">
            <v>507142433</v>
          </cell>
          <cell r="F271">
            <v>10</v>
          </cell>
          <cell r="G271">
            <v>1406600</v>
          </cell>
          <cell r="H271" t="str">
            <v>CM-310:BLACK M086 CANNAGE S/SLV UV MT</v>
          </cell>
          <cell r="I271">
            <v>39000</v>
          </cell>
          <cell r="J271" t="str">
            <v>UN</v>
          </cell>
          <cell r="K271">
            <v>45586</v>
          </cell>
        </row>
        <row r="272">
          <cell r="A272" t="str">
            <v>50714228110</v>
          </cell>
          <cell r="B272" t="str">
            <v>ZMTD</v>
          </cell>
          <cell r="C272">
            <v>45447</v>
          </cell>
          <cell r="D272" t="str">
            <v>Not delivered</v>
          </cell>
          <cell r="E272">
            <v>507142281</v>
          </cell>
          <cell r="F272">
            <v>10</v>
          </cell>
          <cell r="G272">
            <v>1419488</v>
          </cell>
          <cell r="H272" t="str">
            <v>CP-063R:SPOUT CAP WHITE LOREAL 12A</v>
          </cell>
          <cell r="I272">
            <v>1890000</v>
          </cell>
          <cell r="J272" t="str">
            <v>UN</v>
          </cell>
          <cell r="K272">
            <v>45586</v>
          </cell>
        </row>
        <row r="273">
          <cell r="A273" t="str">
            <v>50714283110</v>
          </cell>
          <cell r="B273" t="str">
            <v>ZMTD</v>
          </cell>
          <cell r="C273">
            <v>45561</v>
          </cell>
          <cell r="D273" t="str">
            <v>Not delivered</v>
          </cell>
          <cell r="E273">
            <v>507142831</v>
          </cell>
          <cell r="F273">
            <v>10</v>
          </cell>
          <cell r="G273">
            <v>1367372</v>
          </cell>
          <cell r="H273" t="str">
            <v>PT-097:BODY GREN HOUSE WHT TRANS PTI 12A</v>
          </cell>
          <cell r="I273">
            <v>50220</v>
          </cell>
          <cell r="J273" t="str">
            <v>UN</v>
          </cell>
          <cell r="K273">
            <v>45587</v>
          </cell>
        </row>
        <row r="274">
          <cell r="A274" t="str">
            <v>50714283120</v>
          </cell>
          <cell r="B274" t="str">
            <v>ZMTD</v>
          </cell>
          <cell r="C274">
            <v>45561</v>
          </cell>
          <cell r="D274" t="str">
            <v>Not delivered</v>
          </cell>
          <cell r="E274">
            <v>507142831</v>
          </cell>
          <cell r="F274">
            <v>20</v>
          </cell>
          <cell r="G274">
            <v>1367370</v>
          </cell>
          <cell r="H274" t="str">
            <v>PT-097:CAP GREN TRANS PTI 12A</v>
          </cell>
          <cell r="I274">
            <v>50220</v>
          </cell>
          <cell r="J274" t="str">
            <v>UN</v>
          </cell>
          <cell r="K274">
            <v>45587</v>
          </cell>
        </row>
        <row r="275">
          <cell r="A275" t="str">
            <v>50714283410</v>
          </cell>
          <cell r="B275" t="str">
            <v>ZMTD</v>
          </cell>
          <cell r="C275">
            <v>45561</v>
          </cell>
          <cell r="D275" t="str">
            <v>Not delivered</v>
          </cell>
          <cell r="E275">
            <v>507142834</v>
          </cell>
          <cell r="F275">
            <v>10</v>
          </cell>
          <cell r="G275">
            <v>1209355</v>
          </cell>
          <cell r="H275" t="str">
            <v>CP-092:VM SLVR WRDH TREAT ESSENCE PTI20F</v>
          </cell>
          <cell r="I275">
            <v>25200</v>
          </cell>
          <cell r="J275" t="str">
            <v>UN</v>
          </cell>
          <cell r="K275">
            <v>45587</v>
          </cell>
        </row>
        <row r="276">
          <cell r="A276" t="str">
            <v>50714283510</v>
          </cell>
          <cell r="B276" t="str">
            <v>ZMTD</v>
          </cell>
          <cell r="C276">
            <v>45561</v>
          </cell>
          <cell r="D276" t="str">
            <v>Not delivered</v>
          </cell>
          <cell r="E276">
            <v>507142835</v>
          </cell>
          <cell r="F276">
            <v>10</v>
          </cell>
          <cell r="G276">
            <v>1167571</v>
          </cell>
          <cell r="H276" t="str">
            <v>FP-014:BS CLEAR NO DC PTI</v>
          </cell>
          <cell r="I276">
            <v>10080</v>
          </cell>
          <cell r="J276" t="str">
            <v>UN</v>
          </cell>
          <cell r="K276">
            <v>45587</v>
          </cell>
        </row>
        <row r="277">
          <cell r="A277" t="str">
            <v>50714283520</v>
          </cell>
          <cell r="B277" t="str">
            <v>ZMTD</v>
          </cell>
          <cell r="C277">
            <v>45561</v>
          </cell>
          <cell r="D277" t="str">
            <v>Not delivered</v>
          </cell>
          <cell r="E277">
            <v>507142835</v>
          </cell>
          <cell r="F277">
            <v>20</v>
          </cell>
          <cell r="G277">
            <v>1174020</v>
          </cell>
          <cell r="H277" t="str">
            <v>FP-014:CVR BLCK COAT P/DC MAKE OVER  PTI</v>
          </cell>
          <cell r="I277">
            <v>10080</v>
          </cell>
          <cell r="J277" t="str">
            <v>UN</v>
          </cell>
          <cell r="K277">
            <v>45587</v>
          </cell>
        </row>
        <row r="278">
          <cell r="A278" t="str">
            <v>50714283530</v>
          </cell>
          <cell r="B278" t="str">
            <v>ZMTD</v>
          </cell>
          <cell r="C278">
            <v>45561</v>
          </cell>
          <cell r="D278" t="str">
            <v>Not delivered</v>
          </cell>
          <cell r="E278">
            <v>507142835</v>
          </cell>
          <cell r="F278">
            <v>30</v>
          </cell>
          <cell r="G278">
            <v>1167434</v>
          </cell>
          <cell r="H278" t="str">
            <v>FP-014:SFTR NATURAL W/ LABEL POLOS PTI</v>
          </cell>
          <cell r="I278">
            <v>10080</v>
          </cell>
          <cell r="J278" t="str">
            <v>UN</v>
          </cell>
          <cell r="K278">
            <v>45587</v>
          </cell>
        </row>
        <row r="279">
          <cell r="A279" t="str">
            <v>50714283710</v>
          </cell>
          <cell r="B279" t="str">
            <v>ZMTD</v>
          </cell>
          <cell r="C279">
            <v>45561</v>
          </cell>
          <cell r="D279" t="str">
            <v>Not delivered</v>
          </cell>
          <cell r="E279">
            <v>507142837</v>
          </cell>
          <cell r="F279">
            <v>10</v>
          </cell>
          <cell r="G279">
            <v>1408740</v>
          </cell>
          <cell r="H279" t="str">
            <v>PT-097B:BDSR.2 BLU HOUS WHT TRNS PTI12A</v>
          </cell>
          <cell r="I279">
            <v>110160</v>
          </cell>
          <cell r="J279" t="str">
            <v>UN</v>
          </cell>
          <cell r="K279">
            <v>45587</v>
          </cell>
        </row>
        <row r="280">
          <cell r="A280" t="str">
            <v>50714283720</v>
          </cell>
          <cell r="B280" t="str">
            <v>ZMTD</v>
          </cell>
          <cell r="C280">
            <v>45561</v>
          </cell>
          <cell r="D280" t="str">
            <v>Not delivered</v>
          </cell>
          <cell r="E280">
            <v>507142837</v>
          </cell>
          <cell r="F280">
            <v>20</v>
          </cell>
          <cell r="G280">
            <v>1408739</v>
          </cell>
          <cell r="H280" t="str">
            <v>PT-097B:CAP SR.2 BLUE TRANS PTI 12A</v>
          </cell>
          <cell r="I280">
            <v>110160</v>
          </cell>
          <cell r="J280" t="str">
            <v>UN</v>
          </cell>
          <cell r="K280">
            <v>45587</v>
          </cell>
        </row>
        <row r="281">
          <cell r="A281" t="str">
            <v>50714282010</v>
          </cell>
          <cell r="B281" t="str">
            <v>ZMTD</v>
          </cell>
          <cell r="C281">
            <v>45560</v>
          </cell>
          <cell r="D281" t="str">
            <v>Not delivered</v>
          </cell>
          <cell r="E281">
            <v>507142820</v>
          </cell>
          <cell r="F281">
            <v>10</v>
          </cell>
          <cell r="G281">
            <v>1169047</v>
          </cell>
          <cell r="H281" t="str">
            <v>LS-285:B V/SL P/1PS SLEV H/SL BLM PTI20R</v>
          </cell>
          <cell r="I281">
            <v>25536</v>
          </cell>
          <cell r="J281" t="str">
            <v>UN</v>
          </cell>
          <cell r="K281">
            <v>45587</v>
          </cell>
        </row>
        <row r="282">
          <cell r="A282" t="str">
            <v>50714282020</v>
          </cell>
          <cell r="B282" t="str">
            <v>ZMTD</v>
          </cell>
          <cell r="C282">
            <v>45560</v>
          </cell>
          <cell r="D282" t="str">
            <v>Not delivered</v>
          </cell>
          <cell r="E282">
            <v>507142820</v>
          </cell>
          <cell r="F282">
            <v>20</v>
          </cell>
          <cell r="G282">
            <v>1169062</v>
          </cell>
          <cell r="H282" t="str">
            <v>LS-285:CV TRANS MATE 1 P/1PS VAR2 PTI40H</v>
          </cell>
          <cell r="I282">
            <v>25536</v>
          </cell>
          <cell r="J282" t="str">
            <v>UN</v>
          </cell>
          <cell r="K282">
            <v>45587</v>
          </cell>
        </row>
        <row r="283">
          <cell r="A283" t="str">
            <v>50714278020</v>
          </cell>
          <cell r="B283" t="str">
            <v>ZMTD</v>
          </cell>
          <cell r="C283">
            <v>45554</v>
          </cell>
          <cell r="D283" t="str">
            <v>Not delivered</v>
          </cell>
          <cell r="E283">
            <v>507142780</v>
          </cell>
          <cell r="F283">
            <v>20</v>
          </cell>
          <cell r="G283">
            <v>1409881</v>
          </cell>
          <cell r="H283" t="str">
            <v>CM-315:CVR/BS BLACK P/CVRLAST OMG RV160B</v>
          </cell>
          <cell r="I283">
            <v>50204</v>
          </cell>
          <cell r="J283" t="str">
            <v>UN</v>
          </cell>
          <cell r="K283">
            <v>45587</v>
          </cell>
        </row>
        <row r="284">
          <cell r="A284" t="str">
            <v>50714275750</v>
          </cell>
          <cell r="B284" t="str">
            <v>ZMTD</v>
          </cell>
          <cell r="C284">
            <v>45547</v>
          </cell>
          <cell r="D284" t="str">
            <v>Not delivered</v>
          </cell>
          <cell r="E284">
            <v>507142757</v>
          </cell>
          <cell r="F284">
            <v>50</v>
          </cell>
          <cell r="G284">
            <v>1411701</v>
          </cell>
          <cell r="H284" t="str">
            <v>PT-100:BS/INS BLUE P/WHT KAHF PTI 60B</v>
          </cell>
          <cell r="I284">
            <v>60160</v>
          </cell>
          <cell r="J284" t="str">
            <v>UN</v>
          </cell>
          <cell r="K284">
            <v>45587</v>
          </cell>
        </row>
        <row r="285">
          <cell r="A285" t="str">
            <v>50714275760</v>
          </cell>
          <cell r="B285" t="str">
            <v>ZMTD</v>
          </cell>
          <cell r="C285">
            <v>45547</v>
          </cell>
          <cell r="D285" t="str">
            <v>Not delivered</v>
          </cell>
          <cell r="E285">
            <v>507142757</v>
          </cell>
          <cell r="F285">
            <v>60</v>
          </cell>
          <cell r="G285">
            <v>1411700</v>
          </cell>
          <cell r="H285" t="str">
            <v>PT-100:CVR MT.BLUE EMBOS KAHF PTI 40D</v>
          </cell>
          <cell r="I285">
            <v>60160</v>
          </cell>
          <cell r="J285" t="str">
            <v>UN</v>
          </cell>
          <cell r="K285">
            <v>45587</v>
          </cell>
        </row>
        <row r="286">
          <cell r="A286" t="str">
            <v>50714274270</v>
          </cell>
          <cell r="B286" t="str">
            <v>ZMTD</v>
          </cell>
          <cell r="C286">
            <v>45544</v>
          </cell>
          <cell r="D286" t="str">
            <v>Not delivered</v>
          </cell>
          <cell r="E286">
            <v>507142742</v>
          </cell>
          <cell r="F286">
            <v>70</v>
          </cell>
          <cell r="G286">
            <v>1437039</v>
          </cell>
          <cell r="H286" t="str">
            <v>CM-290:1PC BS CV MT.BLK S/ EMBOS OMG 40C</v>
          </cell>
          <cell r="I286">
            <v>36456</v>
          </cell>
          <cell r="J286" t="str">
            <v>UN</v>
          </cell>
          <cell r="K286">
            <v>45587</v>
          </cell>
        </row>
        <row r="287">
          <cell r="A287" t="str">
            <v>50714274280</v>
          </cell>
          <cell r="B287" t="str">
            <v>ZMTD</v>
          </cell>
          <cell r="C287">
            <v>45544</v>
          </cell>
          <cell r="D287" t="str">
            <v>Not delivered</v>
          </cell>
          <cell r="E287">
            <v>507142742</v>
          </cell>
          <cell r="F287">
            <v>80</v>
          </cell>
          <cell r="G287">
            <v>1437140</v>
          </cell>
          <cell r="H287" t="str">
            <v>CM-290:ENGINE CV RED, BS BLK OMG PTI 12A</v>
          </cell>
          <cell r="I287">
            <v>29904</v>
          </cell>
          <cell r="J287" t="str">
            <v>UN</v>
          </cell>
          <cell r="K287">
            <v>45587</v>
          </cell>
        </row>
        <row r="288">
          <cell r="A288" t="str">
            <v>50714274290</v>
          </cell>
          <cell r="B288" t="str">
            <v>ZMTD</v>
          </cell>
          <cell r="C288">
            <v>45544</v>
          </cell>
          <cell r="D288" t="str">
            <v>Not delivered</v>
          </cell>
          <cell r="E288">
            <v>507142742</v>
          </cell>
          <cell r="F288">
            <v>90</v>
          </cell>
          <cell r="G288">
            <v>1437141</v>
          </cell>
          <cell r="H288" t="str">
            <v>CM-290:RING BLACK OMG PTI 12A</v>
          </cell>
          <cell r="I288">
            <v>29904</v>
          </cell>
          <cell r="J288" t="str">
            <v>UN</v>
          </cell>
          <cell r="K288">
            <v>45587</v>
          </cell>
        </row>
        <row r="289">
          <cell r="A289" t="str">
            <v>50714273020</v>
          </cell>
          <cell r="B289" t="str">
            <v>ZMTD</v>
          </cell>
          <cell r="C289">
            <v>45541</v>
          </cell>
          <cell r="D289" t="str">
            <v>Not delivered</v>
          </cell>
          <cell r="E289">
            <v>507142730</v>
          </cell>
          <cell r="F289">
            <v>20</v>
          </cell>
          <cell r="G289">
            <v>1371896</v>
          </cell>
          <cell r="H289" t="str">
            <v>RX-056:CM-316 CVR BLUE P/WHT SP/MTCLR</v>
          </cell>
          <cell r="I289">
            <v>110016</v>
          </cell>
          <cell r="J289" t="str">
            <v>UN</v>
          </cell>
          <cell r="K289">
            <v>45587</v>
          </cell>
        </row>
        <row r="290">
          <cell r="A290" t="str">
            <v>50714262410</v>
          </cell>
          <cell r="B290" t="str">
            <v>ZMTD</v>
          </cell>
          <cell r="C290">
            <v>45513</v>
          </cell>
          <cell r="D290" t="str">
            <v>Not delivered</v>
          </cell>
          <cell r="E290">
            <v>507142624</v>
          </cell>
          <cell r="F290">
            <v>10</v>
          </cell>
          <cell r="G290">
            <v>1195860</v>
          </cell>
          <cell r="H290" t="str">
            <v>CM-248:WHITE  ZRPJ010031 S/CLINIQUE</v>
          </cell>
          <cell r="I290">
            <v>12600</v>
          </cell>
          <cell r="J290" t="str">
            <v>UN</v>
          </cell>
          <cell r="K290">
            <v>45587</v>
          </cell>
        </row>
        <row r="291">
          <cell r="A291" t="str">
            <v>50714252910</v>
          </cell>
          <cell r="B291" t="str">
            <v>ZMTD</v>
          </cell>
          <cell r="C291">
            <v>45488</v>
          </cell>
          <cell r="D291" t="str">
            <v>Not delivered</v>
          </cell>
          <cell r="E291">
            <v>507142529</v>
          </cell>
          <cell r="F291">
            <v>10</v>
          </cell>
          <cell r="G291">
            <v>1255662</v>
          </cell>
          <cell r="H291" t="str">
            <v>LC-002:BTL MT VAR12 P/WRDH B.MARK PTI40H</v>
          </cell>
          <cell r="I291">
            <v>31500</v>
          </cell>
          <cell r="J291" t="str">
            <v>UN</v>
          </cell>
          <cell r="K291">
            <v>45587</v>
          </cell>
        </row>
        <row r="292">
          <cell r="A292" t="str">
            <v>50714252920</v>
          </cell>
          <cell r="B292" t="str">
            <v>ZMTD</v>
          </cell>
          <cell r="C292">
            <v>45488</v>
          </cell>
          <cell r="D292" t="str">
            <v>Not delivered</v>
          </cell>
          <cell r="E292">
            <v>507142529</v>
          </cell>
          <cell r="F292">
            <v>20</v>
          </cell>
          <cell r="G292">
            <v>1174820</v>
          </cell>
          <cell r="H292" t="str">
            <v>LC-002:CP S/MT VAR12 STM-WHT WNAT PTI40D</v>
          </cell>
          <cell r="I292">
            <v>31500</v>
          </cell>
          <cell r="J292" t="str">
            <v>UN</v>
          </cell>
          <cell r="K292">
            <v>45587</v>
          </cell>
        </row>
        <row r="293">
          <cell r="A293" t="str">
            <v>50714247910</v>
          </cell>
          <cell r="B293" t="str">
            <v>ZMTD</v>
          </cell>
          <cell r="C293">
            <v>45483</v>
          </cell>
          <cell r="D293" t="str">
            <v>Not delivered</v>
          </cell>
          <cell r="E293">
            <v>507142479</v>
          </cell>
          <cell r="F293">
            <v>10</v>
          </cell>
          <cell r="G293">
            <v>1195535</v>
          </cell>
          <cell r="H293" t="str">
            <v>FP-039:BASE SAN CLEAR HS KIKO PREMIER</v>
          </cell>
          <cell r="I293">
            <v>51408</v>
          </cell>
          <cell r="J293" t="str">
            <v>UN</v>
          </cell>
          <cell r="K293">
            <v>45587</v>
          </cell>
        </row>
        <row r="294">
          <cell r="A294" t="str">
            <v>50714248010</v>
          </cell>
          <cell r="B294" t="str">
            <v>ZMTD</v>
          </cell>
          <cell r="C294">
            <v>45483</v>
          </cell>
          <cell r="D294" t="str">
            <v>Not delivered</v>
          </cell>
          <cell r="E294">
            <v>507142480</v>
          </cell>
          <cell r="F294">
            <v>10</v>
          </cell>
          <cell r="G294">
            <v>1191869</v>
          </cell>
          <cell r="H294" t="str">
            <v>FP-039:CVR WHITE VM DARK SILVER  KIKO</v>
          </cell>
          <cell r="I294">
            <v>50688</v>
          </cell>
          <cell r="J294" t="str">
            <v>UN</v>
          </cell>
          <cell r="K294">
            <v>45587</v>
          </cell>
        </row>
        <row r="295">
          <cell r="A295" t="str">
            <v>507142416210</v>
          </cell>
          <cell r="B295" t="str">
            <v>ZMTD</v>
          </cell>
          <cell r="C295">
            <v>45474</v>
          </cell>
          <cell r="D295" t="str">
            <v>Not delivered</v>
          </cell>
          <cell r="E295">
            <v>507142416</v>
          </cell>
          <cell r="F295">
            <v>210</v>
          </cell>
          <cell r="G295">
            <v>1376248</v>
          </cell>
          <cell r="H295" t="str">
            <v>FP-008:CVR L.PINK P/BLK MANDOM RV1 12A</v>
          </cell>
          <cell r="I295">
            <v>10000</v>
          </cell>
          <cell r="J295" t="str">
            <v>UN</v>
          </cell>
          <cell r="K295">
            <v>45587</v>
          </cell>
        </row>
        <row r="296">
          <cell r="A296" t="str">
            <v>507142416220</v>
          </cell>
          <cell r="B296" t="str">
            <v>ZMTD</v>
          </cell>
          <cell r="C296">
            <v>45474</v>
          </cell>
          <cell r="D296" t="str">
            <v>Not delivered</v>
          </cell>
          <cell r="E296">
            <v>507142416</v>
          </cell>
          <cell r="F296">
            <v>220</v>
          </cell>
          <cell r="G296">
            <v>1171179</v>
          </cell>
          <cell r="H296" t="str">
            <v>FP-008:BS INJ BLK NO DC MANDOM</v>
          </cell>
          <cell r="I296">
            <v>10000</v>
          </cell>
          <cell r="J296" t="str">
            <v>UN</v>
          </cell>
          <cell r="K296">
            <v>45587</v>
          </cell>
        </row>
        <row r="297">
          <cell r="A297" t="str">
            <v>507142416230</v>
          </cell>
          <cell r="B297" t="str">
            <v>ZMTD</v>
          </cell>
          <cell r="C297">
            <v>45474</v>
          </cell>
          <cell r="D297" t="str">
            <v>Not delivered</v>
          </cell>
          <cell r="E297">
            <v>507142416</v>
          </cell>
          <cell r="F297">
            <v>230</v>
          </cell>
          <cell r="G297">
            <v>1172027</v>
          </cell>
          <cell r="H297" t="str">
            <v>FP-008:SFT NAT L.HINGE W/LBL NO DC MDM</v>
          </cell>
          <cell r="I297">
            <v>10000</v>
          </cell>
          <cell r="J297" t="str">
            <v>UN</v>
          </cell>
          <cell r="K297">
            <v>45587</v>
          </cell>
        </row>
        <row r="298">
          <cell r="A298" t="str">
            <v>50714228210</v>
          </cell>
          <cell r="B298" t="str">
            <v>ZMTD</v>
          </cell>
          <cell r="C298">
            <v>45447</v>
          </cell>
          <cell r="D298" t="str">
            <v>Not delivered</v>
          </cell>
          <cell r="E298">
            <v>507142282</v>
          </cell>
          <cell r="F298">
            <v>10</v>
          </cell>
          <cell r="G298">
            <v>1419488</v>
          </cell>
          <cell r="H298" t="str">
            <v>CP-063R:SPOUT CAP WHITE LOREAL 12A</v>
          </cell>
          <cell r="I298">
            <v>1890000</v>
          </cell>
          <cell r="J298" t="str">
            <v>UN</v>
          </cell>
          <cell r="K298">
            <v>45587</v>
          </cell>
        </row>
        <row r="299">
          <cell r="A299" t="str">
            <v>50714283610</v>
          </cell>
          <cell r="B299" t="str">
            <v>ZMTD</v>
          </cell>
          <cell r="C299">
            <v>45561</v>
          </cell>
          <cell r="D299" t="str">
            <v>Not delivered</v>
          </cell>
          <cell r="E299">
            <v>507142836</v>
          </cell>
          <cell r="F299">
            <v>10</v>
          </cell>
          <cell r="G299">
            <v>1261370</v>
          </cell>
          <cell r="H299" t="str">
            <v>CP-090:CAP ADORE VMPURPLE NOEMBOS PTI20F</v>
          </cell>
          <cell r="I299">
            <v>25272</v>
          </cell>
          <cell r="J299" t="str">
            <v>UN</v>
          </cell>
          <cell r="K299">
            <v>45588</v>
          </cell>
        </row>
        <row r="300">
          <cell r="A300" t="str">
            <v>50714282710</v>
          </cell>
          <cell r="B300" t="str">
            <v>ZMTD</v>
          </cell>
          <cell r="C300">
            <v>45560</v>
          </cell>
          <cell r="D300" t="str">
            <v>Not delivered</v>
          </cell>
          <cell r="E300">
            <v>507142827</v>
          </cell>
          <cell r="F300">
            <v>10</v>
          </cell>
          <cell r="G300">
            <v>1411213</v>
          </cell>
          <cell r="H300" t="str">
            <v>CM-105:BLCK COAT P/MAKE OVER PTI RV1 40H</v>
          </cell>
          <cell r="I300">
            <v>20160</v>
          </cell>
          <cell r="J300" t="str">
            <v>UN</v>
          </cell>
          <cell r="K300">
            <v>45588</v>
          </cell>
        </row>
        <row r="301">
          <cell r="A301" t="str">
            <v>50714282810</v>
          </cell>
          <cell r="B301" t="str">
            <v>ZMTD</v>
          </cell>
          <cell r="C301">
            <v>45560</v>
          </cell>
          <cell r="D301" t="str">
            <v>Not delivered</v>
          </cell>
          <cell r="E301">
            <v>507142828</v>
          </cell>
          <cell r="F301">
            <v>10</v>
          </cell>
          <cell r="G301">
            <v>1168132</v>
          </cell>
          <cell r="H301" t="str">
            <v>LS-285:BS WHT NO DC WARDAH</v>
          </cell>
          <cell r="I301">
            <v>120232</v>
          </cell>
          <cell r="J301" t="str">
            <v>UN</v>
          </cell>
          <cell r="K301">
            <v>45588</v>
          </cell>
        </row>
        <row r="302">
          <cell r="A302" t="str">
            <v>50714282820</v>
          </cell>
          <cell r="B302" t="str">
            <v>ZMTD</v>
          </cell>
          <cell r="C302">
            <v>45560</v>
          </cell>
          <cell r="D302" t="str">
            <v>Not delivered</v>
          </cell>
          <cell r="E302">
            <v>507142828</v>
          </cell>
          <cell r="F302">
            <v>20</v>
          </cell>
          <cell r="G302">
            <v>1421509</v>
          </cell>
          <cell r="H302" t="str">
            <v>LS-285:CV ORNG P/WHT UV ORGSQUEZE PTI30O</v>
          </cell>
          <cell r="I302">
            <v>120232</v>
          </cell>
          <cell r="J302" t="str">
            <v>UN</v>
          </cell>
          <cell r="K302">
            <v>45588</v>
          </cell>
        </row>
        <row r="303">
          <cell r="A303" t="str">
            <v>50714279710</v>
          </cell>
          <cell r="B303" t="str">
            <v>ZMTD</v>
          </cell>
          <cell r="C303">
            <v>45558</v>
          </cell>
          <cell r="D303" t="str">
            <v>Not delivered</v>
          </cell>
          <cell r="E303">
            <v>507142797</v>
          </cell>
          <cell r="F303">
            <v>10</v>
          </cell>
          <cell r="G303">
            <v>1383131</v>
          </cell>
          <cell r="H303" t="str">
            <v>LC-004:CAP PINK P2037C WIP HANUM MLA 40D</v>
          </cell>
          <cell r="I303">
            <v>25000</v>
          </cell>
          <cell r="J303" t="str">
            <v>UN</v>
          </cell>
          <cell r="K303">
            <v>45588</v>
          </cell>
        </row>
        <row r="304">
          <cell r="A304" t="str">
            <v>50714279720</v>
          </cell>
          <cell r="B304" t="str">
            <v>ZMTD</v>
          </cell>
          <cell r="C304">
            <v>45558</v>
          </cell>
          <cell r="D304" t="str">
            <v>Not delivered</v>
          </cell>
          <cell r="E304">
            <v>507142797</v>
          </cell>
          <cell r="F304">
            <v>20</v>
          </cell>
          <cell r="G304">
            <v>1383133</v>
          </cell>
          <cell r="H304" t="str">
            <v>LC-004:BTLCLR CLPINK2037C P/HANUM MLA40H</v>
          </cell>
          <cell r="I304">
            <v>25000</v>
          </cell>
          <cell r="J304" t="str">
            <v>UN</v>
          </cell>
          <cell r="K304">
            <v>45588</v>
          </cell>
        </row>
        <row r="305">
          <cell r="A305" t="str">
            <v>50714275690</v>
          </cell>
          <cell r="B305" t="str">
            <v>ZMTD</v>
          </cell>
          <cell r="C305">
            <v>45547</v>
          </cell>
          <cell r="D305" t="str">
            <v>Not delivered</v>
          </cell>
          <cell r="E305">
            <v>507142756</v>
          </cell>
          <cell r="F305">
            <v>90</v>
          </cell>
          <cell r="G305">
            <v>1411899</v>
          </cell>
          <cell r="H305" t="str">
            <v>PT-100:BS/INS GREEN P/WHT KAHF PTI 60B</v>
          </cell>
          <cell r="I305">
            <v>65280</v>
          </cell>
          <cell r="J305" t="str">
            <v>UN</v>
          </cell>
          <cell r="K305">
            <v>45588</v>
          </cell>
        </row>
        <row r="306">
          <cell r="A306" t="str">
            <v>507142756100</v>
          </cell>
          <cell r="B306" t="str">
            <v>ZMTD</v>
          </cell>
          <cell r="C306">
            <v>45547</v>
          </cell>
          <cell r="D306" t="str">
            <v>Not delivered</v>
          </cell>
          <cell r="E306">
            <v>507142756</v>
          </cell>
          <cell r="F306">
            <v>100</v>
          </cell>
          <cell r="G306">
            <v>1411898</v>
          </cell>
          <cell r="H306" t="str">
            <v>PT-100:CVR MT.GREEN EMBOS KAHF PTI 40D</v>
          </cell>
          <cell r="I306">
            <v>65280</v>
          </cell>
          <cell r="J306" t="str">
            <v>UN</v>
          </cell>
          <cell r="K306">
            <v>45588</v>
          </cell>
        </row>
        <row r="307">
          <cell r="A307" t="str">
            <v>50714270530</v>
          </cell>
          <cell r="B307" t="str">
            <v>ZMTD</v>
          </cell>
          <cell r="C307">
            <v>45534</v>
          </cell>
          <cell r="D307" t="str">
            <v>Partially delivered</v>
          </cell>
          <cell r="E307">
            <v>507142705</v>
          </cell>
          <cell r="F307">
            <v>30</v>
          </cell>
          <cell r="G307">
            <v>1342220</v>
          </cell>
          <cell r="H307" t="str">
            <v>LC-010:BTL CLR HTF COLBEIGE CFIT PTI 60C</v>
          </cell>
          <cell r="I307">
            <v>100170</v>
          </cell>
          <cell r="J307" t="str">
            <v>UN</v>
          </cell>
          <cell r="K307">
            <v>45588</v>
          </cell>
        </row>
        <row r="308">
          <cell r="A308" t="str">
            <v>50714270540</v>
          </cell>
          <cell r="B308" t="str">
            <v>ZMTD</v>
          </cell>
          <cell r="C308">
            <v>45534</v>
          </cell>
          <cell r="D308" t="str">
            <v>Partially delivered</v>
          </cell>
          <cell r="E308">
            <v>507142705</v>
          </cell>
          <cell r="F308">
            <v>40</v>
          </cell>
          <cell r="G308">
            <v>1342221</v>
          </cell>
          <cell r="H308" t="str">
            <v>LC-010:CAP BEIGE WIP NAT PTI 12A</v>
          </cell>
          <cell r="I308">
            <v>100170</v>
          </cell>
          <cell r="J308" t="str">
            <v>UN</v>
          </cell>
          <cell r="K308">
            <v>45588</v>
          </cell>
        </row>
        <row r="309">
          <cell r="A309" t="str">
            <v>50714270810</v>
          </cell>
          <cell r="B309" t="str">
            <v>ZMTD</v>
          </cell>
          <cell r="C309">
            <v>45534</v>
          </cell>
          <cell r="D309" t="str">
            <v>Not delivered</v>
          </cell>
          <cell r="E309">
            <v>507142708</v>
          </cell>
          <cell r="F309">
            <v>10</v>
          </cell>
          <cell r="G309">
            <v>1215637</v>
          </cell>
          <cell r="H309" t="str">
            <v>CM-105:UV DBRW P/P8022C WWGLAM RUDYS 40C</v>
          </cell>
          <cell r="I309">
            <v>10000</v>
          </cell>
          <cell r="J309" t="str">
            <v>UN</v>
          </cell>
          <cell r="K309">
            <v>45588</v>
          </cell>
        </row>
        <row r="310">
          <cell r="A310" t="str">
            <v>50714263010</v>
          </cell>
          <cell r="B310" t="str">
            <v>ZMTD</v>
          </cell>
          <cell r="C310">
            <v>45516</v>
          </cell>
          <cell r="D310" t="str">
            <v>Not delivered</v>
          </cell>
          <cell r="E310">
            <v>507142630</v>
          </cell>
          <cell r="F310">
            <v>10</v>
          </cell>
          <cell r="G310">
            <v>1436641</v>
          </cell>
          <cell r="H310" t="str">
            <v>CM-310:BLUE UV S/SILVER DIOR PEPSPE+IXPE</v>
          </cell>
          <cell r="I310">
            <v>64800</v>
          </cell>
          <cell r="J310" t="str">
            <v>UN</v>
          </cell>
          <cell r="K310">
            <v>45588</v>
          </cell>
        </row>
        <row r="311">
          <cell r="A311" t="str">
            <v>50714262110</v>
          </cell>
          <cell r="B311" t="str">
            <v>ZMTD</v>
          </cell>
          <cell r="C311">
            <v>45512</v>
          </cell>
          <cell r="D311" t="str">
            <v>Not delivered</v>
          </cell>
          <cell r="E311">
            <v>507142621</v>
          </cell>
          <cell r="F311">
            <v>10</v>
          </cell>
          <cell r="G311">
            <v>1198670</v>
          </cell>
          <cell r="H311" t="str">
            <v>BRUSH HALFMOON ULT CRMY PWDRBL</v>
          </cell>
          <cell r="I311">
            <v>20000</v>
          </cell>
          <cell r="J311" t="str">
            <v>UN</v>
          </cell>
          <cell r="K311">
            <v>45588</v>
          </cell>
        </row>
        <row r="312">
          <cell r="A312" t="str">
            <v>50714282110</v>
          </cell>
          <cell r="B312" t="str">
            <v>ZMTD</v>
          </cell>
          <cell r="C312">
            <v>45560</v>
          </cell>
          <cell r="D312" t="str">
            <v>Not delivered</v>
          </cell>
          <cell r="E312">
            <v>507142821</v>
          </cell>
          <cell r="F312">
            <v>10</v>
          </cell>
          <cell r="G312">
            <v>1153319</v>
          </cell>
          <cell r="H312" t="str">
            <v>LS-285:BS/SPRL BEIGE P/WRDH PTI 40H</v>
          </cell>
          <cell r="I312">
            <v>25536</v>
          </cell>
          <cell r="J312" t="str">
            <v>UN</v>
          </cell>
          <cell r="K312">
            <v>45589</v>
          </cell>
        </row>
        <row r="313">
          <cell r="A313" t="str">
            <v>50714282120</v>
          </cell>
          <cell r="B313" t="str">
            <v>ZMTD</v>
          </cell>
          <cell r="C313">
            <v>45560</v>
          </cell>
          <cell r="D313" t="str">
            <v>Not delivered</v>
          </cell>
          <cell r="E313">
            <v>507142821</v>
          </cell>
          <cell r="F313">
            <v>20</v>
          </cell>
          <cell r="G313">
            <v>1153467</v>
          </cell>
          <cell r="H313" t="str">
            <v>LS-285:CVR MT BEIGE P/S.SEOUL PTI40H</v>
          </cell>
          <cell r="I313">
            <v>25536</v>
          </cell>
          <cell r="J313" t="str">
            <v>UN</v>
          </cell>
          <cell r="K313">
            <v>45589</v>
          </cell>
        </row>
        <row r="314">
          <cell r="A314" t="str">
            <v>50714282210</v>
          </cell>
          <cell r="B314" t="str">
            <v>ZMTD</v>
          </cell>
          <cell r="C314">
            <v>45560</v>
          </cell>
          <cell r="D314" t="str">
            <v>Not delivered</v>
          </cell>
          <cell r="E314">
            <v>507142822</v>
          </cell>
          <cell r="F314">
            <v>10</v>
          </cell>
          <cell r="G314">
            <v>1153319</v>
          </cell>
          <cell r="H314" t="str">
            <v>LS-285:BS/SPRL BEIGE P/WRDH PTI 40H</v>
          </cell>
          <cell r="I314">
            <v>25536</v>
          </cell>
          <cell r="J314" t="str">
            <v>UN</v>
          </cell>
          <cell r="K314">
            <v>45589</v>
          </cell>
        </row>
        <row r="315">
          <cell r="A315" t="str">
            <v>50714282220</v>
          </cell>
          <cell r="B315" t="str">
            <v>ZMTD</v>
          </cell>
          <cell r="C315">
            <v>45560</v>
          </cell>
          <cell r="D315" t="str">
            <v>Not delivered</v>
          </cell>
          <cell r="E315">
            <v>507142822</v>
          </cell>
          <cell r="F315">
            <v>20</v>
          </cell>
          <cell r="G315">
            <v>1153469</v>
          </cell>
          <cell r="H315" t="str">
            <v>LS-285:CVR MT BEIGE P/HONGDAE PTI40H</v>
          </cell>
          <cell r="I315">
            <v>25536</v>
          </cell>
          <cell r="J315" t="str">
            <v>UN</v>
          </cell>
          <cell r="K315">
            <v>45589</v>
          </cell>
        </row>
        <row r="316">
          <cell r="A316" t="str">
            <v>50714282310</v>
          </cell>
          <cell r="B316" t="str">
            <v>ZMTD</v>
          </cell>
          <cell r="C316">
            <v>45560</v>
          </cell>
          <cell r="D316" t="str">
            <v>Not delivered</v>
          </cell>
          <cell r="E316">
            <v>507142823</v>
          </cell>
          <cell r="F316">
            <v>10</v>
          </cell>
          <cell r="G316">
            <v>1169047</v>
          </cell>
          <cell r="H316" t="str">
            <v>LS-285:B V/SL P/1PS SLEV H/SL BLM PTI20R</v>
          </cell>
          <cell r="I316">
            <v>25536</v>
          </cell>
          <cell r="J316" t="str">
            <v>UN</v>
          </cell>
          <cell r="K316">
            <v>45589</v>
          </cell>
        </row>
        <row r="317">
          <cell r="A317" t="str">
            <v>50714282320</v>
          </cell>
          <cell r="B317" t="str">
            <v>ZMTD</v>
          </cell>
          <cell r="C317">
            <v>45560</v>
          </cell>
          <cell r="D317" t="str">
            <v>Not delivered</v>
          </cell>
          <cell r="E317">
            <v>507142823</v>
          </cell>
          <cell r="F317">
            <v>20</v>
          </cell>
          <cell r="G317">
            <v>1171889</v>
          </cell>
          <cell r="H317" t="str">
            <v>LS-285:CV TRANS MATE 7 P/1PS VAR6 PTI40H</v>
          </cell>
          <cell r="I317">
            <v>25536</v>
          </cell>
          <cell r="J317" t="str">
            <v>UN</v>
          </cell>
          <cell r="K317">
            <v>45589</v>
          </cell>
        </row>
        <row r="318">
          <cell r="A318" t="str">
            <v>50714282410</v>
          </cell>
          <cell r="B318" t="str">
            <v>ZMTD</v>
          </cell>
          <cell r="C318">
            <v>45560</v>
          </cell>
          <cell r="D318" t="str">
            <v>Not delivered</v>
          </cell>
          <cell r="E318">
            <v>507142824</v>
          </cell>
          <cell r="F318">
            <v>10</v>
          </cell>
          <cell r="G318">
            <v>1386990</v>
          </cell>
          <cell r="H318" t="str">
            <v>CM-099:CVR BS MTBEIGE P/QUAD RV1 PTI 40H</v>
          </cell>
          <cell r="I318">
            <v>20160</v>
          </cell>
          <cell r="J318" t="str">
            <v>UN</v>
          </cell>
          <cell r="K318">
            <v>45589</v>
          </cell>
        </row>
        <row r="319">
          <cell r="A319" t="str">
            <v>50714282510</v>
          </cell>
          <cell r="B319" t="str">
            <v>ZMTD</v>
          </cell>
          <cell r="C319">
            <v>45560</v>
          </cell>
          <cell r="D319" t="str">
            <v>Not delivered</v>
          </cell>
          <cell r="E319">
            <v>507142825</v>
          </cell>
          <cell r="F319">
            <v>10</v>
          </cell>
          <cell r="G319">
            <v>1174001</v>
          </cell>
          <cell r="H319" t="str">
            <v>CM-133:CVR/BS MTLC GREN UV S/SLV WRDH30C</v>
          </cell>
          <cell r="I319">
            <v>20160</v>
          </cell>
          <cell r="J319" t="str">
            <v>UN</v>
          </cell>
          <cell r="K319">
            <v>45589</v>
          </cell>
        </row>
        <row r="320">
          <cell r="A320" t="str">
            <v>50714254330</v>
          </cell>
          <cell r="B320" t="str">
            <v>ZMTD</v>
          </cell>
          <cell r="C320">
            <v>45491</v>
          </cell>
          <cell r="D320" t="str">
            <v>Not delivered</v>
          </cell>
          <cell r="E320">
            <v>507142543</v>
          </cell>
          <cell r="F320">
            <v>30</v>
          </cell>
          <cell r="G320">
            <v>1278860</v>
          </cell>
          <cell r="H320" t="str">
            <v>CM-296:WHT P/L.AGELES W/O HOLE COTY TAOR</v>
          </cell>
          <cell r="I320">
            <v>57600</v>
          </cell>
          <cell r="J320" t="str">
            <v>UN</v>
          </cell>
          <cell r="K320">
            <v>45589</v>
          </cell>
        </row>
        <row r="321">
          <cell r="A321" t="str">
            <v>50714241740</v>
          </cell>
          <cell r="B321" t="str">
            <v>ZMTD</v>
          </cell>
          <cell r="C321">
            <v>45474</v>
          </cell>
          <cell r="D321" t="str">
            <v>Not delivered</v>
          </cell>
          <cell r="E321">
            <v>507142417</v>
          </cell>
          <cell r="F321">
            <v>40</v>
          </cell>
          <cell r="G321">
            <v>1405657</v>
          </cell>
          <cell r="H321" t="str">
            <v>CM-273:CV UV BS BRONZE P/PIXYSLKY RV130L</v>
          </cell>
          <cell r="I321">
            <v>10000</v>
          </cell>
          <cell r="J321" t="str">
            <v>UN</v>
          </cell>
          <cell r="K321">
            <v>45589</v>
          </cell>
        </row>
        <row r="322">
          <cell r="A322" t="str">
            <v>50714279310</v>
          </cell>
          <cell r="B322" t="str">
            <v>ZMTD</v>
          </cell>
          <cell r="C322">
            <v>45555</v>
          </cell>
          <cell r="D322" t="str">
            <v>Not delivered</v>
          </cell>
          <cell r="E322">
            <v>507142793</v>
          </cell>
          <cell r="F322">
            <v>10</v>
          </cell>
          <cell r="G322">
            <v>1243914</v>
          </cell>
          <cell r="H322" t="str">
            <v>TR-007:PLUG PET LULUR100GR CLR HRTA CSMO</v>
          </cell>
          <cell r="I322">
            <v>10000</v>
          </cell>
          <cell r="J322" t="str">
            <v>UN</v>
          </cell>
          <cell r="K322">
            <v>45590</v>
          </cell>
        </row>
        <row r="323">
          <cell r="A323" t="str">
            <v>50714278230</v>
          </cell>
          <cell r="B323" t="str">
            <v>ZMTD</v>
          </cell>
          <cell r="C323">
            <v>45554</v>
          </cell>
          <cell r="D323" t="str">
            <v>Not delivered</v>
          </cell>
          <cell r="E323">
            <v>507142782</v>
          </cell>
          <cell r="F323">
            <v>30</v>
          </cell>
          <cell r="G323">
            <v>1420082</v>
          </cell>
          <cell r="H323" t="str">
            <v>LS-091:BS PEACH P/REDFRTY STRAWBR NEW60B</v>
          </cell>
          <cell r="I323">
            <v>27664</v>
          </cell>
          <cell r="J323" t="str">
            <v>UN</v>
          </cell>
          <cell r="K323">
            <v>45590</v>
          </cell>
        </row>
        <row r="324">
          <cell r="A324" t="str">
            <v>50714278240</v>
          </cell>
          <cell r="B324" t="str">
            <v>ZMTD</v>
          </cell>
          <cell r="C324">
            <v>45554</v>
          </cell>
          <cell r="D324" t="str">
            <v>Not delivered</v>
          </cell>
          <cell r="E324">
            <v>507142782</v>
          </cell>
          <cell r="F324">
            <v>40</v>
          </cell>
          <cell r="G324">
            <v>1420083</v>
          </cell>
          <cell r="H324" t="str">
            <v>LS-091:CV WHT P/ICE FRUITY STRAWBERY 60B</v>
          </cell>
          <cell r="I324">
            <v>27664</v>
          </cell>
          <cell r="J324" t="str">
            <v>UN</v>
          </cell>
          <cell r="K324">
            <v>45590</v>
          </cell>
        </row>
        <row r="325">
          <cell r="A325" t="str">
            <v>50714276560</v>
          </cell>
          <cell r="B325" t="str">
            <v>ZMTD</v>
          </cell>
          <cell r="C325">
            <v>45552</v>
          </cell>
          <cell r="D325" t="str">
            <v>Not delivered</v>
          </cell>
          <cell r="E325">
            <v>507142765</v>
          </cell>
          <cell r="F325">
            <v>60</v>
          </cell>
          <cell r="G325">
            <v>1398383</v>
          </cell>
          <cell r="H325" t="str">
            <v>CM-319:WHITE P/BLACK UV MATTE NARS</v>
          </cell>
          <cell r="I325">
            <v>40080</v>
          </cell>
          <cell r="J325" t="str">
            <v>UN</v>
          </cell>
          <cell r="K325">
            <v>45590</v>
          </cell>
        </row>
        <row r="326">
          <cell r="A326" t="str">
            <v>50714262610</v>
          </cell>
          <cell r="B326" t="str">
            <v>ZMTD</v>
          </cell>
          <cell r="C326">
            <v>45516</v>
          </cell>
          <cell r="D326" t="str">
            <v>Not delivered</v>
          </cell>
          <cell r="E326">
            <v>507142626</v>
          </cell>
          <cell r="F326">
            <v>10</v>
          </cell>
          <cell r="G326">
            <v>1212608</v>
          </cell>
          <cell r="H326" t="str">
            <v>FP-014:CVR BLUE S/LOGO INEZ GOLD KSI 50C</v>
          </cell>
          <cell r="I326">
            <v>25000</v>
          </cell>
          <cell r="J326" t="str">
            <v>UN</v>
          </cell>
          <cell r="K326">
            <v>45590</v>
          </cell>
        </row>
        <row r="327">
          <cell r="A327" t="str">
            <v>50714262620</v>
          </cell>
          <cell r="B327" t="str">
            <v>ZMTD</v>
          </cell>
          <cell r="C327">
            <v>45516</v>
          </cell>
          <cell r="D327" t="str">
            <v>Not delivered</v>
          </cell>
          <cell r="E327">
            <v>507142626</v>
          </cell>
          <cell r="F327">
            <v>20</v>
          </cell>
          <cell r="G327">
            <v>1212609</v>
          </cell>
          <cell r="H327" t="str">
            <v>FP-014:SFTR NAT STICKER TRANS KSI 12A</v>
          </cell>
          <cell r="I327">
            <v>25000</v>
          </cell>
          <cell r="J327" t="str">
            <v>UN</v>
          </cell>
          <cell r="K327">
            <v>45590</v>
          </cell>
        </row>
        <row r="328">
          <cell r="A328" t="str">
            <v>50714262630</v>
          </cell>
          <cell r="B328" t="str">
            <v>ZMTD</v>
          </cell>
          <cell r="C328">
            <v>45516</v>
          </cell>
          <cell r="D328" t="str">
            <v>Not delivered</v>
          </cell>
          <cell r="E328">
            <v>507142626</v>
          </cell>
          <cell r="F328">
            <v>30</v>
          </cell>
          <cell r="G328">
            <v>1212640</v>
          </cell>
          <cell r="H328" t="str">
            <v>FP-014:BS CLR SPRYGRDS S/INEZ GLD 40C</v>
          </cell>
          <cell r="I328">
            <v>25000</v>
          </cell>
          <cell r="J328" t="str">
            <v>UN</v>
          </cell>
          <cell r="K328">
            <v>45590</v>
          </cell>
        </row>
        <row r="329">
          <cell r="A329" t="str">
            <v>50714260010</v>
          </cell>
          <cell r="B329" t="str">
            <v>ZMTD</v>
          </cell>
          <cell r="C329">
            <v>45509</v>
          </cell>
          <cell r="D329" t="str">
            <v>Not delivered</v>
          </cell>
          <cell r="E329">
            <v>507142600</v>
          </cell>
          <cell r="F329">
            <v>10</v>
          </cell>
          <cell r="G329">
            <v>1414413</v>
          </cell>
          <cell r="H329" t="str">
            <v>CM-216:S/RED INFAILLIBLE  L'OREAL US</v>
          </cell>
          <cell r="I329">
            <v>70000</v>
          </cell>
          <cell r="J329" t="str">
            <v>UN</v>
          </cell>
          <cell r="K329">
            <v>45590</v>
          </cell>
        </row>
        <row r="330">
          <cell r="A330" t="str">
            <v>50714271310</v>
          </cell>
          <cell r="B330" t="str">
            <v>ZMTD</v>
          </cell>
          <cell r="C330">
            <v>45538</v>
          </cell>
          <cell r="D330" t="str">
            <v>Not delivered</v>
          </cell>
          <cell r="E330">
            <v>507142713</v>
          </cell>
          <cell r="F330">
            <v>10</v>
          </cell>
          <cell r="G330">
            <v>1376248</v>
          </cell>
          <cell r="H330" t="str">
            <v>FP-008:CVR L.PINK P/BLK MANDOM RV1 12A</v>
          </cell>
          <cell r="I330">
            <v>10000</v>
          </cell>
          <cell r="J330" t="str">
            <v>UN</v>
          </cell>
          <cell r="K330">
            <v>45591</v>
          </cell>
        </row>
        <row r="331">
          <cell r="A331" t="str">
            <v>50714271320</v>
          </cell>
          <cell r="B331" t="str">
            <v>ZMTD</v>
          </cell>
          <cell r="C331">
            <v>45538</v>
          </cell>
          <cell r="D331" t="str">
            <v>Not delivered</v>
          </cell>
          <cell r="E331">
            <v>507142713</v>
          </cell>
          <cell r="F331">
            <v>20</v>
          </cell>
          <cell r="G331">
            <v>1171179</v>
          </cell>
          <cell r="H331" t="str">
            <v>FP-008:BS INJ BLK NO DC MANDOM</v>
          </cell>
          <cell r="I331">
            <v>10000</v>
          </cell>
          <cell r="J331" t="str">
            <v>UN</v>
          </cell>
          <cell r="K331">
            <v>45591</v>
          </cell>
        </row>
        <row r="332">
          <cell r="A332" t="str">
            <v>50714271330</v>
          </cell>
          <cell r="B332" t="str">
            <v>ZMTD</v>
          </cell>
          <cell r="C332">
            <v>45538</v>
          </cell>
          <cell r="D332" t="str">
            <v>Not delivered</v>
          </cell>
          <cell r="E332">
            <v>507142713</v>
          </cell>
          <cell r="F332">
            <v>30</v>
          </cell>
          <cell r="G332">
            <v>1172027</v>
          </cell>
          <cell r="H332" t="str">
            <v>FP-008:SFT NAT L.HINGE W/LBL NO DC MDM</v>
          </cell>
          <cell r="I332">
            <v>10000</v>
          </cell>
          <cell r="J332" t="str">
            <v>UN</v>
          </cell>
          <cell r="K332">
            <v>45591</v>
          </cell>
        </row>
        <row r="333">
          <cell r="A333" t="str">
            <v>50714271340</v>
          </cell>
          <cell r="B333" t="str">
            <v>ZMTD</v>
          </cell>
          <cell r="C333">
            <v>45538</v>
          </cell>
          <cell r="D333" t="str">
            <v>Not delivered</v>
          </cell>
          <cell r="E333">
            <v>507142713</v>
          </cell>
          <cell r="F333">
            <v>40</v>
          </cell>
          <cell r="G333">
            <v>1376248</v>
          </cell>
          <cell r="H333" t="str">
            <v>FP-008:CVR L.PINK P/BLK MANDOM RV1 12A</v>
          </cell>
          <cell r="I333">
            <v>10000</v>
          </cell>
          <cell r="J333" t="str">
            <v>UN</v>
          </cell>
          <cell r="K333">
            <v>45591</v>
          </cell>
        </row>
        <row r="334">
          <cell r="A334" t="str">
            <v>50714271350</v>
          </cell>
          <cell r="B334" t="str">
            <v>ZMTD</v>
          </cell>
          <cell r="C334">
            <v>45538</v>
          </cell>
          <cell r="D334" t="str">
            <v>Not delivered</v>
          </cell>
          <cell r="E334">
            <v>507142713</v>
          </cell>
          <cell r="F334">
            <v>50</v>
          </cell>
          <cell r="G334">
            <v>1171179</v>
          </cell>
          <cell r="H334" t="str">
            <v>FP-008:BS INJ BLK NO DC MANDOM</v>
          </cell>
          <cell r="I334">
            <v>10000</v>
          </cell>
          <cell r="J334" t="str">
            <v>UN</v>
          </cell>
          <cell r="K334">
            <v>45591</v>
          </cell>
        </row>
        <row r="335">
          <cell r="A335" t="str">
            <v>50714271360</v>
          </cell>
          <cell r="B335" t="str">
            <v>ZMTD</v>
          </cell>
          <cell r="C335">
            <v>45538</v>
          </cell>
          <cell r="D335" t="str">
            <v>Not delivered</v>
          </cell>
          <cell r="E335">
            <v>507142713</v>
          </cell>
          <cell r="F335">
            <v>60</v>
          </cell>
          <cell r="G335">
            <v>1172027</v>
          </cell>
          <cell r="H335" t="str">
            <v>FP-008:SFT NAT L.HINGE W/LBL NO DC MDM</v>
          </cell>
          <cell r="I335">
            <v>10000</v>
          </cell>
          <cell r="J335" t="str">
            <v>UN</v>
          </cell>
          <cell r="K335">
            <v>45591</v>
          </cell>
        </row>
        <row r="336">
          <cell r="A336" t="str">
            <v>50714271370</v>
          </cell>
          <cell r="B336" t="str">
            <v>ZMTD</v>
          </cell>
          <cell r="C336">
            <v>45538</v>
          </cell>
          <cell r="D336" t="str">
            <v>Not delivered</v>
          </cell>
          <cell r="E336">
            <v>507142713</v>
          </cell>
          <cell r="F336">
            <v>70</v>
          </cell>
          <cell r="G336">
            <v>1256191</v>
          </cell>
          <cell r="H336" t="str">
            <v>LS-285:COVER RED PX LCC NO DC MNDOM 12A</v>
          </cell>
          <cell r="I336">
            <v>10000</v>
          </cell>
          <cell r="J336" t="str">
            <v>UN</v>
          </cell>
          <cell r="K336">
            <v>45591</v>
          </cell>
        </row>
        <row r="337">
          <cell r="A337" t="str">
            <v>50714271380</v>
          </cell>
          <cell r="B337" t="str">
            <v>ZMTD</v>
          </cell>
          <cell r="C337">
            <v>45538</v>
          </cell>
          <cell r="D337" t="str">
            <v>Not delivered</v>
          </cell>
          <cell r="E337">
            <v>507142713</v>
          </cell>
          <cell r="F337">
            <v>80</v>
          </cell>
          <cell r="G337">
            <v>1393259</v>
          </cell>
          <cell r="H337" t="str">
            <v>LS-285:BS RED PX LCC P/BLK MNDOM RV1 60B</v>
          </cell>
          <cell r="I337">
            <v>10000</v>
          </cell>
          <cell r="J337" t="str">
            <v>UN</v>
          </cell>
          <cell r="K337">
            <v>45591</v>
          </cell>
        </row>
        <row r="338">
          <cell r="A338" t="str">
            <v>50714241750</v>
          </cell>
          <cell r="B338" t="str">
            <v>ZMTD</v>
          </cell>
          <cell r="C338">
            <v>45474</v>
          </cell>
          <cell r="D338" t="str">
            <v>Not delivered</v>
          </cell>
          <cell r="E338">
            <v>507142417</v>
          </cell>
          <cell r="F338">
            <v>50</v>
          </cell>
          <cell r="G338">
            <v>1405657</v>
          </cell>
          <cell r="H338" t="str">
            <v>CM-273:CV UV BS BRONZE P/PIXYSLKY RV130L</v>
          </cell>
          <cell r="I338">
            <v>10000</v>
          </cell>
          <cell r="J338" t="str">
            <v>UN</v>
          </cell>
          <cell r="K338">
            <v>45591</v>
          </cell>
        </row>
        <row r="339">
          <cell r="A339" t="str">
            <v>50714285110</v>
          </cell>
          <cell r="B339" t="str">
            <v>ZMTD</v>
          </cell>
          <cell r="C339">
            <v>45568</v>
          </cell>
          <cell r="D339" t="str">
            <v>Not delivered</v>
          </cell>
          <cell r="E339">
            <v>507142851</v>
          </cell>
          <cell r="F339">
            <v>10</v>
          </cell>
          <cell r="G339">
            <v>1437039</v>
          </cell>
          <cell r="H339" t="str">
            <v>CM-290:1PC BS CV MT.BLK S/ EMBOS OMG 40C</v>
          </cell>
          <cell r="I339">
            <v>35112</v>
          </cell>
          <cell r="J339" t="str">
            <v>UN</v>
          </cell>
          <cell r="K339">
            <v>45593</v>
          </cell>
        </row>
        <row r="340">
          <cell r="A340" t="str">
            <v>50714285120</v>
          </cell>
          <cell r="B340" t="str">
            <v>ZMTD</v>
          </cell>
          <cell r="C340">
            <v>45568</v>
          </cell>
          <cell r="D340" t="str">
            <v>Not delivered</v>
          </cell>
          <cell r="E340">
            <v>507142851</v>
          </cell>
          <cell r="F340">
            <v>20</v>
          </cell>
          <cell r="G340">
            <v>1437140</v>
          </cell>
          <cell r="H340" t="str">
            <v>CM-290:ENGINE CV RED, BS BLK OMG PTI 12A</v>
          </cell>
          <cell r="I340">
            <v>35112</v>
          </cell>
          <cell r="J340" t="str">
            <v>UN</v>
          </cell>
          <cell r="K340">
            <v>45593</v>
          </cell>
        </row>
        <row r="341">
          <cell r="A341" t="str">
            <v>50714285130</v>
          </cell>
          <cell r="B341" t="str">
            <v>ZMTD</v>
          </cell>
          <cell r="C341">
            <v>45568</v>
          </cell>
          <cell r="D341" t="str">
            <v>Not delivered</v>
          </cell>
          <cell r="E341">
            <v>507142851</v>
          </cell>
          <cell r="F341">
            <v>30</v>
          </cell>
          <cell r="G341">
            <v>1437141</v>
          </cell>
          <cell r="H341" t="str">
            <v>CM-290:RING BLACK OMG PTI 12A</v>
          </cell>
          <cell r="I341">
            <v>35112</v>
          </cell>
          <cell r="J341" t="str">
            <v>UN</v>
          </cell>
          <cell r="K341">
            <v>45593</v>
          </cell>
        </row>
        <row r="342">
          <cell r="A342" t="str">
            <v>50714283810</v>
          </cell>
          <cell r="B342" t="str">
            <v>ZMTD</v>
          </cell>
          <cell r="C342">
            <v>45561</v>
          </cell>
          <cell r="D342" t="str">
            <v>Not delivered</v>
          </cell>
          <cell r="E342">
            <v>507142838</v>
          </cell>
          <cell r="F342">
            <v>10</v>
          </cell>
          <cell r="G342">
            <v>1276491</v>
          </cell>
          <cell r="H342" t="str">
            <v>CM-105:CV VM RSGLD BS MT P/INSTA PTI 20X</v>
          </cell>
          <cell r="I342">
            <v>25200</v>
          </cell>
          <cell r="J342" t="str">
            <v>UN</v>
          </cell>
          <cell r="K342">
            <v>45593</v>
          </cell>
        </row>
        <row r="343">
          <cell r="A343" t="str">
            <v>50714271810</v>
          </cell>
          <cell r="B343" t="str">
            <v>ZMTD</v>
          </cell>
          <cell r="C343">
            <v>45539</v>
          </cell>
          <cell r="D343" t="str">
            <v>Not delivered</v>
          </cell>
          <cell r="E343">
            <v>507142718</v>
          </cell>
          <cell r="F343">
            <v>10</v>
          </cell>
          <cell r="G343">
            <v>1175678</v>
          </cell>
          <cell r="H343" t="str">
            <v>CM-073:MATTE SLV TWO WAY CAKE NO DC IMM</v>
          </cell>
          <cell r="I343">
            <v>10000</v>
          </cell>
          <cell r="J343" t="str">
            <v>UN</v>
          </cell>
          <cell r="K343">
            <v>45593</v>
          </cell>
        </row>
        <row r="344">
          <cell r="A344" t="str">
            <v>50714243320</v>
          </cell>
          <cell r="B344" t="str">
            <v>ZMTD</v>
          </cell>
          <cell r="C344">
            <v>45475</v>
          </cell>
          <cell r="D344" t="str">
            <v>Not delivered</v>
          </cell>
          <cell r="E344">
            <v>507142433</v>
          </cell>
          <cell r="F344">
            <v>20</v>
          </cell>
          <cell r="G344">
            <v>1406600</v>
          </cell>
          <cell r="H344" t="str">
            <v>CM-310:BLACK M086 CANNAGE S/SLV UV MT</v>
          </cell>
          <cell r="I344">
            <v>39000</v>
          </cell>
          <cell r="J344" t="str">
            <v>UN</v>
          </cell>
          <cell r="K344">
            <v>45593</v>
          </cell>
        </row>
        <row r="345">
          <cell r="A345" t="str">
            <v>50714228310</v>
          </cell>
          <cell r="B345" t="str">
            <v>ZMTD</v>
          </cell>
          <cell r="C345">
            <v>45447</v>
          </cell>
          <cell r="D345" t="str">
            <v>Not delivered</v>
          </cell>
          <cell r="E345">
            <v>507142283</v>
          </cell>
          <cell r="F345">
            <v>10</v>
          </cell>
          <cell r="G345">
            <v>1419488</v>
          </cell>
          <cell r="H345" t="str">
            <v>CP-063R:SPOUT CAP WHITE LOREAL 12A</v>
          </cell>
          <cell r="I345">
            <v>1890000</v>
          </cell>
          <cell r="J345" t="str">
            <v>UN</v>
          </cell>
          <cell r="K345">
            <v>45593</v>
          </cell>
        </row>
        <row r="346">
          <cell r="A346" t="str">
            <v>50714282720</v>
          </cell>
          <cell r="B346" t="str">
            <v>ZMTD</v>
          </cell>
          <cell r="C346">
            <v>45560</v>
          </cell>
          <cell r="D346" t="str">
            <v>Not delivered</v>
          </cell>
          <cell r="E346">
            <v>507142827</v>
          </cell>
          <cell r="F346">
            <v>20</v>
          </cell>
          <cell r="G346">
            <v>1411213</v>
          </cell>
          <cell r="H346" t="str">
            <v>CM-105:BLCK COAT P/MAKE OVER PTI RV1 40H</v>
          </cell>
          <cell r="I346">
            <v>9840</v>
          </cell>
          <cell r="J346" t="str">
            <v>UN</v>
          </cell>
          <cell r="K346">
            <v>45594</v>
          </cell>
        </row>
        <row r="347">
          <cell r="A347" t="str">
            <v>50714277210</v>
          </cell>
          <cell r="B347" t="str">
            <v>ZMTD</v>
          </cell>
          <cell r="C347">
            <v>45554</v>
          </cell>
          <cell r="D347" t="str">
            <v>Not delivered</v>
          </cell>
          <cell r="E347">
            <v>507142772</v>
          </cell>
          <cell r="F347">
            <v>10</v>
          </cell>
          <cell r="G347">
            <v>1378563</v>
          </cell>
          <cell r="H347" t="str">
            <v>CP-093:CAP D50 MT BLACK Ø.5 YASULOR 12A</v>
          </cell>
          <cell r="I347">
            <v>600000</v>
          </cell>
          <cell r="J347" t="str">
            <v>UN</v>
          </cell>
          <cell r="K347">
            <v>45594</v>
          </cell>
        </row>
        <row r="348">
          <cell r="A348" t="str">
            <v>50714278030</v>
          </cell>
          <cell r="B348" t="str">
            <v>ZMTD</v>
          </cell>
          <cell r="C348">
            <v>45554</v>
          </cell>
          <cell r="D348" t="str">
            <v>Not delivered</v>
          </cell>
          <cell r="E348">
            <v>507142780</v>
          </cell>
          <cell r="F348">
            <v>30</v>
          </cell>
          <cell r="G348">
            <v>1409881</v>
          </cell>
          <cell r="H348" t="str">
            <v>CM-315:CVR/BS BLACK P/CVRLAST OMG RV160B</v>
          </cell>
          <cell r="I348">
            <v>18172</v>
          </cell>
          <cell r="J348" t="str">
            <v>UN</v>
          </cell>
          <cell r="K348">
            <v>45594</v>
          </cell>
        </row>
        <row r="349">
          <cell r="A349" t="str">
            <v>50714275770</v>
          </cell>
          <cell r="B349" t="str">
            <v>ZMTD</v>
          </cell>
          <cell r="C349">
            <v>45547</v>
          </cell>
          <cell r="D349" t="str">
            <v>Not delivered</v>
          </cell>
          <cell r="E349">
            <v>507142757</v>
          </cell>
          <cell r="F349">
            <v>70</v>
          </cell>
          <cell r="G349">
            <v>1411701</v>
          </cell>
          <cell r="H349" t="str">
            <v>PT-100:BS/INS BLUE P/WHT KAHF PTI 60B</v>
          </cell>
          <cell r="I349">
            <v>21504</v>
          </cell>
          <cell r="J349" t="str">
            <v>UN</v>
          </cell>
          <cell r="K349">
            <v>45594</v>
          </cell>
        </row>
        <row r="350">
          <cell r="A350" t="str">
            <v>50714275780</v>
          </cell>
          <cell r="B350" t="str">
            <v>ZMTD</v>
          </cell>
          <cell r="C350">
            <v>45547</v>
          </cell>
          <cell r="D350" t="str">
            <v>Not delivered</v>
          </cell>
          <cell r="E350">
            <v>507142757</v>
          </cell>
          <cell r="F350">
            <v>80</v>
          </cell>
          <cell r="G350">
            <v>1411700</v>
          </cell>
          <cell r="H350" t="str">
            <v>PT-100:CVR MT.BLUE EMBOS KAHF PTI 40D</v>
          </cell>
          <cell r="I350">
            <v>21504</v>
          </cell>
          <cell r="J350" t="str">
            <v>UN</v>
          </cell>
          <cell r="K350">
            <v>45594</v>
          </cell>
        </row>
        <row r="351">
          <cell r="A351" t="str">
            <v>50714272410</v>
          </cell>
          <cell r="B351" t="str">
            <v>ZMTD</v>
          </cell>
          <cell r="C351">
            <v>45541</v>
          </cell>
          <cell r="D351" t="str">
            <v>Not delivered</v>
          </cell>
          <cell r="E351">
            <v>507142724</v>
          </cell>
          <cell r="F351">
            <v>10</v>
          </cell>
          <cell r="G351">
            <v>1233451</v>
          </cell>
          <cell r="H351" t="str">
            <v>CM-260:EYSHDW CVR BLKSPRY S/GLD VIVA 40C</v>
          </cell>
          <cell r="I351">
            <v>10080</v>
          </cell>
          <cell r="J351" t="str">
            <v>UN</v>
          </cell>
          <cell r="K351">
            <v>45594</v>
          </cell>
        </row>
        <row r="352">
          <cell r="A352" t="str">
            <v>50714273030</v>
          </cell>
          <cell r="B352" t="str">
            <v>ZMTD</v>
          </cell>
          <cell r="C352">
            <v>45541</v>
          </cell>
          <cell r="D352" t="str">
            <v>Not delivered</v>
          </cell>
          <cell r="E352">
            <v>507142730</v>
          </cell>
          <cell r="F352">
            <v>30</v>
          </cell>
          <cell r="G352">
            <v>1371896</v>
          </cell>
          <cell r="H352" t="str">
            <v>RX-056:CM-316 CVR BLUE P/WHT SP/MTCLR</v>
          </cell>
          <cell r="I352">
            <v>110016</v>
          </cell>
          <cell r="J352" t="str">
            <v>UN</v>
          </cell>
          <cell r="K352">
            <v>45594</v>
          </cell>
        </row>
        <row r="353">
          <cell r="A353" t="str">
            <v>50714270310</v>
          </cell>
          <cell r="B353" t="str">
            <v>ZMTD</v>
          </cell>
          <cell r="C353">
            <v>45534</v>
          </cell>
          <cell r="D353" t="str">
            <v>Not delivered</v>
          </cell>
          <cell r="E353">
            <v>507142703</v>
          </cell>
          <cell r="F353">
            <v>10</v>
          </cell>
          <cell r="G353">
            <v>1268053</v>
          </cell>
          <cell r="H353" t="str">
            <v>CM-117:CVR BS BLACK S/CLRSTA'22 SAS 50C</v>
          </cell>
          <cell r="I353">
            <v>10000</v>
          </cell>
          <cell r="J353" t="str">
            <v>UN</v>
          </cell>
          <cell r="K353">
            <v>45594</v>
          </cell>
        </row>
        <row r="354">
          <cell r="A354" t="str">
            <v>50800523220</v>
          </cell>
          <cell r="B354" t="str">
            <v>ZMFD</v>
          </cell>
          <cell r="C354">
            <v>45503</v>
          </cell>
          <cell r="D354" t="str">
            <v>Not delivered</v>
          </cell>
          <cell r="E354">
            <v>508005232</v>
          </cell>
          <cell r="F354">
            <v>20</v>
          </cell>
          <cell r="G354">
            <v>1305089</v>
          </cell>
          <cell r="H354" t="str">
            <v>CM-207:VM SHY SLV P/MATTE ZGH6010038 EL</v>
          </cell>
          <cell r="I354">
            <v>25920</v>
          </cell>
          <cell r="J354" t="str">
            <v>UN</v>
          </cell>
          <cell r="K354">
            <v>45594</v>
          </cell>
        </row>
        <row r="355">
          <cell r="A355" t="str">
            <v>50714241760</v>
          </cell>
          <cell r="B355" t="str">
            <v>ZMTD</v>
          </cell>
          <cell r="C355">
            <v>45474</v>
          </cell>
          <cell r="D355" t="str">
            <v>Not delivered</v>
          </cell>
          <cell r="E355">
            <v>507142417</v>
          </cell>
          <cell r="F355">
            <v>60</v>
          </cell>
          <cell r="G355">
            <v>1405657</v>
          </cell>
          <cell r="H355" t="str">
            <v>CM-273:CV UV BS BRONZE P/PIXYSLKY RV130L</v>
          </cell>
          <cell r="I355">
            <v>10000</v>
          </cell>
          <cell r="J355" t="str">
            <v>UN</v>
          </cell>
          <cell r="K355">
            <v>45594</v>
          </cell>
        </row>
        <row r="356">
          <cell r="A356" t="str">
            <v>50714283210</v>
          </cell>
          <cell r="B356" t="str">
            <v>ZMTD</v>
          </cell>
          <cell r="C356">
            <v>45561</v>
          </cell>
          <cell r="D356" t="str">
            <v>Not delivered</v>
          </cell>
          <cell r="E356">
            <v>507142832</v>
          </cell>
          <cell r="F356">
            <v>10</v>
          </cell>
          <cell r="G356">
            <v>1409881</v>
          </cell>
          <cell r="H356" t="str">
            <v>CM-315:CVR/BS BLACK P/CVRLAST OMG RV160B</v>
          </cell>
          <cell r="I356">
            <v>50204</v>
          </cell>
          <cell r="J356" t="str">
            <v>UN</v>
          </cell>
          <cell r="K356">
            <v>45595</v>
          </cell>
        </row>
        <row r="357">
          <cell r="A357" t="str">
            <v>50714278110</v>
          </cell>
          <cell r="B357" t="str">
            <v>ZMTD</v>
          </cell>
          <cell r="C357">
            <v>45554</v>
          </cell>
          <cell r="D357" t="str">
            <v>Not delivered</v>
          </cell>
          <cell r="E357">
            <v>507142781</v>
          </cell>
          <cell r="F357">
            <v>10</v>
          </cell>
          <cell r="G357">
            <v>1244215</v>
          </cell>
          <cell r="H357" t="str">
            <v>LC-004:CAP WHITE PEARL WIPNAT ROHTO 12A</v>
          </cell>
          <cell r="I357">
            <v>5000</v>
          </cell>
          <cell r="J357" t="str">
            <v>UN</v>
          </cell>
          <cell r="K357">
            <v>45595</v>
          </cell>
        </row>
        <row r="358">
          <cell r="A358" t="str">
            <v>50714278120</v>
          </cell>
          <cell r="B358" t="str">
            <v>ZMTD</v>
          </cell>
          <cell r="C358">
            <v>45554</v>
          </cell>
          <cell r="D358" t="str">
            <v>Not delivered</v>
          </cell>
          <cell r="E358">
            <v>507142781</v>
          </cell>
          <cell r="F358">
            <v>20</v>
          </cell>
          <cell r="G358">
            <v>1270258</v>
          </cell>
          <cell r="H358" t="str">
            <v>LC-004:BTL TRANS P/WHT FRUTPINK ROHTO60B</v>
          </cell>
          <cell r="I358">
            <v>5000</v>
          </cell>
          <cell r="J358" t="str">
            <v>UN</v>
          </cell>
          <cell r="K358">
            <v>45595</v>
          </cell>
        </row>
        <row r="359">
          <cell r="A359" t="str">
            <v>50714268220</v>
          </cell>
          <cell r="B359" t="str">
            <v>ZMTD</v>
          </cell>
          <cell r="C359">
            <v>45532</v>
          </cell>
          <cell r="D359" t="str">
            <v>Not delivered</v>
          </cell>
          <cell r="E359">
            <v>507142682</v>
          </cell>
          <cell r="F359">
            <v>20</v>
          </cell>
          <cell r="G359">
            <v>1209330</v>
          </cell>
          <cell r="H359" t="str">
            <v>RUBICELL:PUFF 52X5.8MM WHT W/RIBBON GNRL</v>
          </cell>
          <cell r="I359">
            <v>10000</v>
          </cell>
          <cell r="J359" t="str">
            <v>UN</v>
          </cell>
          <cell r="K359">
            <v>45595</v>
          </cell>
        </row>
        <row r="360">
          <cell r="A360" t="str">
            <v>50714268230</v>
          </cell>
          <cell r="B360" t="str">
            <v>ZMTD</v>
          </cell>
          <cell r="C360">
            <v>45532</v>
          </cell>
          <cell r="D360" t="str">
            <v>Not delivered</v>
          </cell>
          <cell r="E360">
            <v>507142682</v>
          </cell>
          <cell r="F360">
            <v>30</v>
          </cell>
          <cell r="G360">
            <v>1440082</v>
          </cell>
          <cell r="H360" t="str">
            <v>CM-290:1PC CV/BS PINK P/NEWFIVEZ MLA 60B</v>
          </cell>
          <cell r="I360">
            <v>10000</v>
          </cell>
          <cell r="J360" t="str">
            <v>UN</v>
          </cell>
          <cell r="K360">
            <v>45595</v>
          </cell>
        </row>
        <row r="361">
          <cell r="A361" t="str">
            <v>50714268240</v>
          </cell>
          <cell r="B361" t="str">
            <v>ZMTD</v>
          </cell>
          <cell r="C361">
            <v>45532</v>
          </cell>
          <cell r="D361" t="str">
            <v>Not delivered</v>
          </cell>
          <cell r="E361">
            <v>507142682</v>
          </cell>
          <cell r="F361">
            <v>40</v>
          </cell>
          <cell r="G361">
            <v>1440083</v>
          </cell>
          <cell r="H361" t="str">
            <v>CM-290:ENGINE PINK NEWFIVEZ MLA 12A</v>
          </cell>
          <cell r="I361">
            <v>10000</v>
          </cell>
          <cell r="J361" t="str">
            <v>UN</v>
          </cell>
          <cell r="K361">
            <v>45595</v>
          </cell>
        </row>
        <row r="362">
          <cell r="A362" t="str">
            <v>50714268250</v>
          </cell>
          <cell r="B362" t="str">
            <v>ZMTD</v>
          </cell>
          <cell r="C362">
            <v>45532</v>
          </cell>
          <cell r="D362" t="str">
            <v>Not delivered</v>
          </cell>
          <cell r="E362">
            <v>507142682</v>
          </cell>
          <cell r="F362">
            <v>50</v>
          </cell>
          <cell r="G362">
            <v>1440084</v>
          </cell>
          <cell r="H362" t="str">
            <v>CM-290:RING PINK NEWFIVEZ MLA 12A</v>
          </cell>
          <cell r="I362">
            <v>10000</v>
          </cell>
          <cell r="J362" t="str">
            <v>UN</v>
          </cell>
          <cell r="K362">
            <v>45595</v>
          </cell>
        </row>
        <row r="363">
          <cell r="A363" t="str">
            <v>50714263020</v>
          </cell>
          <cell r="B363" t="str">
            <v>ZMTD</v>
          </cell>
          <cell r="C363">
            <v>45516</v>
          </cell>
          <cell r="D363" t="str">
            <v>Not delivered</v>
          </cell>
          <cell r="E363">
            <v>507142630</v>
          </cell>
          <cell r="F363">
            <v>20</v>
          </cell>
          <cell r="G363">
            <v>1436641</v>
          </cell>
          <cell r="H363" t="str">
            <v>CM-310:BLUE UV S/SILVER DIOR PEPSPE+IXPE</v>
          </cell>
          <cell r="I363">
            <v>64800</v>
          </cell>
          <cell r="J363" t="str">
            <v>UN</v>
          </cell>
          <cell r="K363">
            <v>45595</v>
          </cell>
        </row>
        <row r="364">
          <cell r="A364" t="str">
            <v>50714244510</v>
          </cell>
          <cell r="B364" t="str">
            <v>ZMTD</v>
          </cell>
          <cell r="C364">
            <v>45476</v>
          </cell>
          <cell r="D364" t="str">
            <v>Not delivered</v>
          </cell>
          <cell r="E364">
            <v>507142445</v>
          </cell>
          <cell r="F364">
            <v>10</v>
          </cell>
          <cell r="G364">
            <v>1210981</v>
          </cell>
          <cell r="H364" t="str">
            <v>LS-092:COVER CLEAR P/WHT CSMAX 60B</v>
          </cell>
          <cell r="I364">
            <v>50400</v>
          </cell>
          <cell r="J364" t="str">
            <v>UN</v>
          </cell>
          <cell r="K364">
            <v>45595</v>
          </cell>
        </row>
        <row r="365">
          <cell r="A365" t="str">
            <v>50714244520</v>
          </cell>
          <cell r="B365" t="str">
            <v>ZMTD</v>
          </cell>
          <cell r="C365">
            <v>45476</v>
          </cell>
          <cell r="D365" t="str">
            <v>Not delivered</v>
          </cell>
          <cell r="E365">
            <v>507142445</v>
          </cell>
          <cell r="F365">
            <v>20</v>
          </cell>
          <cell r="G365">
            <v>1430493</v>
          </cell>
          <cell r="H365" t="str">
            <v>LS-092:BS WHT P/BLUE NP BLUE CSMXR02 60B</v>
          </cell>
          <cell r="I365">
            <v>50400</v>
          </cell>
          <cell r="J365" t="str">
            <v>UN</v>
          </cell>
          <cell r="K365">
            <v>45595</v>
          </cell>
        </row>
        <row r="366">
          <cell r="A366" t="str">
            <v>50714279410</v>
          </cell>
          <cell r="B366" t="str">
            <v>ZMTD</v>
          </cell>
          <cell r="C366">
            <v>45558</v>
          </cell>
          <cell r="D366" t="str">
            <v>Not delivered</v>
          </cell>
          <cell r="E366">
            <v>507142794</v>
          </cell>
          <cell r="F366">
            <v>10</v>
          </cell>
          <cell r="G366">
            <v>1163327</v>
          </cell>
          <cell r="H366" t="str">
            <v>CM-246:CVR S.SLV PAN WHITE 6MPY 01 0034</v>
          </cell>
          <cell r="I366">
            <v>25056</v>
          </cell>
          <cell r="J366" t="str">
            <v>UN</v>
          </cell>
          <cell r="K366">
            <v>45596</v>
          </cell>
        </row>
        <row r="367">
          <cell r="A367" t="str">
            <v>50714280010</v>
          </cell>
          <cell r="B367" t="str">
            <v>ZMTD</v>
          </cell>
          <cell r="C367">
            <v>45558</v>
          </cell>
          <cell r="D367" t="str">
            <v>Not delivered</v>
          </cell>
          <cell r="E367">
            <v>507142800</v>
          </cell>
          <cell r="F367">
            <v>10</v>
          </cell>
          <cell r="G367">
            <v>1132044</v>
          </cell>
          <cell r="H367" t="str">
            <v>CM-299:MONO EYESHADOW</v>
          </cell>
          <cell r="I367">
            <v>75060</v>
          </cell>
          <cell r="J367" t="str">
            <v>UN</v>
          </cell>
          <cell r="K367">
            <v>45596</v>
          </cell>
        </row>
        <row r="368">
          <cell r="A368" t="str">
            <v>50714276810</v>
          </cell>
          <cell r="B368" t="str">
            <v>ZMTD</v>
          </cell>
          <cell r="C368">
            <v>45553</v>
          </cell>
          <cell r="D368" t="str">
            <v>Not delivered</v>
          </cell>
          <cell r="E368">
            <v>507142768</v>
          </cell>
          <cell r="F368">
            <v>10</v>
          </cell>
          <cell r="G368">
            <v>1169286</v>
          </cell>
          <cell r="H368" t="str">
            <v>CM-294:RECTANGULAR WITH GODET PKTJ010032</v>
          </cell>
          <cell r="I368">
            <v>43920</v>
          </cell>
          <cell r="J368" t="str">
            <v>UN</v>
          </cell>
          <cell r="K368">
            <v>45596</v>
          </cell>
        </row>
        <row r="369">
          <cell r="A369" t="str">
            <v>50714276630</v>
          </cell>
          <cell r="B369" t="str">
            <v>ZMTD</v>
          </cell>
          <cell r="C369">
            <v>45552</v>
          </cell>
          <cell r="D369" t="str">
            <v>Not delivered</v>
          </cell>
          <cell r="E369">
            <v>507142766</v>
          </cell>
          <cell r="F369">
            <v>30</v>
          </cell>
          <cell r="G369">
            <v>1398763</v>
          </cell>
          <cell r="H369" t="str">
            <v>CM-320:WHITE S/BLACK UV MATTE NARS</v>
          </cell>
          <cell r="I369">
            <v>30240</v>
          </cell>
          <cell r="J369" t="str">
            <v>UN</v>
          </cell>
          <cell r="K369">
            <v>45596</v>
          </cell>
        </row>
        <row r="370">
          <cell r="A370" t="str">
            <v>50714273110</v>
          </cell>
          <cell r="B370" t="str">
            <v>ZMTD</v>
          </cell>
          <cell r="C370">
            <v>45544</v>
          </cell>
          <cell r="D370" t="str">
            <v>Not delivered</v>
          </cell>
          <cell r="E370">
            <v>507142731</v>
          </cell>
          <cell r="F370">
            <v>10</v>
          </cell>
          <cell r="G370">
            <v>1181524</v>
          </cell>
          <cell r="H370" t="str">
            <v>CM-297:WHITE PERFECT LIGHT PP BOOTS</v>
          </cell>
          <cell r="I370">
            <v>29064</v>
          </cell>
          <cell r="J370" t="str">
            <v>UN</v>
          </cell>
          <cell r="K370">
            <v>45596</v>
          </cell>
        </row>
        <row r="371">
          <cell r="A371" t="str">
            <v>50714271010</v>
          </cell>
          <cell r="B371" t="str">
            <v>ZMTD</v>
          </cell>
          <cell r="C371">
            <v>45534</v>
          </cell>
          <cell r="D371" t="str">
            <v>Not delivered</v>
          </cell>
          <cell r="E371">
            <v>507142710</v>
          </cell>
          <cell r="F371">
            <v>10</v>
          </cell>
          <cell r="G371">
            <v>1187960</v>
          </cell>
          <cell r="H371" t="str">
            <v>FP-014:CVR VMRAINBOW P/ULTM II RUDYS 40C</v>
          </cell>
          <cell r="I371">
            <v>30000</v>
          </cell>
          <cell r="J371" t="str">
            <v>UN</v>
          </cell>
          <cell r="K371">
            <v>45596</v>
          </cell>
        </row>
        <row r="372">
          <cell r="A372" t="str">
            <v>50714271020</v>
          </cell>
          <cell r="B372" t="str">
            <v>ZMTD</v>
          </cell>
          <cell r="C372">
            <v>45534</v>
          </cell>
          <cell r="D372" t="str">
            <v>Not delivered</v>
          </cell>
          <cell r="E372">
            <v>507142710</v>
          </cell>
          <cell r="F372">
            <v>20</v>
          </cell>
          <cell r="G372">
            <v>1172318</v>
          </cell>
          <cell r="H372" t="str">
            <v>FP-014:BASE CLEAR NO DC ULTIMA II RUDY S</v>
          </cell>
          <cell r="I372">
            <v>30000</v>
          </cell>
          <cell r="J372" t="str">
            <v>UN</v>
          </cell>
          <cell r="K372">
            <v>45596</v>
          </cell>
        </row>
        <row r="373">
          <cell r="A373" t="str">
            <v>50714271030</v>
          </cell>
          <cell r="B373" t="str">
            <v>ZMTD</v>
          </cell>
          <cell r="C373">
            <v>45534</v>
          </cell>
          <cell r="D373" t="str">
            <v>Not delivered</v>
          </cell>
          <cell r="E373">
            <v>507142710</v>
          </cell>
          <cell r="F373">
            <v>30</v>
          </cell>
          <cell r="G373">
            <v>1170826</v>
          </cell>
          <cell r="H373" t="str">
            <v>FP-014:SIFTER NT W/LBL NO DECO ULTIMA II</v>
          </cell>
          <cell r="I373">
            <v>30000</v>
          </cell>
          <cell r="J373" t="str">
            <v>UN</v>
          </cell>
          <cell r="K373">
            <v>45596</v>
          </cell>
        </row>
        <row r="374">
          <cell r="A374" t="str">
            <v>50714268210</v>
          </cell>
          <cell r="B374" t="str">
            <v>ZMTD</v>
          </cell>
          <cell r="C374">
            <v>45532</v>
          </cell>
          <cell r="D374" t="str">
            <v>Not delivered</v>
          </cell>
          <cell r="E374">
            <v>507142682</v>
          </cell>
          <cell r="F374">
            <v>10</v>
          </cell>
          <cell r="G374">
            <v>1188806</v>
          </cell>
          <cell r="H374" t="str">
            <v>FILLER SPONGE DIA 50X11.5MM GNRL</v>
          </cell>
          <cell r="I374">
            <v>10000</v>
          </cell>
          <cell r="J374" t="str">
            <v>UN</v>
          </cell>
          <cell r="K374">
            <v>45596</v>
          </cell>
        </row>
        <row r="375">
          <cell r="A375" t="str">
            <v>50714265410</v>
          </cell>
          <cell r="B375" t="str">
            <v>ZMTD</v>
          </cell>
          <cell r="C375">
            <v>45523</v>
          </cell>
          <cell r="D375" t="str">
            <v>Partially delivered</v>
          </cell>
          <cell r="E375">
            <v>507142654</v>
          </cell>
          <cell r="F375">
            <v>10</v>
          </cell>
          <cell r="G375">
            <v>1420605</v>
          </cell>
          <cell r="H375" t="str">
            <v>CM-253:CV BS MT BRICK 06 P/C.BLSH PTI40H</v>
          </cell>
          <cell r="I375">
            <v>15120</v>
          </cell>
          <cell r="J375" t="str">
            <v>UN</v>
          </cell>
          <cell r="K375">
            <v>45596</v>
          </cell>
        </row>
        <row r="376">
          <cell r="A376" t="str">
            <v>50714254410</v>
          </cell>
          <cell r="B376" t="str">
            <v>ZMTD</v>
          </cell>
          <cell r="C376">
            <v>45491</v>
          </cell>
          <cell r="D376" t="str">
            <v>Not delivered</v>
          </cell>
          <cell r="E376">
            <v>507142544</v>
          </cell>
          <cell r="F376">
            <v>10</v>
          </cell>
          <cell r="G376">
            <v>1278860</v>
          </cell>
          <cell r="H376" t="str">
            <v>CM-296:WHT P/L.AGELES W/O HOLE COTY TAOR</v>
          </cell>
          <cell r="I376">
            <v>72000</v>
          </cell>
          <cell r="J376" t="str">
            <v>UN</v>
          </cell>
          <cell r="K376">
            <v>45596</v>
          </cell>
        </row>
        <row r="377">
          <cell r="A377" t="str">
            <v>50714243510</v>
          </cell>
          <cell r="B377" t="str">
            <v>ZMTD</v>
          </cell>
          <cell r="C377">
            <v>45475</v>
          </cell>
          <cell r="D377" t="str">
            <v>Not delivered</v>
          </cell>
          <cell r="E377">
            <v>507142435</v>
          </cell>
          <cell r="F377">
            <v>10</v>
          </cell>
          <cell r="G377">
            <v>1159364</v>
          </cell>
          <cell r="H377" t="str">
            <v>CP-071:PL8364 INSERT TNR 125-200ML REX</v>
          </cell>
          <cell r="I377">
            <v>111000</v>
          </cell>
          <cell r="J377" t="str">
            <v>UN</v>
          </cell>
          <cell r="K377">
            <v>45596</v>
          </cell>
        </row>
        <row r="378">
          <cell r="A378" t="str">
            <v>50714226810</v>
          </cell>
          <cell r="B378" t="str">
            <v>ZMTD</v>
          </cell>
          <cell r="C378">
            <v>45443</v>
          </cell>
          <cell r="D378" t="str">
            <v>Not delivered</v>
          </cell>
          <cell r="E378">
            <v>507142268</v>
          </cell>
          <cell r="F378">
            <v>10</v>
          </cell>
          <cell r="G378">
            <v>1187961</v>
          </cell>
          <cell r="H378" t="str">
            <v>FP-029:CVR VMRAINBOW P/ULTM II RUDYS 40C</v>
          </cell>
          <cell r="I378">
            <v>5000</v>
          </cell>
          <cell r="J378" t="str">
            <v>UN</v>
          </cell>
          <cell r="K378">
            <v>45596</v>
          </cell>
        </row>
        <row r="379">
          <cell r="A379" t="str">
            <v>50714226820</v>
          </cell>
          <cell r="B379" t="str">
            <v>ZMTD</v>
          </cell>
          <cell r="C379">
            <v>45443</v>
          </cell>
          <cell r="D379" t="str">
            <v>Not delivered</v>
          </cell>
          <cell r="E379">
            <v>507142268</v>
          </cell>
          <cell r="F379">
            <v>20</v>
          </cell>
          <cell r="G379">
            <v>1176240</v>
          </cell>
          <cell r="H379" t="str">
            <v>FP-029:BASE CLEAR NO DC ULTIMA II RUDY S</v>
          </cell>
          <cell r="I379">
            <v>5000</v>
          </cell>
          <cell r="J379" t="str">
            <v>UN</v>
          </cell>
          <cell r="K379">
            <v>45596</v>
          </cell>
        </row>
        <row r="380">
          <cell r="A380" t="str">
            <v>50714226830</v>
          </cell>
          <cell r="B380" t="str">
            <v>ZMTD</v>
          </cell>
          <cell r="C380">
            <v>45443</v>
          </cell>
          <cell r="D380" t="str">
            <v>Not delivered</v>
          </cell>
          <cell r="E380">
            <v>507142268</v>
          </cell>
          <cell r="F380">
            <v>30</v>
          </cell>
          <cell r="G380">
            <v>1173507</v>
          </cell>
          <cell r="H380" t="str">
            <v>FP-029:SIFTER NT W/LBL NO DECO ULTIMA II</v>
          </cell>
          <cell r="I380">
            <v>5000</v>
          </cell>
          <cell r="J380" t="str">
            <v>UN</v>
          </cell>
          <cell r="K380">
            <v>45596</v>
          </cell>
        </row>
        <row r="381">
          <cell r="A381" t="str">
            <v>50714226840</v>
          </cell>
          <cell r="B381" t="str">
            <v>ZMTD</v>
          </cell>
          <cell r="C381">
            <v>45443</v>
          </cell>
          <cell r="D381" t="str">
            <v>Not delivered</v>
          </cell>
          <cell r="E381">
            <v>507142268</v>
          </cell>
          <cell r="F381">
            <v>40</v>
          </cell>
          <cell r="G381">
            <v>1187961</v>
          </cell>
          <cell r="H381" t="str">
            <v>FP-029:CVR VMRAINBOW P/ULTM II RUDYS 40C</v>
          </cell>
          <cell r="I381">
            <v>20000</v>
          </cell>
          <cell r="J381" t="str">
            <v>UN</v>
          </cell>
          <cell r="K381">
            <v>45596</v>
          </cell>
        </row>
        <row r="382">
          <cell r="A382" t="str">
            <v>50714226850</v>
          </cell>
          <cell r="B382" t="str">
            <v>ZMTD</v>
          </cell>
          <cell r="C382">
            <v>45443</v>
          </cell>
          <cell r="D382" t="str">
            <v>Not delivered</v>
          </cell>
          <cell r="E382">
            <v>507142268</v>
          </cell>
          <cell r="F382">
            <v>50</v>
          </cell>
          <cell r="G382">
            <v>1176240</v>
          </cell>
          <cell r="H382" t="str">
            <v>FP-029:BASE CLEAR NO DC ULTIMA II RUDY S</v>
          </cell>
          <cell r="I382">
            <v>20000</v>
          </cell>
          <cell r="J382" t="str">
            <v>UN</v>
          </cell>
          <cell r="K382">
            <v>45596</v>
          </cell>
        </row>
        <row r="383">
          <cell r="A383" t="str">
            <v>50714226860</v>
          </cell>
          <cell r="B383" t="str">
            <v>ZMTD</v>
          </cell>
          <cell r="C383">
            <v>45443</v>
          </cell>
          <cell r="D383" t="str">
            <v>Not delivered</v>
          </cell>
          <cell r="E383">
            <v>507142268</v>
          </cell>
          <cell r="F383">
            <v>60</v>
          </cell>
          <cell r="G383">
            <v>1173507</v>
          </cell>
          <cell r="H383" t="str">
            <v>FP-029:SIFTER NT W/LBL NO DECO ULTIMA II</v>
          </cell>
          <cell r="I383">
            <v>20000</v>
          </cell>
          <cell r="J383" t="str">
            <v>UN</v>
          </cell>
          <cell r="K383">
            <v>45596</v>
          </cell>
        </row>
        <row r="384">
          <cell r="A384" t="str">
            <v>50714276570</v>
          </cell>
          <cell r="B384" t="str">
            <v>ZMTD</v>
          </cell>
          <cell r="C384">
            <v>45552</v>
          </cell>
          <cell r="D384" t="str">
            <v>Not delivered</v>
          </cell>
          <cell r="E384">
            <v>507142765</v>
          </cell>
          <cell r="F384">
            <v>70</v>
          </cell>
          <cell r="G384">
            <v>1398383</v>
          </cell>
          <cell r="H384" t="str">
            <v>CM-319:WHITE P/BLACK UV MATTE NARS</v>
          </cell>
          <cell r="I384">
            <v>40080</v>
          </cell>
          <cell r="J384" t="str">
            <v>UN</v>
          </cell>
          <cell r="K384">
            <v>45597</v>
          </cell>
        </row>
        <row r="385">
          <cell r="A385" t="str">
            <v>50800522910</v>
          </cell>
          <cell r="B385" t="str">
            <v>ZMFD</v>
          </cell>
          <cell r="C385">
            <v>45499</v>
          </cell>
          <cell r="D385" t="str">
            <v>Not delivered</v>
          </cell>
          <cell r="E385">
            <v>508005229</v>
          </cell>
          <cell r="F385">
            <v>10</v>
          </cell>
          <cell r="G385">
            <v>1361170</v>
          </cell>
          <cell r="H385" t="str">
            <v>PT-097:BODY BLACK HOUSE WHT TRANS PTI12A</v>
          </cell>
          <cell r="I385">
            <v>150000</v>
          </cell>
          <cell r="J385" t="str">
            <v>UN</v>
          </cell>
          <cell r="K385">
            <v>45597</v>
          </cell>
        </row>
        <row r="386">
          <cell r="A386" t="str">
            <v>50800522920</v>
          </cell>
          <cell r="B386" t="str">
            <v>ZMFD</v>
          </cell>
          <cell r="C386">
            <v>45499</v>
          </cell>
          <cell r="D386" t="str">
            <v>Not delivered</v>
          </cell>
          <cell r="E386">
            <v>508005229</v>
          </cell>
          <cell r="F386">
            <v>20</v>
          </cell>
          <cell r="G386">
            <v>1361175</v>
          </cell>
          <cell r="H386" t="str">
            <v>PT-097:CAP BLACK TRANS PTI 12A</v>
          </cell>
          <cell r="I386">
            <v>150000</v>
          </cell>
          <cell r="J386" t="str">
            <v>UN</v>
          </cell>
          <cell r="K386">
            <v>45597</v>
          </cell>
        </row>
        <row r="387">
          <cell r="A387" t="str">
            <v>50714250410</v>
          </cell>
          <cell r="B387" t="str">
            <v>ZMTD</v>
          </cell>
          <cell r="C387">
            <v>45488</v>
          </cell>
          <cell r="D387" t="str">
            <v>Not delivered</v>
          </cell>
          <cell r="E387">
            <v>507142504</v>
          </cell>
          <cell r="F387">
            <v>10</v>
          </cell>
          <cell r="G387">
            <v>1419488</v>
          </cell>
          <cell r="H387" t="str">
            <v>CP-063R:SPOUT CAP WHITE LOREAL 12A</v>
          </cell>
          <cell r="I387">
            <v>1890000</v>
          </cell>
          <cell r="J387" t="str">
            <v>UN</v>
          </cell>
          <cell r="K387">
            <v>45597</v>
          </cell>
        </row>
        <row r="388">
          <cell r="A388" t="str">
            <v>50714253110</v>
          </cell>
          <cell r="B388" t="str">
            <v>ZMTD</v>
          </cell>
          <cell r="C388">
            <v>45488</v>
          </cell>
          <cell r="D388" t="str">
            <v>Not delivered</v>
          </cell>
          <cell r="E388">
            <v>507142531</v>
          </cell>
          <cell r="F388">
            <v>10</v>
          </cell>
          <cell r="G388">
            <v>1164947</v>
          </cell>
          <cell r="H388" t="str">
            <v>CM-253:CVR CLR BS BLUE P2748C P/WHT NSF</v>
          </cell>
          <cell r="I388">
            <v>21600</v>
          </cell>
          <cell r="J388" t="str">
            <v>UN</v>
          </cell>
          <cell r="K388">
            <v>45597</v>
          </cell>
        </row>
        <row r="389">
          <cell r="A389" t="str">
            <v>50714253120</v>
          </cell>
          <cell r="B389" t="str">
            <v>ZMTD</v>
          </cell>
          <cell r="C389">
            <v>45488</v>
          </cell>
          <cell r="D389" t="str">
            <v>Not delivered</v>
          </cell>
          <cell r="E389">
            <v>507142531</v>
          </cell>
          <cell r="F389">
            <v>20</v>
          </cell>
          <cell r="G389">
            <v>1164946</v>
          </cell>
          <cell r="H389" t="str">
            <v>CM-255:CVR CLR BS RED P186C P/WHT NSF</v>
          </cell>
          <cell r="I389">
            <v>33600</v>
          </cell>
          <cell r="J389" t="str">
            <v>UN</v>
          </cell>
          <cell r="K389">
            <v>45597</v>
          </cell>
        </row>
        <row r="390">
          <cell r="A390" t="str">
            <v>50714253130</v>
          </cell>
          <cell r="B390" t="str">
            <v>ZMTD</v>
          </cell>
          <cell r="C390">
            <v>45488</v>
          </cell>
          <cell r="D390" t="str">
            <v>Not delivered</v>
          </cell>
          <cell r="E390">
            <v>507142531</v>
          </cell>
          <cell r="F390">
            <v>30</v>
          </cell>
          <cell r="G390">
            <v>1164945</v>
          </cell>
          <cell r="H390" t="str">
            <v>CM-256:CVR CLR BS BLUE P2748C P/RED NSF</v>
          </cell>
          <cell r="I390">
            <v>33600</v>
          </cell>
          <cell r="J390" t="str">
            <v>UN</v>
          </cell>
          <cell r="K390">
            <v>45597</v>
          </cell>
        </row>
        <row r="391">
          <cell r="A391" t="str">
            <v>50800518110</v>
          </cell>
          <cell r="B391" t="str">
            <v>ZMFD</v>
          </cell>
          <cell r="C391">
            <v>45485</v>
          </cell>
          <cell r="D391" t="str">
            <v>Not delivered</v>
          </cell>
          <cell r="E391">
            <v>508005181</v>
          </cell>
          <cell r="F391">
            <v>10</v>
          </cell>
          <cell r="G391">
            <v>1413967</v>
          </cell>
          <cell r="H391" t="str">
            <v>CM-323:VM SILVER DIOR JUMBO M080</v>
          </cell>
          <cell r="I391">
            <v>12600</v>
          </cell>
          <cell r="J391" t="str">
            <v>UN</v>
          </cell>
          <cell r="K391">
            <v>45597</v>
          </cell>
        </row>
        <row r="392">
          <cell r="A392" t="str">
            <v>50714228410</v>
          </cell>
          <cell r="B392" t="str">
            <v>ZMTD</v>
          </cell>
          <cell r="C392">
            <v>45447</v>
          </cell>
          <cell r="D392" t="str">
            <v>Not delivered</v>
          </cell>
          <cell r="E392">
            <v>507142284</v>
          </cell>
          <cell r="F392">
            <v>10</v>
          </cell>
          <cell r="G392">
            <v>1419488</v>
          </cell>
          <cell r="H392" t="str">
            <v>CP-063R:SPOUT CAP WHITE LOREAL 12A</v>
          </cell>
          <cell r="I392">
            <v>1890000</v>
          </cell>
          <cell r="J392" t="str">
            <v>UN</v>
          </cell>
          <cell r="K392">
            <v>45597</v>
          </cell>
        </row>
        <row r="393">
          <cell r="A393" t="str">
            <v>50714274610</v>
          </cell>
          <cell r="B393" t="str">
            <v>ZMTD</v>
          </cell>
          <cell r="C393">
            <v>45545</v>
          </cell>
          <cell r="D393" t="str">
            <v>Not delivered</v>
          </cell>
          <cell r="E393">
            <v>507142746</v>
          </cell>
          <cell r="F393">
            <v>10</v>
          </cell>
          <cell r="G393">
            <v>1272832</v>
          </cell>
          <cell r="H393" t="str">
            <v>CM-133:CVR BS MTLC PRPL UV P/S/BFCIAL30B</v>
          </cell>
          <cell r="I393">
            <v>10000</v>
          </cell>
          <cell r="J393" t="str">
            <v>UN</v>
          </cell>
          <cell r="K393">
            <v>45598</v>
          </cell>
        </row>
        <row r="394">
          <cell r="A394" t="str">
            <v>50800517310</v>
          </cell>
          <cell r="B394" t="str">
            <v>ZMFD</v>
          </cell>
          <cell r="C394">
            <v>45481</v>
          </cell>
          <cell r="D394" t="str">
            <v>Not delivered</v>
          </cell>
          <cell r="E394">
            <v>508005173</v>
          </cell>
          <cell r="F394">
            <v>10</v>
          </cell>
          <cell r="G394">
            <v>1226229</v>
          </cell>
          <cell r="H394" t="str">
            <v>LC-004:BTL CLR S/P/WRDH EVERDAY PTI 60B</v>
          </cell>
          <cell r="I394">
            <v>100000</v>
          </cell>
          <cell r="J394" t="str">
            <v>UN</v>
          </cell>
          <cell r="K394">
            <v>45598</v>
          </cell>
        </row>
        <row r="395">
          <cell r="A395" t="str">
            <v>50800517320</v>
          </cell>
          <cell r="B395" t="str">
            <v>ZMFD</v>
          </cell>
          <cell r="C395">
            <v>45481</v>
          </cell>
          <cell r="D395" t="str">
            <v>Not delivered</v>
          </cell>
          <cell r="E395">
            <v>508005173</v>
          </cell>
          <cell r="F395">
            <v>20</v>
          </cell>
          <cell r="G395">
            <v>1226320</v>
          </cell>
          <cell r="H395" t="str">
            <v>LC-004:CAP WHT WIP WRDH EVERDAY PTI 60B</v>
          </cell>
          <cell r="I395">
            <v>100000</v>
          </cell>
          <cell r="J395" t="str">
            <v>UN</v>
          </cell>
          <cell r="K395">
            <v>45598</v>
          </cell>
        </row>
        <row r="396">
          <cell r="A396" t="str">
            <v>50714241770</v>
          </cell>
          <cell r="B396" t="str">
            <v>ZMTD</v>
          </cell>
          <cell r="C396">
            <v>45474</v>
          </cell>
          <cell r="D396" t="str">
            <v>Not delivered</v>
          </cell>
          <cell r="E396">
            <v>507142417</v>
          </cell>
          <cell r="F396">
            <v>70</v>
          </cell>
          <cell r="G396">
            <v>1405657</v>
          </cell>
          <cell r="H396" t="str">
            <v>CM-273:CV UV BS BRONZE P/PIXYSLKY RV130L</v>
          </cell>
          <cell r="I396">
            <v>10000</v>
          </cell>
          <cell r="J396" t="str">
            <v>UN</v>
          </cell>
          <cell r="K396">
            <v>45598</v>
          </cell>
        </row>
        <row r="397">
          <cell r="A397" t="str">
            <v>50714277410</v>
          </cell>
          <cell r="B397" t="str">
            <v>ZMTD</v>
          </cell>
          <cell r="C397">
            <v>45554</v>
          </cell>
          <cell r="D397" t="str">
            <v>Not delivered</v>
          </cell>
          <cell r="E397">
            <v>507142774</v>
          </cell>
          <cell r="F397">
            <v>10</v>
          </cell>
          <cell r="G397">
            <v>1378563</v>
          </cell>
          <cell r="H397" t="str">
            <v>CP-093:CAP D50 MT BLACK Ø.5 YASULOR 12A</v>
          </cell>
          <cell r="I397">
            <v>400000</v>
          </cell>
          <cell r="J397" t="str">
            <v>UN</v>
          </cell>
          <cell r="K397">
            <v>45600</v>
          </cell>
        </row>
        <row r="398">
          <cell r="A398" t="str">
            <v>50800528110</v>
          </cell>
          <cell r="B398" t="str">
            <v>ZMFD</v>
          </cell>
          <cell r="C398">
            <v>45553</v>
          </cell>
          <cell r="D398" t="str">
            <v>Not delivered</v>
          </cell>
          <cell r="E398">
            <v>508005281</v>
          </cell>
          <cell r="F398">
            <v>10</v>
          </cell>
          <cell r="G398">
            <v>1175313</v>
          </cell>
          <cell r="H398" t="str">
            <v>CM-101:N.GRN MRBL B/O 618J010304 CLNQ EL</v>
          </cell>
          <cell r="I398">
            <v>25350</v>
          </cell>
          <cell r="J398" t="str">
            <v>UN</v>
          </cell>
          <cell r="K398">
            <v>45600</v>
          </cell>
        </row>
        <row r="399">
          <cell r="A399" t="str">
            <v>50800525240</v>
          </cell>
          <cell r="B399" t="str">
            <v>ZMFD</v>
          </cell>
          <cell r="C399">
            <v>45512</v>
          </cell>
          <cell r="D399" t="str">
            <v>Not delivered</v>
          </cell>
          <cell r="E399">
            <v>508005252</v>
          </cell>
          <cell r="F399">
            <v>40</v>
          </cell>
          <cell r="G399">
            <v>1382368</v>
          </cell>
          <cell r="H399" t="str">
            <v>CP-067R:FT CAP35 SNAP BLK MATTE  Ø5 LRL</v>
          </cell>
          <cell r="I399">
            <v>300000</v>
          </cell>
          <cell r="J399" t="str">
            <v>UN</v>
          </cell>
          <cell r="K399">
            <v>45600</v>
          </cell>
        </row>
        <row r="400">
          <cell r="A400" t="str">
            <v>50714250510</v>
          </cell>
          <cell r="B400" t="str">
            <v>ZMTD</v>
          </cell>
          <cell r="C400">
            <v>45488</v>
          </cell>
          <cell r="D400" t="str">
            <v>Not delivered</v>
          </cell>
          <cell r="E400">
            <v>507142505</v>
          </cell>
          <cell r="F400">
            <v>10</v>
          </cell>
          <cell r="G400">
            <v>1419488</v>
          </cell>
          <cell r="H400" t="str">
            <v>CP-063R:SPOUT CAP WHITE LOREAL 12A</v>
          </cell>
          <cell r="I400">
            <v>1890000</v>
          </cell>
          <cell r="J400" t="str">
            <v>UN</v>
          </cell>
          <cell r="K400">
            <v>45600</v>
          </cell>
        </row>
        <row r="401">
          <cell r="A401" t="str">
            <v>50800517450</v>
          </cell>
          <cell r="B401" t="str">
            <v>ZMFD</v>
          </cell>
          <cell r="C401">
            <v>45481</v>
          </cell>
          <cell r="D401" t="str">
            <v>Not delivered</v>
          </cell>
          <cell r="E401">
            <v>508005174</v>
          </cell>
          <cell r="F401">
            <v>50</v>
          </cell>
          <cell r="G401">
            <v>1194012</v>
          </cell>
          <cell r="H401" t="str">
            <v>CP-090:ROSETNR VM RSPINK NO EMBOS PTI20F</v>
          </cell>
          <cell r="I401">
            <v>25000</v>
          </cell>
          <cell r="J401" t="str">
            <v>UN</v>
          </cell>
          <cell r="K401">
            <v>45600</v>
          </cell>
        </row>
        <row r="402">
          <cell r="A402" t="str">
            <v>50714285140</v>
          </cell>
          <cell r="B402" t="str">
            <v>ZMTD</v>
          </cell>
          <cell r="C402">
            <v>45568</v>
          </cell>
          <cell r="D402" t="str">
            <v>Not delivered</v>
          </cell>
          <cell r="E402">
            <v>507142851</v>
          </cell>
          <cell r="F402">
            <v>40</v>
          </cell>
          <cell r="G402">
            <v>1437039</v>
          </cell>
          <cell r="H402" t="str">
            <v>CM-290:1PC BS CV MT.BLK S/ EMBOS OMG 40C</v>
          </cell>
          <cell r="I402">
            <v>35112</v>
          </cell>
          <cell r="J402" t="str">
            <v>UN</v>
          </cell>
          <cell r="K402">
            <v>45601</v>
          </cell>
        </row>
        <row r="403">
          <cell r="A403" t="str">
            <v>50714285150</v>
          </cell>
          <cell r="B403" t="str">
            <v>ZMTD</v>
          </cell>
          <cell r="C403">
            <v>45568</v>
          </cell>
          <cell r="D403" t="str">
            <v>Not delivered</v>
          </cell>
          <cell r="E403">
            <v>507142851</v>
          </cell>
          <cell r="F403">
            <v>50</v>
          </cell>
          <cell r="G403">
            <v>1437140</v>
          </cell>
          <cell r="H403" t="str">
            <v>CM-290:ENGINE CV RED, BS BLK OMG PTI 12A</v>
          </cell>
          <cell r="I403">
            <v>35112</v>
          </cell>
          <cell r="J403" t="str">
            <v>UN</v>
          </cell>
          <cell r="K403">
            <v>45601</v>
          </cell>
        </row>
        <row r="404">
          <cell r="A404" t="str">
            <v>50714285160</v>
          </cell>
          <cell r="B404" t="str">
            <v>ZMTD</v>
          </cell>
          <cell r="C404">
            <v>45568</v>
          </cell>
          <cell r="D404" t="str">
            <v>Not delivered</v>
          </cell>
          <cell r="E404">
            <v>507142851</v>
          </cell>
          <cell r="F404">
            <v>60</v>
          </cell>
          <cell r="G404">
            <v>1437141</v>
          </cell>
          <cell r="H404" t="str">
            <v>CM-290:RING BLACK OMG PTI 12A</v>
          </cell>
          <cell r="I404">
            <v>35112</v>
          </cell>
          <cell r="J404" t="str">
            <v>UN</v>
          </cell>
          <cell r="K404">
            <v>45601</v>
          </cell>
        </row>
        <row r="405">
          <cell r="A405" t="str">
            <v>50714284610</v>
          </cell>
          <cell r="B405" t="str">
            <v>ZMTD</v>
          </cell>
          <cell r="C405">
            <v>45567</v>
          </cell>
          <cell r="D405" t="str">
            <v>Not delivered</v>
          </cell>
          <cell r="E405">
            <v>507142846</v>
          </cell>
          <cell r="F405">
            <v>10</v>
          </cell>
          <cell r="G405">
            <v>1375595</v>
          </cell>
          <cell r="H405" t="str">
            <v>LC-009:BTL/INNER CLEAR P/OMG PTIPT 60B</v>
          </cell>
          <cell r="I405">
            <v>150570</v>
          </cell>
          <cell r="J405" t="str">
            <v>UN</v>
          </cell>
          <cell r="K405">
            <v>45601</v>
          </cell>
        </row>
        <row r="406">
          <cell r="A406" t="str">
            <v>50714284620</v>
          </cell>
          <cell r="B406" t="str">
            <v>ZMTD</v>
          </cell>
          <cell r="C406">
            <v>45567</v>
          </cell>
          <cell r="D406" t="str">
            <v>Not delivered</v>
          </cell>
          <cell r="E406">
            <v>507142846</v>
          </cell>
          <cell r="F406">
            <v>20</v>
          </cell>
          <cell r="G406">
            <v>1375593</v>
          </cell>
          <cell r="H406" t="str">
            <v>LC-009:CAP REDTRANS WIP S/OMG PTIPT 60B</v>
          </cell>
          <cell r="I406">
            <v>150570</v>
          </cell>
          <cell r="J406" t="str">
            <v>UN</v>
          </cell>
          <cell r="K406">
            <v>45601</v>
          </cell>
        </row>
        <row r="407">
          <cell r="A407" t="str">
            <v>50714284710</v>
          </cell>
          <cell r="B407" t="str">
            <v>ZMTD</v>
          </cell>
          <cell r="C407">
            <v>45567</v>
          </cell>
          <cell r="D407" t="str">
            <v>Not delivered</v>
          </cell>
          <cell r="E407">
            <v>507142847</v>
          </cell>
          <cell r="F407">
            <v>10</v>
          </cell>
          <cell r="G407">
            <v>1417990</v>
          </cell>
          <cell r="H407" t="str">
            <v>LC-009:BTL #2#3 INNER CLR P/OMG PTIPT60B</v>
          </cell>
          <cell r="I407">
            <v>350280</v>
          </cell>
          <cell r="J407" t="str">
            <v>UN</v>
          </cell>
          <cell r="K407">
            <v>45601</v>
          </cell>
        </row>
        <row r="408">
          <cell r="A408" t="str">
            <v>50714284720</v>
          </cell>
          <cell r="B408" t="str">
            <v>ZMTD</v>
          </cell>
          <cell r="C408">
            <v>45567</v>
          </cell>
          <cell r="D408" t="str">
            <v>Not delivered</v>
          </cell>
          <cell r="E408">
            <v>507142847</v>
          </cell>
          <cell r="F408">
            <v>20</v>
          </cell>
          <cell r="G408">
            <v>1417978</v>
          </cell>
          <cell r="H408" t="str">
            <v>LC-009:CAP #2#3 REDTR WIP S/OMG PTIPT60B</v>
          </cell>
          <cell r="I408">
            <v>350280</v>
          </cell>
          <cell r="J408" t="str">
            <v>UN</v>
          </cell>
          <cell r="K408">
            <v>45601</v>
          </cell>
        </row>
        <row r="409">
          <cell r="A409" t="str">
            <v>50800529110</v>
          </cell>
          <cell r="B409" t="str">
            <v>ZMFD</v>
          </cell>
          <cell r="C409">
            <v>45559</v>
          </cell>
          <cell r="D409" t="str">
            <v>Not delivered</v>
          </cell>
          <cell r="E409">
            <v>508005291</v>
          </cell>
          <cell r="F409">
            <v>10</v>
          </cell>
          <cell r="G409">
            <v>1169703</v>
          </cell>
          <cell r="H409" t="str">
            <v>CP-064:CAP 25 SCREW WHITE MT TR L'OREAL</v>
          </cell>
          <cell r="I409">
            <v>200000</v>
          </cell>
          <cell r="J409" t="str">
            <v>UN</v>
          </cell>
          <cell r="K409">
            <v>45601</v>
          </cell>
        </row>
        <row r="410">
          <cell r="A410" t="str">
            <v>50714273040</v>
          </cell>
          <cell r="B410" t="str">
            <v>ZMTD</v>
          </cell>
          <cell r="C410">
            <v>45541</v>
          </cell>
          <cell r="D410" t="str">
            <v>Not delivered</v>
          </cell>
          <cell r="E410">
            <v>507142730</v>
          </cell>
          <cell r="F410">
            <v>40</v>
          </cell>
          <cell r="G410">
            <v>1371896</v>
          </cell>
          <cell r="H410" t="str">
            <v>RX-056:CM-316 CVR BLUE P/WHT SP/MTCLR</v>
          </cell>
          <cell r="I410">
            <v>69952</v>
          </cell>
          <cell r="J410" t="str">
            <v>UN</v>
          </cell>
          <cell r="K410">
            <v>45601</v>
          </cell>
        </row>
        <row r="411">
          <cell r="A411" t="str">
            <v>50800525830</v>
          </cell>
          <cell r="B411" t="str">
            <v>ZMFD</v>
          </cell>
          <cell r="C411">
            <v>45523</v>
          </cell>
          <cell r="D411" t="str">
            <v>Not delivered</v>
          </cell>
          <cell r="E411">
            <v>508005258</v>
          </cell>
          <cell r="F411">
            <v>30</v>
          </cell>
          <cell r="G411">
            <v>1168132</v>
          </cell>
          <cell r="H411" t="str">
            <v>LS-285:BS WHT NO DC WARDAH</v>
          </cell>
          <cell r="I411">
            <v>75000</v>
          </cell>
          <cell r="J411" t="str">
            <v>UN</v>
          </cell>
          <cell r="K411">
            <v>45601</v>
          </cell>
        </row>
        <row r="412">
          <cell r="A412" t="str">
            <v>50800525840</v>
          </cell>
          <cell r="B412" t="str">
            <v>ZMFD</v>
          </cell>
          <cell r="C412">
            <v>45523</v>
          </cell>
          <cell r="D412" t="str">
            <v>Not delivered</v>
          </cell>
          <cell r="E412">
            <v>508005258</v>
          </cell>
          <cell r="F412">
            <v>40</v>
          </cell>
          <cell r="G412">
            <v>1421418</v>
          </cell>
          <cell r="H412" t="str">
            <v>LS-285:CV RED P/WHT UV STRAWBERY PTI 30O</v>
          </cell>
          <cell r="I412">
            <v>75000</v>
          </cell>
          <cell r="J412" t="str">
            <v>UN</v>
          </cell>
          <cell r="K412">
            <v>45601</v>
          </cell>
        </row>
        <row r="413">
          <cell r="A413" t="str">
            <v>50800524610</v>
          </cell>
          <cell r="B413" t="str">
            <v>ZMFD</v>
          </cell>
          <cell r="C413">
            <v>45510</v>
          </cell>
          <cell r="D413" t="str">
            <v>Not delivered</v>
          </cell>
          <cell r="E413">
            <v>508005246</v>
          </cell>
          <cell r="F413">
            <v>10</v>
          </cell>
          <cell r="G413">
            <v>1408740</v>
          </cell>
          <cell r="H413" t="str">
            <v>PT-097B:BDSR.2 BLU HOUS WHT TRNS PTI12A</v>
          </cell>
          <cell r="I413">
            <v>440000</v>
          </cell>
          <cell r="J413" t="str">
            <v>UN</v>
          </cell>
          <cell r="K413">
            <v>45601</v>
          </cell>
        </row>
        <row r="414">
          <cell r="A414" t="str">
            <v>50800524630</v>
          </cell>
          <cell r="B414" t="str">
            <v>ZMFD</v>
          </cell>
          <cell r="C414">
            <v>45510</v>
          </cell>
          <cell r="D414" t="str">
            <v>Not delivered</v>
          </cell>
          <cell r="E414">
            <v>508005246</v>
          </cell>
          <cell r="F414">
            <v>30</v>
          </cell>
          <cell r="G414">
            <v>1408739</v>
          </cell>
          <cell r="H414" t="str">
            <v>PT-097B:CAP SR.2 BLUE TRANS PTI 12A</v>
          </cell>
          <cell r="I414">
            <v>440000</v>
          </cell>
          <cell r="J414" t="str">
            <v>UN</v>
          </cell>
          <cell r="K414">
            <v>45601</v>
          </cell>
        </row>
        <row r="415">
          <cell r="A415" t="str">
            <v>50800524710</v>
          </cell>
          <cell r="B415" t="str">
            <v>ZMFD</v>
          </cell>
          <cell r="C415">
            <v>45510</v>
          </cell>
          <cell r="D415" t="str">
            <v>Not delivered</v>
          </cell>
          <cell r="E415">
            <v>508005247</v>
          </cell>
          <cell r="F415">
            <v>10</v>
          </cell>
          <cell r="G415">
            <v>1361170</v>
          </cell>
          <cell r="H415" t="str">
            <v>PT-097:BODY BLACK HOUSE WHT TRANS PTI12A</v>
          </cell>
          <cell r="I415">
            <v>70000</v>
          </cell>
          <cell r="J415" t="str">
            <v>UN</v>
          </cell>
          <cell r="K415">
            <v>45601</v>
          </cell>
        </row>
        <row r="416">
          <cell r="A416" t="str">
            <v>50800524730</v>
          </cell>
          <cell r="B416" t="str">
            <v>ZMFD</v>
          </cell>
          <cell r="C416">
            <v>45510</v>
          </cell>
          <cell r="D416" t="str">
            <v>Not delivered</v>
          </cell>
          <cell r="E416">
            <v>508005247</v>
          </cell>
          <cell r="F416">
            <v>30</v>
          </cell>
          <cell r="G416">
            <v>1361175</v>
          </cell>
          <cell r="H416" t="str">
            <v>PT-097:CAP BLACK TRANS PTI 12A</v>
          </cell>
          <cell r="I416">
            <v>70000</v>
          </cell>
          <cell r="J416" t="str">
            <v>UN</v>
          </cell>
          <cell r="K416">
            <v>45601</v>
          </cell>
        </row>
        <row r="417">
          <cell r="A417" t="str">
            <v>50800524820</v>
          </cell>
          <cell r="B417" t="str">
            <v>ZMFD</v>
          </cell>
          <cell r="C417">
            <v>45510</v>
          </cell>
          <cell r="D417" t="str">
            <v>Not delivered</v>
          </cell>
          <cell r="E417">
            <v>508005248</v>
          </cell>
          <cell r="F417">
            <v>20</v>
          </cell>
          <cell r="G417">
            <v>1367372</v>
          </cell>
          <cell r="H417" t="str">
            <v>PT-097:BODY GREN HOUSE WHT TRANS PTI 12A</v>
          </cell>
          <cell r="I417">
            <v>160000</v>
          </cell>
          <cell r="J417" t="str">
            <v>UN</v>
          </cell>
          <cell r="K417">
            <v>45601</v>
          </cell>
        </row>
        <row r="418">
          <cell r="A418" t="str">
            <v>50800524850</v>
          </cell>
          <cell r="B418" t="str">
            <v>ZMFD</v>
          </cell>
          <cell r="C418">
            <v>45510</v>
          </cell>
          <cell r="D418" t="str">
            <v>Not delivered</v>
          </cell>
          <cell r="E418">
            <v>508005248</v>
          </cell>
          <cell r="F418">
            <v>50</v>
          </cell>
          <cell r="G418">
            <v>1367370</v>
          </cell>
          <cell r="H418" t="str">
            <v>PT-097:CAP GREN TRANS PTI 12A</v>
          </cell>
          <cell r="I418">
            <v>160000</v>
          </cell>
          <cell r="J418" t="str">
            <v>UN</v>
          </cell>
          <cell r="K418">
            <v>45601</v>
          </cell>
        </row>
        <row r="419">
          <cell r="A419" t="str">
            <v>50800523610</v>
          </cell>
          <cell r="B419" t="str">
            <v>ZMFD</v>
          </cell>
          <cell r="C419">
            <v>45505</v>
          </cell>
          <cell r="D419" t="str">
            <v>Not delivered</v>
          </cell>
          <cell r="E419">
            <v>508005236</v>
          </cell>
          <cell r="F419">
            <v>10</v>
          </cell>
          <cell r="G419">
            <v>1291869</v>
          </cell>
          <cell r="H419" t="str">
            <v>LC-004:BTL COL GRAD P/MOUSSE NEW MLA40H</v>
          </cell>
          <cell r="I419">
            <v>50000</v>
          </cell>
          <cell r="J419" t="str">
            <v>UN</v>
          </cell>
          <cell r="K419">
            <v>45601</v>
          </cell>
        </row>
        <row r="420">
          <cell r="A420" t="str">
            <v>50800523620</v>
          </cell>
          <cell r="B420" t="str">
            <v>ZMFD</v>
          </cell>
          <cell r="C420">
            <v>45505</v>
          </cell>
          <cell r="D420" t="str">
            <v>Not delivered</v>
          </cell>
          <cell r="E420">
            <v>508005236</v>
          </cell>
          <cell r="F420">
            <v>20</v>
          </cell>
          <cell r="G420">
            <v>1291930</v>
          </cell>
          <cell r="H420" t="str">
            <v>LC-004:CAP MTPINK WIPNAT MOUS NEW MLA40D</v>
          </cell>
          <cell r="I420">
            <v>50000</v>
          </cell>
          <cell r="J420" t="str">
            <v>UN</v>
          </cell>
          <cell r="K420">
            <v>45601</v>
          </cell>
        </row>
        <row r="421">
          <cell r="A421" t="str">
            <v>50714250710</v>
          </cell>
          <cell r="B421" t="str">
            <v>ZMTD</v>
          </cell>
          <cell r="C421">
            <v>45488</v>
          </cell>
          <cell r="D421" t="str">
            <v>Not delivered</v>
          </cell>
          <cell r="E421">
            <v>507142507</v>
          </cell>
          <cell r="F421">
            <v>10</v>
          </cell>
          <cell r="G421">
            <v>1419488</v>
          </cell>
          <cell r="H421" t="str">
            <v>CP-063R:SPOUT CAP WHITE LOREAL 12A</v>
          </cell>
          <cell r="I421">
            <v>1890000</v>
          </cell>
          <cell r="J421" t="str">
            <v>UN</v>
          </cell>
          <cell r="K421">
            <v>45601</v>
          </cell>
        </row>
        <row r="422">
          <cell r="A422" t="str">
            <v>50800515480</v>
          </cell>
          <cell r="B422" t="str">
            <v>ZMFD</v>
          </cell>
          <cell r="C422">
            <v>45470</v>
          </cell>
          <cell r="D422" t="str">
            <v>Not delivered</v>
          </cell>
          <cell r="E422">
            <v>508005154</v>
          </cell>
          <cell r="F422">
            <v>80</v>
          </cell>
          <cell r="G422">
            <v>1437255</v>
          </cell>
          <cell r="H422" t="str">
            <v>CM-253:CV BS MTPEACH 03 P/CCM RV2 PTI40H</v>
          </cell>
          <cell r="I422">
            <v>15000</v>
          </cell>
          <cell r="J422" t="str">
            <v>UN</v>
          </cell>
          <cell r="K422">
            <v>45601</v>
          </cell>
        </row>
        <row r="423">
          <cell r="A423" t="str">
            <v>508005155130</v>
          </cell>
          <cell r="B423" t="str">
            <v>ZMFD</v>
          </cell>
          <cell r="C423">
            <v>45470</v>
          </cell>
          <cell r="D423" t="str">
            <v>Not delivered</v>
          </cell>
          <cell r="E423">
            <v>508005155</v>
          </cell>
          <cell r="F423">
            <v>130</v>
          </cell>
          <cell r="G423">
            <v>1436664</v>
          </cell>
          <cell r="H423" t="str">
            <v>CM-253:CV CLR BS M.PINK P/C.LIT RV1 40H</v>
          </cell>
          <cell r="I423">
            <v>25000</v>
          </cell>
          <cell r="J423" t="str">
            <v>UN</v>
          </cell>
          <cell r="K423">
            <v>45601</v>
          </cell>
        </row>
        <row r="424">
          <cell r="A424" t="str">
            <v>50800514510</v>
          </cell>
          <cell r="B424" t="str">
            <v>ZMFD</v>
          </cell>
          <cell r="C424">
            <v>45464</v>
          </cell>
          <cell r="D424" t="str">
            <v>Not delivered</v>
          </cell>
          <cell r="E424">
            <v>508005145</v>
          </cell>
          <cell r="F424">
            <v>10</v>
          </cell>
          <cell r="G424">
            <v>1288811</v>
          </cell>
          <cell r="H424" t="str">
            <v>CP-065:FT 50 SNAP SLV GLOSSY ELSEVE</v>
          </cell>
          <cell r="I424">
            <v>109600</v>
          </cell>
          <cell r="J424" t="str">
            <v>UN</v>
          </cell>
          <cell r="K424">
            <v>45601</v>
          </cell>
        </row>
        <row r="425">
          <cell r="A425" t="str">
            <v>50714230310</v>
          </cell>
          <cell r="B425" t="str">
            <v>ZMTD</v>
          </cell>
          <cell r="C425">
            <v>45449</v>
          </cell>
          <cell r="D425" t="str">
            <v>Not delivered</v>
          </cell>
          <cell r="E425">
            <v>507142303</v>
          </cell>
          <cell r="F425">
            <v>10</v>
          </cell>
          <cell r="G425">
            <v>1389493</v>
          </cell>
          <cell r="H425" t="str">
            <v>CM-295:GODET HAPPIEST HOUR G860-01-0091</v>
          </cell>
          <cell r="I425">
            <v>10472</v>
          </cell>
          <cell r="J425" t="str">
            <v>UN</v>
          </cell>
          <cell r="K425">
            <v>45601</v>
          </cell>
        </row>
        <row r="426">
          <cell r="A426" t="str">
            <v>50714230410</v>
          </cell>
          <cell r="B426" t="str">
            <v>ZMTD</v>
          </cell>
          <cell r="C426">
            <v>45449</v>
          </cell>
          <cell r="D426" t="str">
            <v>Not delivered</v>
          </cell>
          <cell r="E426">
            <v>507142304</v>
          </cell>
          <cell r="F426">
            <v>10</v>
          </cell>
          <cell r="G426">
            <v>1389490</v>
          </cell>
          <cell r="H426" t="str">
            <v>CM-295:GODET POOLSIDE G861-01-0091</v>
          </cell>
          <cell r="I426">
            <v>10472</v>
          </cell>
          <cell r="J426" t="str">
            <v>UN</v>
          </cell>
          <cell r="K426">
            <v>45601</v>
          </cell>
        </row>
        <row r="427">
          <cell r="A427" t="str">
            <v>50714230510</v>
          </cell>
          <cell r="B427" t="str">
            <v>ZMTD</v>
          </cell>
          <cell r="C427">
            <v>45449</v>
          </cell>
          <cell r="D427" t="str">
            <v>Not delivered</v>
          </cell>
          <cell r="E427">
            <v>507142305</v>
          </cell>
          <cell r="F427">
            <v>10</v>
          </cell>
          <cell r="G427">
            <v>1389305</v>
          </cell>
          <cell r="H427" t="str">
            <v>CM-295:GODET GETAWAY G87E-XX-0091</v>
          </cell>
          <cell r="I427">
            <v>10472</v>
          </cell>
          <cell r="J427" t="str">
            <v>UN</v>
          </cell>
          <cell r="K427">
            <v>45601</v>
          </cell>
        </row>
        <row r="428">
          <cell r="A428" t="str">
            <v>50800496650</v>
          </cell>
          <cell r="B428" t="str">
            <v>ZMFD</v>
          </cell>
          <cell r="C428">
            <v>45385</v>
          </cell>
          <cell r="D428" t="str">
            <v>Not delivered</v>
          </cell>
          <cell r="E428">
            <v>508004966</v>
          </cell>
          <cell r="F428">
            <v>50</v>
          </cell>
          <cell r="G428">
            <v>1437255</v>
          </cell>
          <cell r="H428" t="str">
            <v>CM-253:CV BS MTPEACH 03 P/CCM RV2 PTI40H</v>
          </cell>
          <cell r="I428">
            <v>15000</v>
          </cell>
          <cell r="J428" t="str">
            <v>UN</v>
          </cell>
          <cell r="K428">
            <v>45601</v>
          </cell>
        </row>
        <row r="429">
          <cell r="A429" t="str">
            <v>50714285410</v>
          </cell>
          <cell r="B429" t="str">
            <v>ZMTD</v>
          </cell>
          <cell r="C429">
            <v>45569</v>
          </cell>
          <cell r="D429" t="str">
            <v>Not delivered</v>
          </cell>
          <cell r="E429">
            <v>507142854</v>
          </cell>
          <cell r="F429">
            <v>10</v>
          </cell>
          <cell r="G429">
            <v>1180482</v>
          </cell>
          <cell r="H429" t="str">
            <v>CM-297:WHITE DUAL BRONZER BOOTS</v>
          </cell>
          <cell r="I429">
            <v>26040</v>
          </cell>
          <cell r="J429" t="str">
            <v>UN</v>
          </cell>
          <cell r="K429">
            <v>45602</v>
          </cell>
        </row>
        <row r="430">
          <cell r="A430" t="str">
            <v>50800531210</v>
          </cell>
          <cell r="B430" t="str">
            <v>ZMFD</v>
          </cell>
          <cell r="C430">
            <v>45569</v>
          </cell>
          <cell r="D430" t="str">
            <v>Not delivered</v>
          </cell>
          <cell r="E430">
            <v>508005312</v>
          </cell>
          <cell r="F430">
            <v>10</v>
          </cell>
          <cell r="G430">
            <v>1153319</v>
          </cell>
          <cell r="H430" t="str">
            <v>LS-285:BS/SPRL BEIGE P/WRDH PTI 40H</v>
          </cell>
          <cell r="I430">
            <v>25000</v>
          </cell>
          <cell r="J430" t="str">
            <v>UN</v>
          </cell>
          <cell r="K430">
            <v>45602</v>
          </cell>
        </row>
        <row r="431">
          <cell r="A431" t="str">
            <v>50800531220</v>
          </cell>
          <cell r="B431" t="str">
            <v>ZMFD</v>
          </cell>
          <cell r="C431">
            <v>45569</v>
          </cell>
          <cell r="D431" t="str">
            <v>Not delivered</v>
          </cell>
          <cell r="E431">
            <v>508005312</v>
          </cell>
          <cell r="F431">
            <v>20</v>
          </cell>
          <cell r="G431">
            <v>1153468</v>
          </cell>
          <cell r="H431" t="str">
            <v>LS-285:CVR MT BEIGE P/S.JEJU PTI 40H</v>
          </cell>
          <cell r="I431">
            <v>25000</v>
          </cell>
          <cell r="J431" t="str">
            <v>UN</v>
          </cell>
          <cell r="K431">
            <v>45602</v>
          </cell>
        </row>
        <row r="432">
          <cell r="A432" t="str">
            <v>50714284310</v>
          </cell>
          <cell r="B432" t="str">
            <v>ZMTD</v>
          </cell>
          <cell r="C432">
            <v>45566</v>
          </cell>
          <cell r="D432" t="str">
            <v>Not delivered</v>
          </cell>
          <cell r="E432">
            <v>507142843</v>
          </cell>
          <cell r="F432">
            <v>10</v>
          </cell>
          <cell r="G432">
            <v>1169152</v>
          </cell>
          <cell r="H432" t="str">
            <v>CM-295:SQUARE COMPACT&amp;GODET PHHT010032</v>
          </cell>
          <cell r="I432">
            <v>20040</v>
          </cell>
          <cell r="J432" t="str">
            <v>UN</v>
          </cell>
          <cell r="K432">
            <v>45602</v>
          </cell>
        </row>
        <row r="433">
          <cell r="A433" t="str">
            <v>50714283220</v>
          </cell>
          <cell r="B433" t="str">
            <v>ZMTD</v>
          </cell>
          <cell r="C433">
            <v>45561</v>
          </cell>
          <cell r="D433" t="str">
            <v>Not delivered</v>
          </cell>
          <cell r="E433">
            <v>507142832</v>
          </cell>
          <cell r="F433">
            <v>20</v>
          </cell>
          <cell r="G433">
            <v>1409881</v>
          </cell>
          <cell r="H433" t="str">
            <v>CM-315:CVR/BS BLACK P/CVRLAST OMG RV160B</v>
          </cell>
          <cell r="I433">
            <v>49896</v>
          </cell>
          <cell r="J433" t="str">
            <v>UN</v>
          </cell>
          <cell r="K433">
            <v>45602</v>
          </cell>
        </row>
        <row r="434">
          <cell r="A434" t="str">
            <v>50800525130</v>
          </cell>
          <cell r="B434" t="str">
            <v>ZMFD</v>
          </cell>
          <cell r="C434">
            <v>45511</v>
          </cell>
          <cell r="D434" t="str">
            <v>Not delivered</v>
          </cell>
          <cell r="E434">
            <v>508005251</v>
          </cell>
          <cell r="F434">
            <v>30</v>
          </cell>
          <cell r="G434">
            <v>1168132</v>
          </cell>
          <cell r="H434" t="str">
            <v>LS-285:BS WHT NO DC WARDAH</v>
          </cell>
          <cell r="I434">
            <v>100000</v>
          </cell>
          <cell r="J434" t="str">
            <v>UN</v>
          </cell>
          <cell r="K434">
            <v>45602</v>
          </cell>
        </row>
        <row r="435">
          <cell r="A435" t="str">
            <v>50800525140</v>
          </cell>
          <cell r="B435" t="str">
            <v>ZMFD</v>
          </cell>
          <cell r="C435">
            <v>45511</v>
          </cell>
          <cell r="D435" t="str">
            <v>Not delivered</v>
          </cell>
          <cell r="E435">
            <v>508005251</v>
          </cell>
          <cell r="F435">
            <v>40</v>
          </cell>
          <cell r="G435">
            <v>1421510</v>
          </cell>
          <cell r="H435" t="str">
            <v>LS-285:CV PINK P/WHT UV P.BLOSOM PTI 30O</v>
          </cell>
          <cell r="I435">
            <v>100000</v>
          </cell>
          <cell r="J435" t="str">
            <v>UN</v>
          </cell>
          <cell r="K435">
            <v>45602</v>
          </cell>
        </row>
        <row r="436">
          <cell r="A436" t="str">
            <v>50714261210</v>
          </cell>
          <cell r="B436" t="str">
            <v>ZMTD</v>
          </cell>
          <cell r="C436">
            <v>45510</v>
          </cell>
          <cell r="D436" t="str">
            <v>Not delivered</v>
          </cell>
          <cell r="E436">
            <v>507142612</v>
          </cell>
          <cell r="F436">
            <v>10</v>
          </cell>
          <cell r="G436">
            <v>1436641</v>
          </cell>
          <cell r="H436" t="str">
            <v>CM-310:BLUE UV S/SILVER DIOR PEPSPE+IXPE</v>
          </cell>
          <cell r="I436">
            <v>64800</v>
          </cell>
          <cell r="J436" t="str">
            <v>UN</v>
          </cell>
          <cell r="K436">
            <v>45602</v>
          </cell>
        </row>
        <row r="437">
          <cell r="A437" t="str">
            <v>50714243610</v>
          </cell>
          <cell r="B437" t="str">
            <v>ZMTD</v>
          </cell>
          <cell r="C437">
            <v>45475</v>
          </cell>
          <cell r="D437" t="str">
            <v>Not delivered</v>
          </cell>
          <cell r="E437">
            <v>507142436</v>
          </cell>
          <cell r="F437">
            <v>10</v>
          </cell>
          <cell r="G437">
            <v>1159364</v>
          </cell>
          <cell r="H437" t="str">
            <v>CP-071:PL8364 INSERT TNR 125-200ML REX</v>
          </cell>
          <cell r="I437">
            <v>111000</v>
          </cell>
          <cell r="J437" t="str">
            <v>UN</v>
          </cell>
          <cell r="K437">
            <v>45602</v>
          </cell>
        </row>
        <row r="438">
          <cell r="A438" t="str">
            <v>50800515920</v>
          </cell>
          <cell r="B438" t="str">
            <v>ZMFD</v>
          </cell>
          <cell r="C438">
            <v>45475</v>
          </cell>
          <cell r="D438" t="str">
            <v>Not delivered</v>
          </cell>
          <cell r="E438">
            <v>508005159</v>
          </cell>
          <cell r="F438">
            <v>20</v>
          </cell>
          <cell r="G438">
            <v>1285116</v>
          </cell>
          <cell r="H438" t="str">
            <v>CM-292:CV/BS MTBLK LENS S/SLV MO PTI 40C</v>
          </cell>
          <cell r="I438">
            <v>50000</v>
          </cell>
          <cell r="J438" t="str">
            <v>UN</v>
          </cell>
          <cell r="K438">
            <v>45602</v>
          </cell>
        </row>
        <row r="439">
          <cell r="A439" t="str">
            <v>50800515470</v>
          </cell>
          <cell r="B439" t="str">
            <v>ZMFD</v>
          </cell>
          <cell r="C439">
            <v>45470</v>
          </cell>
          <cell r="D439" t="str">
            <v>Not delivered</v>
          </cell>
          <cell r="E439">
            <v>508005154</v>
          </cell>
          <cell r="F439">
            <v>70</v>
          </cell>
          <cell r="G439">
            <v>1437221</v>
          </cell>
          <cell r="H439" t="str">
            <v>CM-253:CV BS MTCORL 01 P/CCM RV2 PTI40H</v>
          </cell>
          <cell r="I439">
            <v>30000</v>
          </cell>
          <cell r="J439" t="str">
            <v>UN</v>
          </cell>
          <cell r="K439">
            <v>45602</v>
          </cell>
        </row>
        <row r="440">
          <cell r="A440" t="str">
            <v>508005155100</v>
          </cell>
          <cell r="B440" t="str">
            <v>ZMFD</v>
          </cell>
          <cell r="C440">
            <v>45470</v>
          </cell>
          <cell r="D440" t="str">
            <v>Not delivered</v>
          </cell>
          <cell r="E440">
            <v>508005155</v>
          </cell>
          <cell r="F440">
            <v>100</v>
          </cell>
          <cell r="G440">
            <v>1437254</v>
          </cell>
          <cell r="H440" t="str">
            <v>CM-253:CV BS MTMAUVE 02 P/CCM RV2 PTI40H</v>
          </cell>
          <cell r="I440">
            <v>30000</v>
          </cell>
          <cell r="J440" t="str">
            <v>UN</v>
          </cell>
          <cell r="K440">
            <v>45602</v>
          </cell>
        </row>
        <row r="441">
          <cell r="A441" t="str">
            <v>50800514820</v>
          </cell>
          <cell r="B441" t="str">
            <v>ZMFD</v>
          </cell>
          <cell r="C441">
            <v>45464</v>
          </cell>
          <cell r="D441" t="str">
            <v>Not delivered</v>
          </cell>
          <cell r="E441">
            <v>508005148</v>
          </cell>
          <cell r="F441">
            <v>20</v>
          </cell>
          <cell r="G441">
            <v>1424980</v>
          </cell>
          <cell r="H441" t="str">
            <v>CP-093R:CAP D50 MT.YELOW Ø.5 YASULOR 12A</v>
          </cell>
          <cell r="I441">
            <v>80000</v>
          </cell>
          <cell r="J441" t="str">
            <v>UN</v>
          </cell>
          <cell r="K441">
            <v>45602</v>
          </cell>
        </row>
        <row r="442">
          <cell r="A442" t="str">
            <v>50800514140</v>
          </cell>
          <cell r="B442" t="str">
            <v>ZMFD</v>
          </cell>
          <cell r="C442">
            <v>45463</v>
          </cell>
          <cell r="D442" t="str">
            <v>Not delivered</v>
          </cell>
          <cell r="E442">
            <v>508005141</v>
          </cell>
          <cell r="F442">
            <v>40</v>
          </cell>
          <cell r="G442">
            <v>1447138</v>
          </cell>
          <cell r="H442" t="str">
            <v>CM-133:CV BS MT.GRN UV DP+S/WRDH RV1 30T</v>
          </cell>
          <cell r="I442">
            <v>20160</v>
          </cell>
          <cell r="J442" t="str">
            <v>UN</v>
          </cell>
          <cell r="K442">
            <v>45602</v>
          </cell>
        </row>
        <row r="443">
          <cell r="A443" t="str">
            <v>50714285310</v>
          </cell>
          <cell r="B443" t="str">
            <v>ZMTD</v>
          </cell>
          <cell r="C443">
            <v>45569</v>
          </cell>
          <cell r="D443" t="str">
            <v>Not delivered</v>
          </cell>
          <cell r="E443">
            <v>507142853</v>
          </cell>
          <cell r="F443">
            <v>10</v>
          </cell>
          <cell r="G443">
            <v>1431862</v>
          </cell>
          <cell r="H443" t="str">
            <v>PT6029R JAR GARNIER 18ML YUZU SPF30(635)</v>
          </cell>
          <cell r="I443">
            <v>14112</v>
          </cell>
          <cell r="J443" t="str">
            <v>UN</v>
          </cell>
          <cell r="K443">
            <v>45603</v>
          </cell>
        </row>
        <row r="444">
          <cell r="A444" t="str">
            <v>50714274110</v>
          </cell>
          <cell r="B444" t="str">
            <v>ZMTD</v>
          </cell>
          <cell r="C444">
            <v>45544</v>
          </cell>
          <cell r="D444" t="str">
            <v>Not delivered</v>
          </cell>
          <cell r="E444">
            <v>507142741</v>
          </cell>
          <cell r="F444">
            <v>10</v>
          </cell>
          <cell r="G444">
            <v>1323605</v>
          </cell>
          <cell r="H444" t="str">
            <v>CM-040:MT BLK S/LTPROBRNZE 8HL RMBKA 40I</v>
          </cell>
          <cell r="I444">
            <v>5000</v>
          </cell>
          <cell r="J444" t="str">
            <v>UN</v>
          </cell>
          <cell r="K444">
            <v>45603</v>
          </cell>
        </row>
        <row r="445">
          <cell r="A445" t="str">
            <v>50714266510</v>
          </cell>
          <cell r="B445" t="str">
            <v>ZMTD</v>
          </cell>
          <cell r="C445">
            <v>45525</v>
          </cell>
          <cell r="D445" t="str">
            <v>Not delivered</v>
          </cell>
          <cell r="E445">
            <v>507142665</v>
          </cell>
          <cell r="F445">
            <v>10</v>
          </cell>
          <cell r="G445">
            <v>1218707</v>
          </cell>
          <cell r="H445" t="str">
            <v>LS-086:BS L.BEIGE NODC N.CUP MAYB BULK</v>
          </cell>
          <cell r="I445">
            <v>30000</v>
          </cell>
          <cell r="J445" t="str">
            <v>UN</v>
          </cell>
          <cell r="K445">
            <v>45603</v>
          </cell>
        </row>
        <row r="446">
          <cell r="A446" t="str">
            <v>50714266610</v>
          </cell>
          <cell r="B446" t="str">
            <v>ZMTD</v>
          </cell>
          <cell r="C446">
            <v>45525</v>
          </cell>
          <cell r="D446" t="str">
            <v>Not delivered</v>
          </cell>
          <cell r="E446">
            <v>507142666</v>
          </cell>
          <cell r="F446">
            <v>10</v>
          </cell>
          <cell r="G446">
            <v>1218709</v>
          </cell>
          <cell r="H446" t="str">
            <v>LS-086:CVR CLR CVRSTICK DC4 N.MOLD MAYB</v>
          </cell>
          <cell r="I446">
            <v>69120</v>
          </cell>
          <cell r="J446" t="str">
            <v>UN</v>
          </cell>
          <cell r="K446">
            <v>45603</v>
          </cell>
        </row>
        <row r="447">
          <cell r="A447" t="str">
            <v>50714266810</v>
          </cell>
          <cell r="B447" t="str">
            <v>ZMTD</v>
          </cell>
          <cell r="C447">
            <v>45525</v>
          </cell>
          <cell r="D447" t="str">
            <v>Not delivered</v>
          </cell>
          <cell r="E447">
            <v>507142668</v>
          </cell>
          <cell r="F447">
            <v>10</v>
          </cell>
          <cell r="G447">
            <v>1256831</v>
          </cell>
          <cell r="H447" t="str">
            <v>LS-086:BS M.BEIGE NODC N.CUP MAYB BULK</v>
          </cell>
          <cell r="I447">
            <v>30000</v>
          </cell>
          <cell r="J447" t="str">
            <v>UN</v>
          </cell>
          <cell r="K447">
            <v>45603</v>
          </cell>
        </row>
        <row r="448">
          <cell r="A448" t="str">
            <v>50714254420</v>
          </cell>
          <cell r="B448" t="str">
            <v>ZMTD</v>
          </cell>
          <cell r="C448">
            <v>45491</v>
          </cell>
          <cell r="D448" t="str">
            <v>Not delivered</v>
          </cell>
          <cell r="E448">
            <v>507142544</v>
          </cell>
          <cell r="F448">
            <v>20</v>
          </cell>
          <cell r="G448">
            <v>1319857</v>
          </cell>
          <cell r="H448" t="str">
            <v>CM-296:WHT P/L.AGELES W/O HOLE COTY EPS</v>
          </cell>
          <cell r="I448">
            <v>72000</v>
          </cell>
          <cell r="J448" t="str">
            <v>UN</v>
          </cell>
          <cell r="K448">
            <v>45603</v>
          </cell>
        </row>
        <row r="449">
          <cell r="A449" t="str">
            <v>50714251110</v>
          </cell>
          <cell r="B449" t="str">
            <v>ZMTD</v>
          </cell>
          <cell r="C449">
            <v>45488</v>
          </cell>
          <cell r="D449" t="str">
            <v>Not delivered</v>
          </cell>
          <cell r="E449">
            <v>507142511</v>
          </cell>
          <cell r="F449">
            <v>10</v>
          </cell>
          <cell r="G449">
            <v>1419488</v>
          </cell>
          <cell r="H449" t="str">
            <v>CP-063R:SPOUT CAP WHITE LOREAL 12A</v>
          </cell>
          <cell r="I449">
            <v>1890000</v>
          </cell>
          <cell r="J449" t="str">
            <v>UN</v>
          </cell>
          <cell r="K449">
            <v>45603</v>
          </cell>
        </row>
        <row r="450">
          <cell r="A450" t="str">
            <v>50800518120</v>
          </cell>
          <cell r="B450" t="str">
            <v>ZMFD</v>
          </cell>
          <cell r="C450">
            <v>45485</v>
          </cell>
          <cell r="D450" t="str">
            <v>Not delivered</v>
          </cell>
          <cell r="E450">
            <v>508005181</v>
          </cell>
          <cell r="F450">
            <v>20</v>
          </cell>
          <cell r="G450">
            <v>1413967</v>
          </cell>
          <cell r="H450" t="str">
            <v>CM-323:VM SILVER DIOR JUMBO M080</v>
          </cell>
          <cell r="I450">
            <v>18000</v>
          </cell>
          <cell r="J450" t="str">
            <v>UN</v>
          </cell>
          <cell r="K450">
            <v>45603</v>
          </cell>
        </row>
        <row r="451">
          <cell r="A451" t="str">
            <v>50800510710</v>
          </cell>
          <cell r="B451" t="str">
            <v>ZMFD</v>
          </cell>
          <cell r="C451">
            <v>45449</v>
          </cell>
          <cell r="D451" t="str">
            <v>Not delivered</v>
          </cell>
          <cell r="E451">
            <v>508005107</v>
          </cell>
          <cell r="F451">
            <v>10</v>
          </cell>
          <cell r="G451">
            <v>1389492</v>
          </cell>
          <cell r="H451" t="str">
            <v>CM-295:GODET POWER BRUNCH G85Y-01-0001</v>
          </cell>
          <cell r="I451">
            <v>10472</v>
          </cell>
          <cell r="J451" t="str">
            <v>UN</v>
          </cell>
          <cell r="K451">
            <v>45603</v>
          </cell>
        </row>
        <row r="452">
          <cell r="A452" t="str">
            <v>50800533810</v>
          </cell>
          <cell r="B452" t="str">
            <v>ZMFD</v>
          </cell>
          <cell r="C452">
            <v>45574</v>
          </cell>
          <cell r="D452" t="str">
            <v>Not delivered</v>
          </cell>
          <cell r="E452">
            <v>508005338</v>
          </cell>
          <cell r="F452">
            <v>10</v>
          </cell>
          <cell r="G452">
            <v>1383131</v>
          </cell>
          <cell r="H452" t="str">
            <v>LC-004:CAP PINK P2037C WIP HANUM MLA 40D</v>
          </cell>
          <cell r="I452">
            <v>10000</v>
          </cell>
          <cell r="J452" t="str">
            <v>UN</v>
          </cell>
          <cell r="K452">
            <v>45604</v>
          </cell>
        </row>
        <row r="453">
          <cell r="A453" t="str">
            <v>50800533820</v>
          </cell>
          <cell r="B453" t="str">
            <v>ZMFD</v>
          </cell>
          <cell r="C453">
            <v>45574</v>
          </cell>
          <cell r="D453" t="str">
            <v>Not delivered</v>
          </cell>
          <cell r="E453">
            <v>508005338</v>
          </cell>
          <cell r="F453">
            <v>20</v>
          </cell>
          <cell r="G453">
            <v>1383133</v>
          </cell>
          <cell r="H453" t="str">
            <v>LC-004:BTLCLR CLPINK2037C P/HANUM MLA40H</v>
          </cell>
          <cell r="I453">
            <v>10000</v>
          </cell>
          <cell r="J453" t="str">
            <v>UN</v>
          </cell>
          <cell r="K453">
            <v>45604</v>
          </cell>
        </row>
        <row r="454">
          <cell r="A454" t="str">
            <v>50714276580</v>
          </cell>
          <cell r="B454" t="str">
            <v>ZMTD</v>
          </cell>
          <cell r="C454">
            <v>45552</v>
          </cell>
          <cell r="D454" t="str">
            <v>Not delivered</v>
          </cell>
          <cell r="E454">
            <v>507142765</v>
          </cell>
          <cell r="F454">
            <v>80</v>
          </cell>
          <cell r="G454">
            <v>1398383</v>
          </cell>
          <cell r="H454" t="str">
            <v>CM-319:WHITE P/BLACK UV MATTE NARS</v>
          </cell>
          <cell r="I454">
            <v>40080</v>
          </cell>
          <cell r="J454" t="str">
            <v>UN</v>
          </cell>
          <cell r="K454">
            <v>45604</v>
          </cell>
        </row>
        <row r="455">
          <cell r="A455" t="str">
            <v>50714276640</v>
          </cell>
          <cell r="B455" t="str">
            <v>ZMTD</v>
          </cell>
          <cell r="C455">
            <v>45552</v>
          </cell>
          <cell r="D455" t="str">
            <v>Not delivered</v>
          </cell>
          <cell r="E455">
            <v>507142766</v>
          </cell>
          <cell r="F455">
            <v>40</v>
          </cell>
          <cell r="G455">
            <v>1398763</v>
          </cell>
          <cell r="H455" t="str">
            <v>CM-320:WHITE S/BLACK UV MATTE NARS</v>
          </cell>
          <cell r="I455">
            <v>40500</v>
          </cell>
          <cell r="J455" t="str">
            <v>UN</v>
          </cell>
          <cell r="K455">
            <v>45604</v>
          </cell>
        </row>
        <row r="456">
          <cell r="A456" t="str">
            <v>50800525710</v>
          </cell>
          <cell r="B456" t="str">
            <v>ZMFD</v>
          </cell>
          <cell r="C456">
            <v>45518</v>
          </cell>
          <cell r="D456" t="str">
            <v>Not delivered</v>
          </cell>
          <cell r="E456">
            <v>508005257</v>
          </cell>
          <cell r="F456">
            <v>10</v>
          </cell>
          <cell r="G456">
            <v>1409881</v>
          </cell>
          <cell r="H456" t="str">
            <v>CM-315:CVR/BS BLACK P/CVRLAST OMG RV160B</v>
          </cell>
          <cell r="I456">
            <v>100000</v>
          </cell>
          <cell r="J456" t="str">
            <v>UN</v>
          </cell>
          <cell r="K456">
            <v>45604</v>
          </cell>
        </row>
        <row r="457">
          <cell r="A457" t="str">
            <v>50714263310</v>
          </cell>
          <cell r="B457" t="str">
            <v>ZMTD</v>
          </cell>
          <cell r="C457">
            <v>45517</v>
          </cell>
          <cell r="D457" t="str">
            <v>Not delivered</v>
          </cell>
          <cell r="E457">
            <v>507142633</v>
          </cell>
          <cell r="F457">
            <v>10</v>
          </cell>
          <cell r="G457">
            <v>1388803</v>
          </cell>
          <cell r="H457" t="str">
            <v>RX-067:CM-289 CVR BEIGE SP MATTE RV1</v>
          </cell>
          <cell r="I457">
            <v>90000</v>
          </cell>
          <cell r="J457" t="str">
            <v>UN</v>
          </cell>
          <cell r="K457">
            <v>45604</v>
          </cell>
        </row>
        <row r="458">
          <cell r="A458" t="str">
            <v>50714263410</v>
          </cell>
          <cell r="B458" t="str">
            <v>ZMTD</v>
          </cell>
          <cell r="C458">
            <v>45517</v>
          </cell>
          <cell r="D458" t="str">
            <v>Not delivered</v>
          </cell>
          <cell r="E458">
            <v>507142634</v>
          </cell>
          <cell r="F458">
            <v>10</v>
          </cell>
          <cell r="G458">
            <v>1388803</v>
          </cell>
          <cell r="H458" t="str">
            <v>RX-067:CM-289 CVR BEIGE SP MATTE RV1</v>
          </cell>
          <cell r="I458">
            <v>80000</v>
          </cell>
          <cell r="J458" t="str">
            <v>UN</v>
          </cell>
          <cell r="K458">
            <v>45604</v>
          </cell>
        </row>
        <row r="459">
          <cell r="A459" t="str">
            <v>50800523520</v>
          </cell>
          <cell r="B459" t="str">
            <v>ZMFD</v>
          </cell>
          <cell r="C459">
            <v>45505</v>
          </cell>
          <cell r="D459" t="str">
            <v>Not delivered</v>
          </cell>
          <cell r="E459">
            <v>508005235</v>
          </cell>
          <cell r="F459">
            <v>20</v>
          </cell>
          <cell r="G459">
            <v>1434959</v>
          </cell>
          <cell r="H459" t="str">
            <v>LC-008:BTL CLR (PCTG) P/WHT EMLC PTI 60B</v>
          </cell>
          <cell r="I459">
            <v>100000</v>
          </cell>
          <cell r="J459" t="str">
            <v>UN</v>
          </cell>
          <cell r="K459">
            <v>45604</v>
          </cell>
        </row>
        <row r="460">
          <cell r="A460" t="str">
            <v>50800523540</v>
          </cell>
          <cell r="B460" t="str">
            <v>ZMFD</v>
          </cell>
          <cell r="C460">
            <v>45505</v>
          </cell>
          <cell r="D460" t="str">
            <v>Not delivered</v>
          </cell>
          <cell r="E460">
            <v>508005235</v>
          </cell>
          <cell r="F460">
            <v>40</v>
          </cell>
          <cell r="G460">
            <v>1434959</v>
          </cell>
          <cell r="H460" t="str">
            <v>LC-008:BTL CLR (PCTG) P/WHT EMLC PTI 60B</v>
          </cell>
          <cell r="I460">
            <v>40000</v>
          </cell>
          <cell r="J460" t="str">
            <v>UN</v>
          </cell>
          <cell r="K460">
            <v>45604</v>
          </cell>
        </row>
        <row r="461">
          <cell r="A461" t="str">
            <v>50800522610</v>
          </cell>
          <cell r="B461" t="str">
            <v>ZMFD</v>
          </cell>
          <cell r="C461">
            <v>45499</v>
          </cell>
          <cell r="D461" t="str">
            <v>Not delivered</v>
          </cell>
          <cell r="E461">
            <v>508005226</v>
          </cell>
          <cell r="F461">
            <v>10</v>
          </cell>
          <cell r="G461">
            <v>1291869</v>
          </cell>
          <cell r="H461" t="str">
            <v>LC-004:BTL COL GRAD P/MOUSSE NEW MLA40H</v>
          </cell>
          <cell r="I461">
            <v>25000</v>
          </cell>
          <cell r="J461" t="str">
            <v>UN</v>
          </cell>
          <cell r="K461">
            <v>45604</v>
          </cell>
        </row>
        <row r="462">
          <cell r="A462" t="str">
            <v>50800522620</v>
          </cell>
          <cell r="B462" t="str">
            <v>ZMFD</v>
          </cell>
          <cell r="C462">
            <v>45499</v>
          </cell>
          <cell r="D462" t="str">
            <v>Not delivered</v>
          </cell>
          <cell r="E462">
            <v>508005226</v>
          </cell>
          <cell r="F462">
            <v>20</v>
          </cell>
          <cell r="G462">
            <v>1291930</v>
          </cell>
          <cell r="H462" t="str">
            <v>LC-004:CAP MTPINK WIPNAT MOUS NEW MLA40D</v>
          </cell>
          <cell r="I462">
            <v>25000</v>
          </cell>
          <cell r="J462" t="str">
            <v>UN</v>
          </cell>
          <cell r="K462">
            <v>45604</v>
          </cell>
        </row>
        <row r="463">
          <cell r="A463" t="str">
            <v>50714253010</v>
          </cell>
          <cell r="B463" t="str">
            <v>ZMTD</v>
          </cell>
          <cell r="C463">
            <v>45488</v>
          </cell>
          <cell r="D463" t="str">
            <v>Partially delivered</v>
          </cell>
          <cell r="E463">
            <v>507142530</v>
          </cell>
          <cell r="F463">
            <v>10</v>
          </cell>
          <cell r="G463">
            <v>1388803</v>
          </cell>
          <cell r="H463" t="str">
            <v>RX-067:CM-289 CVR BEIGE SP MATTE RV1</v>
          </cell>
          <cell r="I463">
            <v>100000</v>
          </cell>
          <cell r="J463" t="str">
            <v>UN</v>
          </cell>
          <cell r="K463">
            <v>45604</v>
          </cell>
        </row>
        <row r="464">
          <cell r="A464" t="str">
            <v>508005155120</v>
          </cell>
          <cell r="B464" t="str">
            <v>ZMFD</v>
          </cell>
          <cell r="C464">
            <v>45470</v>
          </cell>
          <cell r="D464" t="str">
            <v>Not delivered</v>
          </cell>
          <cell r="E464">
            <v>508005155</v>
          </cell>
          <cell r="F464">
            <v>120</v>
          </cell>
          <cell r="G464">
            <v>1437513</v>
          </cell>
          <cell r="H464" t="str">
            <v>CM-253:CV BS MTROSE 04 P/CCM RV1 PTI40H</v>
          </cell>
          <cell r="I464">
            <v>15000</v>
          </cell>
          <cell r="J464" t="str">
            <v>UN</v>
          </cell>
          <cell r="K464">
            <v>45604</v>
          </cell>
        </row>
        <row r="465">
          <cell r="A465" t="str">
            <v>50800507110</v>
          </cell>
          <cell r="B465" t="str">
            <v>ZMFD</v>
          </cell>
          <cell r="C465">
            <v>45433</v>
          </cell>
          <cell r="D465" t="str">
            <v>Not delivered</v>
          </cell>
          <cell r="E465">
            <v>508005071</v>
          </cell>
          <cell r="F465">
            <v>10</v>
          </cell>
          <cell r="G465">
            <v>1171525</v>
          </cell>
          <cell r="H465" t="str">
            <v>CM-172:CVR MTLCGREN UV BS CLR P/WRDAH30C</v>
          </cell>
          <cell r="I465">
            <v>30000</v>
          </cell>
          <cell r="J465" t="str">
            <v>UN</v>
          </cell>
          <cell r="K465">
            <v>45604</v>
          </cell>
        </row>
        <row r="466">
          <cell r="A466" t="str">
            <v>50800507370</v>
          </cell>
          <cell r="B466" t="str">
            <v>ZMFD</v>
          </cell>
          <cell r="C466">
            <v>45433</v>
          </cell>
          <cell r="D466" t="str">
            <v>Not delivered</v>
          </cell>
          <cell r="E466">
            <v>508005073</v>
          </cell>
          <cell r="F466">
            <v>70</v>
          </cell>
          <cell r="G466">
            <v>1169047</v>
          </cell>
          <cell r="H466" t="str">
            <v>LS-285:B V/SL P/1PS SLEV H/SL BLM PTI20R</v>
          </cell>
          <cell r="I466">
            <v>25536</v>
          </cell>
          <cell r="J466" t="str">
            <v>UN</v>
          </cell>
          <cell r="K466">
            <v>45604</v>
          </cell>
        </row>
        <row r="467">
          <cell r="A467" t="str">
            <v>50800507380</v>
          </cell>
          <cell r="B467" t="str">
            <v>ZMFD</v>
          </cell>
          <cell r="C467">
            <v>45433</v>
          </cell>
          <cell r="D467" t="str">
            <v>Not delivered</v>
          </cell>
          <cell r="E467">
            <v>508005073</v>
          </cell>
          <cell r="F467">
            <v>80</v>
          </cell>
          <cell r="G467">
            <v>1171160</v>
          </cell>
          <cell r="H467" t="str">
            <v>LS-285:CV TRANS LONG 9 P/1PS VAR7 PTI40H</v>
          </cell>
          <cell r="I467">
            <v>25536</v>
          </cell>
          <cell r="J467" t="str">
            <v>UN</v>
          </cell>
          <cell r="K467">
            <v>45604</v>
          </cell>
        </row>
        <row r="468">
          <cell r="A468" t="str">
            <v>50800507710</v>
          </cell>
          <cell r="B468" t="str">
            <v>ZMFD</v>
          </cell>
          <cell r="C468">
            <v>45433</v>
          </cell>
          <cell r="D468" t="str">
            <v>Not delivered</v>
          </cell>
          <cell r="E468">
            <v>508005077</v>
          </cell>
          <cell r="F468">
            <v>10</v>
          </cell>
          <cell r="G468">
            <v>1153319</v>
          </cell>
          <cell r="H468" t="str">
            <v>LS-285:BS/SPRL BEIGE P/WRDH PTI 40H</v>
          </cell>
          <cell r="I468">
            <v>25536</v>
          </cell>
          <cell r="J468" t="str">
            <v>UN</v>
          </cell>
          <cell r="K468">
            <v>45604</v>
          </cell>
        </row>
        <row r="469">
          <cell r="A469" t="str">
            <v>50800507720</v>
          </cell>
          <cell r="B469" t="str">
            <v>ZMFD</v>
          </cell>
          <cell r="C469">
            <v>45433</v>
          </cell>
          <cell r="D469" t="str">
            <v>Not delivered</v>
          </cell>
          <cell r="E469">
            <v>508005077</v>
          </cell>
          <cell r="F469">
            <v>20</v>
          </cell>
          <cell r="G469">
            <v>1153467</v>
          </cell>
          <cell r="H469" t="str">
            <v>LS-285:CVR MT BEIGE P/S.SEOUL PTI40H</v>
          </cell>
          <cell r="I469">
            <v>25536</v>
          </cell>
          <cell r="J469" t="str">
            <v>UN</v>
          </cell>
          <cell r="K469">
            <v>45604</v>
          </cell>
        </row>
        <row r="470">
          <cell r="A470" t="str">
            <v>50800502010</v>
          </cell>
          <cell r="B470" t="str">
            <v>ZMFD</v>
          </cell>
          <cell r="C470">
            <v>45422</v>
          </cell>
          <cell r="D470" t="str">
            <v>Not delivered</v>
          </cell>
          <cell r="E470">
            <v>508005020</v>
          </cell>
          <cell r="F470">
            <v>10</v>
          </cell>
          <cell r="G470">
            <v>1153319</v>
          </cell>
          <cell r="H470" t="str">
            <v>LS-285:BS/SPRL BEIGE P/WRDH PTI 40H</v>
          </cell>
          <cell r="I470">
            <v>25536</v>
          </cell>
          <cell r="J470" t="str">
            <v>UN</v>
          </cell>
          <cell r="K470">
            <v>45604</v>
          </cell>
        </row>
        <row r="471">
          <cell r="A471" t="str">
            <v>50800502020</v>
          </cell>
          <cell r="B471" t="str">
            <v>ZMFD</v>
          </cell>
          <cell r="C471">
            <v>45422</v>
          </cell>
          <cell r="D471" t="str">
            <v>Not delivered</v>
          </cell>
          <cell r="E471">
            <v>508005020</v>
          </cell>
          <cell r="F471">
            <v>20</v>
          </cell>
          <cell r="G471">
            <v>1153467</v>
          </cell>
          <cell r="H471" t="str">
            <v>LS-285:CVR MT BEIGE P/S.SEOUL PTI40H</v>
          </cell>
          <cell r="I471">
            <v>25536</v>
          </cell>
          <cell r="J471" t="str">
            <v>UN</v>
          </cell>
          <cell r="K471">
            <v>45604</v>
          </cell>
        </row>
        <row r="472">
          <cell r="A472" t="str">
            <v>50714286210</v>
          </cell>
          <cell r="B472" t="str">
            <v>ZMTD</v>
          </cell>
          <cell r="C472">
            <v>45574</v>
          </cell>
          <cell r="D472" t="str">
            <v>Not delivered</v>
          </cell>
          <cell r="E472">
            <v>507142862</v>
          </cell>
          <cell r="F472">
            <v>10</v>
          </cell>
          <cell r="G472">
            <v>1361869</v>
          </cell>
          <cell r="H472" t="str">
            <v>CP-091:NATURAL BETTS</v>
          </cell>
          <cell r="I472">
            <v>32400</v>
          </cell>
          <cell r="J472" t="str">
            <v>UN</v>
          </cell>
          <cell r="K472">
            <v>45605</v>
          </cell>
        </row>
        <row r="473">
          <cell r="A473" t="str">
            <v>50714286410</v>
          </cell>
          <cell r="B473" t="str">
            <v>ZMTD</v>
          </cell>
          <cell r="C473">
            <v>45574</v>
          </cell>
          <cell r="D473" t="str">
            <v>Not delivered</v>
          </cell>
          <cell r="E473">
            <v>507142864</v>
          </cell>
          <cell r="F473">
            <v>10</v>
          </cell>
          <cell r="G473">
            <v>1225445</v>
          </cell>
          <cell r="H473" t="str">
            <v>RX-040 PT-024 BASE WHT SP/MAT CLR</v>
          </cell>
          <cell r="I473">
            <v>27000</v>
          </cell>
          <cell r="J473" t="str">
            <v>UN</v>
          </cell>
          <cell r="K473">
            <v>45605</v>
          </cell>
        </row>
        <row r="474">
          <cell r="A474" t="str">
            <v>50714286510</v>
          </cell>
          <cell r="B474" t="str">
            <v>ZMTD</v>
          </cell>
          <cell r="C474">
            <v>45574</v>
          </cell>
          <cell r="D474" t="str">
            <v>Not delivered</v>
          </cell>
          <cell r="E474">
            <v>507142865</v>
          </cell>
          <cell r="F474">
            <v>10</v>
          </cell>
          <cell r="G474">
            <v>1409850</v>
          </cell>
          <cell r="H474" t="str">
            <v>RX-068:BT8445 VENUS 60ML MATCLR 40D</v>
          </cell>
          <cell r="I474">
            <v>33000</v>
          </cell>
          <cell r="J474" t="str">
            <v>UN</v>
          </cell>
          <cell r="K474">
            <v>45605</v>
          </cell>
        </row>
        <row r="475">
          <cell r="A475" t="str">
            <v>50714285010</v>
          </cell>
          <cell r="B475" t="str">
            <v>ZMTD</v>
          </cell>
          <cell r="C475">
            <v>45567</v>
          </cell>
          <cell r="D475" t="str">
            <v>Not delivered</v>
          </cell>
          <cell r="E475">
            <v>507142850</v>
          </cell>
          <cell r="F475">
            <v>10</v>
          </cell>
          <cell r="G475">
            <v>1371896</v>
          </cell>
          <cell r="H475" t="str">
            <v>RX-056:CM-316 CVR BLUE P/WHT SP/MTCLR</v>
          </cell>
          <cell r="I475">
            <v>110016</v>
          </cell>
          <cell r="J475" t="str">
            <v>UN</v>
          </cell>
          <cell r="K475">
            <v>45605</v>
          </cell>
        </row>
        <row r="476">
          <cell r="A476" t="str">
            <v>50714277730</v>
          </cell>
          <cell r="B476" t="str">
            <v>ZMTD</v>
          </cell>
          <cell r="C476">
            <v>45554</v>
          </cell>
          <cell r="D476" t="str">
            <v>Not delivered</v>
          </cell>
          <cell r="E476">
            <v>507142777</v>
          </cell>
          <cell r="F476">
            <v>30</v>
          </cell>
          <cell r="G476">
            <v>1435311</v>
          </cell>
          <cell r="H476" t="str">
            <v>LC-002:BTL/COL MTGRAD SLV AZURA LION 40D</v>
          </cell>
          <cell r="I476">
            <v>50589</v>
          </cell>
          <cell r="J476" t="str">
            <v>UN</v>
          </cell>
          <cell r="K476">
            <v>45605</v>
          </cell>
        </row>
        <row r="477">
          <cell r="A477" t="str">
            <v>50714277740</v>
          </cell>
          <cell r="B477" t="str">
            <v>ZMTD</v>
          </cell>
          <cell r="C477">
            <v>45554</v>
          </cell>
          <cell r="D477" t="str">
            <v>Not delivered</v>
          </cell>
          <cell r="E477">
            <v>507142777</v>
          </cell>
          <cell r="F477">
            <v>40</v>
          </cell>
          <cell r="G477">
            <v>1435313</v>
          </cell>
          <cell r="H477" t="str">
            <v>LC-002:CAP MT SILVER S/AZURA LION 40C</v>
          </cell>
          <cell r="I477">
            <v>50589</v>
          </cell>
          <cell r="J477" t="str">
            <v>UN</v>
          </cell>
          <cell r="K477">
            <v>45605</v>
          </cell>
        </row>
        <row r="478">
          <cell r="A478" t="str">
            <v>50714251310</v>
          </cell>
          <cell r="B478" t="str">
            <v>ZMTD</v>
          </cell>
          <cell r="C478">
            <v>45488</v>
          </cell>
          <cell r="D478" t="str">
            <v>Not delivered</v>
          </cell>
          <cell r="E478">
            <v>507142513</v>
          </cell>
          <cell r="F478">
            <v>10</v>
          </cell>
          <cell r="G478">
            <v>1419488</v>
          </cell>
          <cell r="H478" t="str">
            <v>CP-063R:SPOUT CAP WHITE LOREAL 12A</v>
          </cell>
          <cell r="I478">
            <v>1890000</v>
          </cell>
          <cell r="J478" t="str">
            <v>UN</v>
          </cell>
          <cell r="K478">
            <v>45605</v>
          </cell>
        </row>
        <row r="479">
          <cell r="A479" t="str">
            <v>50714284630</v>
          </cell>
          <cell r="B479" t="str">
            <v>ZMTD</v>
          </cell>
          <cell r="C479">
            <v>45567</v>
          </cell>
          <cell r="D479" t="str">
            <v>Not delivered</v>
          </cell>
          <cell r="E479">
            <v>507142846</v>
          </cell>
          <cell r="F479">
            <v>30</v>
          </cell>
          <cell r="G479">
            <v>1375595</v>
          </cell>
          <cell r="H479" t="str">
            <v>LC-009:BTL/INNER CLEAR P/OMG PTIPT 60B</v>
          </cell>
          <cell r="I479">
            <v>49770</v>
          </cell>
          <cell r="J479" t="str">
            <v>UN</v>
          </cell>
          <cell r="K479">
            <v>45607</v>
          </cell>
        </row>
        <row r="480">
          <cell r="A480" t="str">
            <v>50714284640</v>
          </cell>
          <cell r="B480" t="str">
            <v>ZMTD</v>
          </cell>
          <cell r="C480">
            <v>45567</v>
          </cell>
          <cell r="D480" t="str">
            <v>Not delivered</v>
          </cell>
          <cell r="E480">
            <v>507142846</v>
          </cell>
          <cell r="F480">
            <v>40</v>
          </cell>
          <cell r="G480">
            <v>1375593</v>
          </cell>
          <cell r="H480" t="str">
            <v>LC-009:CAP REDTRANS WIP S/OMG PTIPT 60B</v>
          </cell>
          <cell r="I480">
            <v>49770</v>
          </cell>
          <cell r="J480" t="str">
            <v>UN</v>
          </cell>
          <cell r="K480">
            <v>45607</v>
          </cell>
        </row>
        <row r="481">
          <cell r="A481" t="str">
            <v>50714277420</v>
          </cell>
          <cell r="B481" t="str">
            <v>ZMTD</v>
          </cell>
          <cell r="C481">
            <v>45554</v>
          </cell>
          <cell r="D481" t="str">
            <v>Not delivered</v>
          </cell>
          <cell r="E481">
            <v>507142774</v>
          </cell>
          <cell r="F481">
            <v>20</v>
          </cell>
          <cell r="G481">
            <v>1378563</v>
          </cell>
          <cell r="H481" t="str">
            <v>CP-093:CAP D50 MT BLACK Ø.5 YASULOR 12A</v>
          </cell>
          <cell r="I481">
            <v>800000</v>
          </cell>
          <cell r="J481" t="str">
            <v>UN</v>
          </cell>
          <cell r="K481">
            <v>45607</v>
          </cell>
        </row>
        <row r="482">
          <cell r="A482" t="str">
            <v>50714251510</v>
          </cell>
          <cell r="B482" t="str">
            <v>ZMTD</v>
          </cell>
          <cell r="C482">
            <v>45488</v>
          </cell>
          <cell r="D482" t="str">
            <v>Not delivered</v>
          </cell>
          <cell r="E482">
            <v>507142515</v>
          </cell>
          <cell r="F482">
            <v>10</v>
          </cell>
          <cell r="G482">
            <v>1419488</v>
          </cell>
          <cell r="H482" t="str">
            <v>CP-063R:SPOUT CAP WHITE LOREAL 12A</v>
          </cell>
          <cell r="I482">
            <v>1890000</v>
          </cell>
          <cell r="J482" t="str">
            <v>UN</v>
          </cell>
          <cell r="K482">
            <v>45607</v>
          </cell>
        </row>
        <row r="483">
          <cell r="A483" t="str">
            <v>50714243330</v>
          </cell>
          <cell r="B483" t="str">
            <v>ZMTD</v>
          </cell>
          <cell r="C483">
            <v>45475</v>
          </cell>
          <cell r="D483" t="str">
            <v>Not delivered</v>
          </cell>
          <cell r="E483">
            <v>507142433</v>
          </cell>
          <cell r="F483">
            <v>30</v>
          </cell>
          <cell r="G483">
            <v>1406600</v>
          </cell>
          <cell r="H483" t="str">
            <v>CM-310:BLACK M086 CANNAGE S/SLV UV MT</v>
          </cell>
          <cell r="I483">
            <v>39000</v>
          </cell>
          <cell r="J483" t="str">
            <v>UN</v>
          </cell>
          <cell r="K483">
            <v>45607</v>
          </cell>
        </row>
        <row r="484">
          <cell r="A484" t="str">
            <v>50714285170</v>
          </cell>
          <cell r="B484" t="str">
            <v>ZMTD</v>
          </cell>
          <cell r="C484">
            <v>45568</v>
          </cell>
          <cell r="D484" t="str">
            <v>Not delivered</v>
          </cell>
          <cell r="E484">
            <v>507142851</v>
          </cell>
          <cell r="F484">
            <v>70</v>
          </cell>
          <cell r="G484">
            <v>1437039</v>
          </cell>
          <cell r="H484" t="str">
            <v>CM-290:1PC BS CV MT.BLK S/ EMBOS OMG 40C</v>
          </cell>
          <cell r="I484">
            <v>29904</v>
          </cell>
          <cell r="J484" t="str">
            <v>UN</v>
          </cell>
          <cell r="K484">
            <v>45608</v>
          </cell>
        </row>
        <row r="485">
          <cell r="A485" t="str">
            <v>50714285180</v>
          </cell>
          <cell r="B485" t="str">
            <v>ZMTD</v>
          </cell>
          <cell r="C485">
            <v>45568</v>
          </cell>
          <cell r="D485" t="str">
            <v>Not delivered</v>
          </cell>
          <cell r="E485">
            <v>507142851</v>
          </cell>
          <cell r="F485">
            <v>80</v>
          </cell>
          <cell r="G485">
            <v>1437140</v>
          </cell>
          <cell r="H485" t="str">
            <v>CM-290:ENGINE CV RED, BS BLK OMG PTI 12A</v>
          </cell>
          <cell r="I485">
            <v>29904</v>
          </cell>
          <cell r="J485" t="str">
            <v>UN</v>
          </cell>
          <cell r="K485">
            <v>45608</v>
          </cell>
        </row>
        <row r="486">
          <cell r="A486" t="str">
            <v>50714285190</v>
          </cell>
          <cell r="B486" t="str">
            <v>ZMTD</v>
          </cell>
          <cell r="C486">
            <v>45568</v>
          </cell>
          <cell r="D486" t="str">
            <v>Not delivered</v>
          </cell>
          <cell r="E486">
            <v>507142851</v>
          </cell>
          <cell r="F486">
            <v>90</v>
          </cell>
          <cell r="G486">
            <v>1437141</v>
          </cell>
          <cell r="H486" t="str">
            <v>CM-290:RING BLACK OMG PTI 12A</v>
          </cell>
          <cell r="I486">
            <v>29904</v>
          </cell>
          <cell r="J486" t="str">
            <v>UN</v>
          </cell>
          <cell r="K486">
            <v>45608</v>
          </cell>
        </row>
        <row r="487">
          <cell r="A487" t="str">
            <v>50800525250</v>
          </cell>
          <cell r="B487" t="str">
            <v>ZMFD</v>
          </cell>
          <cell r="C487">
            <v>45512</v>
          </cell>
          <cell r="D487" t="str">
            <v>Not delivered</v>
          </cell>
          <cell r="E487">
            <v>508005252</v>
          </cell>
          <cell r="F487">
            <v>50</v>
          </cell>
          <cell r="G487">
            <v>1382368</v>
          </cell>
          <cell r="H487" t="str">
            <v>CP-067R:FT CAP35 SNAP BLK MATTE  Ø5 LRL</v>
          </cell>
          <cell r="I487">
            <v>461000</v>
          </cell>
          <cell r="J487" t="str">
            <v>UN</v>
          </cell>
          <cell r="K487">
            <v>45608</v>
          </cell>
        </row>
        <row r="488">
          <cell r="A488" t="str">
            <v>50714230210</v>
          </cell>
          <cell r="B488" t="str">
            <v>ZMTD</v>
          </cell>
          <cell r="C488">
            <v>45449</v>
          </cell>
          <cell r="D488" t="str">
            <v>Not delivered</v>
          </cell>
          <cell r="E488">
            <v>507142302</v>
          </cell>
          <cell r="F488">
            <v>10</v>
          </cell>
          <cell r="G488">
            <v>1389492</v>
          </cell>
          <cell r="H488" t="str">
            <v>CM-295:GODET POWER BRUNCH G85Y-01-0001</v>
          </cell>
          <cell r="I488">
            <v>10472</v>
          </cell>
          <cell r="J488" t="str">
            <v>UN</v>
          </cell>
          <cell r="K488">
            <v>45608</v>
          </cell>
        </row>
        <row r="489">
          <cell r="A489" t="str">
            <v>50714230010</v>
          </cell>
          <cell r="B489" t="str">
            <v>ZMTD</v>
          </cell>
          <cell r="C489">
            <v>45448</v>
          </cell>
          <cell r="D489" t="str">
            <v>Not delivered</v>
          </cell>
          <cell r="E489">
            <v>507142300</v>
          </cell>
          <cell r="F489">
            <v>10</v>
          </cell>
          <cell r="G489">
            <v>1389249</v>
          </cell>
          <cell r="H489" t="str">
            <v>CM-295:GODET GALLERY HOPE G85W-01-0091</v>
          </cell>
          <cell r="I489">
            <v>10472</v>
          </cell>
          <cell r="J489" t="str">
            <v>UN</v>
          </cell>
          <cell r="K489">
            <v>45608</v>
          </cell>
        </row>
        <row r="490">
          <cell r="A490" t="str">
            <v>50714230110</v>
          </cell>
          <cell r="B490" t="str">
            <v>ZMTD</v>
          </cell>
          <cell r="C490">
            <v>45448</v>
          </cell>
          <cell r="D490" t="str">
            <v>Not delivered</v>
          </cell>
          <cell r="E490">
            <v>507142301</v>
          </cell>
          <cell r="F490">
            <v>10</v>
          </cell>
          <cell r="G490">
            <v>1389293</v>
          </cell>
          <cell r="H490" t="str">
            <v>CM-295:GODET PRENUP G85X-01-0091</v>
          </cell>
          <cell r="I490">
            <v>10472</v>
          </cell>
          <cell r="J490" t="str">
            <v>UN</v>
          </cell>
          <cell r="K490">
            <v>45608</v>
          </cell>
        </row>
        <row r="491">
          <cell r="A491" t="str">
            <v>50714220110</v>
          </cell>
          <cell r="B491" t="str">
            <v>ZMTD</v>
          </cell>
          <cell r="C491">
            <v>45432</v>
          </cell>
          <cell r="D491" t="str">
            <v>Partially delivered</v>
          </cell>
          <cell r="E491">
            <v>507142201</v>
          </cell>
          <cell r="F491">
            <v>10</v>
          </cell>
          <cell r="G491">
            <v>1160334</v>
          </cell>
          <cell r="H491" t="str">
            <v>CP-071:CP8364 RL RED 200ML MASS TINT 407</v>
          </cell>
          <cell r="I491">
            <v>43500</v>
          </cell>
          <cell r="J491" t="str">
            <v>UN</v>
          </cell>
          <cell r="K491">
            <v>45608</v>
          </cell>
        </row>
        <row r="492">
          <cell r="A492" t="str">
            <v>50714220210</v>
          </cell>
          <cell r="B492" t="str">
            <v>ZMTD</v>
          </cell>
          <cell r="C492">
            <v>45432</v>
          </cell>
          <cell r="D492" t="str">
            <v>Not delivered</v>
          </cell>
          <cell r="E492">
            <v>507142202</v>
          </cell>
          <cell r="F492">
            <v>10</v>
          </cell>
          <cell r="G492">
            <v>1160334</v>
          </cell>
          <cell r="H492" t="str">
            <v>CP-071:CP8364 RL RED 200ML MASS TINT 407</v>
          </cell>
          <cell r="I492">
            <v>43500</v>
          </cell>
          <cell r="J492" t="str">
            <v>UN</v>
          </cell>
          <cell r="K492">
            <v>45608</v>
          </cell>
        </row>
        <row r="493">
          <cell r="A493" t="str">
            <v>50714285510</v>
          </cell>
          <cell r="B493" t="str">
            <v>ZMTD</v>
          </cell>
          <cell r="C493">
            <v>45569</v>
          </cell>
          <cell r="D493" t="str">
            <v>Not delivered</v>
          </cell>
          <cell r="E493">
            <v>507142855</v>
          </cell>
          <cell r="F493">
            <v>10</v>
          </cell>
          <cell r="G493">
            <v>1133944</v>
          </cell>
          <cell r="H493" t="str">
            <v>CM-297:WHITE AIRBRUSH AWAY BOOTS</v>
          </cell>
          <cell r="I493">
            <v>26040</v>
          </cell>
          <cell r="J493" t="str">
            <v>UN</v>
          </cell>
          <cell r="K493">
            <v>45609</v>
          </cell>
        </row>
        <row r="494">
          <cell r="A494" t="str">
            <v>50714284110</v>
          </cell>
          <cell r="B494" t="str">
            <v>ZMTD</v>
          </cell>
          <cell r="C494">
            <v>45566</v>
          </cell>
          <cell r="D494" t="str">
            <v>Not delivered</v>
          </cell>
          <cell r="E494">
            <v>507142841</v>
          </cell>
          <cell r="F494">
            <v>10</v>
          </cell>
          <cell r="G494">
            <v>1163327</v>
          </cell>
          <cell r="H494" t="str">
            <v>CM-246:CVR S.SLV PAN WHITE 6MPY 01 0034</v>
          </cell>
          <cell r="I494">
            <v>41040</v>
          </cell>
          <cell r="J494" t="str">
            <v>UN</v>
          </cell>
          <cell r="K494">
            <v>45609</v>
          </cell>
        </row>
        <row r="495">
          <cell r="A495" t="str">
            <v>50800525930</v>
          </cell>
          <cell r="B495" t="str">
            <v>ZMFD</v>
          </cell>
          <cell r="C495">
            <v>45523</v>
          </cell>
          <cell r="D495" t="str">
            <v>Not delivered</v>
          </cell>
          <cell r="E495">
            <v>508005259</v>
          </cell>
          <cell r="F495">
            <v>30</v>
          </cell>
          <cell r="G495">
            <v>1168132</v>
          </cell>
          <cell r="H495" t="str">
            <v>LS-285:BS WHT NO DC WARDAH</v>
          </cell>
          <cell r="I495">
            <v>50000</v>
          </cell>
          <cell r="J495" t="str">
            <v>UN</v>
          </cell>
          <cell r="K495">
            <v>45609</v>
          </cell>
        </row>
        <row r="496">
          <cell r="A496" t="str">
            <v>50800525940</v>
          </cell>
          <cell r="B496" t="str">
            <v>ZMFD</v>
          </cell>
          <cell r="C496">
            <v>45523</v>
          </cell>
          <cell r="D496" t="str">
            <v>Not delivered</v>
          </cell>
          <cell r="E496">
            <v>508005259</v>
          </cell>
          <cell r="F496">
            <v>40</v>
          </cell>
          <cell r="G496">
            <v>1421509</v>
          </cell>
          <cell r="H496" t="str">
            <v>LS-285:CV ORNG P/WHT UV ORGSQUEZE PTI30O</v>
          </cell>
          <cell r="I496">
            <v>50000</v>
          </cell>
          <cell r="J496" t="str">
            <v>UN</v>
          </cell>
          <cell r="K496">
            <v>45609</v>
          </cell>
        </row>
        <row r="497">
          <cell r="A497" t="str">
            <v>50714264110</v>
          </cell>
          <cell r="B497" t="str">
            <v>ZMTD</v>
          </cell>
          <cell r="C497">
            <v>45520</v>
          </cell>
          <cell r="D497" t="str">
            <v>Not delivered</v>
          </cell>
          <cell r="E497">
            <v>507142641</v>
          </cell>
          <cell r="F497">
            <v>10</v>
          </cell>
          <cell r="G497">
            <v>1419206</v>
          </cell>
          <cell r="H497" t="str">
            <v>PT-055:BODY BLUE CITRUS HERBAL FAREVA</v>
          </cell>
          <cell r="I497">
            <v>24030</v>
          </cell>
          <cell r="J497" t="str">
            <v>UN</v>
          </cell>
          <cell r="K497">
            <v>45609</v>
          </cell>
        </row>
        <row r="498">
          <cell r="A498" t="str">
            <v>50714264120</v>
          </cell>
          <cell r="B498" t="str">
            <v>ZMTD</v>
          </cell>
          <cell r="C498">
            <v>45520</v>
          </cell>
          <cell r="D498" t="str">
            <v>Not delivered</v>
          </cell>
          <cell r="E498">
            <v>507142641</v>
          </cell>
          <cell r="F498">
            <v>20</v>
          </cell>
          <cell r="G498">
            <v>1194606</v>
          </cell>
          <cell r="H498" t="str">
            <v>PT-055:PLUG BLUE BAXTER FAREVA</v>
          </cell>
          <cell r="I498">
            <v>25110</v>
          </cell>
          <cell r="J498" t="str">
            <v>UN</v>
          </cell>
          <cell r="K498">
            <v>45609</v>
          </cell>
        </row>
        <row r="499">
          <cell r="A499" t="str">
            <v>50714261310</v>
          </cell>
          <cell r="B499" t="str">
            <v>ZMTD</v>
          </cell>
          <cell r="C499">
            <v>45510</v>
          </cell>
          <cell r="D499" t="str">
            <v>Not delivered</v>
          </cell>
          <cell r="E499">
            <v>507142613</v>
          </cell>
          <cell r="F499">
            <v>10</v>
          </cell>
          <cell r="G499">
            <v>1436641</v>
          </cell>
          <cell r="H499" t="str">
            <v>CM-310:BLUE UV S/SILVER DIOR PEPSPE+IXPE</v>
          </cell>
          <cell r="I499">
            <v>64800</v>
          </cell>
          <cell r="J499" t="str">
            <v>UN</v>
          </cell>
          <cell r="K499">
            <v>45609</v>
          </cell>
        </row>
        <row r="500">
          <cell r="A500" t="str">
            <v>50800519230</v>
          </cell>
          <cell r="B500" t="str">
            <v>ZMFD</v>
          </cell>
          <cell r="C500">
            <v>45492</v>
          </cell>
          <cell r="D500" t="str">
            <v>Not delivered</v>
          </cell>
          <cell r="E500">
            <v>508005192</v>
          </cell>
          <cell r="F500">
            <v>30</v>
          </cell>
          <cell r="G500">
            <v>1430093</v>
          </cell>
          <cell r="H500" t="str">
            <v>LS-285:CV MT.TR BLUE P/SHERCLEAR PTI 40H</v>
          </cell>
          <cell r="I500">
            <v>25000</v>
          </cell>
          <cell r="J500" t="str">
            <v>UN</v>
          </cell>
          <cell r="K500">
            <v>45609</v>
          </cell>
        </row>
        <row r="501">
          <cell r="A501" t="str">
            <v>50800519240</v>
          </cell>
          <cell r="B501" t="str">
            <v>ZMFD</v>
          </cell>
          <cell r="C501">
            <v>45492</v>
          </cell>
          <cell r="D501" t="str">
            <v>Not delivered</v>
          </cell>
          <cell r="E501">
            <v>508005192</v>
          </cell>
          <cell r="F501">
            <v>40</v>
          </cell>
          <cell r="G501">
            <v>1430094</v>
          </cell>
          <cell r="H501" t="str">
            <v>LS-285:BS BLUE NO DC WARDAH PTI 12A</v>
          </cell>
          <cell r="I501">
            <v>25000</v>
          </cell>
          <cell r="J501" t="str">
            <v>UN</v>
          </cell>
          <cell r="K501">
            <v>45609</v>
          </cell>
        </row>
        <row r="502">
          <cell r="A502" t="str">
            <v>50714251710</v>
          </cell>
          <cell r="B502" t="str">
            <v>ZMTD</v>
          </cell>
          <cell r="C502">
            <v>45488</v>
          </cell>
          <cell r="D502" t="str">
            <v>Not delivered</v>
          </cell>
          <cell r="E502">
            <v>507142517</v>
          </cell>
          <cell r="F502">
            <v>10</v>
          </cell>
          <cell r="G502">
            <v>1419488</v>
          </cell>
          <cell r="H502" t="str">
            <v>CP-063R:SPOUT CAP WHITE LOREAL 12A</v>
          </cell>
          <cell r="I502">
            <v>1890000</v>
          </cell>
          <cell r="J502" t="str">
            <v>UN</v>
          </cell>
          <cell r="K502">
            <v>45609</v>
          </cell>
        </row>
        <row r="503">
          <cell r="A503" t="str">
            <v>50800517130</v>
          </cell>
          <cell r="B503" t="str">
            <v>ZMFD</v>
          </cell>
          <cell r="C503">
            <v>45481</v>
          </cell>
          <cell r="D503" t="str">
            <v>Not delivered</v>
          </cell>
          <cell r="E503">
            <v>508005171</v>
          </cell>
          <cell r="F503">
            <v>30</v>
          </cell>
          <cell r="G503">
            <v>1375595</v>
          </cell>
          <cell r="H503" t="str">
            <v>LC-009:BTL/INNER CLEAR P/OMG PTIPT 60B</v>
          </cell>
          <cell r="I503">
            <v>648000</v>
          </cell>
          <cell r="J503" t="str">
            <v>UN</v>
          </cell>
          <cell r="K503">
            <v>45609</v>
          </cell>
        </row>
        <row r="504">
          <cell r="A504" t="str">
            <v>50800517140</v>
          </cell>
          <cell r="B504" t="str">
            <v>ZMFD</v>
          </cell>
          <cell r="C504">
            <v>45481</v>
          </cell>
          <cell r="D504" t="str">
            <v>Not delivered</v>
          </cell>
          <cell r="E504">
            <v>508005171</v>
          </cell>
          <cell r="F504">
            <v>40</v>
          </cell>
          <cell r="G504">
            <v>1375593</v>
          </cell>
          <cell r="H504" t="str">
            <v>LC-009:CAP REDTRANS WIP S/OMG PTIPT 60B</v>
          </cell>
          <cell r="I504">
            <v>648000</v>
          </cell>
          <cell r="J504" t="str">
            <v>UN</v>
          </cell>
          <cell r="K504">
            <v>45609</v>
          </cell>
        </row>
        <row r="505">
          <cell r="A505" t="str">
            <v>50800517230</v>
          </cell>
          <cell r="B505" t="str">
            <v>ZMFD</v>
          </cell>
          <cell r="C505">
            <v>45481</v>
          </cell>
          <cell r="D505" t="str">
            <v>Not delivered</v>
          </cell>
          <cell r="E505">
            <v>508005172</v>
          </cell>
          <cell r="F505">
            <v>30</v>
          </cell>
          <cell r="G505">
            <v>1417990</v>
          </cell>
          <cell r="H505" t="str">
            <v>LC-009:BTL #2#3 INNER CLR P/OMG PTIPT60B</v>
          </cell>
          <cell r="I505">
            <v>1249720</v>
          </cell>
          <cell r="J505" t="str">
            <v>UN</v>
          </cell>
          <cell r="K505">
            <v>45609</v>
          </cell>
        </row>
        <row r="506">
          <cell r="A506" t="str">
            <v>50800517240</v>
          </cell>
          <cell r="B506" t="str">
            <v>ZMFD</v>
          </cell>
          <cell r="C506">
            <v>45481</v>
          </cell>
          <cell r="D506" t="str">
            <v>Not delivered</v>
          </cell>
          <cell r="E506">
            <v>508005172</v>
          </cell>
          <cell r="F506">
            <v>40</v>
          </cell>
          <cell r="G506">
            <v>1417978</v>
          </cell>
          <cell r="H506" t="str">
            <v>LC-009:CAP #2#3 REDTR WIP S/OMG PTIPT60B</v>
          </cell>
          <cell r="I506">
            <v>1249720</v>
          </cell>
          <cell r="J506" t="str">
            <v>UN</v>
          </cell>
          <cell r="K506">
            <v>45609</v>
          </cell>
        </row>
        <row r="507">
          <cell r="A507" t="str">
            <v>50800531010</v>
          </cell>
          <cell r="B507" t="str">
            <v>ZMFD</v>
          </cell>
          <cell r="C507">
            <v>45569</v>
          </cell>
          <cell r="D507" t="str">
            <v>Not delivered</v>
          </cell>
          <cell r="E507">
            <v>508005310</v>
          </cell>
          <cell r="F507">
            <v>10</v>
          </cell>
          <cell r="G507">
            <v>1261370</v>
          </cell>
          <cell r="H507" t="str">
            <v>CP-090:CAP ADORE VMPURPLE NOEMBOS PTI20F</v>
          </cell>
          <cell r="I507">
            <v>25000</v>
          </cell>
          <cell r="J507" t="str">
            <v>UN</v>
          </cell>
          <cell r="K507">
            <v>45610</v>
          </cell>
        </row>
        <row r="508">
          <cell r="A508" t="str">
            <v>50800531110</v>
          </cell>
          <cell r="B508" t="str">
            <v>ZMFD</v>
          </cell>
          <cell r="C508">
            <v>45569</v>
          </cell>
          <cell r="D508" t="str">
            <v>Not delivered</v>
          </cell>
          <cell r="E508">
            <v>508005311</v>
          </cell>
          <cell r="F508">
            <v>10</v>
          </cell>
          <cell r="G508">
            <v>1402678</v>
          </cell>
          <cell r="H508" t="str">
            <v>LS-285:BS GREEN NO DC WARDAH 12A</v>
          </cell>
          <cell r="I508">
            <v>10000</v>
          </cell>
          <cell r="J508" t="str">
            <v>UN</v>
          </cell>
          <cell r="K508">
            <v>45610</v>
          </cell>
        </row>
        <row r="509">
          <cell r="A509" t="str">
            <v>50800531120</v>
          </cell>
          <cell r="B509" t="str">
            <v>ZMFD</v>
          </cell>
          <cell r="C509">
            <v>45569</v>
          </cell>
          <cell r="D509" t="str">
            <v>Not delivered</v>
          </cell>
          <cell r="E509">
            <v>508005311</v>
          </cell>
          <cell r="F509">
            <v>20</v>
          </cell>
          <cell r="G509">
            <v>1402740</v>
          </cell>
          <cell r="H509" t="str">
            <v>LS-285:CV MTWHT P/WRDH LIPBLMHAJJ PTI40H</v>
          </cell>
          <cell r="I509">
            <v>10000</v>
          </cell>
          <cell r="J509" t="str">
            <v>UN</v>
          </cell>
          <cell r="K509">
            <v>45610</v>
          </cell>
        </row>
        <row r="510">
          <cell r="A510" t="str">
            <v>50714279810</v>
          </cell>
          <cell r="B510" t="str">
            <v>ZMTD</v>
          </cell>
          <cell r="C510">
            <v>45558</v>
          </cell>
          <cell r="D510" t="str">
            <v>Not delivered</v>
          </cell>
          <cell r="E510">
            <v>507142798</v>
          </cell>
          <cell r="F510">
            <v>10</v>
          </cell>
          <cell r="G510">
            <v>1305089</v>
          </cell>
          <cell r="H510" t="str">
            <v>CM-207:VM SHY SLV P/MATTE ZGH6010038 EL</v>
          </cell>
          <cell r="I510">
            <v>25920</v>
          </cell>
          <cell r="J510" t="str">
            <v>UN</v>
          </cell>
          <cell r="K510">
            <v>45610</v>
          </cell>
        </row>
        <row r="511">
          <cell r="A511" t="str">
            <v>50714277310</v>
          </cell>
          <cell r="B511" t="str">
            <v>ZMTD</v>
          </cell>
          <cell r="C511">
            <v>45554</v>
          </cell>
          <cell r="D511" t="str">
            <v>Not delivered</v>
          </cell>
          <cell r="E511">
            <v>507142773</v>
          </cell>
          <cell r="F511">
            <v>10</v>
          </cell>
          <cell r="G511">
            <v>1218709</v>
          </cell>
          <cell r="H511" t="str">
            <v>LS-086:CVR CLR CVRSTICK DC4 N.MOLD MAYB</v>
          </cell>
          <cell r="I511">
            <v>50400</v>
          </cell>
          <cell r="J511" t="str">
            <v>UN</v>
          </cell>
          <cell r="K511">
            <v>45610</v>
          </cell>
        </row>
        <row r="512">
          <cell r="A512" t="str">
            <v>50714277510</v>
          </cell>
          <cell r="B512" t="str">
            <v>ZMTD</v>
          </cell>
          <cell r="C512">
            <v>45554</v>
          </cell>
          <cell r="D512" t="str">
            <v>Not delivered</v>
          </cell>
          <cell r="E512">
            <v>507142775</v>
          </cell>
          <cell r="F512">
            <v>10</v>
          </cell>
          <cell r="G512">
            <v>1256831</v>
          </cell>
          <cell r="H512" t="str">
            <v>LS-086:BS M.BEIGE NODC N.CUP MAYB BULK</v>
          </cell>
          <cell r="I512">
            <v>30000</v>
          </cell>
          <cell r="J512" t="str">
            <v>UN</v>
          </cell>
          <cell r="K512">
            <v>45610</v>
          </cell>
        </row>
        <row r="513">
          <cell r="A513" t="str">
            <v>50714276710</v>
          </cell>
          <cell r="B513" t="str">
            <v>ZMTD</v>
          </cell>
          <cell r="C513">
            <v>45553</v>
          </cell>
          <cell r="D513" t="str">
            <v>Not delivered</v>
          </cell>
          <cell r="E513">
            <v>507142767</v>
          </cell>
          <cell r="F513">
            <v>10</v>
          </cell>
          <cell r="G513">
            <v>1286626</v>
          </cell>
          <cell r="H513" t="str">
            <v>FP-038:BASE AMBER GWLT010705 EL</v>
          </cell>
          <cell r="I513">
            <v>25020</v>
          </cell>
          <cell r="J513" t="str">
            <v>UN</v>
          </cell>
          <cell r="K513">
            <v>45610</v>
          </cell>
        </row>
        <row r="514">
          <cell r="A514" t="str">
            <v>50800523710</v>
          </cell>
          <cell r="B514" t="str">
            <v>ZMFD</v>
          </cell>
          <cell r="C514">
            <v>45505</v>
          </cell>
          <cell r="D514" t="str">
            <v>Not delivered</v>
          </cell>
          <cell r="E514">
            <v>508005237</v>
          </cell>
          <cell r="F514">
            <v>10</v>
          </cell>
          <cell r="G514">
            <v>1102728</v>
          </cell>
          <cell r="H514" t="str">
            <v>CM-274 BLACK P/WHITE LAKME CSMAX 60B</v>
          </cell>
          <cell r="I514">
            <v>30000</v>
          </cell>
          <cell r="J514" t="str">
            <v>UN</v>
          </cell>
          <cell r="K514">
            <v>45610</v>
          </cell>
        </row>
        <row r="515">
          <cell r="A515" t="str">
            <v>50714255510</v>
          </cell>
          <cell r="B515" t="str">
            <v>ZMTD</v>
          </cell>
          <cell r="C515">
            <v>45495</v>
          </cell>
          <cell r="D515" t="str">
            <v>Not delivered</v>
          </cell>
          <cell r="E515">
            <v>507142555</v>
          </cell>
          <cell r="F515">
            <v>10</v>
          </cell>
          <cell r="G515">
            <v>1432356</v>
          </cell>
          <cell r="H515" t="str">
            <v>CM-280:BS/CV BO BLUE UV P/S/INEZ FTC 30M</v>
          </cell>
          <cell r="I515">
            <v>30000</v>
          </cell>
          <cell r="J515" t="str">
            <v>UN</v>
          </cell>
          <cell r="K515">
            <v>45610</v>
          </cell>
        </row>
        <row r="516">
          <cell r="A516" t="str">
            <v>50714254430</v>
          </cell>
          <cell r="B516" t="str">
            <v>ZMTD</v>
          </cell>
          <cell r="C516">
            <v>45491</v>
          </cell>
          <cell r="D516" t="str">
            <v>Not delivered</v>
          </cell>
          <cell r="E516">
            <v>507142544</v>
          </cell>
          <cell r="F516">
            <v>30</v>
          </cell>
          <cell r="G516">
            <v>1319857</v>
          </cell>
          <cell r="H516" t="str">
            <v>CM-296:WHT P/L.AGELES W/O HOLE COTY EPS</v>
          </cell>
          <cell r="I516">
            <v>57600</v>
          </cell>
          <cell r="J516" t="str">
            <v>UN</v>
          </cell>
          <cell r="K516">
            <v>45610</v>
          </cell>
        </row>
        <row r="517">
          <cell r="A517" t="str">
            <v>50800518130</v>
          </cell>
          <cell r="B517" t="str">
            <v>ZMFD</v>
          </cell>
          <cell r="C517">
            <v>45485</v>
          </cell>
          <cell r="D517" t="str">
            <v>Not delivered</v>
          </cell>
          <cell r="E517">
            <v>508005181</v>
          </cell>
          <cell r="F517">
            <v>30</v>
          </cell>
          <cell r="G517">
            <v>1413967</v>
          </cell>
          <cell r="H517" t="str">
            <v>CM-323:VM SILVER DIOR JUMBO M080</v>
          </cell>
          <cell r="I517">
            <v>27000</v>
          </cell>
          <cell r="J517" t="str">
            <v>UN</v>
          </cell>
          <cell r="K517">
            <v>45610</v>
          </cell>
        </row>
        <row r="518">
          <cell r="A518" t="str">
            <v>50800511640</v>
          </cell>
          <cell r="B518" t="str">
            <v>ZMFD</v>
          </cell>
          <cell r="C518">
            <v>45453</v>
          </cell>
          <cell r="D518" t="str">
            <v>Not delivered</v>
          </cell>
          <cell r="E518">
            <v>508005116</v>
          </cell>
          <cell r="F518">
            <v>40</v>
          </cell>
          <cell r="G518">
            <v>1409881</v>
          </cell>
          <cell r="H518" t="str">
            <v>CM-315:CVR/BS BLACK P/CVRLAST OMG RV160B</v>
          </cell>
          <cell r="I518">
            <v>108516</v>
          </cell>
          <cell r="J518" t="str">
            <v>UN</v>
          </cell>
          <cell r="K518">
            <v>45610</v>
          </cell>
        </row>
        <row r="519">
          <cell r="A519" t="str">
            <v>50800509510</v>
          </cell>
          <cell r="B519" t="str">
            <v>ZMFD</v>
          </cell>
          <cell r="C519">
            <v>45449</v>
          </cell>
          <cell r="D519" t="str">
            <v>Not delivered</v>
          </cell>
          <cell r="E519">
            <v>508005095</v>
          </cell>
          <cell r="F519">
            <v>10</v>
          </cell>
          <cell r="G519">
            <v>1388947</v>
          </cell>
          <cell r="H519" t="str">
            <v>CM-294:GODET POSITIV PEONY G0S4-03-0092</v>
          </cell>
          <cell r="I519">
            <v>10472</v>
          </cell>
          <cell r="J519" t="str">
            <v>UN</v>
          </cell>
          <cell r="K519">
            <v>45610</v>
          </cell>
        </row>
        <row r="520">
          <cell r="A520" t="str">
            <v>50800509610</v>
          </cell>
          <cell r="B520" t="str">
            <v>ZMFD</v>
          </cell>
          <cell r="C520">
            <v>45449</v>
          </cell>
          <cell r="D520" t="str">
            <v>Not delivered</v>
          </cell>
          <cell r="E520">
            <v>508005096</v>
          </cell>
          <cell r="F520">
            <v>10</v>
          </cell>
          <cell r="G520">
            <v>1389067</v>
          </cell>
          <cell r="H520" t="str">
            <v>CM-294:GODET MAGNETIC GLOW G0S4-04-0092</v>
          </cell>
          <cell r="I520">
            <v>10472</v>
          </cell>
          <cell r="J520" t="str">
            <v>UN</v>
          </cell>
          <cell r="K520">
            <v>45610</v>
          </cell>
        </row>
        <row r="521">
          <cell r="A521" t="str">
            <v>50714276590</v>
          </cell>
          <cell r="B521" t="str">
            <v>ZMTD</v>
          </cell>
          <cell r="C521">
            <v>45552</v>
          </cell>
          <cell r="D521" t="str">
            <v>Not delivered</v>
          </cell>
          <cell r="E521">
            <v>507142765</v>
          </cell>
          <cell r="F521">
            <v>90</v>
          </cell>
          <cell r="G521">
            <v>1398383</v>
          </cell>
          <cell r="H521" t="str">
            <v>CM-319:WHITE P/BLACK UV MATTE NARS</v>
          </cell>
          <cell r="I521">
            <v>40080</v>
          </cell>
          <cell r="J521" t="str">
            <v>UN</v>
          </cell>
          <cell r="K521">
            <v>45611</v>
          </cell>
        </row>
        <row r="522">
          <cell r="A522" t="str">
            <v>50714276650</v>
          </cell>
          <cell r="B522" t="str">
            <v>ZMTD</v>
          </cell>
          <cell r="C522">
            <v>45552</v>
          </cell>
          <cell r="D522" t="str">
            <v>Not delivered</v>
          </cell>
          <cell r="E522">
            <v>507142766</v>
          </cell>
          <cell r="F522">
            <v>50</v>
          </cell>
          <cell r="G522">
            <v>1398763</v>
          </cell>
          <cell r="H522" t="str">
            <v>CM-320:WHITE S/BLACK UV MATTE NARS</v>
          </cell>
          <cell r="I522">
            <v>40500</v>
          </cell>
          <cell r="J522" t="str">
            <v>UN</v>
          </cell>
          <cell r="K522">
            <v>45611</v>
          </cell>
        </row>
        <row r="523">
          <cell r="A523" t="str">
            <v>50714275410</v>
          </cell>
          <cell r="B523" t="str">
            <v>ZMTD</v>
          </cell>
          <cell r="C523">
            <v>45547</v>
          </cell>
          <cell r="D523" t="str">
            <v>Not delivered</v>
          </cell>
          <cell r="E523">
            <v>507142754</v>
          </cell>
          <cell r="F523">
            <v>10</v>
          </cell>
          <cell r="G523">
            <v>1192463</v>
          </cell>
          <cell r="H523" t="str">
            <v>FP-014:LATULIPE FACE POWDER</v>
          </cell>
          <cell r="I523">
            <v>20000</v>
          </cell>
          <cell r="J523" t="str">
            <v>UN</v>
          </cell>
          <cell r="K523">
            <v>45611</v>
          </cell>
        </row>
        <row r="524">
          <cell r="A524" t="str">
            <v>50714275420</v>
          </cell>
          <cell r="B524" t="str">
            <v>ZMTD</v>
          </cell>
          <cell r="C524">
            <v>45547</v>
          </cell>
          <cell r="D524" t="str">
            <v>Not delivered</v>
          </cell>
          <cell r="E524">
            <v>507142754</v>
          </cell>
          <cell r="F524">
            <v>20</v>
          </cell>
          <cell r="G524">
            <v>1192460</v>
          </cell>
          <cell r="H524" t="str">
            <v>FP-014:SIFTER NAT W/LABEL NO DC REMBAKA</v>
          </cell>
          <cell r="I524">
            <v>20000</v>
          </cell>
          <cell r="J524" t="str">
            <v>UN</v>
          </cell>
          <cell r="K524">
            <v>45611</v>
          </cell>
        </row>
        <row r="525">
          <cell r="A525" t="str">
            <v>50800527510</v>
          </cell>
          <cell r="B525" t="str">
            <v>ZMFD</v>
          </cell>
          <cell r="C525">
            <v>45539</v>
          </cell>
          <cell r="D525" t="str">
            <v>Not delivered</v>
          </cell>
          <cell r="E525">
            <v>508005275</v>
          </cell>
          <cell r="F525">
            <v>10</v>
          </cell>
          <cell r="G525">
            <v>1210646</v>
          </cell>
          <cell r="H525" t="str">
            <v>FP-014:CVR BLACK MATTE BLACK SS SMITH</v>
          </cell>
          <cell r="I525">
            <v>20000</v>
          </cell>
          <cell r="J525" t="str">
            <v>UN</v>
          </cell>
          <cell r="K525">
            <v>45611</v>
          </cell>
        </row>
        <row r="526">
          <cell r="A526" t="str">
            <v>50800527520</v>
          </cell>
          <cell r="B526" t="str">
            <v>ZMFD</v>
          </cell>
          <cell r="C526">
            <v>45539</v>
          </cell>
          <cell r="D526" t="str">
            <v>Not delivered</v>
          </cell>
          <cell r="E526">
            <v>508005275</v>
          </cell>
          <cell r="F526">
            <v>20</v>
          </cell>
          <cell r="G526">
            <v>1210647</v>
          </cell>
          <cell r="H526" t="str">
            <v>FP-014:BASE BLK MATTE BLACK SS SMITH</v>
          </cell>
          <cell r="I526">
            <v>20000</v>
          </cell>
          <cell r="J526" t="str">
            <v>UN</v>
          </cell>
          <cell r="K526">
            <v>45611</v>
          </cell>
        </row>
        <row r="527">
          <cell r="A527" t="str">
            <v>50714251810</v>
          </cell>
          <cell r="B527" t="str">
            <v>ZMTD</v>
          </cell>
          <cell r="C527">
            <v>45488</v>
          </cell>
          <cell r="D527" t="str">
            <v>Not delivered</v>
          </cell>
          <cell r="E527">
            <v>507142518</v>
          </cell>
          <cell r="F527">
            <v>10</v>
          </cell>
          <cell r="G527">
            <v>1419488</v>
          </cell>
          <cell r="H527" t="str">
            <v>CP-063R:SPOUT CAP WHITE LOREAL 12A</v>
          </cell>
          <cell r="I527">
            <v>1890000</v>
          </cell>
          <cell r="J527" t="str">
            <v>UN</v>
          </cell>
          <cell r="K527">
            <v>45611</v>
          </cell>
        </row>
        <row r="528">
          <cell r="A528" t="str">
            <v>50714156910</v>
          </cell>
          <cell r="B528" t="str">
            <v>ZMTD</v>
          </cell>
          <cell r="C528">
            <v>45303</v>
          </cell>
          <cell r="D528" t="str">
            <v>Not delivered</v>
          </cell>
          <cell r="E528">
            <v>507141569</v>
          </cell>
          <cell r="F528">
            <v>10</v>
          </cell>
          <cell r="G528">
            <v>1175313</v>
          </cell>
          <cell r="H528" t="str">
            <v>CM-101:N.GRN MRBL B/O 618J010304 CLNQ EL</v>
          </cell>
          <cell r="I528">
            <v>25350</v>
          </cell>
          <cell r="J528" t="str">
            <v>UN</v>
          </cell>
          <cell r="K528">
            <v>45611</v>
          </cell>
        </row>
        <row r="529">
          <cell r="A529" t="str">
            <v>50714285020</v>
          </cell>
          <cell r="B529" t="str">
            <v>ZMTD</v>
          </cell>
          <cell r="C529">
            <v>45567</v>
          </cell>
          <cell r="D529" t="str">
            <v>Not delivered</v>
          </cell>
          <cell r="E529">
            <v>507142850</v>
          </cell>
          <cell r="F529">
            <v>20</v>
          </cell>
          <cell r="G529">
            <v>1371896</v>
          </cell>
          <cell r="H529" t="str">
            <v>RX-056:CM-316 CVR BLUE P/WHT SP/MTCLR</v>
          </cell>
          <cell r="I529">
            <v>110016</v>
          </cell>
          <cell r="J529" t="str">
            <v>UN</v>
          </cell>
          <cell r="K529">
            <v>45612</v>
          </cell>
        </row>
        <row r="530">
          <cell r="A530" t="str">
            <v>50714242910</v>
          </cell>
          <cell r="B530" t="str">
            <v>ZMTD</v>
          </cell>
          <cell r="C530">
            <v>45475</v>
          </cell>
          <cell r="D530" t="str">
            <v>Not delivered</v>
          </cell>
          <cell r="E530">
            <v>507142429</v>
          </cell>
          <cell r="F530">
            <v>10</v>
          </cell>
          <cell r="G530">
            <v>1160336</v>
          </cell>
          <cell r="H530" t="str">
            <v>CP-071:CP8364 TNR WPRL 200 REX IS 763</v>
          </cell>
          <cell r="I530">
            <v>87000</v>
          </cell>
          <cell r="J530" t="str">
            <v>UN</v>
          </cell>
          <cell r="K530">
            <v>45612</v>
          </cell>
        </row>
        <row r="531">
          <cell r="A531" t="str">
            <v>50714286810</v>
          </cell>
          <cell r="B531" t="str">
            <v>ZMTD</v>
          </cell>
          <cell r="C531">
            <v>45574</v>
          </cell>
          <cell r="D531" t="str">
            <v>Not delivered</v>
          </cell>
          <cell r="E531">
            <v>507142868</v>
          </cell>
          <cell r="F531">
            <v>10</v>
          </cell>
          <cell r="G531">
            <v>1436247</v>
          </cell>
          <cell r="H531" t="str">
            <v>PT-096:BS MT TR.BRWN 30GR P/EKSOTIKA 60B</v>
          </cell>
          <cell r="I531">
            <v>20000</v>
          </cell>
          <cell r="J531" t="str">
            <v>UN</v>
          </cell>
          <cell r="K531">
            <v>45614</v>
          </cell>
        </row>
        <row r="532">
          <cell r="A532" t="str">
            <v>50714286820</v>
          </cell>
          <cell r="B532" t="str">
            <v>ZMTD</v>
          </cell>
          <cell r="C532">
            <v>45574</v>
          </cell>
          <cell r="D532" t="str">
            <v>Not delivered</v>
          </cell>
          <cell r="E532">
            <v>507142868</v>
          </cell>
          <cell r="F532">
            <v>20</v>
          </cell>
          <cell r="G532">
            <v>1436248</v>
          </cell>
          <cell r="H532" t="str">
            <v>PT-096:CVR/PLUG WHITE EKSOTIK 12A</v>
          </cell>
          <cell r="I532">
            <v>20000</v>
          </cell>
          <cell r="J532" t="str">
            <v>UN</v>
          </cell>
          <cell r="K532">
            <v>45614</v>
          </cell>
        </row>
        <row r="533">
          <cell r="A533" t="str">
            <v>50800533830</v>
          </cell>
          <cell r="B533" t="str">
            <v>ZMFD</v>
          </cell>
          <cell r="C533">
            <v>45574</v>
          </cell>
          <cell r="D533" t="str">
            <v>Not delivered</v>
          </cell>
          <cell r="E533">
            <v>508005338</v>
          </cell>
          <cell r="F533">
            <v>30</v>
          </cell>
          <cell r="G533">
            <v>1399173</v>
          </cell>
          <cell r="H533" t="str">
            <v>LC-003:BTL MTCLR CLMPINK P/ALUVIA MLA40H</v>
          </cell>
          <cell r="I533">
            <v>10000</v>
          </cell>
          <cell r="J533" t="str">
            <v>UN</v>
          </cell>
          <cell r="K533">
            <v>45614</v>
          </cell>
        </row>
        <row r="534">
          <cell r="A534" t="str">
            <v>50800533840</v>
          </cell>
          <cell r="B534" t="str">
            <v>ZMFD</v>
          </cell>
          <cell r="C534">
            <v>45574</v>
          </cell>
          <cell r="D534" t="str">
            <v>Not delivered</v>
          </cell>
          <cell r="E534">
            <v>508005338</v>
          </cell>
          <cell r="F534">
            <v>40</v>
          </cell>
          <cell r="G534">
            <v>1399174</v>
          </cell>
          <cell r="H534" t="str">
            <v>LC-003:CAP MTPINK WIPNAT ALUVIA MLA 40D</v>
          </cell>
          <cell r="I534">
            <v>10000</v>
          </cell>
          <cell r="J534" t="str">
            <v>UN</v>
          </cell>
          <cell r="K534">
            <v>45614</v>
          </cell>
        </row>
        <row r="535">
          <cell r="A535" t="str">
            <v>50714284510</v>
          </cell>
          <cell r="B535" t="str">
            <v>ZMTD</v>
          </cell>
          <cell r="C535">
            <v>45566</v>
          </cell>
          <cell r="D535" t="str">
            <v>Not delivered</v>
          </cell>
          <cell r="E535">
            <v>507142845</v>
          </cell>
          <cell r="F535">
            <v>10</v>
          </cell>
          <cell r="G535">
            <v>1420101</v>
          </cell>
          <cell r="H535" t="str">
            <v>LS-091:BS RED P/RED FRTY CHERRY NEW 60B</v>
          </cell>
          <cell r="I535">
            <v>32604</v>
          </cell>
          <cell r="J535" t="str">
            <v>UN</v>
          </cell>
          <cell r="K535">
            <v>45614</v>
          </cell>
        </row>
        <row r="536">
          <cell r="A536" t="str">
            <v>50714284520</v>
          </cell>
          <cell r="B536" t="str">
            <v>ZMTD</v>
          </cell>
          <cell r="C536">
            <v>45566</v>
          </cell>
          <cell r="D536" t="str">
            <v>Not delivered</v>
          </cell>
          <cell r="E536">
            <v>507142845</v>
          </cell>
          <cell r="F536">
            <v>20</v>
          </cell>
          <cell r="G536">
            <v>1420102</v>
          </cell>
          <cell r="H536" t="str">
            <v>LS-091:CV WHT P/ICE FRUITY CHERRY 60B</v>
          </cell>
          <cell r="I536">
            <v>32604</v>
          </cell>
          <cell r="J536" t="str">
            <v>UN</v>
          </cell>
          <cell r="K536">
            <v>45614</v>
          </cell>
        </row>
        <row r="537">
          <cell r="A537" t="str">
            <v>50714271210</v>
          </cell>
          <cell r="B537" t="str">
            <v>ZMTD</v>
          </cell>
          <cell r="C537">
            <v>45538</v>
          </cell>
          <cell r="D537" t="str">
            <v>Not delivered</v>
          </cell>
          <cell r="E537">
            <v>507142712</v>
          </cell>
          <cell r="F537">
            <v>10</v>
          </cell>
          <cell r="G537">
            <v>1332672</v>
          </cell>
          <cell r="H537" t="str">
            <v>CM-095:VM ROSE GOLD P/BLACK COTY</v>
          </cell>
          <cell r="I537">
            <v>56160</v>
          </cell>
          <cell r="J537" t="str">
            <v>UN</v>
          </cell>
          <cell r="K537">
            <v>45614</v>
          </cell>
        </row>
        <row r="538">
          <cell r="A538" t="str">
            <v>50714251910</v>
          </cell>
          <cell r="B538" t="str">
            <v>ZMTD</v>
          </cell>
          <cell r="C538">
            <v>45488</v>
          </cell>
          <cell r="D538" t="str">
            <v>Not delivered</v>
          </cell>
          <cell r="E538">
            <v>507142519</v>
          </cell>
          <cell r="F538">
            <v>10</v>
          </cell>
          <cell r="G538">
            <v>1419488</v>
          </cell>
          <cell r="H538" t="str">
            <v>CP-063R:SPOUT CAP WHITE LOREAL 12A</v>
          </cell>
          <cell r="I538">
            <v>1890000</v>
          </cell>
          <cell r="J538" t="str">
            <v>UN</v>
          </cell>
          <cell r="K538">
            <v>45614</v>
          </cell>
        </row>
        <row r="539">
          <cell r="A539" t="str">
            <v>50800494730</v>
          </cell>
          <cell r="B539" t="str">
            <v>ZMFD</v>
          </cell>
          <cell r="C539">
            <v>45370</v>
          </cell>
          <cell r="D539" t="str">
            <v>Not delivered</v>
          </cell>
          <cell r="E539">
            <v>508004947</v>
          </cell>
          <cell r="F539">
            <v>30</v>
          </cell>
          <cell r="G539">
            <v>1411898</v>
          </cell>
          <cell r="H539" t="str">
            <v>PT-100:CVR MT.GREEN EMBOS KAHF PTI 40D</v>
          </cell>
          <cell r="I539">
            <v>177000</v>
          </cell>
          <cell r="J539" t="str">
            <v>UN</v>
          </cell>
          <cell r="K539">
            <v>45614</v>
          </cell>
        </row>
        <row r="540">
          <cell r="A540" t="str">
            <v>50800494740</v>
          </cell>
          <cell r="B540" t="str">
            <v>ZMFD</v>
          </cell>
          <cell r="C540">
            <v>45370</v>
          </cell>
          <cell r="D540" t="str">
            <v>Not delivered</v>
          </cell>
          <cell r="E540">
            <v>508004947</v>
          </cell>
          <cell r="F540">
            <v>40</v>
          </cell>
          <cell r="G540">
            <v>1411899</v>
          </cell>
          <cell r="H540" t="str">
            <v>PT-100:BS/INS GREEN P/WHT KAHF PTI 60B</v>
          </cell>
          <cell r="I540">
            <v>177000</v>
          </cell>
          <cell r="J540" t="str">
            <v>UN</v>
          </cell>
          <cell r="K540">
            <v>45614</v>
          </cell>
        </row>
        <row r="541">
          <cell r="A541" t="str">
            <v>50714270550</v>
          </cell>
          <cell r="B541" t="str">
            <v>ZMTD</v>
          </cell>
          <cell r="C541">
            <v>45534</v>
          </cell>
          <cell r="D541" t="str">
            <v>Not delivered</v>
          </cell>
          <cell r="E541">
            <v>507142705</v>
          </cell>
          <cell r="F541">
            <v>50</v>
          </cell>
          <cell r="G541">
            <v>1342220</v>
          </cell>
          <cell r="H541" t="str">
            <v>LC-010:BTL CLR HTF COLBEIGE CFIT PTI 60C</v>
          </cell>
          <cell r="I541">
            <v>100170</v>
          </cell>
          <cell r="J541" t="str">
            <v>UN</v>
          </cell>
          <cell r="K541">
            <v>45615</v>
          </cell>
        </row>
        <row r="542">
          <cell r="A542" t="str">
            <v>50714270560</v>
          </cell>
          <cell r="B542" t="str">
            <v>ZMTD</v>
          </cell>
          <cell r="C542">
            <v>45534</v>
          </cell>
          <cell r="D542" t="str">
            <v>Not delivered</v>
          </cell>
          <cell r="E542">
            <v>507142705</v>
          </cell>
          <cell r="F542">
            <v>60</v>
          </cell>
          <cell r="G542">
            <v>1342221</v>
          </cell>
          <cell r="H542" t="str">
            <v>LC-010:CAP BEIGE WIP NAT PTI 12A</v>
          </cell>
          <cell r="I542">
            <v>100170</v>
          </cell>
          <cell r="J542" t="str">
            <v>UN</v>
          </cell>
          <cell r="K542">
            <v>45615</v>
          </cell>
        </row>
        <row r="543">
          <cell r="A543" t="str">
            <v>50714255520</v>
          </cell>
          <cell r="B543" t="str">
            <v>ZMTD</v>
          </cell>
          <cell r="C543">
            <v>45495</v>
          </cell>
          <cell r="D543" t="str">
            <v>Not delivered</v>
          </cell>
          <cell r="E543">
            <v>507142555</v>
          </cell>
          <cell r="F543">
            <v>20</v>
          </cell>
          <cell r="G543">
            <v>1432444</v>
          </cell>
          <cell r="H543" t="str">
            <v>CM-280:BS/CV ES BLUE UV P/S/INEZ FTC 30M</v>
          </cell>
          <cell r="I543">
            <v>25000</v>
          </cell>
          <cell r="J543" t="str">
            <v>UN</v>
          </cell>
          <cell r="K543">
            <v>45615</v>
          </cell>
        </row>
        <row r="544">
          <cell r="A544" t="str">
            <v>50714230610</v>
          </cell>
          <cell r="B544" t="str">
            <v>ZMTD</v>
          </cell>
          <cell r="C544">
            <v>45449</v>
          </cell>
          <cell r="D544" t="str">
            <v>Not delivered</v>
          </cell>
          <cell r="E544">
            <v>507142306</v>
          </cell>
          <cell r="F544">
            <v>10</v>
          </cell>
          <cell r="G544">
            <v>1389292</v>
          </cell>
          <cell r="H544" t="str">
            <v>CM-295:GODET MONEY MOVES G87J-01-0091</v>
          </cell>
          <cell r="I544">
            <v>10472</v>
          </cell>
          <cell r="J544" t="str">
            <v>UN</v>
          </cell>
          <cell r="K544">
            <v>45615</v>
          </cell>
        </row>
        <row r="545">
          <cell r="A545" t="str">
            <v>50800530110</v>
          </cell>
          <cell r="B545" t="str">
            <v>ZMFD</v>
          </cell>
          <cell r="C545">
            <v>45568</v>
          </cell>
          <cell r="D545" t="str">
            <v>Not delivered</v>
          </cell>
          <cell r="E545">
            <v>508005301</v>
          </cell>
          <cell r="F545">
            <v>10</v>
          </cell>
          <cell r="G545">
            <v>1367372</v>
          </cell>
          <cell r="H545" t="str">
            <v>PT-097:BODY GREN HOUSE WHT TRANS PTI 12A</v>
          </cell>
          <cell r="I545">
            <v>110000</v>
          </cell>
          <cell r="J545" t="str">
            <v>UN</v>
          </cell>
          <cell r="K545">
            <v>45616</v>
          </cell>
        </row>
        <row r="546">
          <cell r="A546" t="str">
            <v>50800530120</v>
          </cell>
          <cell r="B546" t="str">
            <v>ZMFD</v>
          </cell>
          <cell r="C546">
            <v>45568</v>
          </cell>
          <cell r="D546" t="str">
            <v>Not delivered</v>
          </cell>
          <cell r="E546">
            <v>508005301</v>
          </cell>
          <cell r="F546">
            <v>20</v>
          </cell>
          <cell r="G546">
            <v>1367370</v>
          </cell>
          <cell r="H546" t="str">
            <v>PT-097:CAP GREN TRANS PTI 12A</v>
          </cell>
          <cell r="I546">
            <v>110000</v>
          </cell>
          <cell r="J546" t="str">
            <v>UN</v>
          </cell>
          <cell r="K546">
            <v>45616</v>
          </cell>
        </row>
        <row r="547">
          <cell r="A547" t="str">
            <v>50714284210</v>
          </cell>
          <cell r="B547" t="str">
            <v>ZMTD</v>
          </cell>
          <cell r="C547">
            <v>45566</v>
          </cell>
          <cell r="D547" t="str">
            <v>Not delivered</v>
          </cell>
          <cell r="E547">
            <v>507142842</v>
          </cell>
          <cell r="F547">
            <v>10</v>
          </cell>
          <cell r="G547">
            <v>1217479</v>
          </cell>
          <cell r="H547" t="str">
            <v>CM-172:8W UV SLV P/ S.CLNQ 6P40010031 EL</v>
          </cell>
          <cell r="I547">
            <v>25080</v>
          </cell>
          <cell r="J547" t="str">
            <v>UN</v>
          </cell>
          <cell r="K547">
            <v>45616</v>
          </cell>
        </row>
        <row r="548">
          <cell r="A548" t="str">
            <v>50714284530</v>
          </cell>
          <cell r="B548" t="str">
            <v>ZMTD</v>
          </cell>
          <cell r="C548">
            <v>45566</v>
          </cell>
          <cell r="D548" t="str">
            <v>Not delivered</v>
          </cell>
          <cell r="E548">
            <v>507142845</v>
          </cell>
          <cell r="F548">
            <v>30</v>
          </cell>
          <cell r="G548">
            <v>1420082</v>
          </cell>
          <cell r="H548" t="str">
            <v>LS-091:BS PEACH P/REDFRTY STRAWBR NEW60B</v>
          </cell>
          <cell r="I548">
            <v>26676</v>
          </cell>
          <cell r="J548" t="str">
            <v>UN</v>
          </cell>
          <cell r="K548">
            <v>45616</v>
          </cell>
        </row>
        <row r="549">
          <cell r="A549" t="str">
            <v>50714284540</v>
          </cell>
          <cell r="B549" t="str">
            <v>ZMTD</v>
          </cell>
          <cell r="C549">
            <v>45566</v>
          </cell>
          <cell r="D549" t="str">
            <v>Not delivered</v>
          </cell>
          <cell r="E549">
            <v>507142845</v>
          </cell>
          <cell r="F549">
            <v>40</v>
          </cell>
          <cell r="G549">
            <v>1420083</v>
          </cell>
          <cell r="H549" t="str">
            <v>LS-091:CV WHT P/ICE FRUITY STRAWBERY 60B</v>
          </cell>
          <cell r="I549">
            <v>26676</v>
          </cell>
          <cell r="J549" t="str">
            <v>UN</v>
          </cell>
          <cell r="K549">
            <v>45616</v>
          </cell>
        </row>
        <row r="550">
          <cell r="A550" t="str">
            <v>50800529120</v>
          </cell>
          <cell r="B550" t="str">
            <v>ZMFD</v>
          </cell>
          <cell r="C550">
            <v>45559</v>
          </cell>
          <cell r="D550" t="str">
            <v>Not delivered</v>
          </cell>
          <cell r="E550">
            <v>508005291</v>
          </cell>
          <cell r="F550">
            <v>20</v>
          </cell>
          <cell r="G550">
            <v>1169703</v>
          </cell>
          <cell r="H550" t="str">
            <v>CP-064:CAP 25 SCREW WHITE MT TR L'OREAL</v>
          </cell>
          <cell r="I550">
            <v>100000</v>
          </cell>
          <cell r="J550" t="str">
            <v>UN</v>
          </cell>
          <cell r="K550">
            <v>45616</v>
          </cell>
        </row>
        <row r="551">
          <cell r="A551" t="str">
            <v>50800527110</v>
          </cell>
          <cell r="B551" t="str">
            <v>ZMFD</v>
          </cell>
          <cell r="C551">
            <v>45538</v>
          </cell>
          <cell r="D551" t="str">
            <v>Not delivered</v>
          </cell>
          <cell r="E551">
            <v>508005271</v>
          </cell>
          <cell r="F551">
            <v>10</v>
          </cell>
          <cell r="G551">
            <v>1411701</v>
          </cell>
          <cell r="H551" t="str">
            <v>PT-100:BS/INS BLUE P/WHT KAHF PTI 60B</v>
          </cell>
          <cell r="I551">
            <v>240000</v>
          </cell>
          <cell r="J551" t="str">
            <v>UN</v>
          </cell>
          <cell r="K551">
            <v>45616</v>
          </cell>
        </row>
        <row r="552">
          <cell r="A552" t="str">
            <v>50800527120</v>
          </cell>
          <cell r="B552" t="str">
            <v>ZMFD</v>
          </cell>
          <cell r="C552">
            <v>45538</v>
          </cell>
          <cell r="D552" t="str">
            <v>Not delivered</v>
          </cell>
          <cell r="E552">
            <v>508005271</v>
          </cell>
          <cell r="F552">
            <v>20</v>
          </cell>
          <cell r="G552">
            <v>1411700</v>
          </cell>
          <cell r="H552" t="str">
            <v>PT-100:CVR MT.BLUE EMBOS KAHF PTI 40D</v>
          </cell>
          <cell r="I552">
            <v>240000</v>
          </cell>
          <cell r="J552" t="str">
            <v>UN</v>
          </cell>
          <cell r="K552">
            <v>45616</v>
          </cell>
        </row>
        <row r="553">
          <cell r="A553" t="str">
            <v>50800525510</v>
          </cell>
          <cell r="B553" t="str">
            <v>ZMFD</v>
          </cell>
          <cell r="C553">
            <v>45516</v>
          </cell>
          <cell r="D553" t="str">
            <v>Not delivered</v>
          </cell>
          <cell r="E553">
            <v>508005255</v>
          </cell>
          <cell r="F553">
            <v>10</v>
          </cell>
          <cell r="G553">
            <v>1436641</v>
          </cell>
          <cell r="H553" t="str">
            <v>CM-310:BLUE UV S/SILVER DIOR PEPSPE+IXPE</v>
          </cell>
          <cell r="I553">
            <v>64800</v>
          </cell>
          <cell r="J553" t="str">
            <v>UN</v>
          </cell>
          <cell r="K553">
            <v>45616</v>
          </cell>
        </row>
        <row r="554">
          <cell r="A554" t="str">
            <v>50714261110</v>
          </cell>
          <cell r="B554" t="str">
            <v>ZMTD</v>
          </cell>
          <cell r="C554">
            <v>45510</v>
          </cell>
          <cell r="D554" t="str">
            <v>Not delivered</v>
          </cell>
          <cell r="E554">
            <v>507142611</v>
          </cell>
          <cell r="F554">
            <v>10</v>
          </cell>
          <cell r="G554">
            <v>1436641</v>
          </cell>
          <cell r="H554" t="str">
            <v>CM-310:BLUE UV S/SILVER DIOR PEPSPE+IXPE</v>
          </cell>
          <cell r="I554">
            <v>64800</v>
          </cell>
          <cell r="J554" t="str">
            <v>UN</v>
          </cell>
          <cell r="K554">
            <v>45616</v>
          </cell>
        </row>
        <row r="555">
          <cell r="A555" t="str">
            <v>50800514910</v>
          </cell>
          <cell r="B555" t="str">
            <v>ZMFD</v>
          </cell>
          <cell r="C555">
            <v>45464</v>
          </cell>
          <cell r="D555" t="str">
            <v>Not delivered</v>
          </cell>
          <cell r="E555">
            <v>508005149</v>
          </cell>
          <cell r="F555">
            <v>10</v>
          </cell>
          <cell r="G555">
            <v>1378563</v>
          </cell>
          <cell r="H555" t="str">
            <v>CP-093:CAP D50 MT BLACK Ø.5 YASULOR 12A</v>
          </cell>
          <cell r="I555">
            <v>600000</v>
          </cell>
          <cell r="J555" t="str">
            <v>UN</v>
          </cell>
          <cell r="K555">
            <v>45616</v>
          </cell>
        </row>
        <row r="556">
          <cell r="A556" t="str">
            <v>50800506810</v>
          </cell>
          <cell r="B556" t="str">
            <v>ZMFD</v>
          </cell>
          <cell r="C556">
            <v>45433</v>
          </cell>
          <cell r="D556" t="str">
            <v>Not delivered</v>
          </cell>
          <cell r="E556">
            <v>508005068</v>
          </cell>
          <cell r="F556">
            <v>10</v>
          </cell>
          <cell r="G556">
            <v>1255662</v>
          </cell>
          <cell r="H556" t="str">
            <v>LC-002:BTL MT VAR12 P/WRDH B.MARK PTI40H</v>
          </cell>
          <cell r="I556">
            <v>25000</v>
          </cell>
          <cell r="J556" t="str">
            <v>UN</v>
          </cell>
          <cell r="K556">
            <v>45616</v>
          </cell>
        </row>
        <row r="557">
          <cell r="A557" t="str">
            <v>50800506820</v>
          </cell>
          <cell r="B557" t="str">
            <v>ZMFD</v>
          </cell>
          <cell r="C557">
            <v>45433</v>
          </cell>
          <cell r="D557" t="str">
            <v>Not delivered</v>
          </cell>
          <cell r="E557">
            <v>508005068</v>
          </cell>
          <cell r="F557">
            <v>20</v>
          </cell>
          <cell r="G557">
            <v>1174820</v>
          </cell>
          <cell r="H557" t="str">
            <v>LC-002:CP S/MT VAR12 STM-WHT WNAT PTI40D</v>
          </cell>
          <cell r="I557">
            <v>25000</v>
          </cell>
          <cell r="J557" t="str">
            <v>UN</v>
          </cell>
          <cell r="K557">
            <v>45616</v>
          </cell>
        </row>
        <row r="558">
          <cell r="A558" t="str">
            <v>50714280020</v>
          </cell>
          <cell r="B558" t="str">
            <v>ZMTD</v>
          </cell>
          <cell r="C558">
            <v>45558</v>
          </cell>
          <cell r="D558" t="str">
            <v>Not delivered</v>
          </cell>
          <cell r="E558">
            <v>507142800</v>
          </cell>
          <cell r="F558">
            <v>20</v>
          </cell>
          <cell r="G558">
            <v>1181522</v>
          </cell>
          <cell r="H558" t="str">
            <v>CM-298:TRIO EYESHADOW</v>
          </cell>
          <cell r="I558">
            <v>50000</v>
          </cell>
          <cell r="J558" t="str">
            <v>UN</v>
          </cell>
          <cell r="K558">
            <v>45617</v>
          </cell>
        </row>
        <row r="559">
          <cell r="A559" t="str">
            <v>50714268310</v>
          </cell>
          <cell r="B559" t="str">
            <v>ZMTD</v>
          </cell>
          <cell r="C559">
            <v>45532</v>
          </cell>
          <cell r="D559" t="str">
            <v>Not delivered</v>
          </cell>
          <cell r="E559">
            <v>507142683</v>
          </cell>
          <cell r="F559">
            <v>10</v>
          </cell>
          <cell r="G559">
            <v>1284957</v>
          </cell>
          <cell r="H559" t="str">
            <v>CM-244:WHITE U/CLR  S/SLVR ZGNC010031 EL</v>
          </cell>
          <cell r="I559">
            <v>10080</v>
          </cell>
          <cell r="J559" t="str">
            <v>UN</v>
          </cell>
          <cell r="K559">
            <v>45617</v>
          </cell>
        </row>
        <row r="560">
          <cell r="A560" t="str">
            <v>50800518140</v>
          </cell>
          <cell r="B560" t="str">
            <v>ZMFD</v>
          </cell>
          <cell r="C560">
            <v>45485</v>
          </cell>
          <cell r="D560" t="str">
            <v>Not delivered</v>
          </cell>
          <cell r="E560">
            <v>508005181</v>
          </cell>
          <cell r="F560">
            <v>40</v>
          </cell>
          <cell r="G560">
            <v>1413967</v>
          </cell>
          <cell r="H560" t="str">
            <v>CM-323:VM SILVER DIOR JUMBO M080</v>
          </cell>
          <cell r="I560">
            <v>27000</v>
          </cell>
          <cell r="J560" t="str">
            <v>UN</v>
          </cell>
          <cell r="K560">
            <v>45617</v>
          </cell>
        </row>
        <row r="561">
          <cell r="A561" t="str">
            <v>50714243340</v>
          </cell>
          <cell r="B561" t="str">
            <v>ZMTD</v>
          </cell>
          <cell r="C561">
            <v>45475</v>
          </cell>
          <cell r="D561" t="str">
            <v>Not delivered</v>
          </cell>
          <cell r="E561">
            <v>507142433</v>
          </cell>
          <cell r="F561">
            <v>40</v>
          </cell>
          <cell r="G561">
            <v>1406600</v>
          </cell>
          <cell r="H561" t="str">
            <v>CM-310:BLACK M086 CANNAGE S/SLV UV MT</v>
          </cell>
          <cell r="I561">
            <v>39000</v>
          </cell>
          <cell r="J561" t="str">
            <v>UN</v>
          </cell>
          <cell r="K561">
            <v>45617</v>
          </cell>
        </row>
        <row r="562">
          <cell r="A562" t="str">
            <v>50800509310</v>
          </cell>
          <cell r="B562" t="str">
            <v>ZMFD</v>
          </cell>
          <cell r="C562">
            <v>45449</v>
          </cell>
          <cell r="D562" t="str">
            <v>Not delivered</v>
          </cell>
          <cell r="E562">
            <v>508005093</v>
          </cell>
          <cell r="F562">
            <v>10</v>
          </cell>
          <cell r="G562">
            <v>1390354</v>
          </cell>
          <cell r="H562" t="str">
            <v>CM-294:GODET REBELL. ROSE G0S4-01-0092</v>
          </cell>
          <cell r="I562">
            <v>10472</v>
          </cell>
          <cell r="J562" t="str">
            <v>UN</v>
          </cell>
          <cell r="K562">
            <v>45617</v>
          </cell>
        </row>
        <row r="563">
          <cell r="A563" t="str">
            <v>50800509410</v>
          </cell>
          <cell r="B563" t="str">
            <v>ZMFD</v>
          </cell>
          <cell r="C563">
            <v>45449</v>
          </cell>
          <cell r="D563" t="str">
            <v>Not delivered</v>
          </cell>
          <cell r="E563">
            <v>508005094</v>
          </cell>
          <cell r="F563">
            <v>10</v>
          </cell>
          <cell r="G563">
            <v>1388946</v>
          </cell>
          <cell r="H563" t="str">
            <v>CM-294:GODET PINK KISS G0S4-02-0092</v>
          </cell>
          <cell r="I563">
            <v>10472</v>
          </cell>
          <cell r="J563" t="str">
            <v>UN</v>
          </cell>
          <cell r="K563">
            <v>45617</v>
          </cell>
        </row>
        <row r="564">
          <cell r="A564" t="str">
            <v>50800530310</v>
          </cell>
          <cell r="B564" t="str">
            <v>ZMFD</v>
          </cell>
          <cell r="C564">
            <v>45568</v>
          </cell>
          <cell r="D564" t="str">
            <v>Not delivered</v>
          </cell>
          <cell r="E564">
            <v>508005303</v>
          </cell>
          <cell r="F564">
            <v>10</v>
          </cell>
          <cell r="G564">
            <v>1430094</v>
          </cell>
          <cell r="H564" t="str">
            <v>LS-285:BS BLUE NO DC WARDAH PTI 12A</v>
          </cell>
          <cell r="I564">
            <v>25536</v>
          </cell>
          <cell r="J564" t="str">
            <v>UN</v>
          </cell>
          <cell r="K564">
            <v>45618</v>
          </cell>
        </row>
        <row r="565">
          <cell r="A565" t="str">
            <v>50800530320</v>
          </cell>
          <cell r="B565" t="str">
            <v>ZMFD</v>
          </cell>
          <cell r="C565">
            <v>45568</v>
          </cell>
          <cell r="D565" t="str">
            <v>Not delivered</v>
          </cell>
          <cell r="E565">
            <v>508005303</v>
          </cell>
          <cell r="F565">
            <v>20</v>
          </cell>
          <cell r="G565">
            <v>1430093</v>
          </cell>
          <cell r="H565" t="str">
            <v>LS-285:CV MT.TR BLUE P/SHERCLEAR PTI 40H</v>
          </cell>
          <cell r="I565">
            <v>25536</v>
          </cell>
          <cell r="J565" t="str">
            <v>UN</v>
          </cell>
          <cell r="K565">
            <v>45618</v>
          </cell>
        </row>
        <row r="566">
          <cell r="A566" t="str">
            <v>50714276340</v>
          </cell>
          <cell r="B566" t="str">
            <v>ZMTD</v>
          </cell>
          <cell r="C566">
            <v>45552</v>
          </cell>
          <cell r="D566" t="str">
            <v>Not delivered</v>
          </cell>
          <cell r="E566">
            <v>507142763</v>
          </cell>
          <cell r="F566">
            <v>40</v>
          </cell>
          <cell r="G566">
            <v>1182817</v>
          </cell>
          <cell r="H566" t="str">
            <v>FP-014:JAR P/BLACK ALMAY</v>
          </cell>
          <cell r="I566">
            <v>25056</v>
          </cell>
          <cell r="J566" t="str">
            <v>UN</v>
          </cell>
          <cell r="K566">
            <v>45618</v>
          </cell>
        </row>
        <row r="567">
          <cell r="A567" t="str">
            <v>50714276410</v>
          </cell>
          <cell r="B567" t="str">
            <v>ZMTD</v>
          </cell>
          <cell r="C567">
            <v>45552</v>
          </cell>
          <cell r="D567" t="str">
            <v>Not delivered</v>
          </cell>
          <cell r="E567">
            <v>507142764</v>
          </cell>
          <cell r="F567">
            <v>10</v>
          </cell>
          <cell r="G567">
            <v>1211756</v>
          </cell>
          <cell r="H567" t="str">
            <v>CM-246:COVER VM SHNY SLV ALMOST PWD</v>
          </cell>
          <cell r="I567">
            <v>120120</v>
          </cell>
          <cell r="J567" t="str">
            <v>UN</v>
          </cell>
          <cell r="K567">
            <v>45618</v>
          </cell>
        </row>
        <row r="568">
          <cell r="A568" t="str">
            <v>507142765100</v>
          </cell>
          <cell r="B568" t="str">
            <v>ZMTD</v>
          </cell>
          <cell r="C568">
            <v>45552</v>
          </cell>
          <cell r="D568" t="str">
            <v>Not delivered</v>
          </cell>
          <cell r="E568">
            <v>507142765</v>
          </cell>
          <cell r="F568">
            <v>100</v>
          </cell>
          <cell r="G568">
            <v>1398383</v>
          </cell>
          <cell r="H568" t="str">
            <v>CM-319:WHITE P/BLACK UV MATTE NARS</v>
          </cell>
          <cell r="I568">
            <v>40080</v>
          </cell>
          <cell r="J568" t="str">
            <v>UN</v>
          </cell>
          <cell r="K568">
            <v>45618</v>
          </cell>
        </row>
        <row r="569">
          <cell r="A569" t="str">
            <v>50714276660</v>
          </cell>
          <cell r="B569" t="str">
            <v>ZMTD</v>
          </cell>
          <cell r="C569">
            <v>45552</v>
          </cell>
          <cell r="D569" t="str">
            <v>Not delivered</v>
          </cell>
          <cell r="E569">
            <v>507142766</v>
          </cell>
          <cell r="F569">
            <v>60</v>
          </cell>
          <cell r="G569">
            <v>1398763</v>
          </cell>
          <cell r="H569" t="str">
            <v>CM-320:WHITE S/BLACK UV MATTE NARS</v>
          </cell>
          <cell r="I569">
            <v>8100</v>
          </cell>
          <cell r="J569" t="str">
            <v>UN</v>
          </cell>
          <cell r="K569">
            <v>45618</v>
          </cell>
        </row>
        <row r="570">
          <cell r="A570" t="str">
            <v>50714275510</v>
          </cell>
          <cell r="B570" t="str">
            <v>ZMTD</v>
          </cell>
          <cell r="C570">
            <v>45547</v>
          </cell>
          <cell r="D570" t="str">
            <v>Not delivered</v>
          </cell>
          <cell r="E570">
            <v>507142755</v>
          </cell>
          <cell r="F570">
            <v>10</v>
          </cell>
          <cell r="G570">
            <v>1216572</v>
          </cell>
          <cell r="H570" t="str">
            <v>CM-216:TRUE MATCH CV PF S/SLV LOR (SEA)</v>
          </cell>
          <cell r="I570">
            <v>207600</v>
          </cell>
          <cell r="J570" t="str">
            <v>UN</v>
          </cell>
          <cell r="K570">
            <v>45618</v>
          </cell>
        </row>
        <row r="571">
          <cell r="A571" t="str">
            <v>50800527210</v>
          </cell>
          <cell r="B571" t="str">
            <v>ZMFD</v>
          </cell>
          <cell r="C571">
            <v>45538</v>
          </cell>
          <cell r="D571" t="str">
            <v>Not delivered</v>
          </cell>
          <cell r="E571">
            <v>508005272</v>
          </cell>
          <cell r="F571">
            <v>10</v>
          </cell>
          <cell r="G571">
            <v>1411899</v>
          </cell>
          <cell r="H571" t="str">
            <v>PT-100:BS/INS GREEN P/WHT KAHF PTI 60B</v>
          </cell>
          <cell r="I571">
            <v>63000</v>
          </cell>
          <cell r="J571" t="str">
            <v>UN</v>
          </cell>
          <cell r="K571">
            <v>45618</v>
          </cell>
        </row>
        <row r="572">
          <cell r="A572" t="str">
            <v>50800527220</v>
          </cell>
          <cell r="B572" t="str">
            <v>ZMFD</v>
          </cell>
          <cell r="C572">
            <v>45538</v>
          </cell>
          <cell r="D572" t="str">
            <v>Not delivered</v>
          </cell>
          <cell r="E572">
            <v>508005272</v>
          </cell>
          <cell r="F572">
            <v>20</v>
          </cell>
          <cell r="G572">
            <v>1411898</v>
          </cell>
          <cell r="H572" t="str">
            <v>PT-100:CVR MT.GREEN EMBOS KAHF PTI 40D</v>
          </cell>
          <cell r="I572">
            <v>63000</v>
          </cell>
          <cell r="J572" t="str">
            <v>UN</v>
          </cell>
          <cell r="K572">
            <v>45618</v>
          </cell>
        </row>
        <row r="573">
          <cell r="A573" t="str">
            <v>50714286610</v>
          </cell>
          <cell r="B573" t="str">
            <v>ZMTD</v>
          </cell>
          <cell r="C573">
            <v>45574</v>
          </cell>
          <cell r="D573" t="str">
            <v>Not delivered</v>
          </cell>
          <cell r="E573">
            <v>507142866</v>
          </cell>
          <cell r="F573">
            <v>10</v>
          </cell>
          <cell r="G573">
            <v>1364395</v>
          </cell>
          <cell r="H573" t="str">
            <v>PT-048:CVR/BS WHT NO DC 4GR MISWAK 12A</v>
          </cell>
          <cell r="I573">
            <v>10000</v>
          </cell>
          <cell r="J573" t="str">
            <v>UN</v>
          </cell>
          <cell r="K573">
            <v>45621</v>
          </cell>
        </row>
        <row r="574">
          <cell r="A574" t="str">
            <v>50714285810</v>
          </cell>
          <cell r="B574" t="str">
            <v>ZMTD</v>
          </cell>
          <cell r="C574">
            <v>45569</v>
          </cell>
          <cell r="D574" t="str">
            <v>Not delivered</v>
          </cell>
          <cell r="E574">
            <v>507142858</v>
          </cell>
          <cell r="F574">
            <v>10</v>
          </cell>
          <cell r="G574">
            <v>1172316</v>
          </cell>
          <cell r="H574" t="str">
            <v>CM-273:BS/CV WHITE NO DC W/LBL  MLT ELOK</v>
          </cell>
          <cell r="I574">
            <v>30000</v>
          </cell>
          <cell r="J574" t="str">
            <v>UN</v>
          </cell>
          <cell r="K574">
            <v>45621</v>
          </cell>
        </row>
        <row r="575">
          <cell r="A575" t="str">
            <v>50800530210</v>
          </cell>
          <cell r="B575" t="str">
            <v>ZMFD</v>
          </cell>
          <cell r="C575">
            <v>45568</v>
          </cell>
          <cell r="D575" t="str">
            <v>Not delivered</v>
          </cell>
          <cell r="E575">
            <v>508005302</v>
          </cell>
          <cell r="F575">
            <v>10</v>
          </cell>
          <cell r="G575">
            <v>1408740</v>
          </cell>
          <cell r="H575" t="str">
            <v>PT-097B:BDSR.2 BLU HOUS WHT TRNS PTI12A</v>
          </cell>
          <cell r="I575">
            <v>160000</v>
          </cell>
          <cell r="J575" t="str">
            <v>UN</v>
          </cell>
          <cell r="K575">
            <v>45621</v>
          </cell>
        </row>
        <row r="576">
          <cell r="A576" t="str">
            <v>50800530220</v>
          </cell>
          <cell r="B576" t="str">
            <v>ZMFD</v>
          </cell>
          <cell r="C576">
            <v>45568</v>
          </cell>
          <cell r="D576" t="str">
            <v>Not delivered</v>
          </cell>
          <cell r="E576">
            <v>508005302</v>
          </cell>
          <cell r="F576">
            <v>20</v>
          </cell>
          <cell r="G576">
            <v>1408739</v>
          </cell>
          <cell r="H576" t="str">
            <v>PT-097B:CAP SR.2 BLUE TRANS PTI 12A</v>
          </cell>
          <cell r="I576">
            <v>160000</v>
          </cell>
          <cell r="J576" t="str">
            <v>UN</v>
          </cell>
          <cell r="K576">
            <v>45621</v>
          </cell>
        </row>
        <row r="577">
          <cell r="A577" t="str">
            <v>50714284810</v>
          </cell>
          <cell r="B577" t="str">
            <v>ZMTD</v>
          </cell>
          <cell r="C577">
            <v>45567</v>
          </cell>
          <cell r="D577" t="str">
            <v>Not delivered</v>
          </cell>
          <cell r="E577">
            <v>507142848</v>
          </cell>
          <cell r="F577">
            <v>10</v>
          </cell>
          <cell r="G577">
            <v>1135699</v>
          </cell>
          <cell r="H577" t="str">
            <v>CM-298:MATCH MADE BRONZER</v>
          </cell>
          <cell r="I577">
            <v>21200</v>
          </cell>
          <cell r="J577" t="str">
            <v>UN</v>
          </cell>
          <cell r="K577">
            <v>45621</v>
          </cell>
        </row>
        <row r="578">
          <cell r="A578" t="str">
            <v>50714284910</v>
          </cell>
          <cell r="B578" t="str">
            <v>ZMTD</v>
          </cell>
          <cell r="C578">
            <v>45567</v>
          </cell>
          <cell r="D578" t="str">
            <v>Not delivered</v>
          </cell>
          <cell r="E578">
            <v>507142849</v>
          </cell>
          <cell r="F578">
            <v>10</v>
          </cell>
          <cell r="G578">
            <v>1181524</v>
          </cell>
          <cell r="H578" t="str">
            <v>CM-297:WHITE PERFECT LIGHT PP BOOTS</v>
          </cell>
          <cell r="I578">
            <v>25032</v>
          </cell>
          <cell r="J578" t="str">
            <v>UN</v>
          </cell>
          <cell r="K578">
            <v>45621</v>
          </cell>
        </row>
        <row r="579">
          <cell r="A579" t="str">
            <v>50714285030</v>
          </cell>
          <cell r="B579" t="str">
            <v>ZMTD</v>
          </cell>
          <cell r="C579">
            <v>45567</v>
          </cell>
          <cell r="D579" t="str">
            <v>Not delivered</v>
          </cell>
          <cell r="E579">
            <v>507142850</v>
          </cell>
          <cell r="F579">
            <v>30</v>
          </cell>
          <cell r="G579">
            <v>1371896</v>
          </cell>
          <cell r="H579" t="str">
            <v>RX-056:CM-316 CVR BLUE P/WHT SP/MTCLR</v>
          </cell>
          <cell r="I579">
            <v>79968</v>
          </cell>
          <cell r="J579" t="str">
            <v>UN</v>
          </cell>
          <cell r="K579">
            <v>45621</v>
          </cell>
        </row>
        <row r="580">
          <cell r="A580" t="str">
            <v>50714275320</v>
          </cell>
          <cell r="B580" t="str">
            <v>ZMTD</v>
          </cell>
          <cell r="C580">
            <v>45546</v>
          </cell>
          <cell r="D580" t="str">
            <v>Not delivered</v>
          </cell>
          <cell r="E580">
            <v>507142753</v>
          </cell>
          <cell r="F580">
            <v>20</v>
          </cell>
          <cell r="G580">
            <v>1442652</v>
          </cell>
          <cell r="H580" t="str">
            <v>CM-253:BS BEIGE CV VMGLD P/INEZ RV1 20Y</v>
          </cell>
          <cell r="I580">
            <v>25000</v>
          </cell>
          <cell r="J580" t="str">
            <v>UN</v>
          </cell>
          <cell r="K580">
            <v>45621</v>
          </cell>
        </row>
        <row r="581">
          <cell r="A581" t="str">
            <v>50714276420</v>
          </cell>
          <cell r="B581" t="str">
            <v>ZMTD</v>
          </cell>
          <cell r="C581">
            <v>45552</v>
          </cell>
          <cell r="D581" t="str">
            <v>Not delivered</v>
          </cell>
          <cell r="E581">
            <v>507142764</v>
          </cell>
          <cell r="F581">
            <v>20</v>
          </cell>
          <cell r="G581">
            <v>1211756</v>
          </cell>
          <cell r="H581" t="str">
            <v>CM-246:COVER VM SHNY SLV ALMOST PWD</v>
          </cell>
          <cell r="I581">
            <v>120120</v>
          </cell>
          <cell r="J581" t="str">
            <v>UN</v>
          </cell>
          <cell r="K581">
            <v>45622</v>
          </cell>
        </row>
        <row r="582">
          <cell r="A582" t="str">
            <v>50800527810</v>
          </cell>
          <cell r="B582" t="str">
            <v>ZMFD</v>
          </cell>
          <cell r="C582">
            <v>45544</v>
          </cell>
          <cell r="D582" t="str">
            <v>Not delivered</v>
          </cell>
          <cell r="E582">
            <v>508005278</v>
          </cell>
          <cell r="F582">
            <v>10</v>
          </cell>
          <cell r="G582">
            <v>1437039</v>
          </cell>
          <cell r="H582" t="str">
            <v>CM-290:1PC BS CV MT.BLK S/ EMBOS OMG 40C</v>
          </cell>
          <cell r="I582">
            <v>35000</v>
          </cell>
          <cell r="J582" t="str">
            <v>UN</v>
          </cell>
          <cell r="K582">
            <v>45623</v>
          </cell>
        </row>
        <row r="583">
          <cell r="A583" t="str">
            <v>50800527820</v>
          </cell>
          <cell r="B583" t="str">
            <v>ZMFD</v>
          </cell>
          <cell r="C583">
            <v>45544</v>
          </cell>
          <cell r="D583" t="str">
            <v>Not delivered</v>
          </cell>
          <cell r="E583">
            <v>508005278</v>
          </cell>
          <cell r="F583">
            <v>20</v>
          </cell>
          <cell r="G583">
            <v>1437140</v>
          </cell>
          <cell r="H583" t="str">
            <v>CM-290:ENGINE CV RED, BS BLK OMG PTI 12A</v>
          </cell>
          <cell r="I583">
            <v>35000</v>
          </cell>
          <cell r="J583" t="str">
            <v>UN</v>
          </cell>
          <cell r="K583">
            <v>45623</v>
          </cell>
        </row>
        <row r="584">
          <cell r="A584" t="str">
            <v>50800527830</v>
          </cell>
          <cell r="B584" t="str">
            <v>ZMFD</v>
          </cell>
          <cell r="C584">
            <v>45544</v>
          </cell>
          <cell r="D584" t="str">
            <v>Not delivered</v>
          </cell>
          <cell r="E584">
            <v>508005278</v>
          </cell>
          <cell r="F584">
            <v>30</v>
          </cell>
          <cell r="G584">
            <v>1437141</v>
          </cell>
          <cell r="H584" t="str">
            <v>CM-290:RING BLACK OMG PTI 12A</v>
          </cell>
          <cell r="I584">
            <v>35000</v>
          </cell>
          <cell r="J584" t="str">
            <v>UN</v>
          </cell>
          <cell r="K584">
            <v>45623</v>
          </cell>
        </row>
        <row r="585">
          <cell r="A585" t="str">
            <v>50714243710</v>
          </cell>
          <cell r="B585" t="str">
            <v>ZMTD</v>
          </cell>
          <cell r="C585">
            <v>45475</v>
          </cell>
          <cell r="D585" t="str">
            <v>Not delivered</v>
          </cell>
          <cell r="E585">
            <v>507142437</v>
          </cell>
          <cell r="F585">
            <v>10</v>
          </cell>
          <cell r="G585">
            <v>1159364</v>
          </cell>
          <cell r="H585" t="str">
            <v>CP-071:PL8364 INSERT TNR 125-200ML REX</v>
          </cell>
          <cell r="I585">
            <v>111000</v>
          </cell>
          <cell r="J585" t="str">
            <v>UN</v>
          </cell>
          <cell r="K585">
            <v>45623</v>
          </cell>
        </row>
        <row r="586">
          <cell r="A586" t="str">
            <v>50714286710</v>
          </cell>
          <cell r="B586" t="str">
            <v>ZMTD</v>
          </cell>
          <cell r="C586">
            <v>45574</v>
          </cell>
          <cell r="D586" t="str">
            <v>Not delivered</v>
          </cell>
          <cell r="E586">
            <v>507142867</v>
          </cell>
          <cell r="F586">
            <v>10</v>
          </cell>
          <cell r="G586">
            <v>1195173</v>
          </cell>
          <cell r="H586" t="str">
            <v>PT-085:BS CVR WHT MT NDC 12.5 ZAP 40D</v>
          </cell>
          <cell r="I586">
            <v>25000</v>
          </cell>
          <cell r="J586" t="str">
            <v>UN</v>
          </cell>
          <cell r="K586">
            <v>45624</v>
          </cell>
        </row>
        <row r="587">
          <cell r="A587" t="str">
            <v>50714272910</v>
          </cell>
          <cell r="B587" t="str">
            <v>ZMTD</v>
          </cell>
          <cell r="C587">
            <v>45541</v>
          </cell>
          <cell r="D587" t="str">
            <v>Not delivered</v>
          </cell>
          <cell r="E587">
            <v>507142729</v>
          </cell>
          <cell r="F587">
            <v>10</v>
          </cell>
          <cell r="G587">
            <v>1193139</v>
          </cell>
          <cell r="H587" t="str">
            <v>FP-026:APPLICT VM SILVER FACES</v>
          </cell>
          <cell r="I587">
            <v>15000</v>
          </cell>
          <cell r="J587" t="str">
            <v>UN</v>
          </cell>
          <cell r="K587">
            <v>45624</v>
          </cell>
        </row>
        <row r="588">
          <cell r="A588" t="str">
            <v>50714272920</v>
          </cell>
          <cell r="B588" t="str">
            <v>ZMTD</v>
          </cell>
          <cell r="C588">
            <v>45541</v>
          </cell>
          <cell r="D588" t="str">
            <v>Not delivered</v>
          </cell>
          <cell r="E588">
            <v>507142729</v>
          </cell>
          <cell r="F588">
            <v>20</v>
          </cell>
          <cell r="G588">
            <v>1193250</v>
          </cell>
          <cell r="H588" t="str">
            <v>FP-026:BASE BLACK P/SLVR 2018 RGIND 60B</v>
          </cell>
          <cell r="I588">
            <v>15000</v>
          </cell>
          <cell r="J588" t="str">
            <v>UN</v>
          </cell>
          <cell r="K588">
            <v>45624</v>
          </cell>
        </row>
        <row r="589">
          <cell r="A589" t="str">
            <v>50714262710</v>
          </cell>
          <cell r="B589" t="str">
            <v>ZMTD</v>
          </cell>
          <cell r="C589">
            <v>45516</v>
          </cell>
          <cell r="D589" t="str">
            <v>Not delivered</v>
          </cell>
          <cell r="E589">
            <v>507142627</v>
          </cell>
          <cell r="F589">
            <v>10</v>
          </cell>
          <cell r="G589">
            <v>1238216</v>
          </cell>
          <cell r="H589" t="str">
            <v>FP-041:CVR NAT VM SLV P/LG INEZ KSI 20Y</v>
          </cell>
          <cell r="I589">
            <v>20000</v>
          </cell>
          <cell r="J589" t="str">
            <v>UN</v>
          </cell>
          <cell r="K589">
            <v>45624</v>
          </cell>
        </row>
        <row r="590">
          <cell r="A590" t="str">
            <v>50714262720</v>
          </cell>
          <cell r="B590" t="str">
            <v>ZMTD</v>
          </cell>
          <cell r="C590">
            <v>45516</v>
          </cell>
          <cell r="D590" t="str">
            <v>Not delivered</v>
          </cell>
          <cell r="E590">
            <v>507142627</v>
          </cell>
          <cell r="F590">
            <v>20</v>
          </cell>
          <cell r="G590">
            <v>1238217</v>
          </cell>
          <cell r="H590" t="str">
            <v>FP-041:BS CLR NO DECO KSI 12A</v>
          </cell>
          <cell r="I590">
            <v>20000</v>
          </cell>
          <cell r="J590" t="str">
            <v>UN</v>
          </cell>
          <cell r="K590">
            <v>45624</v>
          </cell>
        </row>
        <row r="591">
          <cell r="A591" t="str">
            <v>50714262730</v>
          </cell>
          <cell r="B591" t="str">
            <v>ZMTD</v>
          </cell>
          <cell r="C591">
            <v>45516</v>
          </cell>
          <cell r="D591" t="str">
            <v>Not delivered</v>
          </cell>
          <cell r="E591">
            <v>507142627</v>
          </cell>
          <cell r="F591">
            <v>30</v>
          </cell>
          <cell r="G591">
            <v>1238218</v>
          </cell>
          <cell r="H591" t="str">
            <v>FP-041:SFTR NAT W/LBL CLEAR KSI 12A</v>
          </cell>
          <cell r="I591">
            <v>20000</v>
          </cell>
          <cell r="J591" t="str">
            <v>UN</v>
          </cell>
          <cell r="K591">
            <v>45624</v>
          </cell>
        </row>
        <row r="592">
          <cell r="A592" t="str">
            <v>50800518150</v>
          </cell>
          <cell r="B592" t="str">
            <v>ZMFD</v>
          </cell>
          <cell r="C592">
            <v>45485</v>
          </cell>
          <cell r="D592" t="str">
            <v>Not delivered</v>
          </cell>
          <cell r="E592">
            <v>508005181</v>
          </cell>
          <cell r="F592">
            <v>50</v>
          </cell>
          <cell r="G592">
            <v>1413967</v>
          </cell>
          <cell r="H592" t="str">
            <v>CM-323:VM SILVER DIOR JUMBO M080</v>
          </cell>
          <cell r="I592">
            <v>18000</v>
          </cell>
          <cell r="J592" t="str">
            <v>UN</v>
          </cell>
          <cell r="K592">
            <v>45624</v>
          </cell>
        </row>
        <row r="593">
          <cell r="A593" t="str">
            <v>50714236710</v>
          </cell>
          <cell r="B593" t="str">
            <v>ZMTD</v>
          </cell>
          <cell r="C593">
            <v>45463</v>
          </cell>
          <cell r="D593" t="str">
            <v>Not delivered</v>
          </cell>
          <cell r="E593">
            <v>507142367</v>
          </cell>
          <cell r="F593">
            <v>10</v>
          </cell>
          <cell r="G593">
            <v>1175305</v>
          </cell>
          <cell r="H593" t="str">
            <v>CM-088:BROWN PRL S/GLD REVLON NEW RUDY</v>
          </cell>
          <cell r="I593">
            <v>10000</v>
          </cell>
          <cell r="J593" t="str">
            <v>UN</v>
          </cell>
          <cell r="K593">
            <v>45624</v>
          </cell>
        </row>
        <row r="594">
          <cell r="A594" t="str">
            <v>50800509710</v>
          </cell>
          <cell r="B594" t="str">
            <v>ZMFD</v>
          </cell>
          <cell r="C594">
            <v>45449</v>
          </cell>
          <cell r="D594" t="str">
            <v>Not delivered</v>
          </cell>
          <cell r="E594">
            <v>508005097</v>
          </cell>
          <cell r="F594">
            <v>10</v>
          </cell>
          <cell r="G594">
            <v>1390353</v>
          </cell>
          <cell r="H594" t="str">
            <v>CM-294:GODET UNTAMED PLUM G0S4-05-0092</v>
          </cell>
          <cell r="I594">
            <v>10472</v>
          </cell>
          <cell r="J594" t="str">
            <v>UN</v>
          </cell>
          <cell r="K594">
            <v>45624</v>
          </cell>
        </row>
        <row r="595">
          <cell r="A595" t="str">
            <v>50800509810</v>
          </cell>
          <cell r="B595" t="str">
            <v>ZMFD</v>
          </cell>
          <cell r="C595">
            <v>45449</v>
          </cell>
          <cell r="D595" t="str">
            <v>Not delivered</v>
          </cell>
          <cell r="E595">
            <v>508005098</v>
          </cell>
          <cell r="F595">
            <v>10</v>
          </cell>
          <cell r="G595">
            <v>1390352</v>
          </cell>
          <cell r="H595" t="str">
            <v>CM-294:GODET SENSOUSE ROSE G0S4-06-0092</v>
          </cell>
          <cell r="I595">
            <v>10472</v>
          </cell>
          <cell r="J595" t="str">
            <v>UN</v>
          </cell>
          <cell r="K595">
            <v>45624</v>
          </cell>
        </row>
        <row r="596">
          <cell r="A596" t="str">
            <v>50800509910</v>
          </cell>
          <cell r="B596" t="str">
            <v>ZMFD</v>
          </cell>
          <cell r="C596">
            <v>45449</v>
          </cell>
          <cell r="D596" t="str">
            <v>Not delivered</v>
          </cell>
          <cell r="E596">
            <v>508005099</v>
          </cell>
          <cell r="F596">
            <v>10</v>
          </cell>
          <cell r="G596">
            <v>1389065</v>
          </cell>
          <cell r="H596" t="str">
            <v>CM-294:GODET HYPNT COOPER G0S4-07-0092</v>
          </cell>
          <cell r="I596">
            <v>10472</v>
          </cell>
          <cell r="J596" t="str">
            <v>UN</v>
          </cell>
          <cell r="K596">
            <v>45624</v>
          </cell>
        </row>
        <row r="597">
          <cell r="A597" t="str">
            <v>50800510210</v>
          </cell>
          <cell r="B597" t="str">
            <v>ZMFD</v>
          </cell>
          <cell r="C597">
            <v>45449</v>
          </cell>
          <cell r="D597" t="str">
            <v>Not delivered</v>
          </cell>
          <cell r="E597">
            <v>508005102</v>
          </cell>
          <cell r="F597">
            <v>10</v>
          </cell>
          <cell r="G597">
            <v>1389679</v>
          </cell>
          <cell r="H597" t="str">
            <v>CM-294 GODET PEACH PASSION G0S6-01-0092</v>
          </cell>
          <cell r="I597">
            <v>10472</v>
          </cell>
          <cell r="J597" t="str">
            <v>UN</v>
          </cell>
          <cell r="K597">
            <v>45624</v>
          </cell>
        </row>
        <row r="598">
          <cell r="A598" t="str">
            <v>50800530010</v>
          </cell>
          <cell r="B598" t="str">
            <v>ZMFD</v>
          </cell>
          <cell r="C598">
            <v>45567</v>
          </cell>
          <cell r="D598" t="str">
            <v>Not delivered</v>
          </cell>
          <cell r="E598">
            <v>508005300</v>
          </cell>
          <cell r="F598">
            <v>10</v>
          </cell>
          <cell r="G598">
            <v>1376248</v>
          </cell>
          <cell r="H598" t="str">
            <v>FP-008:CVR L.PINK P/BLK MANDOM RV1 12A</v>
          </cell>
          <cell r="I598">
            <v>30000</v>
          </cell>
          <cell r="J598" t="str">
            <v>UN</v>
          </cell>
          <cell r="K598">
            <v>45625</v>
          </cell>
        </row>
        <row r="599">
          <cell r="A599" t="str">
            <v>50800530020</v>
          </cell>
          <cell r="B599" t="str">
            <v>ZMFD</v>
          </cell>
          <cell r="C599">
            <v>45567</v>
          </cell>
          <cell r="D599" t="str">
            <v>Not delivered</v>
          </cell>
          <cell r="E599">
            <v>508005300</v>
          </cell>
          <cell r="F599">
            <v>20</v>
          </cell>
          <cell r="G599">
            <v>1171179</v>
          </cell>
          <cell r="H599" t="str">
            <v>FP-008:BS INJ BLK NO DC MANDOM</v>
          </cell>
          <cell r="I599">
            <v>30000</v>
          </cell>
          <cell r="J599" t="str">
            <v>UN</v>
          </cell>
          <cell r="K599">
            <v>45625</v>
          </cell>
        </row>
        <row r="600">
          <cell r="A600" t="str">
            <v>50800530030</v>
          </cell>
          <cell r="B600" t="str">
            <v>ZMFD</v>
          </cell>
          <cell r="C600">
            <v>45567</v>
          </cell>
          <cell r="D600" t="str">
            <v>Not delivered</v>
          </cell>
          <cell r="E600">
            <v>508005300</v>
          </cell>
          <cell r="F600">
            <v>30</v>
          </cell>
          <cell r="G600">
            <v>1172027</v>
          </cell>
          <cell r="H600" t="str">
            <v>FP-008:SFT NAT L.HINGE W/LBL NO DC MDM</v>
          </cell>
          <cell r="I600">
            <v>30000</v>
          </cell>
          <cell r="J600" t="str">
            <v>UN</v>
          </cell>
          <cell r="K600">
            <v>45625</v>
          </cell>
        </row>
        <row r="601">
          <cell r="A601" t="str">
            <v>50714280410</v>
          </cell>
          <cell r="B601" t="str">
            <v>ZMTD</v>
          </cell>
          <cell r="C601">
            <v>45559</v>
          </cell>
          <cell r="D601" t="str">
            <v>Not delivered</v>
          </cell>
          <cell r="E601">
            <v>507142804</v>
          </cell>
          <cell r="F601">
            <v>10</v>
          </cell>
          <cell r="G601">
            <v>1419488</v>
          </cell>
          <cell r="H601" t="str">
            <v>CP-063R:SPOUT CAP WHITE LOREAL 12A</v>
          </cell>
          <cell r="I601">
            <v>1890000</v>
          </cell>
          <cell r="J601" t="str">
            <v>UN</v>
          </cell>
          <cell r="K601">
            <v>45625</v>
          </cell>
        </row>
        <row r="602">
          <cell r="A602" t="str">
            <v>50714281010</v>
          </cell>
          <cell r="B602" t="str">
            <v>ZMTD</v>
          </cell>
          <cell r="C602">
            <v>45559</v>
          </cell>
          <cell r="D602" t="str">
            <v>Not delivered</v>
          </cell>
          <cell r="E602">
            <v>507142810</v>
          </cell>
          <cell r="F602">
            <v>10</v>
          </cell>
          <cell r="G602">
            <v>1159912</v>
          </cell>
          <cell r="H602" t="str">
            <v>CP-064:CAP 25 SCREW BLK MT L'OREAL</v>
          </cell>
          <cell r="I602">
            <v>150000</v>
          </cell>
          <cell r="J602" t="str">
            <v>UN</v>
          </cell>
          <cell r="K602">
            <v>45625</v>
          </cell>
        </row>
        <row r="603">
          <cell r="A603" t="str">
            <v>50714281110</v>
          </cell>
          <cell r="B603" t="str">
            <v>ZMTD</v>
          </cell>
          <cell r="C603">
            <v>45559</v>
          </cell>
          <cell r="D603" t="str">
            <v>Not delivered</v>
          </cell>
          <cell r="E603">
            <v>507142811</v>
          </cell>
          <cell r="F603">
            <v>10</v>
          </cell>
          <cell r="G603">
            <v>1159912</v>
          </cell>
          <cell r="H603" t="str">
            <v>CP-064:CAP 25 SCREW BLK MT L'OREAL</v>
          </cell>
          <cell r="I603">
            <v>150000</v>
          </cell>
          <cell r="J603" t="str">
            <v>UN</v>
          </cell>
          <cell r="K603">
            <v>45625</v>
          </cell>
        </row>
        <row r="604">
          <cell r="A604" t="str">
            <v>507142765110</v>
          </cell>
          <cell r="B604" t="str">
            <v>ZMTD</v>
          </cell>
          <cell r="C604">
            <v>45552</v>
          </cell>
          <cell r="D604" t="str">
            <v>Not delivered</v>
          </cell>
          <cell r="E604">
            <v>507142765</v>
          </cell>
          <cell r="F604">
            <v>110</v>
          </cell>
          <cell r="G604">
            <v>1398383</v>
          </cell>
          <cell r="H604" t="str">
            <v>CM-319:WHITE P/BLACK UV MATTE NARS</v>
          </cell>
          <cell r="I604">
            <v>40080</v>
          </cell>
          <cell r="J604" t="str">
            <v>UN</v>
          </cell>
          <cell r="K604">
            <v>45625</v>
          </cell>
        </row>
        <row r="605">
          <cell r="A605" t="str">
            <v>50714280210</v>
          </cell>
          <cell r="B605" t="str">
            <v>ZMTD</v>
          </cell>
          <cell r="C605">
            <v>45559</v>
          </cell>
          <cell r="D605" t="str">
            <v>Not delivered</v>
          </cell>
          <cell r="E605">
            <v>507142802</v>
          </cell>
          <cell r="F605">
            <v>10</v>
          </cell>
          <cell r="G605">
            <v>1419488</v>
          </cell>
          <cell r="H605" t="str">
            <v>CP-063R:SPOUT CAP WHITE LOREAL 12A</v>
          </cell>
          <cell r="I605">
            <v>1890000</v>
          </cell>
          <cell r="J605" t="str">
            <v>UN</v>
          </cell>
          <cell r="K605">
            <v>45627</v>
          </cell>
        </row>
        <row r="606">
          <cell r="A606" t="str">
            <v>50714280310</v>
          </cell>
          <cell r="B606" t="str">
            <v>ZMTD</v>
          </cell>
          <cell r="C606">
            <v>45559</v>
          </cell>
          <cell r="D606" t="str">
            <v>Not delivered</v>
          </cell>
          <cell r="E606">
            <v>507142803</v>
          </cell>
          <cell r="F606">
            <v>10</v>
          </cell>
          <cell r="G606">
            <v>1419488</v>
          </cell>
          <cell r="H606" t="str">
            <v>CP-063R:SPOUT CAP WHITE LOREAL 12A</v>
          </cell>
          <cell r="I606">
            <v>1890000</v>
          </cell>
          <cell r="J606" t="str">
            <v>UN</v>
          </cell>
          <cell r="K606">
            <v>45627</v>
          </cell>
        </row>
        <row r="607">
          <cell r="A607" t="str">
            <v>50714280510</v>
          </cell>
          <cell r="B607" t="str">
            <v>ZMTD</v>
          </cell>
          <cell r="C607">
            <v>45559</v>
          </cell>
          <cell r="D607" t="str">
            <v>Not delivered</v>
          </cell>
          <cell r="E607">
            <v>507142805</v>
          </cell>
          <cell r="F607">
            <v>10</v>
          </cell>
          <cell r="G607">
            <v>1419488</v>
          </cell>
          <cell r="H607" t="str">
            <v>CP-063R:SPOUT CAP WHITE LOREAL 12A</v>
          </cell>
          <cell r="I607">
            <v>1890000</v>
          </cell>
          <cell r="J607" t="str">
            <v>UN</v>
          </cell>
          <cell r="K607">
            <v>45627</v>
          </cell>
        </row>
        <row r="608">
          <cell r="A608" t="str">
            <v>50714280610</v>
          </cell>
          <cell r="B608" t="str">
            <v>ZMTD</v>
          </cell>
          <cell r="C608">
            <v>45559</v>
          </cell>
          <cell r="D608" t="str">
            <v>Not delivered</v>
          </cell>
          <cell r="E608">
            <v>507142806</v>
          </cell>
          <cell r="F608">
            <v>10</v>
          </cell>
          <cell r="G608">
            <v>1419488</v>
          </cell>
          <cell r="H608" t="str">
            <v>CP-063R:SPOUT CAP WHITE LOREAL 12A</v>
          </cell>
          <cell r="I608">
            <v>1890000</v>
          </cell>
          <cell r="J608" t="str">
            <v>UN</v>
          </cell>
          <cell r="K608">
            <v>45628</v>
          </cell>
        </row>
        <row r="609">
          <cell r="A609" t="str">
            <v>50714277750</v>
          </cell>
          <cell r="B609" t="str">
            <v>ZMTD</v>
          </cell>
          <cell r="C609">
            <v>45554</v>
          </cell>
          <cell r="D609" t="str">
            <v>Not delivered</v>
          </cell>
          <cell r="E609">
            <v>507142777</v>
          </cell>
          <cell r="F609">
            <v>50</v>
          </cell>
          <cell r="G609">
            <v>1435311</v>
          </cell>
          <cell r="H609" t="str">
            <v>LC-002:BTL/COL MTGRAD SLV AZURA LION 40D</v>
          </cell>
          <cell r="I609">
            <v>50589</v>
          </cell>
          <cell r="J609" t="str">
            <v>UN</v>
          </cell>
          <cell r="K609">
            <v>45628</v>
          </cell>
        </row>
        <row r="610">
          <cell r="A610" t="str">
            <v>50714277760</v>
          </cell>
          <cell r="B610" t="str">
            <v>ZMTD</v>
          </cell>
          <cell r="C610">
            <v>45554</v>
          </cell>
          <cell r="D610" t="str">
            <v>Not delivered</v>
          </cell>
          <cell r="E610">
            <v>507142777</v>
          </cell>
          <cell r="F610">
            <v>60</v>
          </cell>
          <cell r="G610">
            <v>1435313</v>
          </cell>
          <cell r="H610" t="str">
            <v>LC-002:CAP MT SILVER S/AZURA LION 40C</v>
          </cell>
          <cell r="I610">
            <v>50589</v>
          </cell>
          <cell r="J610" t="str">
            <v>UN</v>
          </cell>
          <cell r="K610">
            <v>45628</v>
          </cell>
        </row>
        <row r="611">
          <cell r="A611" t="str">
            <v>50714276430</v>
          </cell>
          <cell r="B611" t="str">
            <v>ZMTD</v>
          </cell>
          <cell r="C611">
            <v>45552</v>
          </cell>
          <cell r="D611" t="str">
            <v>Not delivered</v>
          </cell>
          <cell r="E611">
            <v>507142764</v>
          </cell>
          <cell r="F611">
            <v>30</v>
          </cell>
          <cell r="G611">
            <v>1211756</v>
          </cell>
          <cell r="H611" t="str">
            <v>CM-246:COVER VM SHNY SLV ALMOST PWD</v>
          </cell>
          <cell r="I611">
            <v>120120</v>
          </cell>
          <cell r="J611" t="str">
            <v>UN</v>
          </cell>
          <cell r="K611">
            <v>45629</v>
          </cell>
        </row>
        <row r="612">
          <cell r="A612" t="str">
            <v>50714267010</v>
          </cell>
          <cell r="B612" t="str">
            <v>ZMTD</v>
          </cell>
          <cell r="C612">
            <v>45526</v>
          </cell>
          <cell r="D612" t="str">
            <v>Not delivered</v>
          </cell>
          <cell r="E612">
            <v>507142670</v>
          </cell>
          <cell r="F612">
            <v>10</v>
          </cell>
          <cell r="G612">
            <v>1391910</v>
          </cell>
          <cell r="H612" t="str">
            <v>CM-133:CV BS WHT PRL S/NAVAGRN RV1 50C</v>
          </cell>
          <cell r="I612">
            <v>10000</v>
          </cell>
          <cell r="J612" t="str">
            <v>UN</v>
          </cell>
          <cell r="K612">
            <v>45629</v>
          </cell>
        </row>
        <row r="613">
          <cell r="A613" t="str">
            <v>50714267020</v>
          </cell>
          <cell r="B613" t="str">
            <v>ZMTD</v>
          </cell>
          <cell r="C613">
            <v>45526</v>
          </cell>
          <cell r="D613" t="str">
            <v>Not delivered</v>
          </cell>
          <cell r="E613">
            <v>507142670</v>
          </cell>
          <cell r="F613">
            <v>20</v>
          </cell>
          <cell r="G613">
            <v>1369453</v>
          </cell>
          <cell r="H613" t="str">
            <v>SPONGE WHT 55X6T NBR TWC D.FARMA(T)</v>
          </cell>
          <cell r="I613">
            <v>10000</v>
          </cell>
          <cell r="J613" t="str">
            <v>UN</v>
          </cell>
          <cell r="K613">
            <v>45629</v>
          </cell>
        </row>
        <row r="614">
          <cell r="A614" t="str">
            <v>50714267030</v>
          </cell>
          <cell r="B614" t="str">
            <v>ZMTD</v>
          </cell>
          <cell r="C614">
            <v>45526</v>
          </cell>
          <cell r="D614" t="str">
            <v>Not delivered</v>
          </cell>
          <cell r="E614">
            <v>507142670</v>
          </cell>
          <cell r="F614">
            <v>30</v>
          </cell>
          <cell r="G614">
            <v>1387222</v>
          </cell>
          <cell r="H614" t="str">
            <v>PUFF:WHT SATIN55X7T P/NAAVAGR NEWLOGO(T)</v>
          </cell>
          <cell r="I614">
            <v>10000</v>
          </cell>
          <cell r="J614" t="str">
            <v>UN</v>
          </cell>
          <cell r="K614">
            <v>45629</v>
          </cell>
        </row>
        <row r="615">
          <cell r="A615" t="str">
            <v>50800525260</v>
          </cell>
          <cell r="B615" t="str">
            <v>ZMFD</v>
          </cell>
          <cell r="C615">
            <v>45512</v>
          </cell>
          <cell r="D615" t="str">
            <v>Not delivered</v>
          </cell>
          <cell r="E615">
            <v>508005252</v>
          </cell>
          <cell r="F615">
            <v>60</v>
          </cell>
          <cell r="G615">
            <v>1382368</v>
          </cell>
          <cell r="H615" t="str">
            <v>CP-067R:FT CAP35 SNAP BLK MATTE  Ø5 LRL</v>
          </cell>
          <cell r="I615">
            <v>300000</v>
          </cell>
          <cell r="J615" t="str">
            <v>UN</v>
          </cell>
          <cell r="K615">
            <v>45629</v>
          </cell>
        </row>
        <row r="616">
          <cell r="A616" t="str">
            <v>50800523930</v>
          </cell>
          <cell r="B616" t="str">
            <v>ZMFD</v>
          </cell>
          <cell r="C616">
            <v>45505</v>
          </cell>
          <cell r="D616" t="str">
            <v>Not delivered</v>
          </cell>
          <cell r="E616">
            <v>508005239</v>
          </cell>
          <cell r="F616">
            <v>30</v>
          </cell>
          <cell r="G616">
            <v>1437255</v>
          </cell>
          <cell r="H616" t="str">
            <v>CM-253:CV BS MTPEACH 03 P/CCM RV2 PTI40H</v>
          </cell>
          <cell r="I616">
            <v>15000</v>
          </cell>
          <cell r="J616" t="str">
            <v>UN</v>
          </cell>
          <cell r="K616">
            <v>45629</v>
          </cell>
        </row>
        <row r="617">
          <cell r="A617" t="str">
            <v>50714257510</v>
          </cell>
          <cell r="B617" t="str">
            <v>ZMTD</v>
          </cell>
          <cell r="C617">
            <v>45499</v>
          </cell>
          <cell r="D617" t="str">
            <v>Not delivered</v>
          </cell>
          <cell r="E617">
            <v>507142575</v>
          </cell>
          <cell r="F617">
            <v>10</v>
          </cell>
          <cell r="G617">
            <v>1431860</v>
          </cell>
          <cell r="H617" t="str">
            <v>PT6029R CAP GARNIER 18ML WHITE PLZ (553)</v>
          </cell>
          <cell r="I617">
            <v>52080</v>
          </cell>
          <cell r="J617" t="str">
            <v>UN</v>
          </cell>
          <cell r="K617">
            <v>45629</v>
          </cell>
        </row>
        <row r="618">
          <cell r="A618" t="str">
            <v>50800519350</v>
          </cell>
          <cell r="B618" t="str">
            <v>ZMFD</v>
          </cell>
          <cell r="C618">
            <v>45492</v>
          </cell>
          <cell r="D618" t="str">
            <v>Not delivered</v>
          </cell>
          <cell r="E618">
            <v>508005193</v>
          </cell>
          <cell r="F618">
            <v>50</v>
          </cell>
          <cell r="G618">
            <v>1342220</v>
          </cell>
          <cell r="H618" t="str">
            <v>LC-010:BTL CLR HTF COLBEIGE CFIT PTI 60C</v>
          </cell>
          <cell r="I618">
            <v>100000</v>
          </cell>
          <cell r="J618" t="str">
            <v>UN</v>
          </cell>
          <cell r="K618">
            <v>45629</v>
          </cell>
        </row>
        <row r="619">
          <cell r="A619" t="str">
            <v>50800519360</v>
          </cell>
          <cell r="B619" t="str">
            <v>ZMFD</v>
          </cell>
          <cell r="C619">
            <v>45492</v>
          </cell>
          <cell r="D619" t="str">
            <v>Not delivered</v>
          </cell>
          <cell r="E619">
            <v>508005193</v>
          </cell>
          <cell r="F619">
            <v>60</v>
          </cell>
          <cell r="G619">
            <v>1342221</v>
          </cell>
          <cell r="H619" t="str">
            <v>LC-010:CAP BEIGE WIP NAT PTI 12A</v>
          </cell>
          <cell r="I619">
            <v>100000</v>
          </cell>
          <cell r="J619" t="str">
            <v>UN</v>
          </cell>
          <cell r="K619">
            <v>45629</v>
          </cell>
        </row>
        <row r="620">
          <cell r="A620" t="str">
            <v>50800507310</v>
          </cell>
          <cell r="B620" t="str">
            <v>ZMFD</v>
          </cell>
          <cell r="C620">
            <v>45433</v>
          </cell>
          <cell r="D620" t="str">
            <v>Not delivered</v>
          </cell>
          <cell r="E620">
            <v>508005073</v>
          </cell>
          <cell r="F620">
            <v>10</v>
          </cell>
          <cell r="G620">
            <v>1169047</v>
          </cell>
          <cell r="H620" t="str">
            <v>LS-285:B V/SL P/1PS SLEV H/SL BLM PTI20R</v>
          </cell>
          <cell r="I620">
            <v>25536</v>
          </cell>
          <cell r="J620" t="str">
            <v>UN</v>
          </cell>
          <cell r="K620">
            <v>45629</v>
          </cell>
        </row>
        <row r="621">
          <cell r="A621" t="str">
            <v>50800507320</v>
          </cell>
          <cell r="B621" t="str">
            <v>ZMFD</v>
          </cell>
          <cell r="C621">
            <v>45433</v>
          </cell>
          <cell r="D621" t="str">
            <v>Not delivered</v>
          </cell>
          <cell r="E621">
            <v>508005073</v>
          </cell>
          <cell r="F621">
            <v>20</v>
          </cell>
          <cell r="G621">
            <v>1171170</v>
          </cell>
          <cell r="H621" t="str">
            <v>LS-285:CV TRANS LONG13 P/1PS VAR4 PTI40H</v>
          </cell>
          <cell r="I621">
            <v>25536</v>
          </cell>
          <cell r="J621" t="str">
            <v>UN</v>
          </cell>
          <cell r="K621">
            <v>45629</v>
          </cell>
        </row>
        <row r="622">
          <cell r="A622" t="str">
            <v>50714286010</v>
          </cell>
          <cell r="B622" t="str">
            <v>ZMTD</v>
          </cell>
          <cell r="C622">
            <v>45572</v>
          </cell>
          <cell r="D622" t="str">
            <v>Not delivered</v>
          </cell>
          <cell r="E622">
            <v>507142860</v>
          </cell>
          <cell r="F622">
            <v>10</v>
          </cell>
          <cell r="G622">
            <v>1376248</v>
          </cell>
          <cell r="H622" t="str">
            <v>FP-008:CVR L.PINK P/BLK MANDOM RV1 12A</v>
          </cell>
          <cell r="I622">
            <v>10000</v>
          </cell>
          <cell r="J622" t="str">
            <v>UN</v>
          </cell>
          <cell r="K622">
            <v>45630</v>
          </cell>
        </row>
        <row r="623">
          <cell r="A623" t="str">
            <v>50714286020</v>
          </cell>
          <cell r="B623" t="str">
            <v>ZMTD</v>
          </cell>
          <cell r="C623">
            <v>45572</v>
          </cell>
          <cell r="D623" t="str">
            <v>Not delivered</v>
          </cell>
          <cell r="E623">
            <v>507142860</v>
          </cell>
          <cell r="F623">
            <v>20</v>
          </cell>
          <cell r="G623">
            <v>1171179</v>
          </cell>
          <cell r="H623" t="str">
            <v>FP-008:BS INJ BLK NO DC MANDOM</v>
          </cell>
          <cell r="I623">
            <v>10000</v>
          </cell>
          <cell r="J623" t="str">
            <v>UN</v>
          </cell>
          <cell r="K623">
            <v>45630</v>
          </cell>
        </row>
        <row r="624">
          <cell r="A624" t="str">
            <v>50714286030</v>
          </cell>
          <cell r="B624" t="str">
            <v>ZMTD</v>
          </cell>
          <cell r="C624">
            <v>45572</v>
          </cell>
          <cell r="D624" t="str">
            <v>Not delivered</v>
          </cell>
          <cell r="E624">
            <v>507142860</v>
          </cell>
          <cell r="F624">
            <v>30</v>
          </cell>
          <cell r="G624">
            <v>1172027</v>
          </cell>
          <cell r="H624" t="str">
            <v>FP-008:SFT NAT L.HINGE W/LBL NO DC MDM</v>
          </cell>
          <cell r="I624">
            <v>10000</v>
          </cell>
          <cell r="J624" t="str">
            <v>UN</v>
          </cell>
          <cell r="K624">
            <v>45630</v>
          </cell>
        </row>
        <row r="625">
          <cell r="A625" t="str">
            <v>50714280710</v>
          </cell>
          <cell r="B625" t="str">
            <v>ZMTD</v>
          </cell>
          <cell r="C625">
            <v>45559</v>
          </cell>
          <cell r="D625" t="str">
            <v>Not delivered</v>
          </cell>
          <cell r="E625">
            <v>507142807</v>
          </cell>
          <cell r="F625">
            <v>10</v>
          </cell>
          <cell r="G625">
            <v>1419488</v>
          </cell>
          <cell r="H625" t="str">
            <v>CP-063R:SPOUT CAP WHITE LOREAL 12A</v>
          </cell>
          <cell r="I625">
            <v>1890000</v>
          </cell>
          <cell r="J625" t="str">
            <v>UN</v>
          </cell>
          <cell r="K625">
            <v>45630</v>
          </cell>
        </row>
        <row r="626">
          <cell r="A626" t="str">
            <v>50800527840</v>
          </cell>
          <cell r="B626" t="str">
            <v>ZMFD</v>
          </cell>
          <cell r="C626">
            <v>45544</v>
          </cell>
          <cell r="D626" t="str">
            <v>Not delivered</v>
          </cell>
          <cell r="E626">
            <v>508005278</v>
          </cell>
          <cell r="F626">
            <v>40</v>
          </cell>
          <cell r="G626">
            <v>1437039</v>
          </cell>
          <cell r="H626" t="str">
            <v>CM-290:1PC BS CV MT.BLK S/ EMBOS OMG 40C</v>
          </cell>
          <cell r="I626">
            <v>75000</v>
          </cell>
          <cell r="J626" t="str">
            <v>UN</v>
          </cell>
          <cell r="K626">
            <v>45630</v>
          </cell>
        </row>
        <row r="627">
          <cell r="A627" t="str">
            <v>50800527850</v>
          </cell>
          <cell r="B627" t="str">
            <v>ZMFD</v>
          </cell>
          <cell r="C627">
            <v>45544</v>
          </cell>
          <cell r="D627" t="str">
            <v>Not delivered</v>
          </cell>
          <cell r="E627">
            <v>508005278</v>
          </cell>
          <cell r="F627">
            <v>50</v>
          </cell>
          <cell r="G627">
            <v>1437140</v>
          </cell>
          <cell r="H627" t="str">
            <v>CM-290:ENGINE CV RED, BS BLK OMG PTI 12A</v>
          </cell>
          <cell r="I627">
            <v>75000</v>
          </cell>
          <cell r="J627" t="str">
            <v>UN</v>
          </cell>
          <cell r="K627">
            <v>45630</v>
          </cell>
        </row>
        <row r="628">
          <cell r="A628" t="str">
            <v>50800527860</v>
          </cell>
          <cell r="B628" t="str">
            <v>ZMFD</v>
          </cell>
          <cell r="C628">
            <v>45544</v>
          </cell>
          <cell r="D628" t="str">
            <v>Not delivered</v>
          </cell>
          <cell r="E628">
            <v>508005278</v>
          </cell>
          <cell r="F628">
            <v>60</v>
          </cell>
          <cell r="G628">
            <v>1437141</v>
          </cell>
          <cell r="H628" t="str">
            <v>CM-290:RING BLACK OMG PTI 12A</v>
          </cell>
          <cell r="I628">
            <v>75000</v>
          </cell>
          <cell r="J628" t="str">
            <v>UN</v>
          </cell>
          <cell r="K628">
            <v>45630</v>
          </cell>
        </row>
        <row r="629">
          <cell r="A629" t="str">
            <v>50800525150</v>
          </cell>
          <cell r="B629" t="str">
            <v>ZMFD</v>
          </cell>
          <cell r="C629">
            <v>45511</v>
          </cell>
          <cell r="D629" t="str">
            <v>Not delivered</v>
          </cell>
          <cell r="E629">
            <v>508005251</v>
          </cell>
          <cell r="F629">
            <v>50</v>
          </cell>
          <cell r="G629">
            <v>1168132</v>
          </cell>
          <cell r="H629" t="str">
            <v>LS-285:BS WHT NO DC WARDAH</v>
          </cell>
          <cell r="I629">
            <v>75000</v>
          </cell>
          <cell r="J629" t="str">
            <v>UN</v>
          </cell>
          <cell r="K629">
            <v>45630</v>
          </cell>
        </row>
        <row r="630">
          <cell r="A630" t="str">
            <v>50800525160</v>
          </cell>
          <cell r="B630" t="str">
            <v>ZMFD</v>
          </cell>
          <cell r="C630">
            <v>45511</v>
          </cell>
          <cell r="D630" t="str">
            <v>Not delivered</v>
          </cell>
          <cell r="E630">
            <v>508005251</v>
          </cell>
          <cell r="F630">
            <v>60</v>
          </cell>
          <cell r="G630">
            <v>1421510</v>
          </cell>
          <cell r="H630" t="str">
            <v>LS-285:CV PINK P/WHT UV P.BLOSOM PTI 30O</v>
          </cell>
          <cell r="I630">
            <v>75000</v>
          </cell>
          <cell r="J630" t="str">
            <v>UN</v>
          </cell>
          <cell r="K630">
            <v>45630</v>
          </cell>
        </row>
        <row r="631">
          <cell r="A631" t="str">
            <v>50800523550</v>
          </cell>
          <cell r="B631" t="str">
            <v>ZMFD</v>
          </cell>
          <cell r="C631">
            <v>45505</v>
          </cell>
          <cell r="D631" t="str">
            <v>Not delivered</v>
          </cell>
          <cell r="E631">
            <v>508005235</v>
          </cell>
          <cell r="F631">
            <v>50</v>
          </cell>
          <cell r="G631">
            <v>1332995</v>
          </cell>
          <cell r="H631" t="str">
            <v>LC-008:CAP VM SLV WIP NAT EMLC PTI 20F</v>
          </cell>
          <cell r="I631">
            <v>100000</v>
          </cell>
          <cell r="J631" t="str">
            <v>UN</v>
          </cell>
          <cell r="K631">
            <v>45630</v>
          </cell>
        </row>
        <row r="632">
          <cell r="A632" t="str">
            <v>50800523560</v>
          </cell>
          <cell r="B632" t="str">
            <v>ZMFD</v>
          </cell>
          <cell r="C632">
            <v>45505</v>
          </cell>
          <cell r="D632" t="str">
            <v>Not delivered</v>
          </cell>
          <cell r="E632">
            <v>508005235</v>
          </cell>
          <cell r="F632">
            <v>60</v>
          </cell>
          <cell r="G632">
            <v>1434959</v>
          </cell>
          <cell r="H632" t="str">
            <v>LC-008:BTL CLR (PCTG) P/WHT EMLC PTI 60B</v>
          </cell>
          <cell r="I632">
            <v>100000</v>
          </cell>
          <cell r="J632" t="str">
            <v>UN</v>
          </cell>
          <cell r="K632">
            <v>45630</v>
          </cell>
        </row>
        <row r="633">
          <cell r="A633" t="str">
            <v>50800515930</v>
          </cell>
          <cell r="B633" t="str">
            <v>ZMFD</v>
          </cell>
          <cell r="C633">
            <v>45475</v>
          </cell>
          <cell r="D633" t="str">
            <v>Not delivered</v>
          </cell>
          <cell r="E633">
            <v>508005159</v>
          </cell>
          <cell r="F633">
            <v>30</v>
          </cell>
          <cell r="G633">
            <v>1285116</v>
          </cell>
          <cell r="H633" t="str">
            <v>CM-292:CV/BS MTBLK LENS S/SLV MO PTI 40C</v>
          </cell>
          <cell r="I633">
            <v>75000</v>
          </cell>
          <cell r="J633" t="str">
            <v>UN</v>
          </cell>
          <cell r="K633">
            <v>45630</v>
          </cell>
        </row>
        <row r="634">
          <cell r="A634" t="str">
            <v>50800513940</v>
          </cell>
          <cell r="B634" t="str">
            <v>ZMFD</v>
          </cell>
          <cell r="C634">
            <v>45462</v>
          </cell>
          <cell r="D634" t="str">
            <v>Not delivered</v>
          </cell>
          <cell r="E634">
            <v>508005139</v>
          </cell>
          <cell r="F634">
            <v>40</v>
          </cell>
          <cell r="G634">
            <v>1437221</v>
          </cell>
          <cell r="H634" t="str">
            <v>CM-253:CV BS MTCORL 01 P/CCM RV2 PTI40H</v>
          </cell>
          <cell r="I634">
            <v>15000</v>
          </cell>
          <cell r="J634" t="str">
            <v>UN</v>
          </cell>
          <cell r="K634">
            <v>45630</v>
          </cell>
        </row>
        <row r="635">
          <cell r="A635" t="str">
            <v>508005067110</v>
          </cell>
          <cell r="B635" t="str">
            <v>ZMFD</v>
          </cell>
          <cell r="C635">
            <v>45433</v>
          </cell>
          <cell r="D635" t="str">
            <v>Not delivered</v>
          </cell>
          <cell r="E635">
            <v>508005067</v>
          </cell>
          <cell r="F635">
            <v>110</v>
          </cell>
          <cell r="G635">
            <v>1255664</v>
          </cell>
          <cell r="H635" t="str">
            <v>LC-002:BTL MT VAR14 P/WRDH B.MARK PTI40H</v>
          </cell>
          <cell r="I635">
            <v>25000</v>
          </cell>
          <cell r="J635" t="str">
            <v>UN</v>
          </cell>
          <cell r="K635">
            <v>45630</v>
          </cell>
        </row>
        <row r="636">
          <cell r="A636" t="str">
            <v>508005067120</v>
          </cell>
          <cell r="B636" t="str">
            <v>ZMFD</v>
          </cell>
          <cell r="C636">
            <v>45433</v>
          </cell>
          <cell r="D636" t="str">
            <v>Not delivered</v>
          </cell>
          <cell r="E636">
            <v>508005067</v>
          </cell>
          <cell r="F636">
            <v>120</v>
          </cell>
          <cell r="G636">
            <v>1264032</v>
          </cell>
          <cell r="H636" t="str">
            <v>LC-002:CP S/MT VAR14 STM-WHT WNAT PTI40D</v>
          </cell>
          <cell r="I636">
            <v>25000</v>
          </cell>
          <cell r="J636" t="str">
            <v>UN</v>
          </cell>
          <cell r="K636">
            <v>45630</v>
          </cell>
        </row>
        <row r="637">
          <cell r="A637" t="str">
            <v>50800531410</v>
          </cell>
          <cell r="B637" t="str">
            <v>ZMFD</v>
          </cell>
          <cell r="C637">
            <v>45572</v>
          </cell>
          <cell r="D637" t="str">
            <v>Not delivered</v>
          </cell>
          <cell r="E637">
            <v>508005314</v>
          </cell>
          <cell r="F637">
            <v>10</v>
          </cell>
          <cell r="G637">
            <v>1414413</v>
          </cell>
          <cell r="H637" t="str">
            <v>CM-216:S/RED INFAILLIBLE  L'OREAL US</v>
          </cell>
          <cell r="I637">
            <v>300000</v>
          </cell>
          <cell r="J637" t="str">
            <v>UN</v>
          </cell>
          <cell r="K637">
            <v>45631</v>
          </cell>
        </row>
        <row r="638">
          <cell r="A638" t="str">
            <v>50714279210</v>
          </cell>
          <cell r="B638" t="str">
            <v>ZMTD</v>
          </cell>
          <cell r="C638">
            <v>45555</v>
          </cell>
          <cell r="D638" t="str">
            <v>Not delivered</v>
          </cell>
          <cell r="E638">
            <v>507142792</v>
          </cell>
          <cell r="F638">
            <v>10</v>
          </cell>
          <cell r="G638">
            <v>1406600</v>
          </cell>
          <cell r="H638" t="str">
            <v>CM-310:BLACK M086 CANNAGE S/SLV UV MT</v>
          </cell>
          <cell r="I638">
            <v>39000</v>
          </cell>
          <cell r="J638" t="str">
            <v>UN</v>
          </cell>
          <cell r="K638">
            <v>45631</v>
          </cell>
        </row>
        <row r="639">
          <cell r="A639" t="str">
            <v>50800527230</v>
          </cell>
          <cell r="B639" t="str">
            <v>ZMFD</v>
          </cell>
          <cell r="C639">
            <v>45538</v>
          </cell>
          <cell r="D639" t="str">
            <v>Not delivered</v>
          </cell>
          <cell r="E639">
            <v>508005272</v>
          </cell>
          <cell r="F639">
            <v>30</v>
          </cell>
          <cell r="G639">
            <v>1411899</v>
          </cell>
          <cell r="H639" t="str">
            <v>PT-100:BS/INS GREEN P/WHT KAHF PTI 60B</v>
          </cell>
          <cell r="I639">
            <v>180000</v>
          </cell>
          <cell r="J639" t="str">
            <v>UN</v>
          </cell>
          <cell r="K639">
            <v>45631</v>
          </cell>
        </row>
        <row r="640">
          <cell r="A640" t="str">
            <v>50800527240</v>
          </cell>
          <cell r="B640" t="str">
            <v>ZMFD</v>
          </cell>
          <cell r="C640">
            <v>45538</v>
          </cell>
          <cell r="D640" t="str">
            <v>Not delivered</v>
          </cell>
          <cell r="E640">
            <v>508005272</v>
          </cell>
          <cell r="F640">
            <v>40</v>
          </cell>
          <cell r="G640">
            <v>1411898</v>
          </cell>
          <cell r="H640" t="str">
            <v>PT-100:CVR MT.GREEN EMBOS KAHF PTI 40D</v>
          </cell>
          <cell r="I640">
            <v>180000</v>
          </cell>
          <cell r="J640" t="str">
            <v>UN</v>
          </cell>
          <cell r="K640">
            <v>45631</v>
          </cell>
        </row>
        <row r="641">
          <cell r="A641" t="str">
            <v>50800525850</v>
          </cell>
          <cell r="B641" t="str">
            <v>ZMFD</v>
          </cell>
          <cell r="C641">
            <v>45523</v>
          </cell>
          <cell r="D641" t="str">
            <v>Not delivered</v>
          </cell>
          <cell r="E641">
            <v>508005258</v>
          </cell>
          <cell r="F641">
            <v>50</v>
          </cell>
          <cell r="G641">
            <v>1168132</v>
          </cell>
          <cell r="H641" t="str">
            <v>LS-285:BS WHT NO DC WARDAH</v>
          </cell>
          <cell r="I641">
            <v>100000</v>
          </cell>
          <cell r="J641" t="str">
            <v>UN</v>
          </cell>
          <cell r="K641">
            <v>45631</v>
          </cell>
        </row>
        <row r="642">
          <cell r="A642" t="str">
            <v>50800525860</v>
          </cell>
          <cell r="B642" t="str">
            <v>ZMFD</v>
          </cell>
          <cell r="C642">
            <v>45523</v>
          </cell>
          <cell r="D642" t="str">
            <v>Not delivered</v>
          </cell>
          <cell r="E642">
            <v>508005258</v>
          </cell>
          <cell r="F642">
            <v>60</v>
          </cell>
          <cell r="G642">
            <v>1421418</v>
          </cell>
          <cell r="H642" t="str">
            <v>LS-285:CV RED P/WHT UV STRAWBERY PTI 30O</v>
          </cell>
          <cell r="I642">
            <v>100000</v>
          </cell>
          <cell r="J642" t="str">
            <v>UN</v>
          </cell>
          <cell r="K642">
            <v>45631</v>
          </cell>
        </row>
        <row r="643">
          <cell r="A643" t="str">
            <v>50800525420</v>
          </cell>
          <cell r="B643" t="str">
            <v>ZMFD</v>
          </cell>
          <cell r="C643">
            <v>45516</v>
          </cell>
          <cell r="D643" t="str">
            <v>Not delivered</v>
          </cell>
          <cell r="E643">
            <v>508005254</v>
          </cell>
          <cell r="F643">
            <v>20</v>
          </cell>
          <cell r="G643">
            <v>1436664</v>
          </cell>
          <cell r="H643" t="str">
            <v>CM-253:CV CLR BS M.PINK P/C.LIT RV1 40H</v>
          </cell>
          <cell r="I643">
            <v>25000</v>
          </cell>
          <cell r="J643" t="str">
            <v>UN</v>
          </cell>
          <cell r="K643">
            <v>45631</v>
          </cell>
        </row>
        <row r="644">
          <cell r="A644" t="str">
            <v>50800524420</v>
          </cell>
          <cell r="B644" t="str">
            <v>ZMFD</v>
          </cell>
          <cell r="C644">
            <v>45510</v>
          </cell>
          <cell r="D644" t="str">
            <v>Not delivered</v>
          </cell>
          <cell r="E644">
            <v>508005244</v>
          </cell>
          <cell r="F644">
            <v>20</v>
          </cell>
          <cell r="G644">
            <v>1436831</v>
          </cell>
          <cell r="H644" t="str">
            <v>CM-133:CV/BS MTLC GREUV S/SLV RV1 PTI30C</v>
          </cell>
          <cell r="I644">
            <v>10080</v>
          </cell>
          <cell r="J644" t="str">
            <v>UN</v>
          </cell>
          <cell r="K644">
            <v>45631</v>
          </cell>
        </row>
        <row r="645">
          <cell r="A645" t="str">
            <v>50800524530</v>
          </cell>
          <cell r="B645" t="str">
            <v>ZMFD</v>
          </cell>
          <cell r="C645">
            <v>45510</v>
          </cell>
          <cell r="D645" t="str">
            <v>Not delivered</v>
          </cell>
          <cell r="E645">
            <v>508005245</v>
          </cell>
          <cell r="F645">
            <v>30</v>
          </cell>
          <cell r="G645">
            <v>1447138</v>
          </cell>
          <cell r="H645" t="str">
            <v>CM-133:CV BS MT.GRN UV DP+S/WRDH RV1 30T</v>
          </cell>
          <cell r="I645">
            <v>30240</v>
          </cell>
          <cell r="J645" t="str">
            <v>UN</v>
          </cell>
          <cell r="K645">
            <v>45631</v>
          </cell>
        </row>
        <row r="646">
          <cell r="A646" t="str">
            <v>50800524620</v>
          </cell>
          <cell r="B646" t="str">
            <v>ZMFD</v>
          </cell>
          <cell r="C646">
            <v>45510</v>
          </cell>
          <cell r="D646" t="str">
            <v>Not delivered</v>
          </cell>
          <cell r="E646">
            <v>508005246</v>
          </cell>
          <cell r="F646">
            <v>20</v>
          </cell>
          <cell r="G646">
            <v>1408740</v>
          </cell>
          <cell r="H646" t="str">
            <v>PT-097B:BDSR.2 BLU HOUS WHT TRNS PTI12A</v>
          </cell>
          <cell r="I646">
            <v>330000</v>
          </cell>
          <cell r="J646" t="str">
            <v>UN</v>
          </cell>
          <cell r="K646">
            <v>45631</v>
          </cell>
        </row>
        <row r="647">
          <cell r="A647" t="str">
            <v>50800524640</v>
          </cell>
          <cell r="B647" t="str">
            <v>ZMFD</v>
          </cell>
          <cell r="C647">
            <v>45510</v>
          </cell>
          <cell r="D647" t="str">
            <v>Not delivered</v>
          </cell>
          <cell r="E647">
            <v>508005246</v>
          </cell>
          <cell r="F647">
            <v>40</v>
          </cell>
          <cell r="G647">
            <v>1408739</v>
          </cell>
          <cell r="H647" t="str">
            <v>PT-097B:CAP SR.2 BLUE TRANS PTI 12A</v>
          </cell>
          <cell r="I647">
            <v>330000</v>
          </cell>
          <cell r="J647" t="str">
            <v>UN</v>
          </cell>
          <cell r="K647">
            <v>45631</v>
          </cell>
        </row>
        <row r="648">
          <cell r="A648" t="str">
            <v>50800524720</v>
          </cell>
          <cell r="B648" t="str">
            <v>ZMFD</v>
          </cell>
          <cell r="C648">
            <v>45510</v>
          </cell>
          <cell r="D648" t="str">
            <v>Not delivered</v>
          </cell>
          <cell r="E648">
            <v>508005247</v>
          </cell>
          <cell r="F648">
            <v>20</v>
          </cell>
          <cell r="G648">
            <v>1361170</v>
          </cell>
          <cell r="H648" t="str">
            <v>PT-097:BODY BLACK HOUSE WHT TRANS PTI12A</v>
          </cell>
          <cell r="I648">
            <v>210000</v>
          </cell>
          <cell r="J648" t="str">
            <v>UN</v>
          </cell>
          <cell r="K648">
            <v>45631</v>
          </cell>
        </row>
        <row r="649">
          <cell r="A649" t="str">
            <v>50800524740</v>
          </cell>
          <cell r="B649" t="str">
            <v>ZMFD</v>
          </cell>
          <cell r="C649">
            <v>45510</v>
          </cell>
          <cell r="D649" t="str">
            <v>Not delivered</v>
          </cell>
          <cell r="E649">
            <v>508005247</v>
          </cell>
          <cell r="F649">
            <v>40</v>
          </cell>
          <cell r="G649">
            <v>1361175</v>
          </cell>
          <cell r="H649" t="str">
            <v>PT-097:CAP BLACK TRANS PTI 12A</v>
          </cell>
          <cell r="I649">
            <v>210000</v>
          </cell>
          <cell r="J649" t="str">
            <v>UN</v>
          </cell>
          <cell r="K649">
            <v>45631</v>
          </cell>
        </row>
        <row r="650">
          <cell r="A650" t="str">
            <v>50800524830</v>
          </cell>
          <cell r="B650" t="str">
            <v>ZMFD</v>
          </cell>
          <cell r="C650">
            <v>45510</v>
          </cell>
          <cell r="D650" t="str">
            <v>Not delivered</v>
          </cell>
          <cell r="E650">
            <v>508005248</v>
          </cell>
          <cell r="F650">
            <v>30</v>
          </cell>
          <cell r="G650">
            <v>1367372</v>
          </cell>
          <cell r="H650" t="str">
            <v>PT-097:BODY GREN HOUSE WHT TRANS PTI 12A</v>
          </cell>
          <cell r="I650">
            <v>260000</v>
          </cell>
          <cell r="J650" t="str">
            <v>UN</v>
          </cell>
          <cell r="K650">
            <v>45631</v>
          </cell>
        </row>
        <row r="651">
          <cell r="A651" t="str">
            <v>50800524860</v>
          </cell>
          <cell r="B651" t="str">
            <v>ZMFD</v>
          </cell>
          <cell r="C651">
            <v>45510</v>
          </cell>
          <cell r="D651" t="str">
            <v>Not delivered</v>
          </cell>
          <cell r="E651">
            <v>508005248</v>
          </cell>
          <cell r="F651">
            <v>60</v>
          </cell>
          <cell r="G651">
            <v>1367370</v>
          </cell>
          <cell r="H651" t="str">
            <v>PT-097:CAP GREN TRANS PTI 12A</v>
          </cell>
          <cell r="I651">
            <v>260000</v>
          </cell>
          <cell r="J651" t="str">
            <v>UN</v>
          </cell>
          <cell r="K651">
            <v>45631</v>
          </cell>
        </row>
        <row r="652">
          <cell r="A652" t="str">
            <v>50714254810</v>
          </cell>
          <cell r="B652" t="str">
            <v>ZMTD</v>
          </cell>
          <cell r="C652">
            <v>45492</v>
          </cell>
          <cell r="D652" t="str">
            <v>Not delivered</v>
          </cell>
          <cell r="E652">
            <v>507142548</v>
          </cell>
          <cell r="F652">
            <v>10</v>
          </cell>
          <cell r="G652">
            <v>1182817</v>
          </cell>
          <cell r="H652" t="str">
            <v>FP-014:JAR P/BLACK ALMAY</v>
          </cell>
          <cell r="I652">
            <v>25056</v>
          </cell>
          <cell r="J652" t="str">
            <v>UN</v>
          </cell>
          <cell r="K652">
            <v>45631</v>
          </cell>
        </row>
        <row r="653">
          <cell r="A653" t="str">
            <v>50714254820</v>
          </cell>
          <cell r="B653" t="str">
            <v>ZMTD</v>
          </cell>
          <cell r="C653">
            <v>45492</v>
          </cell>
          <cell r="D653" t="str">
            <v>Not delivered</v>
          </cell>
          <cell r="E653">
            <v>507142548</v>
          </cell>
          <cell r="F653">
            <v>20</v>
          </cell>
          <cell r="G653">
            <v>1171483</v>
          </cell>
          <cell r="H653" t="str">
            <v>FP-014:COVER GREY MATTE IN MOLD REVLON</v>
          </cell>
          <cell r="I653">
            <v>34992</v>
          </cell>
          <cell r="J653" t="str">
            <v>UN</v>
          </cell>
          <cell r="K653">
            <v>45631</v>
          </cell>
        </row>
        <row r="654">
          <cell r="A654" t="str">
            <v>50714254830</v>
          </cell>
          <cell r="B654" t="str">
            <v>ZMTD</v>
          </cell>
          <cell r="C654">
            <v>45492</v>
          </cell>
          <cell r="D654" t="str">
            <v>Not delivered</v>
          </cell>
          <cell r="E654">
            <v>507142548</v>
          </cell>
          <cell r="F654">
            <v>30</v>
          </cell>
          <cell r="G654">
            <v>1240862</v>
          </cell>
          <cell r="H654" t="str">
            <v>FP-014 SIFTER NAT W/ORDERED LABEL REVLON</v>
          </cell>
          <cell r="I654">
            <v>38750</v>
          </cell>
          <cell r="J654" t="str">
            <v>UN</v>
          </cell>
          <cell r="K654">
            <v>45631</v>
          </cell>
        </row>
        <row r="655">
          <cell r="A655" t="str">
            <v>50800519250</v>
          </cell>
          <cell r="B655" t="str">
            <v>ZMFD</v>
          </cell>
          <cell r="C655">
            <v>45492</v>
          </cell>
          <cell r="D655" t="str">
            <v>Not delivered</v>
          </cell>
          <cell r="E655">
            <v>508005192</v>
          </cell>
          <cell r="F655">
            <v>50</v>
          </cell>
          <cell r="G655">
            <v>1430093</v>
          </cell>
          <cell r="H655" t="str">
            <v>LS-285:CV MT.TR BLUE P/SHERCLEAR PTI 40H</v>
          </cell>
          <cell r="I655">
            <v>25000</v>
          </cell>
          <cell r="J655" t="str">
            <v>UN</v>
          </cell>
          <cell r="K655">
            <v>45631</v>
          </cell>
        </row>
        <row r="656">
          <cell r="A656" t="str">
            <v>50800519260</v>
          </cell>
          <cell r="B656" t="str">
            <v>ZMFD</v>
          </cell>
          <cell r="C656">
            <v>45492</v>
          </cell>
          <cell r="D656" t="str">
            <v>Not delivered</v>
          </cell>
          <cell r="E656">
            <v>508005192</v>
          </cell>
          <cell r="F656">
            <v>60</v>
          </cell>
          <cell r="G656">
            <v>1430094</v>
          </cell>
          <cell r="H656" t="str">
            <v>LS-285:BS BLUE NO DC WARDAH PTI 12A</v>
          </cell>
          <cell r="I656">
            <v>25000</v>
          </cell>
          <cell r="J656" t="str">
            <v>UN</v>
          </cell>
          <cell r="K656">
            <v>45631</v>
          </cell>
        </row>
        <row r="657">
          <cell r="A657" t="str">
            <v>50800517150</v>
          </cell>
          <cell r="B657" t="str">
            <v>ZMFD</v>
          </cell>
          <cell r="C657">
            <v>45481</v>
          </cell>
          <cell r="D657" t="str">
            <v>Not delivered</v>
          </cell>
          <cell r="E657">
            <v>508005171</v>
          </cell>
          <cell r="F657">
            <v>50</v>
          </cell>
          <cell r="G657">
            <v>1375595</v>
          </cell>
          <cell r="H657" t="str">
            <v>LC-009:BTL/INNER CLEAR P/OMG PTIPT 60B</v>
          </cell>
          <cell r="I657">
            <v>486000</v>
          </cell>
          <cell r="J657" t="str">
            <v>UN</v>
          </cell>
          <cell r="K657">
            <v>45631</v>
          </cell>
        </row>
        <row r="658">
          <cell r="A658" t="str">
            <v>50800517160</v>
          </cell>
          <cell r="B658" t="str">
            <v>ZMFD</v>
          </cell>
          <cell r="C658">
            <v>45481</v>
          </cell>
          <cell r="D658" t="str">
            <v>Not delivered</v>
          </cell>
          <cell r="E658">
            <v>508005171</v>
          </cell>
          <cell r="F658">
            <v>60</v>
          </cell>
          <cell r="G658">
            <v>1375593</v>
          </cell>
          <cell r="H658" t="str">
            <v>LC-009:CAP REDTRANS WIP S/OMG PTIPT 60B</v>
          </cell>
          <cell r="I658">
            <v>486000</v>
          </cell>
          <cell r="J658" t="str">
            <v>UN</v>
          </cell>
          <cell r="K658">
            <v>45631</v>
          </cell>
        </row>
        <row r="659">
          <cell r="A659" t="str">
            <v>50800517250</v>
          </cell>
          <cell r="B659" t="str">
            <v>ZMFD</v>
          </cell>
          <cell r="C659">
            <v>45481</v>
          </cell>
          <cell r="D659" t="str">
            <v>Not delivered</v>
          </cell>
          <cell r="E659">
            <v>508005172</v>
          </cell>
          <cell r="F659">
            <v>50</v>
          </cell>
          <cell r="G659">
            <v>1417990</v>
          </cell>
          <cell r="H659" t="str">
            <v>LC-009:BTL #2#3 INNER CLR P/OMG PTIPT60B</v>
          </cell>
          <cell r="I659">
            <v>1200000</v>
          </cell>
          <cell r="J659" t="str">
            <v>UN</v>
          </cell>
          <cell r="K659">
            <v>45631</v>
          </cell>
        </row>
        <row r="660">
          <cell r="A660" t="str">
            <v>50800517260</v>
          </cell>
          <cell r="B660" t="str">
            <v>ZMFD</v>
          </cell>
          <cell r="C660">
            <v>45481</v>
          </cell>
          <cell r="D660" t="str">
            <v>Not delivered</v>
          </cell>
          <cell r="E660">
            <v>508005172</v>
          </cell>
          <cell r="F660">
            <v>60</v>
          </cell>
          <cell r="G660">
            <v>1417978</v>
          </cell>
          <cell r="H660" t="str">
            <v>LC-009:CAP #2#3 REDTR WIP S/OMG PTIPT60B</v>
          </cell>
          <cell r="I660">
            <v>1200000</v>
          </cell>
          <cell r="J660" t="str">
            <v>UN</v>
          </cell>
          <cell r="K660">
            <v>45631</v>
          </cell>
        </row>
        <row r="661">
          <cell r="A661" t="str">
            <v>50800510010</v>
          </cell>
          <cell r="B661" t="str">
            <v>ZMFD</v>
          </cell>
          <cell r="C661">
            <v>45449</v>
          </cell>
          <cell r="D661" t="str">
            <v>Not delivered</v>
          </cell>
          <cell r="E661">
            <v>508005100</v>
          </cell>
          <cell r="F661">
            <v>10</v>
          </cell>
          <cell r="G661">
            <v>1389078</v>
          </cell>
          <cell r="H661" t="str">
            <v>CM-294:GODET SUBLIM SPICE G0S5-02-0092</v>
          </cell>
          <cell r="I661">
            <v>10472</v>
          </cell>
          <cell r="J661" t="str">
            <v>UN</v>
          </cell>
          <cell r="K661">
            <v>45631</v>
          </cell>
        </row>
        <row r="662">
          <cell r="A662" t="str">
            <v>50800510310</v>
          </cell>
          <cell r="B662" t="str">
            <v>ZMFD</v>
          </cell>
          <cell r="C662">
            <v>45449</v>
          </cell>
          <cell r="D662" t="str">
            <v>Not delivered</v>
          </cell>
          <cell r="E662">
            <v>508005103</v>
          </cell>
          <cell r="F662">
            <v>10</v>
          </cell>
          <cell r="G662">
            <v>1389068</v>
          </cell>
          <cell r="H662" t="str">
            <v>CM-294:GODET PRAC. DREAMER G0S8-01-0092</v>
          </cell>
          <cell r="I662">
            <v>10472</v>
          </cell>
          <cell r="J662" t="str">
            <v>UN</v>
          </cell>
          <cell r="K662">
            <v>45631</v>
          </cell>
        </row>
        <row r="663">
          <cell r="A663" t="str">
            <v>50800510410</v>
          </cell>
          <cell r="B663" t="str">
            <v>ZMFD</v>
          </cell>
          <cell r="C663">
            <v>45449</v>
          </cell>
          <cell r="D663" t="str">
            <v>Not delivered</v>
          </cell>
          <cell r="E663">
            <v>508005104</v>
          </cell>
          <cell r="F663">
            <v>10</v>
          </cell>
          <cell r="G663">
            <v>1389672</v>
          </cell>
          <cell r="H663" t="str">
            <v>CM-294:GODET HUMBLE LEGEND G0S9-01-0092</v>
          </cell>
          <cell r="I663">
            <v>10472</v>
          </cell>
          <cell r="J663" t="str">
            <v>UN</v>
          </cell>
          <cell r="K663">
            <v>45631</v>
          </cell>
        </row>
        <row r="664">
          <cell r="A664" t="str">
            <v>50800504010</v>
          </cell>
          <cell r="B664" t="str">
            <v>ZMFD</v>
          </cell>
          <cell r="C664">
            <v>45427</v>
          </cell>
          <cell r="D664" t="str">
            <v>Not delivered</v>
          </cell>
          <cell r="E664">
            <v>508005040</v>
          </cell>
          <cell r="F664">
            <v>10</v>
          </cell>
          <cell r="G664">
            <v>1286393</v>
          </cell>
          <cell r="H664" t="str">
            <v>CM-300:BLUE UV S/SLV DIOR GALASHN PEPSPE</v>
          </cell>
          <cell r="I664">
            <v>62720</v>
          </cell>
          <cell r="J664" t="str">
            <v>UN</v>
          </cell>
          <cell r="K664">
            <v>45631</v>
          </cell>
        </row>
        <row r="665">
          <cell r="A665" t="str">
            <v>50800497810</v>
          </cell>
          <cell r="B665" t="str">
            <v>ZMFD</v>
          </cell>
          <cell r="C665">
            <v>45401</v>
          </cell>
          <cell r="D665" t="str">
            <v>Not delivered</v>
          </cell>
          <cell r="E665">
            <v>508004978</v>
          </cell>
          <cell r="F665">
            <v>10</v>
          </cell>
          <cell r="G665">
            <v>1120086</v>
          </cell>
          <cell r="H665" t="str">
            <v>CM-290:ENGINE WHITE KF SKIN 12A</v>
          </cell>
          <cell r="I665">
            <v>10000</v>
          </cell>
          <cell r="J665" t="str">
            <v>UN</v>
          </cell>
          <cell r="K665">
            <v>45631</v>
          </cell>
        </row>
        <row r="666">
          <cell r="A666" t="str">
            <v>50800497820</v>
          </cell>
          <cell r="B666" t="str">
            <v>ZMFD</v>
          </cell>
          <cell r="C666">
            <v>45401</v>
          </cell>
          <cell r="D666" t="str">
            <v>Not delivered</v>
          </cell>
          <cell r="E666">
            <v>508004978</v>
          </cell>
          <cell r="F666">
            <v>20</v>
          </cell>
          <cell r="G666">
            <v>1120087</v>
          </cell>
          <cell r="H666" t="str">
            <v>CM-290:RING WHITE KF SKIN 12A</v>
          </cell>
          <cell r="I666">
            <v>10000</v>
          </cell>
          <cell r="J666" t="str">
            <v>UN</v>
          </cell>
          <cell r="K666">
            <v>45631</v>
          </cell>
        </row>
        <row r="667">
          <cell r="A667" t="str">
            <v>50800497830</v>
          </cell>
          <cell r="B667" t="str">
            <v>ZMFD</v>
          </cell>
          <cell r="C667">
            <v>45401</v>
          </cell>
          <cell r="D667" t="str">
            <v>Not delivered</v>
          </cell>
          <cell r="E667">
            <v>508004978</v>
          </cell>
          <cell r="F667">
            <v>30</v>
          </cell>
          <cell r="G667">
            <v>1187970</v>
          </cell>
          <cell r="H667" t="str">
            <v>CM-290:BS CVR WHT P/LGHT NAT  MDALA50B</v>
          </cell>
          <cell r="I667">
            <v>10000</v>
          </cell>
          <cell r="J667" t="str">
            <v>UN</v>
          </cell>
          <cell r="K667">
            <v>45631</v>
          </cell>
        </row>
        <row r="668">
          <cell r="A668" t="str">
            <v>50800530810</v>
          </cell>
          <cell r="B668" t="str">
            <v>ZMFD</v>
          </cell>
          <cell r="C668">
            <v>45569</v>
          </cell>
          <cell r="D668" t="str">
            <v>Not delivered</v>
          </cell>
          <cell r="E668">
            <v>508005308</v>
          </cell>
          <cell r="F668">
            <v>10</v>
          </cell>
          <cell r="G668">
            <v>1255662</v>
          </cell>
          <cell r="H668" t="str">
            <v>LC-002:BTL MT VAR12 P/WRDH B.MARK PTI40H</v>
          </cell>
          <cell r="I668">
            <v>25000</v>
          </cell>
          <cell r="J668" t="str">
            <v>UN</v>
          </cell>
          <cell r="K668">
            <v>45632</v>
          </cell>
        </row>
        <row r="669">
          <cell r="A669" t="str">
            <v>50800530820</v>
          </cell>
          <cell r="B669" t="str">
            <v>ZMFD</v>
          </cell>
          <cell r="C669">
            <v>45569</v>
          </cell>
          <cell r="D669" t="str">
            <v>Not delivered</v>
          </cell>
          <cell r="E669">
            <v>508005308</v>
          </cell>
          <cell r="F669">
            <v>20</v>
          </cell>
          <cell r="G669">
            <v>1174820</v>
          </cell>
          <cell r="H669" t="str">
            <v>LC-002:CP S/MT VAR12 STM-WHT WNAT PTI40D</v>
          </cell>
          <cell r="I669">
            <v>25000</v>
          </cell>
          <cell r="J669" t="str">
            <v>UN</v>
          </cell>
          <cell r="K669">
            <v>45632</v>
          </cell>
        </row>
        <row r="670">
          <cell r="A670" t="str">
            <v>50714284410</v>
          </cell>
          <cell r="B670" t="str">
            <v>ZMTD</v>
          </cell>
          <cell r="C670">
            <v>45566</v>
          </cell>
          <cell r="D670" t="str">
            <v>Not delivered</v>
          </cell>
          <cell r="E670">
            <v>507142844</v>
          </cell>
          <cell r="F670">
            <v>10</v>
          </cell>
          <cell r="G670">
            <v>1404888</v>
          </cell>
          <cell r="H670" t="str">
            <v>LS-091:BS MGNTA P/SHEER COLOR ROHTO 60B</v>
          </cell>
          <cell r="I670">
            <v>29640</v>
          </cell>
          <cell r="J670" t="str">
            <v>UN</v>
          </cell>
          <cell r="K670">
            <v>45632</v>
          </cell>
        </row>
        <row r="671">
          <cell r="A671" t="str">
            <v>50714284420</v>
          </cell>
          <cell r="B671" t="str">
            <v>ZMTD</v>
          </cell>
          <cell r="C671">
            <v>45566</v>
          </cell>
          <cell r="D671" t="str">
            <v>Not delivered</v>
          </cell>
          <cell r="E671">
            <v>507142844</v>
          </cell>
          <cell r="F671">
            <v>20</v>
          </cell>
          <cell r="G671">
            <v>1404885</v>
          </cell>
          <cell r="H671" t="str">
            <v>LS-091:CVR MGNTA GRAD UV P/NATURAL ROHTO</v>
          </cell>
          <cell r="I671">
            <v>29640</v>
          </cell>
          <cell r="J671" t="str">
            <v>UN</v>
          </cell>
          <cell r="K671">
            <v>45632</v>
          </cell>
        </row>
        <row r="672">
          <cell r="A672" t="str">
            <v>50800529710</v>
          </cell>
          <cell r="B672" t="str">
            <v>ZMFD</v>
          </cell>
          <cell r="C672">
            <v>45565</v>
          </cell>
          <cell r="D672" t="str">
            <v>Not delivered</v>
          </cell>
          <cell r="E672">
            <v>508005297</v>
          </cell>
          <cell r="F672">
            <v>10</v>
          </cell>
          <cell r="G672">
            <v>1419488</v>
          </cell>
          <cell r="H672" t="str">
            <v>CP-063R:SPOUT CAP WHITE LOREAL 12A</v>
          </cell>
          <cell r="I672">
            <v>1890000</v>
          </cell>
          <cell r="J672" t="str">
            <v>UN</v>
          </cell>
          <cell r="K672">
            <v>45632</v>
          </cell>
        </row>
        <row r="673">
          <cell r="A673" t="str">
            <v>50800529720</v>
          </cell>
          <cell r="B673" t="str">
            <v>ZMFD</v>
          </cell>
          <cell r="C673">
            <v>45565</v>
          </cell>
          <cell r="D673" t="str">
            <v>Not delivered</v>
          </cell>
          <cell r="E673">
            <v>508005297</v>
          </cell>
          <cell r="F673">
            <v>20</v>
          </cell>
          <cell r="G673">
            <v>1419488</v>
          </cell>
          <cell r="H673" t="str">
            <v>CP-063R:SPOUT CAP WHITE LOREAL 12A</v>
          </cell>
          <cell r="I673">
            <v>1890000</v>
          </cell>
          <cell r="J673" t="str">
            <v>UN</v>
          </cell>
          <cell r="K673">
            <v>45632</v>
          </cell>
        </row>
        <row r="674">
          <cell r="A674" t="str">
            <v>50800528810</v>
          </cell>
          <cell r="B674" t="str">
            <v>ZMFD</v>
          </cell>
          <cell r="C674">
            <v>45558</v>
          </cell>
          <cell r="D674" t="str">
            <v>Not delivered</v>
          </cell>
          <cell r="E674">
            <v>508005288</v>
          </cell>
          <cell r="F674">
            <v>10</v>
          </cell>
          <cell r="G674">
            <v>1336783</v>
          </cell>
          <cell r="H674" t="str">
            <v>LC-003:BTL CLR CLVM P/S/INSTSUEDE PTI20Y</v>
          </cell>
          <cell r="I674">
            <v>25000</v>
          </cell>
          <cell r="J674" t="str">
            <v>UN</v>
          </cell>
          <cell r="K674">
            <v>45632</v>
          </cell>
        </row>
        <row r="675">
          <cell r="A675" t="str">
            <v>50800528820</v>
          </cell>
          <cell r="B675" t="str">
            <v>ZMFD</v>
          </cell>
          <cell r="C675">
            <v>45558</v>
          </cell>
          <cell r="D675" t="str">
            <v>Not delivered</v>
          </cell>
          <cell r="E675">
            <v>508005288</v>
          </cell>
          <cell r="F675">
            <v>20</v>
          </cell>
          <cell r="G675">
            <v>1378266</v>
          </cell>
          <cell r="H675" t="str">
            <v>LC-003:CAP VM RS PINK INSTASUEDE PTI 20F</v>
          </cell>
          <cell r="I675">
            <v>25000</v>
          </cell>
          <cell r="J675" t="str">
            <v>UN</v>
          </cell>
          <cell r="K675">
            <v>45632</v>
          </cell>
        </row>
        <row r="676">
          <cell r="A676" t="str">
            <v>50800528830</v>
          </cell>
          <cell r="B676" t="str">
            <v>ZMFD</v>
          </cell>
          <cell r="C676">
            <v>45558</v>
          </cell>
          <cell r="D676" t="str">
            <v>Not delivered</v>
          </cell>
          <cell r="E676">
            <v>508005288</v>
          </cell>
          <cell r="F676">
            <v>30</v>
          </cell>
          <cell r="G676">
            <v>1336783</v>
          </cell>
          <cell r="H676" t="str">
            <v>LC-003:BTL CLR CLVM P/S/INSTSUEDE PTI20Y</v>
          </cell>
          <cell r="I676">
            <v>25000</v>
          </cell>
          <cell r="J676" t="str">
            <v>UN</v>
          </cell>
          <cell r="K676">
            <v>45632</v>
          </cell>
        </row>
        <row r="677">
          <cell r="A677" t="str">
            <v>50800528840</v>
          </cell>
          <cell r="B677" t="str">
            <v>ZMFD</v>
          </cell>
          <cell r="C677">
            <v>45558</v>
          </cell>
          <cell r="D677" t="str">
            <v>Not delivered</v>
          </cell>
          <cell r="E677">
            <v>508005288</v>
          </cell>
          <cell r="F677">
            <v>40</v>
          </cell>
          <cell r="G677">
            <v>1378266</v>
          </cell>
          <cell r="H677" t="str">
            <v>LC-003:CAP VM RS PINK INSTASUEDE PTI 20F</v>
          </cell>
          <cell r="I677">
            <v>25000</v>
          </cell>
          <cell r="J677" t="str">
            <v>UN</v>
          </cell>
          <cell r="K677">
            <v>45632</v>
          </cell>
        </row>
        <row r="678">
          <cell r="A678" t="str">
            <v>507142765120</v>
          </cell>
          <cell r="B678" t="str">
            <v>ZMTD</v>
          </cell>
          <cell r="C678">
            <v>45552</v>
          </cell>
          <cell r="D678" t="str">
            <v>Not delivered</v>
          </cell>
          <cell r="E678">
            <v>507142765</v>
          </cell>
          <cell r="F678">
            <v>120</v>
          </cell>
          <cell r="G678">
            <v>1398383</v>
          </cell>
          <cell r="H678" t="str">
            <v>CM-319:WHITE P/BLACK UV MATTE NARS</v>
          </cell>
          <cell r="I678">
            <v>40080</v>
          </cell>
          <cell r="J678" t="str">
            <v>UN</v>
          </cell>
          <cell r="K678">
            <v>45632</v>
          </cell>
        </row>
        <row r="679">
          <cell r="A679" t="str">
            <v>50800524220</v>
          </cell>
          <cell r="B679" t="str">
            <v>ZMFD</v>
          </cell>
          <cell r="C679">
            <v>45510</v>
          </cell>
          <cell r="D679" t="str">
            <v>Not delivered</v>
          </cell>
          <cell r="E679">
            <v>508005242</v>
          </cell>
          <cell r="F679">
            <v>20</v>
          </cell>
          <cell r="G679">
            <v>1437474</v>
          </cell>
          <cell r="H679" t="str">
            <v>CM-105:CVR/BS MTBLK S/PWRSTAY RV2 PTI30C</v>
          </cell>
          <cell r="I679">
            <v>10080</v>
          </cell>
          <cell r="J679" t="str">
            <v>UN</v>
          </cell>
          <cell r="K679">
            <v>45632</v>
          </cell>
        </row>
        <row r="680">
          <cell r="A680" t="str">
            <v>50800524020</v>
          </cell>
          <cell r="B680" t="str">
            <v>ZMFD</v>
          </cell>
          <cell r="C680">
            <v>45505</v>
          </cell>
          <cell r="D680" t="str">
            <v>Not delivered</v>
          </cell>
          <cell r="E680">
            <v>508005240</v>
          </cell>
          <cell r="F680">
            <v>20</v>
          </cell>
          <cell r="G680">
            <v>1437513</v>
          </cell>
          <cell r="H680" t="str">
            <v>CM-253:CV BS MTROSE 04 P/CCM RV1 PTI40H</v>
          </cell>
          <cell r="I680">
            <v>15000</v>
          </cell>
          <cell r="J680" t="str">
            <v>UN</v>
          </cell>
          <cell r="K680">
            <v>45632</v>
          </cell>
        </row>
        <row r="681">
          <cell r="A681" t="str">
            <v>50800517510</v>
          </cell>
          <cell r="B681" t="str">
            <v>ZMFD</v>
          </cell>
          <cell r="C681">
            <v>45481</v>
          </cell>
          <cell r="D681" t="str">
            <v>Not delivered</v>
          </cell>
          <cell r="E681">
            <v>508005175</v>
          </cell>
          <cell r="F681">
            <v>10</v>
          </cell>
          <cell r="G681">
            <v>1255657</v>
          </cell>
          <cell r="H681" t="str">
            <v>LC-002:BTL MT VAR7 P/WRDH B.MARK PTI40H</v>
          </cell>
          <cell r="I681">
            <v>17000</v>
          </cell>
          <cell r="J681" t="str">
            <v>UN</v>
          </cell>
          <cell r="K681">
            <v>45632</v>
          </cell>
        </row>
        <row r="682">
          <cell r="A682" t="str">
            <v>50800517520</v>
          </cell>
          <cell r="B682" t="str">
            <v>ZMFD</v>
          </cell>
          <cell r="C682">
            <v>45481</v>
          </cell>
          <cell r="D682" t="str">
            <v>Not delivered</v>
          </cell>
          <cell r="E682">
            <v>508005175</v>
          </cell>
          <cell r="F682">
            <v>20</v>
          </cell>
          <cell r="G682">
            <v>1264019</v>
          </cell>
          <cell r="H682" t="str">
            <v>LC-002:CAP S/MTVAR7 STM-WHT WPNAT PTI40D</v>
          </cell>
          <cell r="I682">
            <v>17000</v>
          </cell>
          <cell r="J682" t="str">
            <v>UN</v>
          </cell>
          <cell r="K682">
            <v>45632</v>
          </cell>
        </row>
        <row r="683">
          <cell r="A683" t="str">
            <v>50800517570</v>
          </cell>
          <cell r="B683" t="str">
            <v>ZMFD</v>
          </cell>
          <cell r="C683">
            <v>45481</v>
          </cell>
          <cell r="D683" t="str">
            <v>Not delivered</v>
          </cell>
          <cell r="E683">
            <v>508005175</v>
          </cell>
          <cell r="F683">
            <v>70</v>
          </cell>
          <cell r="G683">
            <v>1255657</v>
          </cell>
          <cell r="H683" t="str">
            <v>LC-002:BTL MT VAR7 P/WRDH B.MARK PTI40H</v>
          </cell>
          <cell r="I683">
            <v>8000</v>
          </cell>
          <cell r="J683" t="str">
            <v>UN</v>
          </cell>
          <cell r="K683">
            <v>45632</v>
          </cell>
        </row>
        <row r="684">
          <cell r="A684" t="str">
            <v>50800517580</v>
          </cell>
          <cell r="B684" t="str">
            <v>ZMFD</v>
          </cell>
          <cell r="C684">
            <v>45481</v>
          </cell>
          <cell r="D684" t="str">
            <v>Not delivered</v>
          </cell>
          <cell r="E684">
            <v>508005175</v>
          </cell>
          <cell r="F684">
            <v>80</v>
          </cell>
          <cell r="G684">
            <v>1264019</v>
          </cell>
          <cell r="H684" t="str">
            <v>LC-002:CAP S/MTVAR7 STM-WHT WPNAT PTI40D</v>
          </cell>
          <cell r="I684">
            <v>8000</v>
          </cell>
          <cell r="J684" t="str">
            <v>UN</v>
          </cell>
          <cell r="K684">
            <v>45632</v>
          </cell>
        </row>
        <row r="685">
          <cell r="A685" t="str">
            <v>50714243210</v>
          </cell>
          <cell r="B685" t="str">
            <v>ZMTD</v>
          </cell>
          <cell r="C685">
            <v>45475</v>
          </cell>
          <cell r="D685" t="str">
            <v>Not delivered</v>
          </cell>
          <cell r="E685">
            <v>507142432</v>
          </cell>
          <cell r="F685">
            <v>10</v>
          </cell>
          <cell r="G685">
            <v>1160336</v>
          </cell>
          <cell r="H685" t="str">
            <v>CP-071:CP8364 TNR WPRL 200 REX IS 763</v>
          </cell>
          <cell r="I685">
            <v>65250</v>
          </cell>
          <cell r="J685" t="str">
            <v>UN</v>
          </cell>
          <cell r="K685">
            <v>45632</v>
          </cell>
        </row>
        <row r="686">
          <cell r="A686" t="str">
            <v>508005155110</v>
          </cell>
          <cell r="B686" t="str">
            <v>ZMFD</v>
          </cell>
          <cell r="C686">
            <v>45470</v>
          </cell>
          <cell r="D686" t="str">
            <v>Not delivered</v>
          </cell>
          <cell r="E686">
            <v>508005155</v>
          </cell>
          <cell r="F686">
            <v>110</v>
          </cell>
          <cell r="G686">
            <v>1437254</v>
          </cell>
          <cell r="H686" t="str">
            <v>CM-253:CV BS MTMAUVE 02 P/CCM RV2 PTI40H</v>
          </cell>
          <cell r="I686">
            <v>30000</v>
          </cell>
          <cell r="J686" t="str">
            <v>UN</v>
          </cell>
          <cell r="K686">
            <v>45632</v>
          </cell>
        </row>
        <row r="687">
          <cell r="A687" t="str">
            <v>50800527620</v>
          </cell>
          <cell r="B687" t="str">
            <v>ZMFD</v>
          </cell>
          <cell r="C687">
            <v>45539</v>
          </cell>
          <cell r="D687" t="str">
            <v>Not delivered</v>
          </cell>
          <cell r="E687">
            <v>508005276</v>
          </cell>
          <cell r="F687">
            <v>20</v>
          </cell>
          <cell r="G687">
            <v>1440707</v>
          </cell>
          <cell r="H687" t="str">
            <v>CM-253:CV CLR BS BLK S/LAKME HGLTR ANCRT</v>
          </cell>
          <cell r="I687">
            <v>25000</v>
          </cell>
          <cell r="J687" t="str">
            <v>UN</v>
          </cell>
          <cell r="K687">
            <v>45633</v>
          </cell>
        </row>
        <row r="688">
          <cell r="A688" t="str">
            <v>50800527630</v>
          </cell>
          <cell r="B688" t="str">
            <v>ZMFD</v>
          </cell>
          <cell r="C688">
            <v>45539</v>
          </cell>
          <cell r="D688" t="str">
            <v>Not delivered</v>
          </cell>
          <cell r="E688">
            <v>508005276</v>
          </cell>
          <cell r="F688">
            <v>30</v>
          </cell>
          <cell r="G688">
            <v>1440708</v>
          </cell>
          <cell r="H688" t="str">
            <v>CM-253:CV CLR BS BLK S/LAKME BLUSH ANCRT</v>
          </cell>
          <cell r="I688">
            <v>25000</v>
          </cell>
          <cell r="J688" t="str">
            <v>UN</v>
          </cell>
          <cell r="K688">
            <v>45633</v>
          </cell>
        </row>
        <row r="689">
          <cell r="A689" t="str">
            <v>50714243110</v>
          </cell>
          <cell r="B689" t="str">
            <v>ZMTD</v>
          </cell>
          <cell r="C689">
            <v>45475</v>
          </cell>
          <cell r="D689" t="str">
            <v>Not delivered</v>
          </cell>
          <cell r="E689">
            <v>507142431</v>
          </cell>
          <cell r="F689">
            <v>10</v>
          </cell>
          <cell r="G689">
            <v>1160336</v>
          </cell>
          <cell r="H689" t="str">
            <v>CP-071:CP8364 TNR WPRL 200 REX IS 763</v>
          </cell>
          <cell r="I689">
            <v>43500</v>
          </cell>
          <cell r="J689" t="str">
            <v>UN</v>
          </cell>
          <cell r="K689">
            <v>45633</v>
          </cell>
        </row>
        <row r="690">
          <cell r="A690" t="str">
            <v>50714261620</v>
          </cell>
          <cell r="B690" t="str">
            <v>ZMTD</v>
          </cell>
          <cell r="C690">
            <v>45511</v>
          </cell>
          <cell r="D690" t="str">
            <v>Not delivered</v>
          </cell>
          <cell r="E690">
            <v>507142616</v>
          </cell>
          <cell r="F690">
            <v>20</v>
          </cell>
          <cell r="G690">
            <v>1229927</v>
          </cell>
          <cell r="H690" t="str">
            <v>CM-273:INJ WHT 1PHS PURP PRSNAL COLCTION</v>
          </cell>
          <cell r="I690">
            <v>50000</v>
          </cell>
          <cell r="J690" t="str">
            <v>UN</v>
          </cell>
          <cell r="K690">
            <v>45635</v>
          </cell>
        </row>
        <row r="691">
          <cell r="A691" t="str">
            <v>50800506830</v>
          </cell>
          <cell r="B691" t="str">
            <v>ZMFD</v>
          </cell>
          <cell r="C691">
            <v>45433</v>
          </cell>
          <cell r="D691" t="str">
            <v>Not delivered</v>
          </cell>
          <cell r="E691">
            <v>508005068</v>
          </cell>
          <cell r="F691">
            <v>30</v>
          </cell>
          <cell r="G691">
            <v>1255663</v>
          </cell>
          <cell r="H691" t="str">
            <v>LC-002:BTL MT VAR13 P/WRDH B.MARK PTI40H</v>
          </cell>
          <cell r="I691">
            <v>25000</v>
          </cell>
          <cell r="J691" t="str">
            <v>UN</v>
          </cell>
          <cell r="K691">
            <v>45635</v>
          </cell>
        </row>
        <row r="692">
          <cell r="A692" t="str">
            <v>50800506840</v>
          </cell>
          <cell r="B692" t="str">
            <v>ZMFD</v>
          </cell>
          <cell r="C692">
            <v>45433</v>
          </cell>
          <cell r="D692" t="str">
            <v>Not delivered</v>
          </cell>
          <cell r="E692">
            <v>508005068</v>
          </cell>
          <cell r="F692">
            <v>40</v>
          </cell>
          <cell r="G692">
            <v>1173170</v>
          </cell>
          <cell r="H692" t="str">
            <v>LC-002:CP S/MT VAR13 STM-WHT WNAT PTI40D</v>
          </cell>
          <cell r="I692">
            <v>25000</v>
          </cell>
          <cell r="J692" t="str">
            <v>UN</v>
          </cell>
          <cell r="K692">
            <v>45635</v>
          </cell>
        </row>
        <row r="693">
          <cell r="A693" t="str">
            <v>50800530910</v>
          </cell>
          <cell r="B693" t="str">
            <v>ZMFD</v>
          </cell>
          <cell r="C693">
            <v>45569</v>
          </cell>
          <cell r="D693" t="str">
            <v>Not delivered</v>
          </cell>
          <cell r="E693">
            <v>508005309</v>
          </cell>
          <cell r="F693">
            <v>10</v>
          </cell>
          <cell r="G693">
            <v>1255655</v>
          </cell>
          <cell r="H693" t="str">
            <v>LC-002:BTL MT VAR5 P/WRDH B.MARK PTI40H</v>
          </cell>
          <cell r="I693">
            <v>25000</v>
          </cell>
          <cell r="J693" t="str">
            <v>UN</v>
          </cell>
          <cell r="K693">
            <v>45636</v>
          </cell>
        </row>
        <row r="694">
          <cell r="A694" t="str">
            <v>50800530920</v>
          </cell>
          <cell r="B694" t="str">
            <v>ZMFD</v>
          </cell>
          <cell r="C694">
            <v>45569</v>
          </cell>
          <cell r="D694" t="str">
            <v>Not delivered</v>
          </cell>
          <cell r="E694">
            <v>508005309</v>
          </cell>
          <cell r="F694">
            <v>20</v>
          </cell>
          <cell r="G694">
            <v>1264017</v>
          </cell>
          <cell r="H694" t="str">
            <v>LC-002:CAP S/MTVAR5 STM-WHT WPNAT PTI40D</v>
          </cell>
          <cell r="I694">
            <v>25000</v>
          </cell>
          <cell r="J694" t="str">
            <v>UN</v>
          </cell>
          <cell r="K694">
            <v>45636</v>
          </cell>
        </row>
        <row r="695">
          <cell r="A695" t="str">
            <v>50800531310</v>
          </cell>
          <cell r="B695" t="str">
            <v>ZMFD</v>
          </cell>
          <cell r="C695">
            <v>45569</v>
          </cell>
          <cell r="D695" t="str">
            <v>Not delivered</v>
          </cell>
          <cell r="E695">
            <v>508005313</v>
          </cell>
          <cell r="F695">
            <v>10</v>
          </cell>
          <cell r="G695">
            <v>1169047</v>
          </cell>
          <cell r="H695" t="str">
            <v>LS-285:B V/SL P/1PS SLEV H/SL BLM PTI20R</v>
          </cell>
          <cell r="I695">
            <v>25536</v>
          </cell>
          <cell r="J695" t="str">
            <v>UN</v>
          </cell>
          <cell r="K695">
            <v>45636</v>
          </cell>
        </row>
        <row r="696">
          <cell r="A696" t="str">
            <v>50800531320</v>
          </cell>
          <cell r="B696" t="str">
            <v>ZMFD</v>
          </cell>
          <cell r="C696">
            <v>45569</v>
          </cell>
          <cell r="D696" t="str">
            <v>Not delivered</v>
          </cell>
          <cell r="E696">
            <v>508005313</v>
          </cell>
          <cell r="F696">
            <v>20</v>
          </cell>
          <cell r="G696">
            <v>1171160</v>
          </cell>
          <cell r="H696" t="str">
            <v>LS-285:CV TRANS LONG 9 P/1PS VAR7 PTI40H</v>
          </cell>
          <cell r="I696">
            <v>25536</v>
          </cell>
          <cell r="J696" t="str">
            <v>UN</v>
          </cell>
          <cell r="K696">
            <v>45636</v>
          </cell>
        </row>
        <row r="697">
          <cell r="A697" t="str">
            <v>50800529730</v>
          </cell>
          <cell r="B697" t="str">
            <v>ZMFD</v>
          </cell>
          <cell r="C697">
            <v>45565</v>
          </cell>
          <cell r="D697" t="str">
            <v>Not delivered</v>
          </cell>
          <cell r="E697">
            <v>508005297</v>
          </cell>
          <cell r="F697">
            <v>30</v>
          </cell>
          <cell r="G697">
            <v>1419488</v>
          </cell>
          <cell r="H697" t="str">
            <v>CP-063R:SPOUT CAP WHITE LOREAL 12A</v>
          </cell>
          <cell r="I697">
            <v>1890000</v>
          </cell>
          <cell r="J697" t="str">
            <v>UN</v>
          </cell>
          <cell r="K697">
            <v>45636</v>
          </cell>
        </row>
        <row r="698">
          <cell r="A698" t="str">
            <v>50714276440</v>
          </cell>
          <cell r="B698" t="str">
            <v>ZMTD</v>
          </cell>
          <cell r="C698">
            <v>45552</v>
          </cell>
          <cell r="D698" t="str">
            <v>Not delivered</v>
          </cell>
          <cell r="E698">
            <v>507142764</v>
          </cell>
          <cell r="F698">
            <v>40</v>
          </cell>
          <cell r="G698">
            <v>1211756</v>
          </cell>
          <cell r="H698" t="str">
            <v>CM-246:COVER VM SHNY SLV ALMOST PWD</v>
          </cell>
          <cell r="I698">
            <v>120120</v>
          </cell>
          <cell r="J698" t="str">
            <v>UN</v>
          </cell>
          <cell r="K698">
            <v>45636</v>
          </cell>
        </row>
        <row r="699">
          <cell r="A699" t="str">
            <v>50800525720</v>
          </cell>
          <cell r="B699" t="str">
            <v>ZMFD</v>
          </cell>
          <cell r="C699">
            <v>45518</v>
          </cell>
          <cell r="D699" t="str">
            <v>Not delivered</v>
          </cell>
          <cell r="E699">
            <v>508005257</v>
          </cell>
          <cell r="F699">
            <v>20</v>
          </cell>
          <cell r="G699">
            <v>1409881</v>
          </cell>
          <cell r="H699" t="str">
            <v>CM-315:CVR/BS BLACK P/CVRLAST OMG RV160B</v>
          </cell>
          <cell r="I699">
            <v>150304</v>
          </cell>
          <cell r="J699" t="str">
            <v>UN</v>
          </cell>
          <cell r="K699">
            <v>45636</v>
          </cell>
        </row>
        <row r="700">
          <cell r="A700" t="str">
            <v>50800525270</v>
          </cell>
          <cell r="B700" t="str">
            <v>ZMFD</v>
          </cell>
          <cell r="C700">
            <v>45512</v>
          </cell>
          <cell r="D700" t="str">
            <v>Not delivered</v>
          </cell>
          <cell r="E700">
            <v>508005252</v>
          </cell>
          <cell r="F700">
            <v>70</v>
          </cell>
          <cell r="G700">
            <v>1382368</v>
          </cell>
          <cell r="H700" t="str">
            <v>CP-067R:FT CAP35 SNAP BLK MATTE  Ø5 LRL</v>
          </cell>
          <cell r="I700">
            <v>440000</v>
          </cell>
          <cell r="J700" t="str">
            <v>UN</v>
          </cell>
          <cell r="K700">
            <v>45636</v>
          </cell>
        </row>
        <row r="701">
          <cell r="A701" t="str">
            <v>50800523430</v>
          </cell>
          <cell r="B701" t="str">
            <v>ZMFD</v>
          </cell>
          <cell r="C701">
            <v>45504</v>
          </cell>
          <cell r="D701" t="str">
            <v>Not delivered</v>
          </cell>
          <cell r="E701">
            <v>508005234</v>
          </cell>
          <cell r="F701">
            <v>30</v>
          </cell>
          <cell r="G701">
            <v>1169286</v>
          </cell>
          <cell r="H701" t="str">
            <v>CM-294:RECTANGULAR WITH GODET PKTJ010032</v>
          </cell>
          <cell r="I701">
            <v>37920</v>
          </cell>
          <cell r="J701" t="str">
            <v>UN</v>
          </cell>
          <cell r="K701">
            <v>45636</v>
          </cell>
        </row>
        <row r="702">
          <cell r="A702" t="str">
            <v>50800493070</v>
          </cell>
          <cell r="B702" t="str">
            <v>ZMFD</v>
          </cell>
          <cell r="C702">
            <v>45364</v>
          </cell>
          <cell r="D702" t="str">
            <v>Not delivered</v>
          </cell>
          <cell r="E702">
            <v>508004930</v>
          </cell>
          <cell r="F702">
            <v>70</v>
          </cell>
          <cell r="G702">
            <v>1159912</v>
          </cell>
          <cell r="H702" t="str">
            <v>CP-064:CAP 25 SCREW BLK MT L'OREAL</v>
          </cell>
          <cell r="I702">
            <v>252000</v>
          </cell>
          <cell r="J702" t="str">
            <v>UN</v>
          </cell>
          <cell r="K702">
            <v>45636</v>
          </cell>
        </row>
        <row r="703">
          <cell r="A703" t="str">
            <v>50800478130</v>
          </cell>
          <cell r="B703" t="str">
            <v>ZMFD</v>
          </cell>
          <cell r="C703">
            <v>45307</v>
          </cell>
          <cell r="D703" t="str">
            <v>Not delivered</v>
          </cell>
          <cell r="E703">
            <v>508004781</v>
          </cell>
          <cell r="F703">
            <v>30</v>
          </cell>
          <cell r="G703">
            <v>1169152</v>
          </cell>
          <cell r="H703" t="str">
            <v>CM-295:SQUARE COMPACT&amp;GODET PHHT010032</v>
          </cell>
          <cell r="I703">
            <v>20040</v>
          </cell>
          <cell r="J703" t="str">
            <v>UN</v>
          </cell>
          <cell r="K703">
            <v>45636</v>
          </cell>
        </row>
        <row r="704">
          <cell r="A704" t="str">
            <v>50714286110</v>
          </cell>
          <cell r="B704" t="str">
            <v>ZMTD</v>
          </cell>
          <cell r="C704">
            <v>45573</v>
          </cell>
          <cell r="D704" t="str">
            <v>Not delivered</v>
          </cell>
          <cell r="E704">
            <v>507142861</v>
          </cell>
          <cell r="F704">
            <v>10</v>
          </cell>
          <cell r="G704">
            <v>1271753</v>
          </cell>
          <cell r="H704" t="str">
            <v>CM-253:3PC INJ WHT CVR TRNSP 1P DC CONTH</v>
          </cell>
          <cell r="I704">
            <v>50220</v>
          </cell>
          <cell r="J704" t="str">
            <v>UN</v>
          </cell>
          <cell r="K704">
            <v>45637</v>
          </cell>
        </row>
        <row r="705">
          <cell r="A705" t="str">
            <v>50714286040</v>
          </cell>
          <cell r="B705" t="str">
            <v>ZMTD</v>
          </cell>
          <cell r="C705">
            <v>45572</v>
          </cell>
          <cell r="D705" t="str">
            <v>Not delivered</v>
          </cell>
          <cell r="E705">
            <v>507142860</v>
          </cell>
          <cell r="F705">
            <v>40</v>
          </cell>
          <cell r="G705">
            <v>1376248</v>
          </cell>
          <cell r="H705" t="str">
            <v>FP-008:CVR L.PINK P/BLK MANDOM RV1 12A</v>
          </cell>
          <cell r="I705">
            <v>10000</v>
          </cell>
          <cell r="J705" t="str">
            <v>UN</v>
          </cell>
          <cell r="K705">
            <v>45637</v>
          </cell>
        </row>
        <row r="706">
          <cell r="A706" t="str">
            <v>50714286050</v>
          </cell>
          <cell r="B706" t="str">
            <v>ZMTD</v>
          </cell>
          <cell r="C706">
            <v>45572</v>
          </cell>
          <cell r="D706" t="str">
            <v>Not delivered</v>
          </cell>
          <cell r="E706">
            <v>507142860</v>
          </cell>
          <cell r="F706">
            <v>50</v>
          </cell>
          <cell r="G706">
            <v>1171179</v>
          </cell>
          <cell r="H706" t="str">
            <v>FP-008:BS INJ BLK NO DC MANDOM</v>
          </cell>
          <cell r="I706">
            <v>10000</v>
          </cell>
          <cell r="J706" t="str">
            <v>UN</v>
          </cell>
          <cell r="K706">
            <v>45637</v>
          </cell>
        </row>
        <row r="707">
          <cell r="A707" t="str">
            <v>50714286060</v>
          </cell>
          <cell r="B707" t="str">
            <v>ZMTD</v>
          </cell>
          <cell r="C707">
            <v>45572</v>
          </cell>
          <cell r="D707" t="str">
            <v>Not delivered</v>
          </cell>
          <cell r="E707">
            <v>507142860</v>
          </cell>
          <cell r="F707">
            <v>60</v>
          </cell>
          <cell r="G707">
            <v>1172027</v>
          </cell>
          <cell r="H707" t="str">
            <v>FP-008:SFT NAT L.HINGE W/LBL NO DC MDM</v>
          </cell>
          <cell r="I707">
            <v>10000</v>
          </cell>
          <cell r="J707" t="str">
            <v>UN</v>
          </cell>
          <cell r="K707">
            <v>45637</v>
          </cell>
        </row>
        <row r="708">
          <cell r="A708" t="str">
            <v>50800530230</v>
          </cell>
          <cell r="B708" t="str">
            <v>ZMFD</v>
          </cell>
          <cell r="C708">
            <v>45568</v>
          </cell>
          <cell r="D708" t="str">
            <v>Not delivered</v>
          </cell>
          <cell r="E708">
            <v>508005302</v>
          </cell>
          <cell r="F708">
            <v>30</v>
          </cell>
          <cell r="G708">
            <v>1408740</v>
          </cell>
          <cell r="H708" t="str">
            <v>PT-097B:BDSR.2 BLU HOUS WHT TRNS PTI12A</v>
          </cell>
          <cell r="I708">
            <v>190000</v>
          </cell>
          <cell r="J708" t="str">
            <v>UN</v>
          </cell>
          <cell r="K708">
            <v>45637</v>
          </cell>
        </row>
        <row r="709">
          <cell r="A709" t="str">
            <v>50800530240</v>
          </cell>
          <cell r="B709" t="str">
            <v>ZMFD</v>
          </cell>
          <cell r="C709">
            <v>45568</v>
          </cell>
          <cell r="D709" t="str">
            <v>Not delivered</v>
          </cell>
          <cell r="E709">
            <v>508005302</v>
          </cell>
          <cell r="F709">
            <v>40</v>
          </cell>
          <cell r="G709">
            <v>1408739</v>
          </cell>
          <cell r="H709" t="str">
            <v>PT-097B:CAP SR.2 BLUE TRANS PTI 12A</v>
          </cell>
          <cell r="I709">
            <v>190000</v>
          </cell>
          <cell r="J709" t="str">
            <v>UN</v>
          </cell>
          <cell r="K709">
            <v>45637</v>
          </cell>
        </row>
        <row r="710">
          <cell r="A710" t="str">
            <v>50714284430</v>
          </cell>
          <cell r="B710" t="str">
            <v>ZMTD</v>
          </cell>
          <cell r="C710">
            <v>45566</v>
          </cell>
          <cell r="D710" t="str">
            <v>Not delivered</v>
          </cell>
          <cell r="E710">
            <v>507142844</v>
          </cell>
          <cell r="F710">
            <v>30</v>
          </cell>
          <cell r="G710">
            <v>1404888</v>
          </cell>
          <cell r="H710" t="str">
            <v>LS-091:BS MGNTA P/SHEER COLOR ROHTO 60B</v>
          </cell>
          <cell r="I710">
            <v>40508</v>
          </cell>
          <cell r="J710" t="str">
            <v>UN</v>
          </cell>
          <cell r="K710">
            <v>45637</v>
          </cell>
        </row>
        <row r="711">
          <cell r="A711" t="str">
            <v>50714284440</v>
          </cell>
          <cell r="B711" t="str">
            <v>ZMTD</v>
          </cell>
          <cell r="C711">
            <v>45566</v>
          </cell>
          <cell r="D711" t="str">
            <v>Not delivered</v>
          </cell>
          <cell r="E711">
            <v>507142844</v>
          </cell>
          <cell r="F711">
            <v>40</v>
          </cell>
          <cell r="G711">
            <v>1407563</v>
          </cell>
          <cell r="H711" t="str">
            <v>LS-091:CVR MGNTA GRAD UV P/STRWBRY ROHTO</v>
          </cell>
          <cell r="I711">
            <v>40508</v>
          </cell>
          <cell r="J711" t="str">
            <v>UN</v>
          </cell>
          <cell r="K711">
            <v>45637</v>
          </cell>
        </row>
        <row r="712">
          <cell r="A712" t="str">
            <v>50800527130</v>
          </cell>
          <cell r="B712" t="str">
            <v>ZMFD</v>
          </cell>
          <cell r="C712">
            <v>45538</v>
          </cell>
          <cell r="D712" t="str">
            <v>Not delivered</v>
          </cell>
          <cell r="E712">
            <v>508005271</v>
          </cell>
          <cell r="F712">
            <v>30</v>
          </cell>
          <cell r="G712">
            <v>1411701</v>
          </cell>
          <cell r="H712" t="str">
            <v>PT-100:BS/INS BLUE P/WHT KAHF PTI 60B</v>
          </cell>
          <cell r="I712">
            <v>180000</v>
          </cell>
          <cell r="J712" t="str">
            <v>UN</v>
          </cell>
          <cell r="K712">
            <v>45637</v>
          </cell>
        </row>
        <row r="713">
          <cell r="A713" t="str">
            <v>50800527140</v>
          </cell>
          <cell r="B713" t="str">
            <v>ZMFD</v>
          </cell>
          <cell r="C713">
            <v>45538</v>
          </cell>
          <cell r="D713" t="str">
            <v>Not delivered</v>
          </cell>
          <cell r="E713">
            <v>508005271</v>
          </cell>
          <cell r="F713">
            <v>40</v>
          </cell>
          <cell r="G713">
            <v>1411700</v>
          </cell>
          <cell r="H713" t="str">
            <v>PT-100:CVR MT.BLUE EMBOS KAHF PTI 40D</v>
          </cell>
          <cell r="I713">
            <v>180000</v>
          </cell>
          <cell r="J713" t="str">
            <v>UN</v>
          </cell>
          <cell r="K713">
            <v>45637</v>
          </cell>
        </row>
        <row r="714">
          <cell r="A714" t="str">
            <v>50800525950</v>
          </cell>
          <cell r="B714" t="str">
            <v>ZMFD</v>
          </cell>
          <cell r="C714">
            <v>45523</v>
          </cell>
          <cell r="D714" t="str">
            <v>Not delivered</v>
          </cell>
          <cell r="E714">
            <v>508005259</v>
          </cell>
          <cell r="F714">
            <v>50</v>
          </cell>
          <cell r="G714">
            <v>1168132</v>
          </cell>
          <cell r="H714" t="str">
            <v>LS-285:BS WHT NO DC WARDAH</v>
          </cell>
          <cell r="I714">
            <v>25000</v>
          </cell>
          <cell r="J714" t="str">
            <v>UN</v>
          </cell>
          <cell r="K714">
            <v>45637</v>
          </cell>
        </row>
        <row r="715">
          <cell r="A715" t="str">
            <v>50800525960</v>
          </cell>
          <cell r="B715" t="str">
            <v>ZMFD</v>
          </cell>
          <cell r="C715">
            <v>45523</v>
          </cell>
          <cell r="D715" t="str">
            <v>Not delivered</v>
          </cell>
          <cell r="E715">
            <v>508005259</v>
          </cell>
          <cell r="F715">
            <v>60</v>
          </cell>
          <cell r="G715">
            <v>1421509</v>
          </cell>
          <cell r="H715" t="str">
            <v>LS-285:CV ORNG P/WHT UV ORGSQUEZE PTI30O</v>
          </cell>
          <cell r="I715">
            <v>25000</v>
          </cell>
          <cell r="J715" t="str">
            <v>UN</v>
          </cell>
          <cell r="K715">
            <v>45637</v>
          </cell>
        </row>
        <row r="716">
          <cell r="A716" t="str">
            <v>50800529740</v>
          </cell>
          <cell r="B716" t="str">
            <v>ZMFD</v>
          </cell>
          <cell r="C716">
            <v>45565</v>
          </cell>
          <cell r="D716" t="str">
            <v>Not delivered</v>
          </cell>
          <cell r="E716">
            <v>508005297</v>
          </cell>
          <cell r="F716">
            <v>40</v>
          </cell>
          <cell r="G716">
            <v>1419488</v>
          </cell>
          <cell r="H716" t="str">
            <v>CP-063R:SPOUT CAP WHITE LOREAL 12A</v>
          </cell>
          <cell r="I716">
            <v>1890000</v>
          </cell>
          <cell r="J716" t="str">
            <v>UN</v>
          </cell>
          <cell r="K716">
            <v>45638</v>
          </cell>
        </row>
        <row r="717">
          <cell r="A717" t="str">
            <v>50714279220</v>
          </cell>
          <cell r="B717" t="str">
            <v>ZMTD</v>
          </cell>
          <cell r="C717">
            <v>45555</v>
          </cell>
          <cell r="D717" t="str">
            <v>Not delivered</v>
          </cell>
          <cell r="E717">
            <v>507142792</v>
          </cell>
          <cell r="F717">
            <v>20</v>
          </cell>
          <cell r="G717">
            <v>1406600</v>
          </cell>
          <cell r="H717" t="str">
            <v>CM-310:BLACK M086 CANNAGE S/SLV UV MT</v>
          </cell>
          <cell r="I717">
            <v>39000</v>
          </cell>
          <cell r="J717" t="str">
            <v>UN</v>
          </cell>
          <cell r="K717">
            <v>45638</v>
          </cell>
        </row>
        <row r="718">
          <cell r="A718" t="str">
            <v>50714254840</v>
          </cell>
          <cell r="B718" t="str">
            <v>ZMTD</v>
          </cell>
          <cell r="C718">
            <v>45492</v>
          </cell>
          <cell r="D718" t="str">
            <v>Not delivered</v>
          </cell>
          <cell r="E718">
            <v>507142548</v>
          </cell>
          <cell r="F718">
            <v>40</v>
          </cell>
          <cell r="G718">
            <v>1182817</v>
          </cell>
          <cell r="H718" t="str">
            <v>FP-014:JAR P/BLACK ALMAY</v>
          </cell>
          <cell r="I718">
            <v>25056</v>
          </cell>
          <cell r="J718" t="str">
            <v>UN</v>
          </cell>
          <cell r="K718">
            <v>45638</v>
          </cell>
        </row>
        <row r="719">
          <cell r="A719" t="str">
            <v>50714254850</v>
          </cell>
          <cell r="B719" t="str">
            <v>ZMTD</v>
          </cell>
          <cell r="C719">
            <v>45492</v>
          </cell>
          <cell r="D719" t="str">
            <v>Not delivered</v>
          </cell>
          <cell r="E719">
            <v>507142548</v>
          </cell>
          <cell r="F719">
            <v>50</v>
          </cell>
          <cell r="G719">
            <v>1171483</v>
          </cell>
          <cell r="H719" t="str">
            <v>FP-014:COVER GREY MATTE IN MOLD REVLON</v>
          </cell>
          <cell r="I719">
            <v>34992</v>
          </cell>
          <cell r="J719" t="str">
            <v>UN</v>
          </cell>
          <cell r="K719">
            <v>45638</v>
          </cell>
        </row>
        <row r="720">
          <cell r="A720" t="str">
            <v>50800510510</v>
          </cell>
          <cell r="B720" t="str">
            <v>ZMFD</v>
          </cell>
          <cell r="C720">
            <v>45449</v>
          </cell>
          <cell r="D720" t="str">
            <v>Not delivered</v>
          </cell>
          <cell r="E720">
            <v>508005105</v>
          </cell>
          <cell r="F720">
            <v>10</v>
          </cell>
          <cell r="G720">
            <v>1389671</v>
          </cell>
          <cell r="H720" t="str">
            <v>CM-294:GODET OPEN SECRET G0SA-01-0092</v>
          </cell>
          <cell r="I720">
            <v>10472</v>
          </cell>
          <cell r="J720" t="str">
            <v>UN</v>
          </cell>
          <cell r="K720">
            <v>45638</v>
          </cell>
        </row>
        <row r="721">
          <cell r="A721" t="str">
            <v>50800510610</v>
          </cell>
          <cell r="B721" t="str">
            <v>ZMFD</v>
          </cell>
          <cell r="C721">
            <v>45449</v>
          </cell>
          <cell r="D721" t="str">
            <v>Not delivered</v>
          </cell>
          <cell r="E721">
            <v>508005106</v>
          </cell>
          <cell r="F721">
            <v>10</v>
          </cell>
          <cell r="G721">
            <v>1389249</v>
          </cell>
          <cell r="H721" t="str">
            <v>CM-295:GODET GALLERY HOPE G85W-01-0091</v>
          </cell>
          <cell r="I721">
            <v>10472</v>
          </cell>
          <cell r="J721" t="str">
            <v>UN</v>
          </cell>
          <cell r="K721">
            <v>45638</v>
          </cell>
        </row>
        <row r="722">
          <cell r="A722" t="str">
            <v>50800530330</v>
          </cell>
          <cell r="B722" t="str">
            <v>ZMFD</v>
          </cell>
          <cell r="C722">
            <v>45568</v>
          </cell>
          <cell r="D722" t="str">
            <v>Not delivered</v>
          </cell>
          <cell r="E722">
            <v>508005303</v>
          </cell>
          <cell r="F722">
            <v>30</v>
          </cell>
          <cell r="G722">
            <v>1430094</v>
          </cell>
          <cell r="H722" t="str">
            <v>LS-285:BS BLUE NO DC WARDAH PTI 12A</v>
          </cell>
          <cell r="I722">
            <v>25536</v>
          </cell>
          <cell r="J722" t="str">
            <v>UN</v>
          </cell>
          <cell r="K722">
            <v>45639</v>
          </cell>
        </row>
        <row r="723">
          <cell r="A723" t="str">
            <v>50800530340</v>
          </cell>
          <cell r="B723" t="str">
            <v>ZMFD</v>
          </cell>
          <cell r="C723">
            <v>45568</v>
          </cell>
          <cell r="D723" t="str">
            <v>Not delivered</v>
          </cell>
          <cell r="E723">
            <v>508005303</v>
          </cell>
          <cell r="F723">
            <v>40</v>
          </cell>
          <cell r="G723">
            <v>1430093</v>
          </cell>
          <cell r="H723" t="str">
            <v>LS-285:CV MT.TR BLUE P/SHERCLEAR PTI 40H</v>
          </cell>
          <cell r="I723">
            <v>25536</v>
          </cell>
          <cell r="J723" t="str">
            <v>UN</v>
          </cell>
          <cell r="K723">
            <v>45639</v>
          </cell>
        </row>
        <row r="724">
          <cell r="A724" t="str">
            <v>50800529750</v>
          </cell>
          <cell r="B724" t="str">
            <v>ZMFD</v>
          </cell>
          <cell r="C724">
            <v>45565</v>
          </cell>
          <cell r="D724" t="str">
            <v>Not delivered</v>
          </cell>
          <cell r="E724">
            <v>508005297</v>
          </cell>
          <cell r="F724">
            <v>50</v>
          </cell>
          <cell r="G724">
            <v>1419488</v>
          </cell>
          <cell r="H724" t="str">
            <v>CP-063R:SPOUT CAP WHITE LOREAL 12A</v>
          </cell>
          <cell r="I724">
            <v>1890000</v>
          </cell>
          <cell r="J724" t="str">
            <v>UN</v>
          </cell>
          <cell r="K724">
            <v>45639</v>
          </cell>
        </row>
        <row r="725">
          <cell r="A725" t="str">
            <v>50800527710</v>
          </cell>
          <cell r="B725" t="str">
            <v>ZMFD</v>
          </cell>
          <cell r="C725">
            <v>45541</v>
          </cell>
          <cell r="D725" t="str">
            <v>Not delivered</v>
          </cell>
          <cell r="E725">
            <v>508005277</v>
          </cell>
          <cell r="F725">
            <v>10</v>
          </cell>
          <cell r="G725">
            <v>1285453</v>
          </cell>
          <cell r="H725" t="str">
            <v>CM-216:TRUE MATCH PP CV PF S/SLV LOR US</v>
          </cell>
          <cell r="I725">
            <v>250000</v>
          </cell>
          <cell r="J725" t="str">
            <v>UN</v>
          </cell>
          <cell r="K725">
            <v>45639</v>
          </cell>
        </row>
        <row r="726">
          <cell r="A726" t="str">
            <v>50800526810</v>
          </cell>
          <cell r="B726" t="str">
            <v>ZMFD</v>
          </cell>
          <cell r="C726">
            <v>45532</v>
          </cell>
          <cell r="D726" t="str">
            <v>Not delivered</v>
          </cell>
          <cell r="E726">
            <v>508005268</v>
          </cell>
          <cell r="F726">
            <v>10</v>
          </cell>
          <cell r="G726">
            <v>1284957</v>
          </cell>
          <cell r="H726" t="str">
            <v>CM-244:WHITE U/CLR  S/SLVR ZGNC010031 EL</v>
          </cell>
          <cell r="I726">
            <v>10080</v>
          </cell>
          <cell r="J726" t="str">
            <v>UN</v>
          </cell>
          <cell r="K726">
            <v>45639</v>
          </cell>
        </row>
        <row r="727">
          <cell r="A727" t="str">
            <v>50800526210</v>
          </cell>
          <cell r="B727" t="str">
            <v>ZMFD</v>
          </cell>
          <cell r="C727">
            <v>45524</v>
          </cell>
          <cell r="D727" t="str">
            <v>Not delivered</v>
          </cell>
          <cell r="E727">
            <v>508005262</v>
          </cell>
          <cell r="F727">
            <v>10</v>
          </cell>
          <cell r="G727">
            <v>1163327</v>
          </cell>
          <cell r="H727" t="str">
            <v>CM-246:CVR S.SLV PAN WHITE 6MPY 01 0034</v>
          </cell>
          <cell r="I727">
            <v>25056</v>
          </cell>
          <cell r="J727" t="str">
            <v>UN</v>
          </cell>
          <cell r="K727">
            <v>45639</v>
          </cell>
        </row>
        <row r="728">
          <cell r="A728" t="str">
            <v>50800517620</v>
          </cell>
          <cell r="B728" t="str">
            <v>ZMFD</v>
          </cell>
          <cell r="C728">
            <v>45482</v>
          </cell>
          <cell r="D728" t="str">
            <v>Not delivered</v>
          </cell>
          <cell r="E728">
            <v>508005176</v>
          </cell>
          <cell r="F728">
            <v>20</v>
          </cell>
          <cell r="G728">
            <v>1171241</v>
          </cell>
          <cell r="H728" t="str">
            <v>CP-059:60ML UV GOLD WHT LN 7712010071 EL</v>
          </cell>
          <cell r="I728">
            <v>25080</v>
          </cell>
          <cell r="J728" t="str">
            <v>UN</v>
          </cell>
          <cell r="K728">
            <v>45639</v>
          </cell>
        </row>
        <row r="729">
          <cell r="A729" t="str">
            <v>50800511220</v>
          </cell>
          <cell r="B729" t="str">
            <v>ZMFD</v>
          </cell>
          <cell r="C729">
            <v>45450</v>
          </cell>
          <cell r="D729" t="str">
            <v>Not delivered</v>
          </cell>
          <cell r="E729">
            <v>508005112</v>
          </cell>
          <cell r="F729">
            <v>20</v>
          </cell>
          <cell r="G729">
            <v>1169658</v>
          </cell>
          <cell r="H729" t="str">
            <v>CM-156:NEW GREEN MRBL 6339010303 CLNQ EL</v>
          </cell>
          <cell r="I729">
            <v>22680</v>
          </cell>
          <cell r="J729" t="str">
            <v>UN</v>
          </cell>
          <cell r="K729">
            <v>45639</v>
          </cell>
        </row>
        <row r="730">
          <cell r="A730" t="str">
            <v>50800509320</v>
          </cell>
          <cell r="B730" t="str">
            <v>ZMFD</v>
          </cell>
          <cell r="C730">
            <v>45449</v>
          </cell>
          <cell r="D730" t="str">
            <v>Not delivered</v>
          </cell>
          <cell r="E730">
            <v>508005093</v>
          </cell>
          <cell r="F730">
            <v>20</v>
          </cell>
          <cell r="G730">
            <v>1390354</v>
          </cell>
          <cell r="H730" t="str">
            <v>CM-294:GODET REBELL. ROSE G0S4-01-0092</v>
          </cell>
          <cell r="I730">
            <v>10472</v>
          </cell>
          <cell r="J730" t="str">
            <v>UN</v>
          </cell>
          <cell r="K730">
            <v>45639</v>
          </cell>
        </row>
        <row r="731">
          <cell r="A731" t="str">
            <v>50800509420</v>
          </cell>
          <cell r="B731" t="str">
            <v>ZMFD</v>
          </cell>
          <cell r="C731">
            <v>45449</v>
          </cell>
          <cell r="D731" t="str">
            <v>Not delivered</v>
          </cell>
          <cell r="E731">
            <v>508005094</v>
          </cell>
          <cell r="F731">
            <v>20</v>
          </cell>
          <cell r="G731">
            <v>1388946</v>
          </cell>
          <cell r="H731" t="str">
            <v>CM-294:GODET PINK KISS G0S4-02-0092</v>
          </cell>
          <cell r="I731">
            <v>10472</v>
          </cell>
          <cell r="J731" t="str">
            <v>UN</v>
          </cell>
          <cell r="K731">
            <v>45639</v>
          </cell>
        </row>
        <row r="732">
          <cell r="A732" t="str">
            <v>50800509620</v>
          </cell>
          <cell r="B732" t="str">
            <v>ZMFD</v>
          </cell>
          <cell r="C732">
            <v>45449</v>
          </cell>
          <cell r="D732" t="str">
            <v>Not delivered</v>
          </cell>
          <cell r="E732">
            <v>508005096</v>
          </cell>
          <cell r="F732">
            <v>20</v>
          </cell>
          <cell r="G732">
            <v>1389067</v>
          </cell>
          <cell r="H732" t="str">
            <v>CM-294:GODET MAGNETIC GLOW G0S4-04-0092</v>
          </cell>
          <cell r="I732">
            <v>10472</v>
          </cell>
          <cell r="J732" t="str">
            <v>UN</v>
          </cell>
          <cell r="K732">
            <v>45639</v>
          </cell>
        </row>
        <row r="733">
          <cell r="A733" t="str">
            <v>50800508210</v>
          </cell>
          <cell r="B733" t="str">
            <v>ZMFD</v>
          </cell>
          <cell r="C733">
            <v>45436</v>
          </cell>
          <cell r="D733" t="str">
            <v>Not delivered</v>
          </cell>
          <cell r="E733">
            <v>508005082</v>
          </cell>
          <cell r="F733">
            <v>10</v>
          </cell>
          <cell r="G733">
            <v>1331787</v>
          </cell>
          <cell r="H733" t="str">
            <v>CM-216:TRUE MATCH BLUSH W/O BRUSH LOR US</v>
          </cell>
          <cell r="I733">
            <v>174200</v>
          </cell>
          <cell r="J733" t="str">
            <v>UN</v>
          </cell>
          <cell r="K733">
            <v>45639</v>
          </cell>
        </row>
        <row r="734">
          <cell r="A734" t="str">
            <v>50800533910</v>
          </cell>
          <cell r="B734" t="str">
            <v>ZMFD</v>
          </cell>
          <cell r="C734">
            <v>45576</v>
          </cell>
          <cell r="D734" t="str">
            <v>Not delivered</v>
          </cell>
          <cell r="E734">
            <v>508005339</v>
          </cell>
          <cell r="F734">
            <v>10</v>
          </cell>
          <cell r="G734">
            <v>1436831</v>
          </cell>
          <cell r="H734" t="str">
            <v>CM-133:CV/BS MTLC GREUV S/SLV RV1 PTI30C</v>
          </cell>
          <cell r="I734">
            <v>10080</v>
          </cell>
          <cell r="J734" t="str">
            <v>UN</v>
          </cell>
          <cell r="K734">
            <v>45642</v>
          </cell>
        </row>
        <row r="735">
          <cell r="A735" t="str">
            <v>50800531230</v>
          </cell>
          <cell r="B735" t="str">
            <v>ZMFD</v>
          </cell>
          <cell r="C735">
            <v>45569</v>
          </cell>
          <cell r="D735" t="str">
            <v>Not delivered</v>
          </cell>
          <cell r="E735">
            <v>508005312</v>
          </cell>
          <cell r="F735">
            <v>30</v>
          </cell>
          <cell r="G735">
            <v>1153319</v>
          </cell>
          <cell r="H735" t="str">
            <v>LS-285:BS/SPRL BEIGE P/WRDH PTI 40H</v>
          </cell>
          <cell r="I735">
            <v>25000</v>
          </cell>
          <cell r="J735" t="str">
            <v>UN</v>
          </cell>
          <cell r="K735">
            <v>45642</v>
          </cell>
        </row>
        <row r="736">
          <cell r="A736" t="str">
            <v>50800531240</v>
          </cell>
          <cell r="B736" t="str">
            <v>ZMFD</v>
          </cell>
          <cell r="C736">
            <v>45569</v>
          </cell>
          <cell r="D736" t="str">
            <v>Not delivered</v>
          </cell>
          <cell r="E736">
            <v>508005312</v>
          </cell>
          <cell r="F736">
            <v>40</v>
          </cell>
          <cell r="G736">
            <v>1153468</v>
          </cell>
          <cell r="H736" t="str">
            <v>LS-285:CVR MT BEIGE P/S.JEJU PTI 40H</v>
          </cell>
          <cell r="I736">
            <v>25000</v>
          </cell>
          <cell r="J736" t="str">
            <v>UN</v>
          </cell>
          <cell r="K736">
            <v>45642</v>
          </cell>
        </row>
        <row r="737">
          <cell r="A737" t="str">
            <v>50800529760</v>
          </cell>
          <cell r="B737" t="str">
            <v>ZMFD</v>
          </cell>
          <cell r="C737">
            <v>45565</v>
          </cell>
          <cell r="D737" t="str">
            <v>Not delivered</v>
          </cell>
          <cell r="E737">
            <v>508005297</v>
          </cell>
          <cell r="F737">
            <v>60</v>
          </cell>
          <cell r="G737">
            <v>1419488</v>
          </cell>
          <cell r="H737" t="str">
            <v>CP-063R:SPOUT CAP WHITE LOREAL 12A</v>
          </cell>
          <cell r="I737">
            <v>1890000</v>
          </cell>
          <cell r="J737" t="str">
            <v>UN</v>
          </cell>
          <cell r="K737">
            <v>45642</v>
          </cell>
        </row>
        <row r="738">
          <cell r="A738" t="str">
            <v>50714271710</v>
          </cell>
          <cell r="B738" t="str">
            <v>ZMTD</v>
          </cell>
          <cell r="C738">
            <v>45538</v>
          </cell>
          <cell r="D738" t="str">
            <v>Not delivered</v>
          </cell>
          <cell r="E738">
            <v>507142717</v>
          </cell>
          <cell r="F738">
            <v>10</v>
          </cell>
          <cell r="G738">
            <v>1435161</v>
          </cell>
          <cell r="H738" t="str">
            <v>CP-095:BLACK U/CLEAR CHRISTMAS 25</v>
          </cell>
          <cell r="I738">
            <v>29160</v>
          </cell>
          <cell r="J738" t="str">
            <v>UN</v>
          </cell>
          <cell r="K738">
            <v>45642</v>
          </cell>
        </row>
        <row r="739">
          <cell r="A739" t="str">
            <v>50800514950</v>
          </cell>
          <cell r="B739" t="str">
            <v>ZMFD</v>
          </cell>
          <cell r="C739">
            <v>45464</v>
          </cell>
          <cell r="D739" t="str">
            <v>Not delivered</v>
          </cell>
          <cell r="E739">
            <v>508005149</v>
          </cell>
          <cell r="F739">
            <v>50</v>
          </cell>
          <cell r="G739">
            <v>1378563</v>
          </cell>
          <cell r="H739" t="str">
            <v>CP-093:CAP D50 MT BLACK Ø.5 YASULOR 12A</v>
          </cell>
          <cell r="I739">
            <v>600000</v>
          </cell>
          <cell r="J739" t="str">
            <v>UN</v>
          </cell>
          <cell r="K739">
            <v>45642</v>
          </cell>
        </row>
        <row r="740">
          <cell r="A740" t="str">
            <v>50714131990</v>
          </cell>
          <cell r="B740" t="str">
            <v>ZMTD</v>
          </cell>
          <cell r="C740">
            <v>45247</v>
          </cell>
          <cell r="D740" t="str">
            <v>Not delivered</v>
          </cell>
          <cell r="E740">
            <v>507141319</v>
          </cell>
          <cell r="F740">
            <v>90</v>
          </cell>
          <cell r="G740">
            <v>1383698</v>
          </cell>
          <cell r="H740" t="str">
            <v>PT-098:CVR WHT PLUG NAT NDC MENTARI 12A</v>
          </cell>
          <cell r="I740">
            <v>1800</v>
          </cell>
          <cell r="J740" t="str">
            <v>UN</v>
          </cell>
          <cell r="K740">
            <v>45642</v>
          </cell>
        </row>
        <row r="741">
          <cell r="A741" t="str">
            <v>507141319100</v>
          </cell>
          <cell r="B741" t="str">
            <v>ZMTD</v>
          </cell>
          <cell r="C741">
            <v>45247</v>
          </cell>
          <cell r="D741" t="str">
            <v>Not delivered</v>
          </cell>
          <cell r="E741">
            <v>507141319</v>
          </cell>
          <cell r="F741">
            <v>100</v>
          </cell>
          <cell r="G741">
            <v>1383699</v>
          </cell>
          <cell r="H741" t="str">
            <v>PT-098:BS CLR REFIL WHT 12.5G MENTARI12A</v>
          </cell>
          <cell r="I741">
            <v>1800</v>
          </cell>
          <cell r="J741" t="str">
            <v>UN</v>
          </cell>
          <cell r="K741">
            <v>45642</v>
          </cell>
        </row>
        <row r="742">
          <cell r="A742" t="str">
            <v>50800529410</v>
          </cell>
          <cell r="B742" t="str">
            <v>ZMFD</v>
          </cell>
          <cell r="C742">
            <v>45560</v>
          </cell>
          <cell r="D742" t="str">
            <v>Not delivered</v>
          </cell>
          <cell r="E742">
            <v>508005294</v>
          </cell>
          <cell r="F742">
            <v>10</v>
          </cell>
          <cell r="G742">
            <v>1286626</v>
          </cell>
          <cell r="H742" t="str">
            <v>FP-038:BASE AMBER GWLT010705 EL</v>
          </cell>
          <cell r="I742">
            <v>25020</v>
          </cell>
          <cell r="J742" t="str">
            <v>UN</v>
          </cell>
          <cell r="K742">
            <v>45643</v>
          </cell>
        </row>
        <row r="743">
          <cell r="A743" t="str">
            <v>50800528610</v>
          </cell>
          <cell r="B743" t="str">
            <v>ZMFD</v>
          </cell>
          <cell r="C743">
            <v>45558</v>
          </cell>
          <cell r="D743" t="str">
            <v>Not delivered</v>
          </cell>
          <cell r="E743">
            <v>508005286</v>
          </cell>
          <cell r="F743">
            <v>10</v>
          </cell>
          <cell r="G743">
            <v>1170578</v>
          </cell>
          <cell r="H743" t="str">
            <v>FP-029:CAP VM GOLD S/MATTE REEY010073</v>
          </cell>
          <cell r="I743">
            <v>25080</v>
          </cell>
          <cell r="J743" t="str">
            <v>UN</v>
          </cell>
          <cell r="K743">
            <v>45643</v>
          </cell>
        </row>
        <row r="744">
          <cell r="A744" t="str">
            <v>50714286070</v>
          </cell>
          <cell r="B744" t="str">
            <v>ZMTD</v>
          </cell>
          <cell r="C744">
            <v>45572</v>
          </cell>
          <cell r="D744" t="str">
            <v>Not delivered</v>
          </cell>
          <cell r="E744">
            <v>507142860</v>
          </cell>
          <cell r="F744">
            <v>70</v>
          </cell>
          <cell r="G744">
            <v>1376248</v>
          </cell>
          <cell r="H744" t="str">
            <v>FP-008:CVR L.PINK P/BLK MANDOM RV1 12A</v>
          </cell>
          <cell r="I744">
            <v>10000</v>
          </cell>
          <cell r="J744" t="str">
            <v>UN</v>
          </cell>
          <cell r="K744">
            <v>45644</v>
          </cell>
        </row>
        <row r="745">
          <cell r="A745" t="str">
            <v>50714286080</v>
          </cell>
          <cell r="B745" t="str">
            <v>ZMTD</v>
          </cell>
          <cell r="C745">
            <v>45572</v>
          </cell>
          <cell r="D745" t="str">
            <v>Not delivered</v>
          </cell>
          <cell r="E745">
            <v>507142860</v>
          </cell>
          <cell r="F745">
            <v>80</v>
          </cell>
          <cell r="G745">
            <v>1171179</v>
          </cell>
          <cell r="H745" t="str">
            <v>FP-008:BS INJ BLK NO DC MANDOM</v>
          </cell>
          <cell r="I745">
            <v>10000</v>
          </cell>
          <cell r="J745" t="str">
            <v>UN</v>
          </cell>
          <cell r="K745">
            <v>45644</v>
          </cell>
        </row>
        <row r="746">
          <cell r="A746" t="str">
            <v>50714286090</v>
          </cell>
          <cell r="B746" t="str">
            <v>ZMTD</v>
          </cell>
          <cell r="C746">
            <v>45572</v>
          </cell>
          <cell r="D746" t="str">
            <v>Not delivered</v>
          </cell>
          <cell r="E746">
            <v>507142860</v>
          </cell>
          <cell r="F746">
            <v>90</v>
          </cell>
          <cell r="G746">
            <v>1172027</v>
          </cell>
          <cell r="H746" t="str">
            <v>FP-008:SFT NAT L.HINGE W/LBL NO DC MDM</v>
          </cell>
          <cell r="I746">
            <v>10000</v>
          </cell>
          <cell r="J746" t="str">
            <v>UN</v>
          </cell>
          <cell r="K746">
            <v>45644</v>
          </cell>
        </row>
        <row r="747">
          <cell r="A747" t="str">
            <v>50800529770</v>
          </cell>
          <cell r="B747" t="str">
            <v>ZMFD</v>
          </cell>
          <cell r="C747">
            <v>45565</v>
          </cell>
          <cell r="D747" t="str">
            <v>Not delivered</v>
          </cell>
          <cell r="E747">
            <v>508005297</v>
          </cell>
          <cell r="F747">
            <v>70</v>
          </cell>
          <cell r="G747">
            <v>1419488</v>
          </cell>
          <cell r="H747" t="str">
            <v>CP-063R:SPOUT CAP WHITE LOREAL 12A</v>
          </cell>
          <cell r="I747">
            <v>1890000</v>
          </cell>
          <cell r="J747" t="str">
            <v>UN</v>
          </cell>
          <cell r="K747">
            <v>45644</v>
          </cell>
        </row>
        <row r="748">
          <cell r="A748" t="str">
            <v>50800528410</v>
          </cell>
          <cell r="B748" t="str">
            <v>ZMFD</v>
          </cell>
          <cell r="C748">
            <v>45554</v>
          </cell>
          <cell r="D748" t="str">
            <v>Not delivered</v>
          </cell>
          <cell r="E748">
            <v>508005284</v>
          </cell>
          <cell r="F748">
            <v>10</v>
          </cell>
          <cell r="G748">
            <v>1431861</v>
          </cell>
          <cell r="H748" t="str">
            <v>PT6029R JAR GARNIER 18ML NIGHT CRM (659)</v>
          </cell>
          <cell r="I748">
            <v>51856</v>
          </cell>
          <cell r="J748" t="str">
            <v>UN</v>
          </cell>
          <cell r="K748">
            <v>45644</v>
          </cell>
        </row>
        <row r="749">
          <cell r="A749" t="str">
            <v>50714276330</v>
          </cell>
          <cell r="B749" t="str">
            <v>ZMTD</v>
          </cell>
          <cell r="C749">
            <v>45552</v>
          </cell>
          <cell r="D749" t="str">
            <v>Not delivered</v>
          </cell>
          <cell r="E749">
            <v>507142763</v>
          </cell>
          <cell r="F749">
            <v>30</v>
          </cell>
          <cell r="G749">
            <v>1182817</v>
          </cell>
          <cell r="H749" t="str">
            <v>FP-014:JAR P/BLACK ALMAY</v>
          </cell>
          <cell r="I749">
            <v>25056</v>
          </cell>
          <cell r="J749" t="str">
            <v>UN</v>
          </cell>
          <cell r="K749">
            <v>45644</v>
          </cell>
        </row>
        <row r="750">
          <cell r="A750" t="str">
            <v>50714276450</v>
          </cell>
          <cell r="B750" t="str">
            <v>ZMTD</v>
          </cell>
          <cell r="C750">
            <v>45552</v>
          </cell>
          <cell r="D750" t="str">
            <v>Not delivered</v>
          </cell>
          <cell r="E750">
            <v>507142764</v>
          </cell>
          <cell r="F750">
            <v>50</v>
          </cell>
          <cell r="G750">
            <v>1211756</v>
          </cell>
          <cell r="H750" t="str">
            <v>CM-246:COVER VM SHNY SLV ALMOST PWD</v>
          </cell>
          <cell r="I750">
            <v>120120</v>
          </cell>
          <cell r="J750" t="str">
            <v>UN</v>
          </cell>
          <cell r="K750">
            <v>45644</v>
          </cell>
        </row>
        <row r="751">
          <cell r="A751" t="str">
            <v>50800528010</v>
          </cell>
          <cell r="B751" t="str">
            <v>ZMFD</v>
          </cell>
          <cell r="C751">
            <v>45553</v>
          </cell>
          <cell r="D751" t="str">
            <v>Not delivered</v>
          </cell>
          <cell r="E751">
            <v>508005280</v>
          </cell>
          <cell r="F751">
            <v>10</v>
          </cell>
          <cell r="G751">
            <v>1169286</v>
          </cell>
          <cell r="H751" t="str">
            <v>CM-294:RECTANGULAR WITH GODET PKTJ010032</v>
          </cell>
          <cell r="I751">
            <v>46880</v>
          </cell>
          <cell r="J751" t="str">
            <v>UN</v>
          </cell>
          <cell r="K751">
            <v>45645</v>
          </cell>
        </row>
        <row r="752">
          <cell r="A752" t="str">
            <v>50800523310</v>
          </cell>
          <cell r="B752" t="str">
            <v>ZMFD</v>
          </cell>
          <cell r="C752">
            <v>45504</v>
          </cell>
          <cell r="D752" t="str">
            <v>Not delivered</v>
          </cell>
          <cell r="E752">
            <v>508005233</v>
          </cell>
          <cell r="F752">
            <v>10</v>
          </cell>
          <cell r="G752">
            <v>1169152</v>
          </cell>
          <cell r="H752" t="str">
            <v>CM-295:SQUARE COMPACT&amp;GODET PHHT010032</v>
          </cell>
          <cell r="I752">
            <v>20040</v>
          </cell>
          <cell r="J752" t="str">
            <v>UN</v>
          </cell>
          <cell r="K752">
            <v>45645</v>
          </cell>
        </row>
        <row r="753">
          <cell r="A753" t="str">
            <v>50714285210</v>
          </cell>
          <cell r="B753" t="str">
            <v>ZMTD</v>
          </cell>
          <cell r="C753">
            <v>45569</v>
          </cell>
          <cell r="D753" t="str">
            <v>Not delivered</v>
          </cell>
          <cell r="E753">
            <v>507142852</v>
          </cell>
          <cell r="F753">
            <v>10</v>
          </cell>
          <cell r="G753">
            <v>1431860</v>
          </cell>
          <cell r="H753" t="str">
            <v>PT6029R CAP GARNIER 18ML WHITE PLZ (553)</v>
          </cell>
          <cell r="I753">
            <v>52080</v>
          </cell>
          <cell r="J753" t="str">
            <v>UN</v>
          </cell>
          <cell r="K753">
            <v>45646</v>
          </cell>
        </row>
        <row r="754">
          <cell r="A754" t="str">
            <v>50800529780</v>
          </cell>
          <cell r="B754" t="str">
            <v>ZMFD</v>
          </cell>
          <cell r="C754">
            <v>45565</v>
          </cell>
          <cell r="D754" t="str">
            <v>Not delivered</v>
          </cell>
          <cell r="E754">
            <v>508005297</v>
          </cell>
          <cell r="F754">
            <v>80</v>
          </cell>
          <cell r="G754">
            <v>1419488</v>
          </cell>
          <cell r="H754" t="str">
            <v>CP-063R:SPOUT CAP WHITE LOREAL 12A</v>
          </cell>
          <cell r="I754">
            <v>1890000</v>
          </cell>
          <cell r="J754" t="str">
            <v>UN</v>
          </cell>
          <cell r="K754">
            <v>45646</v>
          </cell>
        </row>
        <row r="755">
          <cell r="A755" t="str">
            <v>50714257520</v>
          </cell>
          <cell r="B755" t="str">
            <v>ZMTD</v>
          </cell>
          <cell r="C755">
            <v>45499</v>
          </cell>
          <cell r="D755" t="str">
            <v>Not delivered</v>
          </cell>
          <cell r="E755">
            <v>507142575</v>
          </cell>
          <cell r="F755">
            <v>20</v>
          </cell>
          <cell r="G755">
            <v>1431860</v>
          </cell>
          <cell r="H755" t="str">
            <v>PT6029R CAP GARNIER 18ML WHITE PLZ (553)</v>
          </cell>
          <cell r="I755">
            <v>20160</v>
          </cell>
          <cell r="J755" t="str">
            <v>UN</v>
          </cell>
          <cell r="K755">
            <v>45646</v>
          </cell>
        </row>
        <row r="756">
          <cell r="A756" t="str">
            <v>50800514960</v>
          </cell>
          <cell r="B756" t="str">
            <v>ZMFD</v>
          </cell>
          <cell r="C756">
            <v>45464</v>
          </cell>
          <cell r="D756" t="str">
            <v>Not delivered</v>
          </cell>
          <cell r="E756">
            <v>508005149</v>
          </cell>
          <cell r="F756">
            <v>60</v>
          </cell>
          <cell r="G756">
            <v>1378563</v>
          </cell>
          <cell r="H756" t="str">
            <v>CP-093:CAP D50 MT BLACK Ø.5 YASULOR 12A</v>
          </cell>
          <cell r="I756">
            <v>600000</v>
          </cell>
          <cell r="J756" t="str">
            <v>UN</v>
          </cell>
          <cell r="K756">
            <v>45646</v>
          </cell>
        </row>
        <row r="757">
          <cell r="A757" t="str">
            <v>50714139120</v>
          </cell>
          <cell r="B757" t="str">
            <v>ZMTD</v>
          </cell>
          <cell r="C757">
            <v>45265</v>
          </cell>
          <cell r="D757" t="str">
            <v>Not delivered</v>
          </cell>
          <cell r="E757">
            <v>507141391</v>
          </cell>
          <cell r="F757">
            <v>20</v>
          </cell>
          <cell r="G757">
            <v>1259608</v>
          </cell>
          <cell r="H757" t="str">
            <v>CM-302:MUFE MEDIUM FLEXI MAGNET SUPERMAT</v>
          </cell>
          <cell r="I757">
            <v>51408</v>
          </cell>
          <cell r="J757" t="str">
            <v>UN</v>
          </cell>
          <cell r="K757">
            <v>45646</v>
          </cell>
        </row>
        <row r="758">
          <cell r="A758" t="str">
            <v>50714112220</v>
          </cell>
          <cell r="B758" t="str">
            <v>ZMTD</v>
          </cell>
          <cell r="C758">
            <v>45195</v>
          </cell>
          <cell r="D758" t="str">
            <v>Not delivered</v>
          </cell>
          <cell r="E758">
            <v>507141122</v>
          </cell>
          <cell r="F758">
            <v>20</v>
          </cell>
          <cell r="G758">
            <v>1273398</v>
          </cell>
          <cell r="H758" t="str">
            <v>CM-309:FAC-098 BTIR MNO BRNZR INSRT ROND</v>
          </cell>
          <cell r="I758">
            <v>50400</v>
          </cell>
          <cell r="J758" t="str">
            <v>UN</v>
          </cell>
          <cell r="K758">
            <v>45646</v>
          </cell>
        </row>
        <row r="759">
          <cell r="A759" t="str">
            <v>50714112230</v>
          </cell>
          <cell r="B759" t="str">
            <v>ZMTD</v>
          </cell>
          <cell r="C759">
            <v>45195</v>
          </cell>
          <cell r="D759" t="str">
            <v>Not delivered</v>
          </cell>
          <cell r="E759">
            <v>507141122</v>
          </cell>
          <cell r="F759">
            <v>30</v>
          </cell>
          <cell r="G759">
            <v>1273398</v>
          </cell>
          <cell r="H759" t="str">
            <v>CM-309:FAC-098 BTIR MNO BRNZR INSRT ROND</v>
          </cell>
          <cell r="I759">
            <v>50400</v>
          </cell>
          <cell r="J759" t="str">
            <v>UN</v>
          </cell>
          <cell r="K759">
            <v>45646</v>
          </cell>
        </row>
        <row r="760">
          <cell r="A760" t="str">
            <v>507142860100</v>
          </cell>
          <cell r="B760" t="str">
            <v>ZMTD</v>
          </cell>
          <cell r="C760">
            <v>45572</v>
          </cell>
          <cell r="D760" t="str">
            <v>Not delivered</v>
          </cell>
          <cell r="E760">
            <v>507142860</v>
          </cell>
          <cell r="F760">
            <v>100</v>
          </cell>
          <cell r="G760">
            <v>1376248</v>
          </cell>
          <cell r="H760" t="str">
            <v>FP-008:CVR L.PINK P/BLK MANDOM RV1 12A</v>
          </cell>
          <cell r="I760">
            <v>15000</v>
          </cell>
          <cell r="J760" t="str">
            <v>UN</v>
          </cell>
          <cell r="K760">
            <v>45649</v>
          </cell>
        </row>
        <row r="761">
          <cell r="A761" t="str">
            <v>507142860110</v>
          </cell>
          <cell r="B761" t="str">
            <v>ZMTD</v>
          </cell>
          <cell r="C761">
            <v>45572</v>
          </cell>
          <cell r="D761" t="str">
            <v>Not delivered</v>
          </cell>
          <cell r="E761">
            <v>507142860</v>
          </cell>
          <cell r="F761">
            <v>110</v>
          </cell>
          <cell r="G761">
            <v>1171179</v>
          </cell>
          <cell r="H761" t="str">
            <v>FP-008:BS INJ BLK NO DC MANDOM</v>
          </cell>
          <cell r="I761">
            <v>15000</v>
          </cell>
          <cell r="J761" t="str">
            <v>UN</v>
          </cell>
          <cell r="K761">
            <v>45649</v>
          </cell>
        </row>
        <row r="762">
          <cell r="A762" t="str">
            <v>507142860120</v>
          </cell>
          <cell r="B762" t="str">
            <v>ZMTD</v>
          </cell>
          <cell r="C762">
            <v>45572</v>
          </cell>
          <cell r="D762" t="str">
            <v>Not delivered</v>
          </cell>
          <cell r="E762">
            <v>507142860</v>
          </cell>
          <cell r="F762">
            <v>120</v>
          </cell>
          <cell r="G762">
            <v>1172027</v>
          </cell>
          <cell r="H762" t="str">
            <v>FP-008:SFT NAT L.HINGE W/LBL NO DC MDM</v>
          </cell>
          <cell r="I762">
            <v>15000</v>
          </cell>
          <cell r="J762" t="str">
            <v>UN</v>
          </cell>
          <cell r="K762">
            <v>45649</v>
          </cell>
        </row>
        <row r="763">
          <cell r="A763" t="str">
            <v>50800528510</v>
          </cell>
          <cell r="B763" t="str">
            <v>ZMFD</v>
          </cell>
          <cell r="C763">
            <v>45558</v>
          </cell>
          <cell r="D763" t="str">
            <v>Not delivered</v>
          </cell>
          <cell r="E763">
            <v>508005285</v>
          </cell>
          <cell r="F763">
            <v>10</v>
          </cell>
          <cell r="G763">
            <v>1163327</v>
          </cell>
          <cell r="H763" t="str">
            <v>CM-246:CVR S.SLV PAN WHITE 6MPY 01 0034</v>
          </cell>
          <cell r="I763">
            <v>25056</v>
          </cell>
          <cell r="J763" t="str">
            <v>UN</v>
          </cell>
          <cell r="K763">
            <v>45650</v>
          </cell>
        </row>
        <row r="764">
          <cell r="A764" t="str">
            <v>50800528710</v>
          </cell>
          <cell r="B764" t="str">
            <v>ZMFD</v>
          </cell>
          <cell r="C764">
            <v>45558</v>
          </cell>
          <cell r="D764" t="str">
            <v>Not delivered</v>
          </cell>
          <cell r="E764">
            <v>508005287</v>
          </cell>
          <cell r="F764">
            <v>10</v>
          </cell>
          <cell r="G764">
            <v>1305089</v>
          </cell>
          <cell r="H764" t="str">
            <v>CM-207:VM SHY SLV P/MATTE ZGH6010038 EL</v>
          </cell>
          <cell r="I764">
            <v>25920</v>
          </cell>
          <cell r="J764" t="str">
            <v>UN</v>
          </cell>
          <cell r="K764">
            <v>45650</v>
          </cell>
        </row>
        <row r="765">
          <cell r="A765" t="str">
            <v>50714277770</v>
          </cell>
          <cell r="B765" t="str">
            <v>ZMTD</v>
          </cell>
          <cell r="C765">
            <v>45554</v>
          </cell>
          <cell r="D765" t="str">
            <v>Not delivered</v>
          </cell>
          <cell r="E765">
            <v>507142777</v>
          </cell>
          <cell r="F765">
            <v>70</v>
          </cell>
          <cell r="G765">
            <v>1435311</v>
          </cell>
          <cell r="H765" t="str">
            <v>LC-002:BTL/COL MTGRAD SLV AZURA LION 40D</v>
          </cell>
          <cell r="I765">
            <v>48510</v>
          </cell>
          <cell r="J765" t="str">
            <v>UN</v>
          </cell>
          <cell r="K765">
            <v>45650</v>
          </cell>
        </row>
        <row r="766">
          <cell r="A766" t="str">
            <v>50714277780</v>
          </cell>
          <cell r="B766" t="str">
            <v>ZMTD</v>
          </cell>
          <cell r="C766">
            <v>45554</v>
          </cell>
          <cell r="D766" t="str">
            <v>Not delivered</v>
          </cell>
          <cell r="E766">
            <v>507142777</v>
          </cell>
          <cell r="F766">
            <v>80</v>
          </cell>
          <cell r="G766">
            <v>1435313</v>
          </cell>
          <cell r="H766" t="str">
            <v>LC-002:CAP MT SILVER S/AZURA LION 40C</v>
          </cell>
          <cell r="I766">
            <v>48510</v>
          </cell>
          <cell r="J766" t="str">
            <v>UN</v>
          </cell>
          <cell r="K766">
            <v>45650</v>
          </cell>
        </row>
        <row r="767">
          <cell r="A767" t="str">
            <v>50800526220</v>
          </cell>
          <cell r="B767" t="str">
            <v>ZMFD</v>
          </cell>
          <cell r="C767">
            <v>45524</v>
          </cell>
          <cell r="D767" t="str">
            <v>Not delivered</v>
          </cell>
          <cell r="E767">
            <v>508005262</v>
          </cell>
          <cell r="F767">
            <v>20</v>
          </cell>
          <cell r="G767">
            <v>1163327</v>
          </cell>
          <cell r="H767" t="str">
            <v>CM-246:CVR S.SLV PAN WHITE 6MPY 01 0034</v>
          </cell>
          <cell r="I767">
            <v>25056</v>
          </cell>
          <cell r="J767" t="str">
            <v>UN</v>
          </cell>
          <cell r="K767">
            <v>45650</v>
          </cell>
        </row>
        <row r="768">
          <cell r="A768" t="str">
            <v>50800523320</v>
          </cell>
          <cell r="B768" t="str">
            <v>ZMFD</v>
          </cell>
          <cell r="C768">
            <v>45504</v>
          </cell>
          <cell r="D768" t="str">
            <v>Not delivered</v>
          </cell>
          <cell r="E768">
            <v>508005233</v>
          </cell>
          <cell r="F768">
            <v>20</v>
          </cell>
          <cell r="G768">
            <v>1169152</v>
          </cell>
          <cell r="H768" t="str">
            <v>CM-295:SQUARE COMPACT&amp;GODET PHHT010032</v>
          </cell>
          <cell r="I768">
            <v>20040</v>
          </cell>
          <cell r="J768" t="str">
            <v>UN</v>
          </cell>
          <cell r="K768">
            <v>45650</v>
          </cell>
        </row>
        <row r="769">
          <cell r="A769" t="str">
            <v>50800509820</v>
          </cell>
          <cell r="B769" t="str">
            <v>ZMFD</v>
          </cell>
          <cell r="C769">
            <v>45449</v>
          </cell>
          <cell r="D769" t="str">
            <v>Not delivered</v>
          </cell>
          <cell r="E769">
            <v>508005098</v>
          </cell>
          <cell r="F769">
            <v>20</v>
          </cell>
          <cell r="G769">
            <v>1390352</v>
          </cell>
          <cell r="H769" t="str">
            <v>CM-294:GODET SENSOUSE ROSE G0S4-06-0092</v>
          </cell>
          <cell r="I769">
            <v>10472</v>
          </cell>
          <cell r="J769" t="str">
            <v>UN</v>
          </cell>
          <cell r="K769">
            <v>45650</v>
          </cell>
        </row>
        <row r="770">
          <cell r="A770" t="str">
            <v>50800528020</v>
          </cell>
          <cell r="B770" t="str">
            <v>ZMFD</v>
          </cell>
          <cell r="C770">
            <v>45553</v>
          </cell>
          <cell r="D770" t="str">
            <v>Not delivered</v>
          </cell>
          <cell r="E770">
            <v>508005280</v>
          </cell>
          <cell r="F770">
            <v>20</v>
          </cell>
          <cell r="G770">
            <v>1169286</v>
          </cell>
          <cell r="H770" t="str">
            <v>CM-294:RECTANGULAR WITH GODET PKTJ010032</v>
          </cell>
          <cell r="I770">
            <v>35000</v>
          </cell>
          <cell r="J770" t="str">
            <v>UN</v>
          </cell>
          <cell r="K770">
            <v>45652</v>
          </cell>
        </row>
        <row r="771">
          <cell r="A771" t="str">
            <v>50800533710</v>
          </cell>
          <cell r="B771" t="str">
            <v>ZMFD</v>
          </cell>
          <cell r="C771">
            <v>45574</v>
          </cell>
          <cell r="D771" t="str">
            <v>Not delivered</v>
          </cell>
          <cell r="E771">
            <v>508005337</v>
          </cell>
          <cell r="F771">
            <v>10</v>
          </cell>
          <cell r="G771">
            <v>1187960</v>
          </cell>
          <cell r="H771" t="str">
            <v>FP-014:CVR VMRAINBOW P/ULTM II RUDYS 40C</v>
          </cell>
          <cell r="I771">
            <v>15000</v>
          </cell>
          <cell r="J771" t="str">
            <v>UN</v>
          </cell>
          <cell r="K771">
            <v>45659</v>
          </cell>
        </row>
        <row r="772">
          <cell r="A772" t="str">
            <v>50800533720</v>
          </cell>
          <cell r="B772" t="str">
            <v>ZMFD</v>
          </cell>
          <cell r="C772">
            <v>45574</v>
          </cell>
          <cell r="D772" t="str">
            <v>Not delivered</v>
          </cell>
          <cell r="E772">
            <v>508005337</v>
          </cell>
          <cell r="F772">
            <v>20</v>
          </cell>
          <cell r="G772">
            <v>1172318</v>
          </cell>
          <cell r="H772" t="str">
            <v>FP-014:BASE CLEAR NO DC ULTIMA II RUDY S</v>
          </cell>
          <cell r="I772">
            <v>15000</v>
          </cell>
          <cell r="J772" t="str">
            <v>UN</v>
          </cell>
          <cell r="K772">
            <v>45659</v>
          </cell>
        </row>
        <row r="773">
          <cell r="A773" t="str">
            <v>50800533730</v>
          </cell>
          <cell r="B773" t="str">
            <v>ZMFD</v>
          </cell>
          <cell r="C773">
            <v>45574</v>
          </cell>
          <cell r="D773" t="str">
            <v>Not delivered</v>
          </cell>
          <cell r="E773">
            <v>508005337</v>
          </cell>
          <cell r="F773">
            <v>30</v>
          </cell>
          <cell r="G773">
            <v>1170826</v>
          </cell>
          <cell r="H773" t="str">
            <v>FP-014:SIFTER NT W/LBL NO DECO ULTIMA II</v>
          </cell>
          <cell r="I773">
            <v>15000</v>
          </cell>
          <cell r="J773" t="str">
            <v>UN</v>
          </cell>
          <cell r="K773">
            <v>45659</v>
          </cell>
        </row>
        <row r="774">
          <cell r="A774" t="str">
            <v>508005337100</v>
          </cell>
          <cell r="B774" t="str">
            <v>ZMFD</v>
          </cell>
          <cell r="C774">
            <v>45574</v>
          </cell>
          <cell r="D774" t="str">
            <v>Not delivered</v>
          </cell>
          <cell r="E774">
            <v>508005337</v>
          </cell>
          <cell r="F774">
            <v>100</v>
          </cell>
          <cell r="G774">
            <v>1215637</v>
          </cell>
          <cell r="H774" t="str">
            <v>CM-105:UV DBRW P/P8022C WWGLAM RUDYS 40C</v>
          </cell>
          <cell r="I774">
            <v>10000</v>
          </cell>
          <cell r="J774" t="str">
            <v>UN</v>
          </cell>
          <cell r="K774">
            <v>45659</v>
          </cell>
        </row>
        <row r="775">
          <cell r="A775" t="str">
            <v>50800531710</v>
          </cell>
          <cell r="B775" t="str">
            <v>ZMFD</v>
          </cell>
          <cell r="C775">
            <v>45573</v>
          </cell>
          <cell r="D775" t="str">
            <v>Not delivered</v>
          </cell>
          <cell r="E775">
            <v>508005317</v>
          </cell>
          <cell r="F775">
            <v>10</v>
          </cell>
          <cell r="G775">
            <v>1225723</v>
          </cell>
          <cell r="H775" t="str">
            <v>CL-003:CAP BEIGE P/EMINA WIP NAT PTI 60B</v>
          </cell>
          <cell r="I775">
            <v>50000</v>
          </cell>
          <cell r="J775" t="str">
            <v>UN</v>
          </cell>
          <cell r="K775">
            <v>45659</v>
          </cell>
        </row>
        <row r="776">
          <cell r="A776" t="str">
            <v>50800531720</v>
          </cell>
          <cell r="B776" t="str">
            <v>ZMFD</v>
          </cell>
          <cell r="C776">
            <v>45573</v>
          </cell>
          <cell r="D776" t="str">
            <v>Not delivered</v>
          </cell>
          <cell r="E776">
            <v>508005317</v>
          </cell>
          <cell r="F776">
            <v>20</v>
          </cell>
          <cell r="G776">
            <v>1225724</v>
          </cell>
          <cell r="H776" t="str">
            <v>CL-003:BTL CLR COL BEIGE P/EMINA PTI 60B</v>
          </cell>
          <cell r="I776">
            <v>50000</v>
          </cell>
          <cell r="J776" t="str">
            <v>UN</v>
          </cell>
          <cell r="K776">
            <v>45659</v>
          </cell>
        </row>
        <row r="777">
          <cell r="A777" t="str">
            <v>50800530410</v>
          </cell>
          <cell r="B777" t="str">
            <v>ZMFD</v>
          </cell>
          <cell r="C777">
            <v>45569</v>
          </cell>
          <cell r="D777" t="str">
            <v>Not delivered</v>
          </cell>
          <cell r="E777">
            <v>508005304</v>
          </cell>
          <cell r="F777">
            <v>10</v>
          </cell>
          <cell r="G777">
            <v>1419488</v>
          </cell>
          <cell r="H777" t="str">
            <v>CP-063R:SPOUT CAP WHITE LOREAL 12A</v>
          </cell>
          <cell r="I777">
            <v>1890000</v>
          </cell>
          <cell r="J777" t="str">
            <v>UN</v>
          </cell>
          <cell r="K777">
            <v>45659</v>
          </cell>
        </row>
        <row r="778">
          <cell r="A778" t="str">
            <v>50800530040</v>
          </cell>
          <cell r="B778" t="str">
            <v>ZMFD</v>
          </cell>
          <cell r="C778">
            <v>45567</v>
          </cell>
          <cell r="D778" t="str">
            <v>Not delivered</v>
          </cell>
          <cell r="E778">
            <v>508005300</v>
          </cell>
          <cell r="F778">
            <v>40</v>
          </cell>
          <cell r="G778">
            <v>1376248</v>
          </cell>
          <cell r="H778" t="str">
            <v>FP-008:CVR L.PINK P/BLK MANDOM RV1 12A</v>
          </cell>
          <cell r="I778">
            <v>25000</v>
          </cell>
          <cell r="J778" t="str">
            <v>UN</v>
          </cell>
          <cell r="K778">
            <v>45659</v>
          </cell>
        </row>
        <row r="779">
          <cell r="A779" t="str">
            <v>50800530050</v>
          </cell>
          <cell r="B779" t="str">
            <v>ZMFD</v>
          </cell>
          <cell r="C779">
            <v>45567</v>
          </cell>
          <cell r="D779" t="str">
            <v>Not delivered</v>
          </cell>
          <cell r="E779">
            <v>508005300</v>
          </cell>
          <cell r="F779">
            <v>50</v>
          </cell>
          <cell r="G779">
            <v>1171179</v>
          </cell>
          <cell r="H779" t="str">
            <v>FP-008:BS INJ BLK NO DC MANDOM</v>
          </cell>
          <cell r="I779">
            <v>25000</v>
          </cell>
          <cell r="J779" t="str">
            <v>UN</v>
          </cell>
          <cell r="K779">
            <v>45659</v>
          </cell>
        </row>
        <row r="780">
          <cell r="A780" t="str">
            <v>50800530060</v>
          </cell>
          <cell r="B780" t="str">
            <v>ZMFD</v>
          </cell>
          <cell r="C780">
            <v>45567</v>
          </cell>
          <cell r="D780" t="str">
            <v>Not delivered</v>
          </cell>
          <cell r="E780">
            <v>508005300</v>
          </cell>
          <cell r="F780">
            <v>60</v>
          </cell>
          <cell r="G780">
            <v>1172027</v>
          </cell>
          <cell r="H780" t="str">
            <v>FP-008:SFT NAT L.HINGE W/LBL NO DC MDM</v>
          </cell>
          <cell r="I780">
            <v>25000</v>
          </cell>
          <cell r="J780" t="str">
            <v>UN</v>
          </cell>
          <cell r="K780">
            <v>45659</v>
          </cell>
        </row>
        <row r="781">
          <cell r="A781" t="str">
            <v>50800528720</v>
          </cell>
          <cell r="B781" t="str">
            <v>ZMFD</v>
          </cell>
          <cell r="C781">
            <v>45558</v>
          </cell>
          <cell r="D781" t="str">
            <v>Not delivered</v>
          </cell>
          <cell r="E781">
            <v>508005287</v>
          </cell>
          <cell r="F781">
            <v>20</v>
          </cell>
          <cell r="G781">
            <v>1305089</v>
          </cell>
          <cell r="H781" t="str">
            <v>CM-207:VM SHY SLV P/MATTE ZGH6010038 EL</v>
          </cell>
          <cell r="I781">
            <v>25920</v>
          </cell>
          <cell r="J781" t="str">
            <v>UN</v>
          </cell>
          <cell r="K781">
            <v>45659</v>
          </cell>
        </row>
        <row r="782">
          <cell r="A782" t="str">
            <v>50714270710</v>
          </cell>
          <cell r="B782" t="str">
            <v>ZMTD</v>
          </cell>
          <cell r="C782">
            <v>45534</v>
          </cell>
          <cell r="D782" t="str">
            <v>Not delivered</v>
          </cell>
          <cell r="E782">
            <v>507142707</v>
          </cell>
          <cell r="F782">
            <v>10</v>
          </cell>
          <cell r="G782">
            <v>1187758</v>
          </cell>
          <cell r="H782" t="str">
            <v>CM-105:VM RAINBOW P/ULTIMA II RUDYS 40C</v>
          </cell>
          <cell r="I782">
            <v>20000</v>
          </cell>
          <cell r="J782" t="str">
            <v>UN</v>
          </cell>
          <cell r="K782">
            <v>45659</v>
          </cell>
        </row>
        <row r="783">
          <cell r="A783" t="str">
            <v>50800526410</v>
          </cell>
          <cell r="B783" t="str">
            <v>ZMFD</v>
          </cell>
          <cell r="C783">
            <v>45525</v>
          </cell>
          <cell r="D783" t="str">
            <v>Not delivered</v>
          </cell>
          <cell r="E783">
            <v>508005264</v>
          </cell>
          <cell r="F783">
            <v>10</v>
          </cell>
          <cell r="G783">
            <v>1187960</v>
          </cell>
          <cell r="H783" t="str">
            <v>FP-014:CVR VMRAINBOW P/ULTM II RUDYS 40C</v>
          </cell>
          <cell r="I783">
            <v>15000</v>
          </cell>
          <cell r="J783" t="str">
            <v>UN</v>
          </cell>
          <cell r="K783">
            <v>45659</v>
          </cell>
        </row>
        <row r="784">
          <cell r="A784" t="str">
            <v>50800526420</v>
          </cell>
          <cell r="B784" t="str">
            <v>ZMFD</v>
          </cell>
          <cell r="C784">
            <v>45525</v>
          </cell>
          <cell r="D784" t="str">
            <v>Not delivered</v>
          </cell>
          <cell r="E784">
            <v>508005264</v>
          </cell>
          <cell r="F784">
            <v>20</v>
          </cell>
          <cell r="G784">
            <v>1172318</v>
          </cell>
          <cell r="H784" t="str">
            <v>FP-014:BASE CLEAR NO DC ULTIMA II RUDY S</v>
          </cell>
          <cell r="I784">
            <v>15000</v>
          </cell>
          <cell r="J784" t="str">
            <v>UN</v>
          </cell>
          <cell r="K784">
            <v>45659</v>
          </cell>
        </row>
        <row r="785">
          <cell r="A785" t="str">
            <v>50800526430</v>
          </cell>
          <cell r="B785" t="str">
            <v>ZMFD</v>
          </cell>
          <cell r="C785">
            <v>45525</v>
          </cell>
          <cell r="D785" t="str">
            <v>Not delivered</v>
          </cell>
          <cell r="E785">
            <v>508005264</v>
          </cell>
          <cell r="F785">
            <v>30</v>
          </cell>
          <cell r="G785">
            <v>1170826</v>
          </cell>
          <cell r="H785" t="str">
            <v>FP-014:SIFTER NT W/LBL NO DECO ULTIMA II</v>
          </cell>
          <cell r="I785">
            <v>15000</v>
          </cell>
          <cell r="J785" t="str">
            <v>UN</v>
          </cell>
          <cell r="K785">
            <v>45659</v>
          </cell>
        </row>
        <row r="786">
          <cell r="A786" t="str">
            <v>50800531610</v>
          </cell>
          <cell r="B786" t="str">
            <v>ZMFD</v>
          </cell>
          <cell r="C786">
            <v>45573</v>
          </cell>
          <cell r="D786" t="str">
            <v>Not delivered</v>
          </cell>
          <cell r="E786">
            <v>508005316</v>
          </cell>
          <cell r="F786">
            <v>10</v>
          </cell>
          <cell r="G786">
            <v>1194012</v>
          </cell>
          <cell r="H786" t="str">
            <v>CP-090:ROSETNR VM RSPINK NO EMBOS PTI20F</v>
          </cell>
          <cell r="I786">
            <v>25000</v>
          </cell>
          <cell r="J786" t="str">
            <v>UN</v>
          </cell>
          <cell r="K786">
            <v>45660</v>
          </cell>
        </row>
        <row r="787">
          <cell r="A787" t="str">
            <v>50800531910</v>
          </cell>
          <cell r="B787" t="str">
            <v>ZMFD</v>
          </cell>
          <cell r="C787">
            <v>45573</v>
          </cell>
          <cell r="D787" t="str">
            <v>Not delivered</v>
          </cell>
          <cell r="E787">
            <v>508005319</v>
          </cell>
          <cell r="F787">
            <v>10</v>
          </cell>
          <cell r="G787">
            <v>1285116</v>
          </cell>
          <cell r="H787" t="str">
            <v>CM-292:CV/BS MTBLK LENS S/SLV MO PTI 40C</v>
          </cell>
          <cell r="I787">
            <v>25000</v>
          </cell>
          <cell r="J787" t="str">
            <v>UN</v>
          </cell>
          <cell r="K787">
            <v>45660</v>
          </cell>
        </row>
        <row r="788">
          <cell r="A788" t="str">
            <v>50800532610</v>
          </cell>
          <cell r="B788" t="str">
            <v>ZMFD</v>
          </cell>
          <cell r="C788">
            <v>45573</v>
          </cell>
          <cell r="D788" t="str">
            <v>Not delivered</v>
          </cell>
          <cell r="E788">
            <v>508005326</v>
          </cell>
          <cell r="F788">
            <v>10</v>
          </cell>
          <cell r="G788">
            <v>1375595</v>
          </cell>
          <cell r="H788" t="str">
            <v>LC-009:BTL/INNER CLEAR P/OMG PTIPT 60B</v>
          </cell>
          <cell r="I788">
            <v>150000</v>
          </cell>
          <cell r="J788" t="str">
            <v>UN</v>
          </cell>
          <cell r="K788">
            <v>45660</v>
          </cell>
        </row>
        <row r="789">
          <cell r="A789" t="str">
            <v>50800532620</v>
          </cell>
          <cell r="B789" t="str">
            <v>ZMFD</v>
          </cell>
          <cell r="C789">
            <v>45573</v>
          </cell>
          <cell r="D789" t="str">
            <v>Not delivered</v>
          </cell>
          <cell r="E789">
            <v>508005326</v>
          </cell>
          <cell r="F789">
            <v>20</v>
          </cell>
          <cell r="G789">
            <v>1375593</v>
          </cell>
          <cell r="H789" t="str">
            <v>LC-009:CAP REDTRANS WIP S/OMG PTIPT 60B</v>
          </cell>
          <cell r="I789">
            <v>150000</v>
          </cell>
          <cell r="J789" t="str">
            <v>UN</v>
          </cell>
          <cell r="K789">
            <v>45660</v>
          </cell>
        </row>
        <row r="790">
          <cell r="A790" t="str">
            <v>50800533110</v>
          </cell>
          <cell r="B790" t="str">
            <v>ZMFD</v>
          </cell>
          <cell r="C790">
            <v>45573</v>
          </cell>
          <cell r="D790" t="str">
            <v>Not delivered</v>
          </cell>
          <cell r="E790">
            <v>508005331</v>
          </cell>
          <cell r="F790">
            <v>10</v>
          </cell>
          <cell r="G790">
            <v>1168132</v>
          </cell>
          <cell r="H790" t="str">
            <v>LS-285:BS WHT NO DC WARDAH</v>
          </cell>
          <cell r="I790">
            <v>70000</v>
          </cell>
          <cell r="J790" t="str">
            <v>UN</v>
          </cell>
          <cell r="K790">
            <v>45660</v>
          </cell>
        </row>
        <row r="791">
          <cell r="A791" t="str">
            <v>50800533120</v>
          </cell>
          <cell r="B791" t="str">
            <v>ZMFD</v>
          </cell>
          <cell r="C791">
            <v>45573</v>
          </cell>
          <cell r="D791" t="str">
            <v>Not delivered</v>
          </cell>
          <cell r="E791">
            <v>508005331</v>
          </cell>
          <cell r="F791">
            <v>20</v>
          </cell>
          <cell r="G791">
            <v>1421418</v>
          </cell>
          <cell r="H791" t="str">
            <v>LS-285:CV RED P/WHT UV STRAWBERY PTI 30O</v>
          </cell>
          <cell r="I791">
            <v>70000</v>
          </cell>
          <cell r="J791" t="str">
            <v>UN</v>
          </cell>
          <cell r="K791">
            <v>45660</v>
          </cell>
        </row>
        <row r="792">
          <cell r="A792" t="str">
            <v>507142860130</v>
          </cell>
          <cell r="B792" t="str">
            <v>ZMTD</v>
          </cell>
          <cell r="C792">
            <v>45572</v>
          </cell>
          <cell r="D792" t="str">
            <v>Not delivered</v>
          </cell>
          <cell r="E792">
            <v>507142860</v>
          </cell>
          <cell r="F792">
            <v>130</v>
          </cell>
          <cell r="G792">
            <v>1376248</v>
          </cell>
          <cell r="H792" t="str">
            <v>FP-008:CVR L.PINK P/BLK MANDOM RV1 12A</v>
          </cell>
          <cell r="I792">
            <v>10000</v>
          </cell>
          <cell r="J792" t="str">
            <v>UN</v>
          </cell>
          <cell r="K792">
            <v>45660</v>
          </cell>
        </row>
        <row r="793">
          <cell r="A793" t="str">
            <v>507142860140</v>
          </cell>
          <cell r="B793" t="str">
            <v>ZMTD</v>
          </cell>
          <cell r="C793">
            <v>45572</v>
          </cell>
          <cell r="D793" t="str">
            <v>Not delivered</v>
          </cell>
          <cell r="E793">
            <v>507142860</v>
          </cell>
          <cell r="F793">
            <v>140</v>
          </cell>
          <cell r="G793">
            <v>1171179</v>
          </cell>
          <cell r="H793" t="str">
            <v>FP-008:BS INJ BLK NO DC MANDOM</v>
          </cell>
          <cell r="I793">
            <v>10000</v>
          </cell>
          <cell r="J793" t="str">
            <v>UN</v>
          </cell>
          <cell r="K793">
            <v>45660</v>
          </cell>
        </row>
        <row r="794">
          <cell r="A794" t="str">
            <v>507142860150</v>
          </cell>
          <cell r="B794" t="str">
            <v>ZMTD</v>
          </cell>
          <cell r="C794">
            <v>45572</v>
          </cell>
          <cell r="D794" t="str">
            <v>Not delivered</v>
          </cell>
          <cell r="E794">
            <v>507142860</v>
          </cell>
          <cell r="F794">
            <v>150</v>
          </cell>
          <cell r="G794">
            <v>1172027</v>
          </cell>
          <cell r="H794" t="str">
            <v>FP-008:SFT NAT L.HINGE W/LBL NO DC MDM</v>
          </cell>
          <cell r="I794">
            <v>10000</v>
          </cell>
          <cell r="J794" t="str">
            <v>UN</v>
          </cell>
          <cell r="K794">
            <v>45660</v>
          </cell>
        </row>
        <row r="795">
          <cell r="A795" t="str">
            <v>50800530420</v>
          </cell>
          <cell r="B795" t="str">
            <v>ZMFD</v>
          </cell>
          <cell r="C795">
            <v>45569</v>
          </cell>
          <cell r="D795" t="str">
            <v>Not delivered</v>
          </cell>
          <cell r="E795">
            <v>508005304</v>
          </cell>
          <cell r="F795">
            <v>20</v>
          </cell>
          <cell r="G795">
            <v>1419488</v>
          </cell>
          <cell r="H795" t="str">
            <v>CP-063R:SPOUT CAP WHITE LOREAL 12A</v>
          </cell>
          <cell r="I795">
            <v>1890000</v>
          </cell>
          <cell r="J795" t="str">
            <v>UN</v>
          </cell>
          <cell r="K795">
            <v>45660</v>
          </cell>
        </row>
        <row r="796">
          <cell r="A796" t="str">
            <v>50800530430</v>
          </cell>
          <cell r="B796" t="str">
            <v>ZMFD</v>
          </cell>
          <cell r="C796">
            <v>45569</v>
          </cell>
          <cell r="D796" t="str">
            <v>Not delivered</v>
          </cell>
          <cell r="E796">
            <v>508005304</v>
          </cell>
          <cell r="F796">
            <v>30</v>
          </cell>
          <cell r="G796">
            <v>1419488</v>
          </cell>
          <cell r="H796" t="str">
            <v>CP-063R:SPOUT CAP WHITE LOREAL 12A</v>
          </cell>
          <cell r="I796">
            <v>1890000</v>
          </cell>
          <cell r="J796" t="str">
            <v>UN</v>
          </cell>
          <cell r="K796">
            <v>45660</v>
          </cell>
        </row>
        <row r="797">
          <cell r="A797" t="str">
            <v>50800529610</v>
          </cell>
          <cell r="B797" t="str">
            <v>ZMFD</v>
          </cell>
          <cell r="C797">
            <v>45565</v>
          </cell>
          <cell r="D797" t="str">
            <v>Not delivered</v>
          </cell>
          <cell r="E797">
            <v>508005296</v>
          </cell>
          <cell r="F797">
            <v>10</v>
          </cell>
          <cell r="G797">
            <v>1378563</v>
          </cell>
          <cell r="H797" t="str">
            <v>CP-093:CAP D50 MT BLACK Ø.5 YASULOR 12A</v>
          </cell>
          <cell r="I797">
            <v>600000</v>
          </cell>
          <cell r="J797" t="str">
            <v>UN</v>
          </cell>
          <cell r="K797">
            <v>45660</v>
          </cell>
        </row>
        <row r="798">
          <cell r="A798" t="str">
            <v>50800528030</v>
          </cell>
          <cell r="B798" t="str">
            <v>ZMFD</v>
          </cell>
          <cell r="C798">
            <v>45553</v>
          </cell>
          <cell r="D798" t="str">
            <v>Not delivered</v>
          </cell>
          <cell r="E798">
            <v>508005280</v>
          </cell>
          <cell r="F798">
            <v>30</v>
          </cell>
          <cell r="G798">
            <v>1169286</v>
          </cell>
          <cell r="H798" t="str">
            <v>CM-294:RECTANGULAR WITH GODET PKTJ010032</v>
          </cell>
          <cell r="I798">
            <v>53920</v>
          </cell>
          <cell r="J798" t="str">
            <v>UN</v>
          </cell>
          <cell r="K798">
            <v>45660</v>
          </cell>
        </row>
        <row r="799">
          <cell r="A799" t="str">
            <v>50714276310</v>
          </cell>
          <cell r="B799" t="str">
            <v>ZMTD</v>
          </cell>
          <cell r="C799">
            <v>45552</v>
          </cell>
          <cell r="D799" t="str">
            <v>Not delivered</v>
          </cell>
          <cell r="E799">
            <v>507142763</v>
          </cell>
          <cell r="F799">
            <v>10</v>
          </cell>
          <cell r="G799">
            <v>1240862</v>
          </cell>
          <cell r="H799" t="str">
            <v>FP-014 SIFTER NAT W/ORDERED LABEL REVLON</v>
          </cell>
          <cell r="I799">
            <v>38750</v>
          </cell>
          <cell r="J799" t="str">
            <v>UN</v>
          </cell>
          <cell r="K799">
            <v>45660</v>
          </cell>
        </row>
        <row r="800">
          <cell r="A800" t="str">
            <v>50714276320</v>
          </cell>
          <cell r="B800" t="str">
            <v>ZMTD</v>
          </cell>
          <cell r="C800">
            <v>45552</v>
          </cell>
          <cell r="D800" t="str">
            <v>Not delivered</v>
          </cell>
          <cell r="E800">
            <v>507142763</v>
          </cell>
          <cell r="F800">
            <v>20</v>
          </cell>
          <cell r="G800">
            <v>1171483</v>
          </cell>
          <cell r="H800" t="str">
            <v>FP-014:COVER GREY MATTE IN MOLD REVLON</v>
          </cell>
          <cell r="I800">
            <v>34992</v>
          </cell>
          <cell r="J800" t="str">
            <v>UN</v>
          </cell>
          <cell r="K800">
            <v>45660</v>
          </cell>
        </row>
        <row r="801">
          <cell r="A801" t="str">
            <v>50714276460</v>
          </cell>
          <cell r="B801" t="str">
            <v>ZMTD</v>
          </cell>
          <cell r="C801">
            <v>45552</v>
          </cell>
          <cell r="D801" t="str">
            <v>Not delivered</v>
          </cell>
          <cell r="E801">
            <v>507142764</v>
          </cell>
          <cell r="F801">
            <v>60</v>
          </cell>
          <cell r="G801">
            <v>1211756</v>
          </cell>
          <cell r="H801" t="str">
            <v>CM-246:COVER VM SHNY SLV ALMOST PWD</v>
          </cell>
          <cell r="I801">
            <v>120120</v>
          </cell>
          <cell r="J801" t="str">
            <v>UN</v>
          </cell>
          <cell r="K801">
            <v>45660</v>
          </cell>
        </row>
        <row r="802">
          <cell r="A802" t="str">
            <v>50714275810</v>
          </cell>
          <cell r="B802" t="str">
            <v>ZMTD</v>
          </cell>
          <cell r="C802">
            <v>45548</v>
          </cell>
          <cell r="D802" t="str">
            <v>Not delivered</v>
          </cell>
          <cell r="E802">
            <v>507142758</v>
          </cell>
          <cell r="F802">
            <v>10</v>
          </cell>
          <cell r="G802">
            <v>1432080</v>
          </cell>
          <cell r="H802" t="str">
            <v>CM-281:BS/CV TWC BLUE UV P/S/INEZ FTC30M</v>
          </cell>
          <cell r="I802">
            <v>25000</v>
          </cell>
          <cell r="J802" t="str">
            <v>UN</v>
          </cell>
          <cell r="K802">
            <v>45660</v>
          </cell>
        </row>
        <row r="803">
          <cell r="A803" t="str">
            <v>50800523330</v>
          </cell>
          <cell r="B803" t="str">
            <v>ZMFD</v>
          </cell>
          <cell r="C803">
            <v>45504</v>
          </cell>
          <cell r="D803" t="str">
            <v>Not delivered</v>
          </cell>
          <cell r="E803">
            <v>508005233</v>
          </cell>
          <cell r="F803">
            <v>30</v>
          </cell>
          <cell r="G803">
            <v>1169152</v>
          </cell>
          <cell r="H803" t="str">
            <v>CM-295:SQUARE COMPACT&amp;GODET PHHT010032</v>
          </cell>
          <cell r="I803">
            <v>20040</v>
          </cell>
          <cell r="J803" t="str">
            <v>UN</v>
          </cell>
          <cell r="K803">
            <v>45660</v>
          </cell>
        </row>
        <row r="804">
          <cell r="A804" t="str">
            <v>50800497840</v>
          </cell>
          <cell r="B804" t="str">
            <v>ZMFD</v>
          </cell>
          <cell r="C804">
            <v>45401</v>
          </cell>
          <cell r="D804" t="str">
            <v>Not delivered</v>
          </cell>
          <cell r="E804">
            <v>508004978</v>
          </cell>
          <cell r="F804">
            <v>40</v>
          </cell>
          <cell r="G804">
            <v>1188807</v>
          </cell>
          <cell r="H804" t="str">
            <v>RUBICELL PUFF WITH RIBBON P/KFSKIN MDALA</v>
          </cell>
          <cell r="I804">
            <v>10000</v>
          </cell>
          <cell r="J804" t="str">
            <v>UN</v>
          </cell>
          <cell r="K804">
            <v>45660</v>
          </cell>
        </row>
        <row r="805">
          <cell r="A805" t="str">
            <v>50800497850</v>
          </cell>
          <cell r="B805" t="str">
            <v>ZMFD</v>
          </cell>
          <cell r="C805">
            <v>45401</v>
          </cell>
          <cell r="D805" t="str">
            <v>Not delivered</v>
          </cell>
          <cell r="E805">
            <v>508004978</v>
          </cell>
          <cell r="F805">
            <v>50</v>
          </cell>
          <cell r="G805">
            <v>1188806</v>
          </cell>
          <cell r="H805" t="str">
            <v>FILLER SPONGE DIA 50X11.5MM GNRL</v>
          </cell>
          <cell r="I805">
            <v>10000</v>
          </cell>
          <cell r="J805" t="str">
            <v>UN</v>
          </cell>
          <cell r="K805">
            <v>45660</v>
          </cell>
        </row>
        <row r="806">
          <cell r="A806" t="str">
            <v>50800533410</v>
          </cell>
          <cell r="B806" t="str">
            <v>ZMFD</v>
          </cell>
          <cell r="C806">
            <v>45574</v>
          </cell>
          <cell r="D806" t="str">
            <v>Not delivered</v>
          </cell>
          <cell r="E806">
            <v>508005334</v>
          </cell>
          <cell r="F806">
            <v>10</v>
          </cell>
          <cell r="G806">
            <v>1437039</v>
          </cell>
          <cell r="H806" t="str">
            <v>CM-290:1PC BS CV MT.BLK S/ EMBOS OMG 40C</v>
          </cell>
          <cell r="I806">
            <v>25000</v>
          </cell>
          <cell r="J806" t="str">
            <v>UN</v>
          </cell>
          <cell r="K806">
            <v>45664</v>
          </cell>
        </row>
        <row r="807">
          <cell r="A807" t="str">
            <v>50800533420</v>
          </cell>
          <cell r="B807" t="str">
            <v>ZMFD</v>
          </cell>
          <cell r="C807">
            <v>45574</v>
          </cell>
          <cell r="D807" t="str">
            <v>Not delivered</v>
          </cell>
          <cell r="E807">
            <v>508005334</v>
          </cell>
          <cell r="F807">
            <v>20</v>
          </cell>
          <cell r="G807">
            <v>1437140</v>
          </cell>
          <cell r="H807" t="str">
            <v>CM-290:ENGINE CV RED, BS BLK OMG PTI 12A</v>
          </cell>
          <cell r="I807">
            <v>25000</v>
          </cell>
          <cell r="J807" t="str">
            <v>UN</v>
          </cell>
          <cell r="K807">
            <v>45664</v>
          </cell>
        </row>
        <row r="808">
          <cell r="A808" t="str">
            <v>50800533430</v>
          </cell>
          <cell r="B808" t="str">
            <v>ZMFD</v>
          </cell>
          <cell r="C808">
            <v>45574</v>
          </cell>
          <cell r="D808" t="str">
            <v>Not delivered</v>
          </cell>
          <cell r="E808">
            <v>508005334</v>
          </cell>
          <cell r="F808">
            <v>30</v>
          </cell>
          <cell r="G808">
            <v>1437141</v>
          </cell>
          <cell r="H808" t="str">
            <v>CM-290:RING BLACK OMG PTI 12A</v>
          </cell>
          <cell r="I808">
            <v>25000</v>
          </cell>
          <cell r="J808" t="str">
            <v>UN</v>
          </cell>
          <cell r="K808">
            <v>45664</v>
          </cell>
        </row>
        <row r="809">
          <cell r="A809" t="str">
            <v>50800531620</v>
          </cell>
          <cell r="B809" t="str">
            <v>ZMFD</v>
          </cell>
          <cell r="C809">
            <v>45573</v>
          </cell>
          <cell r="D809" t="str">
            <v>Not delivered</v>
          </cell>
          <cell r="E809">
            <v>508005316</v>
          </cell>
          <cell r="F809">
            <v>20</v>
          </cell>
          <cell r="G809">
            <v>1206787</v>
          </cell>
          <cell r="H809" t="str">
            <v>CP-090:CAP TONER VM SLV NO EMBOS PTI20F</v>
          </cell>
          <cell r="I809">
            <v>20000</v>
          </cell>
          <cell r="J809" t="str">
            <v>UN</v>
          </cell>
          <cell r="K809">
            <v>45664</v>
          </cell>
        </row>
        <row r="810">
          <cell r="A810" t="str">
            <v>50800532110</v>
          </cell>
          <cell r="B810" t="str">
            <v>ZMFD</v>
          </cell>
          <cell r="C810">
            <v>45573</v>
          </cell>
          <cell r="D810" t="str">
            <v>Not delivered</v>
          </cell>
          <cell r="E810">
            <v>508005321</v>
          </cell>
          <cell r="F810">
            <v>10</v>
          </cell>
          <cell r="G810">
            <v>1342220</v>
          </cell>
          <cell r="H810" t="str">
            <v>LC-010:BTL CLR HTF COLBEIGE CFIT PTI 60C</v>
          </cell>
          <cell r="I810">
            <v>50000</v>
          </cell>
          <cell r="J810" t="str">
            <v>UN</v>
          </cell>
          <cell r="K810">
            <v>45664</v>
          </cell>
        </row>
        <row r="811">
          <cell r="A811" t="str">
            <v>50800532120</v>
          </cell>
          <cell r="B811" t="str">
            <v>ZMFD</v>
          </cell>
          <cell r="C811">
            <v>45573</v>
          </cell>
          <cell r="D811" t="str">
            <v>Not delivered</v>
          </cell>
          <cell r="E811">
            <v>508005321</v>
          </cell>
          <cell r="F811">
            <v>20</v>
          </cell>
          <cell r="G811">
            <v>1342221</v>
          </cell>
          <cell r="H811" t="str">
            <v>LC-010:CAP BEIGE WIP NAT PTI 12A</v>
          </cell>
          <cell r="I811">
            <v>50000</v>
          </cell>
          <cell r="J811" t="str">
            <v>UN</v>
          </cell>
          <cell r="K811">
            <v>45664</v>
          </cell>
        </row>
        <row r="812">
          <cell r="A812" t="str">
            <v>50800532310</v>
          </cell>
          <cell r="B812" t="str">
            <v>ZMFD</v>
          </cell>
          <cell r="C812">
            <v>45573</v>
          </cell>
          <cell r="D812" t="str">
            <v>Not delivered</v>
          </cell>
          <cell r="E812">
            <v>508005323</v>
          </cell>
          <cell r="F812">
            <v>10</v>
          </cell>
          <cell r="G812">
            <v>1361170</v>
          </cell>
          <cell r="H812" t="str">
            <v>PT-097:BODY BLACK HOUSE WHT TRANS PTI12A</v>
          </cell>
          <cell r="I812">
            <v>110000</v>
          </cell>
          <cell r="J812" t="str">
            <v>UN</v>
          </cell>
          <cell r="K812">
            <v>45664</v>
          </cell>
        </row>
        <row r="813">
          <cell r="A813" t="str">
            <v>50800532320</v>
          </cell>
          <cell r="B813" t="str">
            <v>ZMFD</v>
          </cell>
          <cell r="C813">
            <v>45573</v>
          </cell>
          <cell r="D813" t="str">
            <v>Not delivered</v>
          </cell>
          <cell r="E813">
            <v>508005323</v>
          </cell>
          <cell r="F813">
            <v>20</v>
          </cell>
          <cell r="G813">
            <v>1361175</v>
          </cell>
          <cell r="H813" t="str">
            <v>PT-097:CAP BLACK TRANS PTI 12A</v>
          </cell>
          <cell r="I813">
            <v>110000</v>
          </cell>
          <cell r="J813" t="str">
            <v>UN</v>
          </cell>
          <cell r="K813">
            <v>45664</v>
          </cell>
        </row>
        <row r="814">
          <cell r="A814" t="str">
            <v>50800532410</v>
          </cell>
          <cell r="B814" t="str">
            <v>ZMFD</v>
          </cell>
          <cell r="C814">
            <v>45573</v>
          </cell>
          <cell r="D814" t="str">
            <v>Not delivered</v>
          </cell>
          <cell r="E814">
            <v>508005324</v>
          </cell>
          <cell r="F814">
            <v>10</v>
          </cell>
          <cell r="G814">
            <v>1367372</v>
          </cell>
          <cell r="H814" t="str">
            <v>PT-097:BODY GREN HOUSE WHT TRANS PTI 12A</v>
          </cell>
          <cell r="I814">
            <v>50000</v>
          </cell>
          <cell r="J814" t="str">
            <v>UN</v>
          </cell>
          <cell r="K814">
            <v>45664</v>
          </cell>
        </row>
        <row r="815">
          <cell r="A815" t="str">
            <v>50800532420</v>
          </cell>
          <cell r="B815" t="str">
            <v>ZMFD</v>
          </cell>
          <cell r="C815">
            <v>45573</v>
          </cell>
          <cell r="D815" t="str">
            <v>Not delivered</v>
          </cell>
          <cell r="E815">
            <v>508005324</v>
          </cell>
          <cell r="F815">
            <v>20</v>
          </cell>
          <cell r="G815">
            <v>1367370</v>
          </cell>
          <cell r="H815" t="str">
            <v>PT-097:CAP GREN TRANS PTI 12A</v>
          </cell>
          <cell r="I815">
            <v>50000</v>
          </cell>
          <cell r="J815" t="str">
            <v>UN</v>
          </cell>
          <cell r="K815">
            <v>45664</v>
          </cell>
        </row>
        <row r="816">
          <cell r="A816" t="str">
            <v>50800529620</v>
          </cell>
          <cell r="B816" t="str">
            <v>ZMFD</v>
          </cell>
          <cell r="C816">
            <v>45565</v>
          </cell>
          <cell r="D816" t="str">
            <v>Not delivered</v>
          </cell>
          <cell r="E816">
            <v>508005296</v>
          </cell>
          <cell r="F816">
            <v>20</v>
          </cell>
          <cell r="G816">
            <v>1378563</v>
          </cell>
          <cell r="H816" t="str">
            <v>CP-093:CAP D50 MT BLACK Ø.5 YASULOR 12A</v>
          </cell>
          <cell r="I816">
            <v>600000</v>
          </cell>
          <cell r="J816" t="str">
            <v>UN</v>
          </cell>
          <cell r="K816">
            <v>45664</v>
          </cell>
        </row>
        <row r="817">
          <cell r="A817" t="str">
            <v>50800533310</v>
          </cell>
          <cell r="B817" t="str">
            <v>ZMFD</v>
          </cell>
          <cell r="C817">
            <v>45574</v>
          </cell>
          <cell r="D817" t="str">
            <v>Not delivered</v>
          </cell>
          <cell r="E817">
            <v>508005333</v>
          </cell>
          <cell r="F817">
            <v>10</v>
          </cell>
          <cell r="G817">
            <v>1430094</v>
          </cell>
          <cell r="H817" t="str">
            <v>LS-285:BS BLUE NO DC WARDAH PTI 12A</v>
          </cell>
          <cell r="I817">
            <v>50000</v>
          </cell>
          <cell r="J817" t="str">
            <v>UN</v>
          </cell>
          <cell r="K817">
            <v>45665</v>
          </cell>
        </row>
        <row r="818">
          <cell r="A818" t="str">
            <v>50800533320</v>
          </cell>
          <cell r="B818" t="str">
            <v>ZMFD</v>
          </cell>
          <cell r="C818">
            <v>45574</v>
          </cell>
          <cell r="D818" t="str">
            <v>Not delivered</v>
          </cell>
          <cell r="E818">
            <v>508005333</v>
          </cell>
          <cell r="F818">
            <v>20</v>
          </cell>
          <cell r="G818">
            <v>1430093</v>
          </cell>
          <cell r="H818" t="str">
            <v>LS-285:CV MT.TR BLUE P/SHERCLEAR PTI 40H</v>
          </cell>
          <cell r="I818">
            <v>50000</v>
          </cell>
          <cell r="J818" t="str">
            <v>UN</v>
          </cell>
          <cell r="K818">
            <v>45665</v>
          </cell>
        </row>
        <row r="819">
          <cell r="A819" t="str">
            <v>50800532210</v>
          </cell>
          <cell r="B819" t="str">
            <v>ZMFD</v>
          </cell>
          <cell r="C819">
            <v>45573</v>
          </cell>
          <cell r="D819" t="str">
            <v>Not delivered</v>
          </cell>
          <cell r="E819">
            <v>508005322</v>
          </cell>
          <cell r="F819">
            <v>10</v>
          </cell>
          <cell r="G819">
            <v>1408740</v>
          </cell>
          <cell r="H819" t="str">
            <v>PT-097B:BDSR.2 BLU HOUS WHT TRNS PTI12A</v>
          </cell>
          <cell r="I819">
            <v>50000</v>
          </cell>
          <cell r="J819" t="str">
            <v>UN</v>
          </cell>
          <cell r="K819">
            <v>45665</v>
          </cell>
        </row>
        <row r="820">
          <cell r="A820" t="str">
            <v>50800532220</v>
          </cell>
          <cell r="B820" t="str">
            <v>ZMFD</v>
          </cell>
          <cell r="C820">
            <v>45573</v>
          </cell>
          <cell r="D820" t="str">
            <v>Not delivered</v>
          </cell>
          <cell r="E820">
            <v>508005322</v>
          </cell>
          <cell r="F820">
            <v>20</v>
          </cell>
          <cell r="G820">
            <v>1408739</v>
          </cell>
          <cell r="H820" t="str">
            <v>PT-097B:CAP SR.2 BLUE TRANS PTI 12A</v>
          </cell>
          <cell r="I820">
            <v>50000</v>
          </cell>
          <cell r="J820" t="str">
            <v>UN</v>
          </cell>
          <cell r="K820">
            <v>45665</v>
          </cell>
        </row>
        <row r="821">
          <cell r="A821" t="str">
            <v>50800533010</v>
          </cell>
          <cell r="B821" t="str">
            <v>ZMFD</v>
          </cell>
          <cell r="C821">
            <v>45573</v>
          </cell>
          <cell r="D821" t="str">
            <v>Not delivered</v>
          </cell>
          <cell r="E821">
            <v>508005330</v>
          </cell>
          <cell r="F821">
            <v>10</v>
          </cell>
          <cell r="G821">
            <v>1409881</v>
          </cell>
          <cell r="H821" t="str">
            <v>CM-315:CVR/BS BLACK P/CVRLAST OMG RV160B</v>
          </cell>
          <cell r="I821">
            <v>60000</v>
          </cell>
          <cell r="J821" t="str">
            <v>UN</v>
          </cell>
          <cell r="K821">
            <v>45665</v>
          </cell>
        </row>
        <row r="822">
          <cell r="A822" t="str">
            <v>50714285910</v>
          </cell>
          <cell r="B822" t="str">
            <v>ZMTD</v>
          </cell>
          <cell r="C822">
            <v>45572</v>
          </cell>
          <cell r="D822" t="str">
            <v>Not delivered</v>
          </cell>
          <cell r="E822">
            <v>507142859</v>
          </cell>
          <cell r="F822">
            <v>10</v>
          </cell>
          <cell r="G822">
            <v>1406600</v>
          </cell>
          <cell r="H822" t="str">
            <v>CM-310:BLACK M086 CANNAGE S/SLV UV MT</v>
          </cell>
          <cell r="I822">
            <v>39000</v>
          </cell>
          <cell r="J822" t="str">
            <v>UN</v>
          </cell>
          <cell r="K822">
            <v>45665</v>
          </cell>
        </row>
        <row r="823">
          <cell r="A823" t="str">
            <v>50800530440</v>
          </cell>
          <cell r="B823" t="str">
            <v>ZMFD</v>
          </cell>
          <cell r="C823">
            <v>45569</v>
          </cell>
          <cell r="D823" t="str">
            <v>Not delivered</v>
          </cell>
          <cell r="E823">
            <v>508005304</v>
          </cell>
          <cell r="F823">
            <v>40</v>
          </cell>
          <cell r="G823">
            <v>1419488</v>
          </cell>
          <cell r="H823" t="str">
            <v>CP-063R:SPOUT CAP WHITE LOREAL 12A</v>
          </cell>
          <cell r="I823">
            <v>1890000</v>
          </cell>
          <cell r="J823" t="str">
            <v>UN</v>
          </cell>
          <cell r="K823">
            <v>45665</v>
          </cell>
        </row>
        <row r="824">
          <cell r="A824" t="str">
            <v>50800528040</v>
          </cell>
          <cell r="B824" t="str">
            <v>ZMFD</v>
          </cell>
          <cell r="C824">
            <v>45553</v>
          </cell>
          <cell r="D824" t="str">
            <v>Not delivered</v>
          </cell>
          <cell r="E824">
            <v>508005280</v>
          </cell>
          <cell r="F824">
            <v>40</v>
          </cell>
          <cell r="G824">
            <v>1169286</v>
          </cell>
          <cell r="H824" t="str">
            <v>CM-294:RECTANGULAR WITH GODET PKTJ010032</v>
          </cell>
          <cell r="I824">
            <v>41840</v>
          </cell>
          <cell r="J824" t="str">
            <v>UN</v>
          </cell>
          <cell r="K824">
            <v>45665</v>
          </cell>
        </row>
        <row r="825">
          <cell r="A825" t="str">
            <v>50800523570</v>
          </cell>
          <cell r="B825" t="str">
            <v>ZMFD</v>
          </cell>
          <cell r="C825">
            <v>45505</v>
          </cell>
          <cell r="D825" t="str">
            <v>Not delivered</v>
          </cell>
          <cell r="E825">
            <v>508005235</v>
          </cell>
          <cell r="F825">
            <v>70</v>
          </cell>
          <cell r="G825">
            <v>1332995</v>
          </cell>
          <cell r="H825" t="str">
            <v>LC-008:CAP VM SLV WIP NAT EMLC PTI 20F</v>
          </cell>
          <cell r="I825">
            <v>100000</v>
          </cell>
          <cell r="J825" t="str">
            <v>UN</v>
          </cell>
          <cell r="K825">
            <v>45665</v>
          </cell>
        </row>
        <row r="826">
          <cell r="A826" t="str">
            <v>50800523580</v>
          </cell>
          <cell r="B826" t="str">
            <v>ZMFD</v>
          </cell>
          <cell r="C826">
            <v>45505</v>
          </cell>
          <cell r="D826" t="str">
            <v>Not delivered</v>
          </cell>
          <cell r="E826">
            <v>508005235</v>
          </cell>
          <cell r="F826">
            <v>80</v>
          </cell>
          <cell r="G826">
            <v>1434959</v>
          </cell>
          <cell r="H826" t="str">
            <v>LC-008:BTL CLR (PCTG) P/WHT EMLC PTI 60B</v>
          </cell>
          <cell r="I826">
            <v>100000</v>
          </cell>
          <cell r="J826" t="str">
            <v>UN</v>
          </cell>
          <cell r="K826">
            <v>45665</v>
          </cell>
        </row>
        <row r="827">
          <cell r="A827" t="str">
            <v>50800523590</v>
          </cell>
          <cell r="B827" t="str">
            <v>ZMFD</v>
          </cell>
          <cell r="C827">
            <v>45505</v>
          </cell>
          <cell r="D827" t="str">
            <v>Not delivered</v>
          </cell>
          <cell r="E827">
            <v>508005235</v>
          </cell>
          <cell r="F827">
            <v>90</v>
          </cell>
          <cell r="G827">
            <v>1332995</v>
          </cell>
          <cell r="H827" t="str">
            <v>LC-008:CAP VM SLV WIP NAT EMLC PTI 20F</v>
          </cell>
          <cell r="I827">
            <v>100000</v>
          </cell>
          <cell r="J827" t="str">
            <v>UN</v>
          </cell>
          <cell r="K827">
            <v>45665</v>
          </cell>
        </row>
        <row r="828">
          <cell r="A828" t="str">
            <v>508005235100</v>
          </cell>
          <cell r="B828" t="str">
            <v>ZMFD</v>
          </cell>
          <cell r="C828">
            <v>45505</v>
          </cell>
          <cell r="D828" t="str">
            <v>Not delivered</v>
          </cell>
          <cell r="E828">
            <v>508005235</v>
          </cell>
          <cell r="F828">
            <v>100</v>
          </cell>
          <cell r="G828">
            <v>1434959</v>
          </cell>
          <cell r="H828" t="str">
            <v>LC-008:BTL CLR (PCTG) P/WHT EMLC PTI 60B</v>
          </cell>
          <cell r="I828">
            <v>100000</v>
          </cell>
          <cell r="J828" t="str">
            <v>UN</v>
          </cell>
          <cell r="K828">
            <v>45665</v>
          </cell>
        </row>
        <row r="829">
          <cell r="A829" t="str">
            <v>50800532710</v>
          </cell>
          <cell r="B829" t="str">
            <v>ZMFD</v>
          </cell>
          <cell r="C829">
            <v>45573</v>
          </cell>
          <cell r="D829" t="str">
            <v>Not delivered</v>
          </cell>
          <cell r="E829">
            <v>508005327</v>
          </cell>
          <cell r="F829">
            <v>10</v>
          </cell>
          <cell r="G829">
            <v>1417990</v>
          </cell>
          <cell r="H829" t="str">
            <v>LC-009:BTL #2#3 INNER CLR P/OMG PTIPT60B</v>
          </cell>
          <cell r="I829">
            <v>400000</v>
          </cell>
          <cell r="J829" t="str">
            <v>UN</v>
          </cell>
          <cell r="K829">
            <v>45666</v>
          </cell>
        </row>
        <row r="830">
          <cell r="A830" t="str">
            <v>50800532720</v>
          </cell>
          <cell r="B830" t="str">
            <v>ZMFD</v>
          </cell>
          <cell r="C830">
            <v>45573</v>
          </cell>
          <cell r="D830" t="str">
            <v>Not delivered</v>
          </cell>
          <cell r="E830">
            <v>508005327</v>
          </cell>
          <cell r="F830">
            <v>20</v>
          </cell>
          <cell r="G830">
            <v>1417978</v>
          </cell>
          <cell r="H830" t="str">
            <v>LC-009:CAP #2#3 REDTR WIP S/OMG PTIPT60B</v>
          </cell>
          <cell r="I830">
            <v>400000</v>
          </cell>
          <cell r="J830" t="str">
            <v>UN</v>
          </cell>
          <cell r="K830">
            <v>45666</v>
          </cell>
        </row>
        <row r="831">
          <cell r="A831" t="str">
            <v>50800530450</v>
          </cell>
          <cell r="B831" t="str">
            <v>ZMFD</v>
          </cell>
          <cell r="C831">
            <v>45569</v>
          </cell>
          <cell r="D831" t="str">
            <v>Not delivered</v>
          </cell>
          <cell r="E831">
            <v>508005304</v>
          </cell>
          <cell r="F831">
            <v>50</v>
          </cell>
          <cell r="G831">
            <v>1419488</v>
          </cell>
          <cell r="H831" t="str">
            <v>CP-063R:SPOUT CAP WHITE LOREAL 12A</v>
          </cell>
          <cell r="I831">
            <v>1890000</v>
          </cell>
          <cell r="J831" t="str">
            <v>UN</v>
          </cell>
          <cell r="K831">
            <v>45667</v>
          </cell>
        </row>
        <row r="832">
          <cell r="A832" t="str">
            <v>50800530460</v>
          </cell>
          <cell r="B832" t="str">
            <v>ZMFD</v>
          </cell>
          <cell r="C832">
            <v>45569</v>
          </cell>
          <cell r="D832" t="str">
            <v>Not delivered</v>
          </cell>
          <cell r="E832">
            <v>508005304</v>
          </cell>
          <cell r="F832">
            <v>60</v>
          </cell>
          <cell r="G832">
            <v>1419488</v>
          </cell>
          <cell r="H832" t="str">
            <v>CP-063R:SPOUT CAP WHITE LOREAL 12A</v>
          </cell>
          <cell r="I832">
            <v>1890000</v>
          </cell>
          <cell r="J832" t="str">
            <v>UN</v>
          </cell>
          <cell r="K832">
            <v>45667</v>
          </cell>
        </row>
        <row r="833">
          <cell r="A833" t="str">
            <v>50800528520</v>
          </cell>
          <cell r="B833" t="str">
            <v>ZMFD</v>
          </cell>
          <cell r="C833">
            <v>45558</v>
          </cell>
          <cell r="D833" t="str">
            <v>Not delivered</v>
          </cell>
          <cell r="E833">
            <v>508005285</v>
          </cell>
          <cell r="F833">
            <v>20</v>
          </cell>
          <cell r="G833">
            <v>1163327</v>
          </cell>
          <cell r="H833" t="str">
            <v>CM-246:CVR S.SLV PAN WHITE 6MPY 01 0034</v>
          </cell>
          <cell r="I833">
            <v>25056</v>
          </cell>
          <cell r="J833" t="str">
            <v>UN</v>
          </cell>
          <cell r="K833">
            <v>45667</v>
          </cell>
        </row>
        <row r="834">
          <cell r="A834" t="str">
            <v>50714276470</v>
          </cell>
          <cell r="B834" t="str">
            <v>ZMTD</v>
          </cell>
          <cell r="C834">
            <v>45552</v>
          </cell>
          <cell r="D834" t="str">
            <v>Not delivered</v>
          </cell>
          <cell r="E834">
            <v>507142764</v>
          </cell>
          <cell r="F834">
            <v>70</v>
          </cell>
          <cell r="G834">
            <v>1211756</v>
          </cell>
          <cell r="H834" t="str">
            <v>CM-246:COVER VM SHNY SLV ALMOST PWD</v>
          </cell>
          <cell r="I834">
            <v>120120</v>
          </cell>
          <cell r="J834" t="str">
            <v>UN</v>
          </cell>
          <cell r="K834">
            <v>45667</v>
          </cell>
        </row>
        <row r="835">
          <cell r="A835" t="str">
            <v>50800511230</v>
          </cell>
          <cell r="B835" t="str">
            <v>ZMFD</v>
          </cell>
          <cell r="C835">
            <v>45450</v>
          </cell>
          <cell r="D835" t="str">
            <v>Not delivered</v>
          </cell>
          <cell r="E835">
            <v>508005112</v>
          </cell>
          <cell r="F835">
            <v>30</v>
          </cell>
          <cell r="G835">
            <v>1169658</v>
          </cell>
          <cell r="H835" t="str">
            <v>CM-156:NEW GREEN MRBL 6339010303 CLNQ EL</v>
          </cell>
          <cell r="I835">
            <v>22680</v>
          </cell>
          <cell r="J835" t="str">
            <v>UN</v>
          </cell>
          <cell r="K835">
            <v>45667</v>
          </cell>
        </row>
        <row r="836">
          <cell r="A836" t="str">
            <v>50800531810</v>
          </cell>
          <cell r="B836" t="str">
            <v>ZMFD</v>
          </cell>
          <cell r="C836">
            <v>45573</v>
          </cell>
          <cell r="D836" t="str">
            <v>Not delivered</v>
          </cell>
          <cell r="E836">
            <v>508005318</v>
          </cell>
          <cell r="F836">
            <v>10</v>
          </cell>
          <cell r="G836">
            <v>1255662</v>
          </cell>
          <cell r="H836" t="str">
            <v>LC-002:BTL MT VAR12 P/WRDH B.MARK PTI40H</v>
          </cell>
          <cell r="I836">
            <v>25000</v>
          </cell>
          <cell r="J836" t="str">
            <v>UN</v>
          </cell>
          <cell r="K836">
            <v>45670</v>
          </cell>
        </row>
        <row r="837">
          <cell r="A837" t="str">
            <v>50800531820</v>
          </cell>
          <cell r="B837" t="str">
            <v>ZMFD</v>
          </cell>
          <cell r="C837">
            <v>45573</v>
          </cell>
          <cell r="D837" t="str">
            <v>Not delivered</v>
          </cell>
          <cell r="E837">
            <v>508005318</v>
          </cell>
          <cell r="F837">
            <v>20</v>
          </cell>
          <cell r="G837">
            <v>1174820</v>
          </cell>
          <cell r="H837" t="str">
            <v>LC-002:CP S/MT VAR12 STM-WHT WNAT PTI40D</v>
          </cell>
          <cell r="I837">
            <v>25000</v>
          </cell>
          <cell r="J837" t="str">
            <v>UN</v>
          </cell>
          <cell r="K837">
            <v>45670</v>
          </cell>
        </row>
        <row r="838">
          <cell r="A838" t="str">
            <v>50800531920</v>
          </cell>
          <cell r="B838" t="str">
            <v>ZMFD</v>
          </cell>
          <cell r="C838">
            <v>45573</v>
          </cell>
          <cell r="D838" t="str">
            <v>Not delivered</v>
          </cell>
          <cell r="E838">
            <v>508005319</v>
          </cell>
          <cell r="F838">
            <v>20</v>
          </cell>
          <cell r="G838">
            <v>1285116</v>
          </cell>
          <cell r="H838" t="str">
            <v>CM-292:CV/BS MTBLK LENS S/SLV MO PTI 40C</v>
          </cell>
          <cell r="I838">
            <v>25000</v>
          </cell>
          <cell r="J838" t="str">
            <v>UN</v>
          </cell>
          <cell r="K838">
            <v>45670</v>
          </cell>
        </row>
        <row r="839">
          <cell r="A839" t="str">
            <v>50800532630</v>
          </cell>
          <cell r="B839" t="str">
            <v>ZMFD</v>
          </cell>
          <cell r="C839">
            <v>45573</v>
          </cell>
          <cell r="D839" t="str">
            <v>Not delivered</v>
          </cell>
          <cell r="E839">
            <v>508005326</v>
          </cell>
          <cell r="F839">
            <v>30</v>
          </cell>
          <cell r="G839">
            <v>1375595</v>
          </cell>
          <cell r="H839" t="str">
            <v>LC-009:BTL/INNER CLEAR P/OMG PTIPT 60B</v>
          </cell>
          <cell r="I839">
            <v>150000</v>
          </cell>
          <cell r="J839" t="str">
            <v>UN</v>
          </cell>
          <cell r="K839">
            <v>45670</v>
          </cell>
        </row>
        <row r="840">
          <cell r="A840" t="str">
            <v>50800532640</v>
          </cell>
          <cell r="B840" t="str">
            <v>ZMFD</v>
          </cell>
          <cell r="C840">
            <v>45573</v>
          </cell>
          <cell r="D840" t="str">
            <v>Not delivered</v>
          </cell>
          <cell r="E840">
            <v>508005326</v>
          </cell>
          <cell r="F840">
            <v>40</v>
          </cell>
          <cell r="G840">
            <v>1375593</v>
          </cell>
          <cell r="H840" t="str">
            <v>LC-009:CAP REDTRANS WIP S/OMG PTIPT 60B</v>
          </cell>
          <cell r="I840">
            <v>150000</v>
          </cell>
          <cell r="J840" t="str">
            <v>UN</v>
          </cell>
          <cell r="K840">
            <v>45670</v>
          </cell>
        </row>
        <row r="841">
          <cell r="A841" t="str">
            <v>50800533130</v>
          </cell>
          <cell r="B841" t="str">
            <v>ZMFD</v>
          </cell>
          <cell r="C841">
            <v>45573</v>
          </cell>
          <cell r="D841" t="str">
            <v>Not delivered</v>
          </cell>
          <cell r="E841">
            <v>508005331</v>
          </cell>
          <cell r="F841">
            <v>30</v>
          </cell>
          <cell r="G841">
            <v>1168132</v>
          </cell>
          <cell r="H841" t="str">
            <v>LS-285:BS WHT NO DC WARDAH</v>
          </cell>
          <cell r="I841">
            <v>120000</v>
          </cell>
          <cell r="J841" t="str">
            <v>UN</v>
          </cell>
          <cell r="K841">
            <v>45670</v>
          </cell>
        </row>
        <row r="842">
          <cell r="A842" t="str">
            <v>50800533140</v>
          </cell>
          <cell r="B842" t="str">
            <v>ZMFD</v>
          </cell>
          <cell r="C842">
            <v>45573</v>
          </cell>
          <cell r="D842" t="str">
            <v>Not delivered</v>
          </cell>
          <cell r="E842">
            <v>508005331</v>
          </cell>
          <cell r="F842">
            <v>40</v>
          </cell>
          <cell r="G842">
            <v>1421418</v>
          </cell>
          <cell r="H842" t="str">
            <v>LS-285:CV RED P/WHT UV STRAWBERY PTI 30O</v>
          </cell>
          <cell r="I842">
            <v>120000</v>
          </cell>
          <cell r="J842" t="str">
            <v>UN</v>
          </cell>
          <cell r="K842">
            <v>45670</v>
          </cell>
        </row>
        <row r="843">
          <cell r="A843" t="str">
            <v>50800533440</v>
          </cell>
          <cell r="B843" t="str">
            <v>ZMFD</v>
          </cell>
          <cell r="C843">
            <v>45574</v>
          </cell>
          <cell r="D843" t="str">
            <v>Not delivered</v>
          </cell>
          <cell r="E843">
            <v>508005334</v>
          </cell>
          <cell r="F843">
            <v>40</v>
          </cell>
          <cell r="G843">
            <v>1437039</v>
          </cell>
          <cell r="H843" t="str">
            <v>CM-290:1PC BS CV MT.BLK S/ EMBOS OMG 40C</v>
          </cell>
          <cell r="I843">
            <v>25000</v>
          </cell>
          <cell r="J843" t="str">
            <v>UN</v>
          </cell>
          <cell r="K843">
            <v>45671</v>
          </cell>
        </row>
        <row r="844">
          <cell r="A844" t="str">
            <v>50800533450</v>
          </cell>
          <cell r="B844" t="str">
            <v>ZMFD</v>
          </cell>
          <cell r="C844">
            <v>45574</v>
          </cell>
          <cell r="D844" t="str">
            <v>Not delivered</v>
          </cell>
          <cell r="E844">
            <v>508005334</v>
          </cell>
          <cell r="F844">
            <v>50</v>
          </cell>
          <cell r="G844">
            <v>1437140</v>
          </cell>
          <cell r="H844" t="str">
            <v>CM-290:ENGINE CV RED, BS BLK OMG PTI 12A</v>
          </cell>
          <cell r="I844">
            <v>25000</v>
          </cell>
          <cell r="J844" t="str">
            <v>UN</v>
          </cell>
          <cell r="K844">
            <v>45671</v>
          </cell>
        </row>
        <row r="845">
          <cell r="A845" t="str">
            <v>50800533460</v>
          </cell>
          <cell r="B845" t="str">
            <v>ZMFD</v>
          </cell>
          <cell r="C845">
            <v>45574</v>
          </cell>
          <cell r="D845" t="str">
            <v>Not delivered</v>
          </cell>
          <cell r="E845">
            <v>508005334</v>
          </cell>
          <cell r="F845">
            <v>60</v>
          </cell>
          <cell r="G845">
            <v>1437141</v>
          </cell>
          <cell r="H845" t="str">
            <v>CM-290:RING BLACK OMG PTI 12A</v>
          </cell>
          <cell r="I845">
            <v>25000</v>
          </cell>
          <cell r="J845" t="str">
            <v>UN</v>
          </cell>
          <cell r="K845">
            <v>45671</v>
          </cell>
        </row>
        <row r="846">
          <cell r="A846" t="str">
            <v>50800531630</v>
          </cell>
          <cell r="B846" t="str">
            <v>ZMFD</v>
          </cell>
          <cell r="C846">
            <v>45573</v>
          </cell>
          <cell r="D846" t="str">
            <v>Not delivered</v>
          </cell>
          <cell r="E846">
            <v>508005316</v>
          </cell>
          <cell r="F846">
            <v>30</v>
          </cell>
          <cell r="G846">
            <v>1207621</v>
          </cell>
          <cell r="H846" t="str">
            <v>CP-090:CAP DELCATE MTPINK NOEMBOS PTI40D</v>
          </cell>
          <cell r="I846">
            <v>10000</v>
          </cell>
          <cell r="J846" t="str">
            <v>UN</v>
          </cell>
          <cell r="K846">
            <v>45671</v>
          </cell>
        </row>
        <row r="847">
          <cell r="A847" t="str">
            <v>50800532130</v>
          </cell>
          <cell r="B847" t="str">
            <v>ZMFD</v>
          </cell>
          <cell r="C847">
            <v>45573</v>
          </cell>
          <cell r="D847" t="str">
            <v>Not delivered</v>
          </cell>
          <cell r="E847">
            <v>508005321</v>
          </cell>
          <cell r="F847">
            <v>30</v>
          </cell>
          <cell r="G847">
            <v>1342220</v>
          </cell>
          <cell r="H847" t="str">
            <v>LC-010:BTL CLR HTF COLBEIGE CFIT PTI 60C</v>
          </cell>
          <cell r="I847">
            <v>50000</v>
          </cell>
          <cell r="J847" t="str">
            <v>UN</v>
          </cell>
          <cell r="K847">
            <v>45671</v>
          </cell>
        </row>
        <row r="848">
          <cell r="A848" t="str">
            <v>50800532140</v>
          </cell>
          <cell r="B848" t="str">
            <v>ZMFD</v>
          </cell>
          <cell r="C848">
            <v>45573</v>
          </cell>
          <cell r="D848" t="str">
            <v>Not delivered</v>
          </cell>
          <cell r="E848">
            <v>508005321</v>
          </cell>
          <cell r="F848">
            <v>40</v>
          </cell>
          <cell r="G848">
            <v>1342221</v>
          </cell>
          <cell r="H848" t="str">
            <v>LC-010:CAP BEIGE WIP NAT PTI 12A</v>
          </cell>
          <cell r="I848">
            <v>50000</v>
          </cell>
          <cell r="J848" t="str">
            <v>UN</v>
          </cell>
          <cell r="K848">
            <v>45671</v>
          </cell>
        </row>
        <row r="849">
          <cell r="A849" t="str">
            <v>50800532330</v>
          </cell>
          <cell r="B849" t="str">
            <v>ZMFD</v>
          </cell>
          <cell r="C849">
            <v>45573</v>
          </cell>
          <cell r="D849" t="str">
            <v>Not delivered</v>
          </cell>
          <cell r="E849">
            <v>508005323</v>
          </cell>
          <cell r="F849">
            <v>30</v>
          </cell>
          <cell r="G849">
            <v>1361170</v>
          </cell>
          <cell r="H849" t="str">
            <v>PT-097:BODY BLACK HOUSE WHT TRANS PTI12A</v>
          </cell>
          <cell r="I849">
            <v>50000</v>
          </cell>
          <cell r="J849" t="str">
            <v>UN</v>
          </cell>
          <cell r="K849">
            <v>45671</v>
          </cell>
        </row>
        <row r="850">
          <cell r="A850" t="str">
            <v>50800532340</v>
          </cell>
          <cell r="B850" t="str">
            <v>ZMFD</v>
          </cell>
          <cell r="C850">
            <v>45573</v>
          </cell>
          <cell r="D850" t="str">
            <v>Not delivered</v>
          </cell>
          <cell r="E850">
            <v>508005323</v>
          </cell>
          <cell r="F850">
            <v>40</v>
          </cell>
          <cell r="G850">
            <v>1361175</v>
          </cell>
          <cell r="H850" t="str">
            <v>PT-097:CAP BLACK TRANS PTI 12A</v>
          </cell>
          <cell r="I850">
            <v>50000</v>
          </cell>
          <cell r="J850" t="str">
            <v>UN</v>
          </cell>
          <cell r="K850">
            <v>45671</v>
          </cell>
        </row>
        <row r="851">
          <cell r="A851" t="str">
            <v>50800532430</v>
          </cell>
          <cell r="B851" t="str">
            <v>ZMFD</v>
          </cell>
          <cell r="C851">
            <v>45573</v>
          </cell>
          <cell r="D851" t="str">
            <v>Not delivered</v>
          </cell>
          <cell r="E851">
            <v>508005324</v>
          </cell>
          <cell r="F851">
            <v>30</v>
          </cell>
          <cell r="G851">
            <v>1367372</v>
          </cell>
          <cell r="H851" t="str">
            <v>PT-097:BODY GREN HOUSE WHT TRANS PTI 12A</v>
          </cell>
          <cell r="I851">
            <v>50000</v>
          </cell>
          <cell r="J851" t="str">
            <v>UN</v>
          </cell>
          <cell r="K851">
            <v>45671</v>
          </cell>
        </row>
        <row r="852">
          <cell r="A852" t="str">
            <v>50800532440</v>
          </cell>
          <cell r="B852" t="str">
            <v>ZMFD</v>
          </cell>
          <cell r="C852">
            <v>45573</v>
          </cell>
          <cell r="D852" t="str">
            <v>Not delivered</v>
          </cell>
          <cell r="E852">
            <v>508005324</v>
          </cell>
          <cell r="F852">
            <v>40</v>
          </cell>
          <cell r="G852">
            <v>1367370</v>
          </cell>
          <cell r="H852" t="str">
            <v>PT-097:CAP GREN TRANS PTI 12A</v>
          </cell>
          <cell r="I852">
            <v>50000</v>
          </cell>
          <cell r="J852" t="str">
            <v>UN</v>
          </cell>
          <cell r="K852">
            <v>45671</v>
          </cell>
        </row>
        <row r="853">
          <cell r="A853" t="str">
            <v>50800532810</v>
          </cell>
          <cell r="B853" t="str">
            <v>ZMFD</v>
          </cell>
          <cell r="C853">
            <v>45573</v>
          </cell>
          <cell r="D853" t="str">
            <v>Not delivered</v>
          </cell>
          <cell r="E853">
            <v>508005328</v>
          </cell>
          <cell r="F853">
            <v>10</v>
          </cell>
          <cell r="G853">
            <v>1402678</v>
          </cell>
          <cell r="H853" t="str">
            <v>LS-285:BS GREEN NO DC WARDAH 12A</v>
          </cell>
          <cell r="I853">
            <v>10000</v>
          </cell>
          <cell r="J853" t="str">
            <v>UN</v>
          </cell>
          <cell r="K853">
            <v>45671</v>
          </cell>
        </row>
        <row r="854">
          <cell r="A854" t="str">
            <v>50800532820</v>
          </cell>
          <cell r="B854" t="str">
            <v>ZMFD</v>
          </cell>
          <cell r="C854">
            <v>45573</v>
          </cell>
          <cell r="D854" t="str">
            <v>Not delivered</v>
          </cell>
          <cell r="E854">
            <v>508005328</v>
          </cell>
          <cell r="F854">
            <v>20</v>
          </cell>
          <cell r="G854">
            <v>1402740</v>
          </cell>
          <cell r="H854" t="str">
            <v>LS-285:CV MTWHT P/WRDH LIPBLMHAJJ PTI40H</v>
          </cell>
          <cell r="I854">
            <v>10000</v>
          </cell>
          <cell r="J854" t="str">
            <v>UN</v>
          </cell>
          <cell r="K854">
            <v>45671</v>
          </cell>
        </row>
        <row r="855">
          <cell r="A855" t="str">
            <v>50800530470</v>
          </cell>
          <cell r="B855" t="str">
            <v>ZMFD</v>
          </cell>
          <cell r="C855">
            <v>45569</v>
          </cell>
          <cell r="D855" t="str">
            <v>Not delivered</v>
          </cell>
          <cell r="E855">
            <v>508005304</v>
          </cell>
          <cell r="F855">
            <v>70</v>
          </cell>
          <cell r="G855">
            <v>1419488</v>
          </cell>
          <cell r="H855" t="str">
            <v>CP-063R:SPOUT CAP WHITE LOREAL 12A</v>
          </cell>
          <cell r="I855">
            <v>1890000</v>
          </cell>
          <cell r="J855" t="str">
            <v>UN</v>
          </cell>
          <cell r="K855">
            <v>45671</v>
          </cell>
        </row>
        <row r="856">
          <cell r="A856" t="str">
            <v>50800529630</v>
          </cell>
          <cell r="B856" t="str">
            <v>ZMFD</v>
          </cell>
          <cell r="C856">
            <v>45565</v>
          </cell>
          <cell r="D856" t="str">
            <v>Not delivered</v>
          </cell>
          <cell r="E856">
            <v>508005296</v>
          </cell>
          <cell r="F856">
            <v>30</v>
          </cell>
          <cell r="G856">
            <v>1378563</v>
          </cell>
          <cell r="H856" t="str">
            <v>CP-093:CAP D50 MT BLACK Ø.5 YASULOR 12A</v>
          </cell>
          <cell r="I856">
            <v>600000</v>
          </cell>
          <cell r="J856" t="str">
            <v>UN</v>
          </cell>
          <cell r="K856">
            <v>45671</v>
          </cell>
        </row>
        <row r="857">
          <cell r="A857" t="str">
            <v>50714254010</v>
          </cell>
          <cell r="B857" t="str">
            <v>ZMTD</v>
          </cell>
          <cell r="C857">
            <v>45490</v>
          </cell>
          <cell r="D857" t="str">
            <v>Not delivered</v>
          </cell>
          <cell r="E857">
            <v>507142540</v>
          </cell>
          <cell r="F857">
            <v>10</v>
          </cell>
          <cell r="G857">
            <v>1160334</v>
          </cell>
          <cell r="H857" t="str">
            <v>CP-071:CP8364 RL RED 200ML MASS TINT 407</v>
          </cell>
          <cell r="I857">
            <v>43500</v>
          </cell>
          <cell r="J857" t="str">
            <v>UN</v>
          </cell>
          <cell r="K857">
            <v>45671</v>
          </cell>
        </row>
        <row r="858">
          <cell r="A858" t="str">
            <v>50800533510</v>
          </cell>
          <cell r="B858" t="str">
            <v>ZMFD</v>
          </cell>
          <cell r="C858">
            <v>45574</v>
          </cell>
          <cell r="D858" t="str">
            <v>Not delivered</v>
          </cell>
          <cell r="E858">
            <v>508005335</v>
          </cell>
          <cell r="F858">
            <v>10</v>
          </cell>
          <cell r="G858">
            <v>1411899</v>
          </cell>
          <cell r="H858" t="str">
            <v>PT-100:BS/INS GREEN P/WHT KAHF PTI 60B</v>
          </cell>
          <cell r="I858">
            <v>50000</v>
          </cell>
          <cell r="J858" t="str">
            <v>UN</v>
          </cell>
          <cell r="K858">
            <v>45672</v>
          </cell>
        </row>
        <row r="859">
          <cell r="A859" t="str">
            <v>50800533520</v>
          </cell>
          <cell r="B859" t="str">
            <v>ZMFD</v>
          </cell>
          <cell r="C859">
            <v>45574</v>
          </cell>
          <cell r="D859" t="str">
            <v>Not delivered</v>
          </cell>
          <cell r="E859">
            <v>508005335</v>
          </cell>
          <cell r="F859">
            <v>20</v>
          </cell>
          <cell r="G859">
            <v>1411898</v>
          </cell>
          <cell r="H859" t="str">
            <v>PT-100:CVR MT.GREEN EMBOS KAHF PTI 40D</v>
          </cell>
          <cell r="I859">
            <v>50000</v>
          </cell>
          <cell r="J859" t="str">
            <v>UN</v>
          </cell>
          <cell r="K859">
            <v>45672</v>
          </cell>
        </row>
        <row r="860">
          <cell r="A860" t="str">
            <v>50800532230</v>
          </cell>
          <cell r="B860" t="str">
            <v>ZMFD</v>
          </cell>
          <cell r="C860">
            <v>45573</v>
          </cell>
          <cell r="D860" t="str">
            <v>Not delivered</v>
          </cell>
          <cell r="E860">
            <v>508005322</v>
          </cell>
          <cell r="F860">
            <v>30</v>
          </cell>
          <cell r="G860">
            <v>1408740</v>
          </cell>
          <cell r="H860" t="str">
            <v>PT-097B:BDSR.2 BLU HOUS WHT TRNS PTI12A</v>
          </cell>
          <cell r="I860">
            <v>50000</v>
          </cell>
          <cell r="J860" t="str">
            <v>UN</v>
          </cell>
          <cell r="K860">
            <v>45672</v>
          </cell>
        </row>
        <row r="861">
          <cell r="A861" t="str">
            <v>50800532240</v>
          </cell>
          <cell r="B861" t="str">
            <v>ZMFD</v>
          </cell>
          <cell r="C861">
            <v>45573</v>
          </cell>
          <cell r="D861" t="str">
            <v>Not delivered</v>
          </cell>
          <cell r="E861">
            <v>508005322</v>
          </cell>
          <cell r="F861">
            <v>40</v>
          </cell>
          <cell r="G861">
            <v>1408739</v>
          </cell>
          <cell r="H861" t="str">
            <v>PT-097B:CAP SR.2 BLUE TRANS PTI 12A</v>
          </cell>
          <cell r="I861">
            <v>50000</v>
          </cell>
          <cell r="J861" t="str">
            <v>UN</v>
          </cell>
          <cell r="K861">
            <v>45672</v>
          </cell>
        </row>
        <row r="862">
          <cell r="A862" t="str">
            <v>50800533020</v>
          </cell>
          <cell r="B862" t="str">
            <v>ZMFD</v>
          </cell>
          <cell r="C862">
            <v>45573</v>
          </cell>
          <cell r="D862" t="str">
            <v>Not delivered</v>
          </cell>
          <cell r="E862">
            <v>508005330</v>
          </cell>
          <cell r="F862">
            <v>20</v>
          </cell>
          <cell r="G862">
            <v>1409881</v>
          </cell>
          <cell r="H862" t="str">
            <v>CM-315:CVR/BS BLACK P/CVRLAST OMG RV160B</v>
          </cell>
          <cell r="I862">
            <v>60000</v>
          </cell>
          <cell r="J862" t="str">
            <v>UN</v>
          </cell>
          <cell r="K862">
            <v>45672</v>
          </cell>
        </row>
        <row r="863">
          <cell r="A863" t="str">
            <v>50800529910</v>
          </cell>
          <cell r="B863" t="str">
            <v>ZMFD</v>
          </cell>
          <cell r="C863">
            <v>45567</v>
          </cell>
          <cell r="D863" t="str">
            <v>Not delivered</v>
          </cell>
          <cell r="E863">
            <v>508005299</v>
          </cell>
          <cell r="F863">
            <v>10</v>
          </cell>
          <cell r="G863">
            <v>1216572</v>
          </cell>
          <cell r="H863" t="str">
            <v>CM-216:TRUE MATCH CV PF S/SLV LOR (SEA)</v>
          </cell>
          <cell r="I863">
            <v>250000</v>
          </cell>
          <cell r="J863" t="str">
            <v>UN</v>
          </cell>
          <cell r="K863">
            <v>45672</v>
          </cell>
        </row>
        <row r="864">
          <cell r="A864" t="str">
            <v>50800523340</v>
          </cell>
          <cell r="B864" t="str">
            <v>ZMFD</v>
          </cell>
          <cell r="C864">
            <v>45504</v>
          </cell>
          <cell r="D864" t="str">
            <v>Not delivered</v>
          </cell>
          <cell r="E864">
            <v>508005233</v>
          </cell>
          <cell r="F864">
            <v>40</v>
          </cell>
          <cell r="G864">
            <v>1169152</v>
          </cell>
          <cell r="H864" t="str">
            <v>CM-295:SQUARE COMPACT&amp;GODET PHHT010032</v>
          </cell>
          <cell r="I864">
            <v>20040</v>
          </cell>
          <cell r="J864" t="str">
            <v>UN</v>
          </cell>
          <cell r="K864">
            <v>45672</v>
          </cell>
        </row>
        <row r="865">
          <cell r="A865" t="str">
            <v>50800530480</v>
          </cell>
          <cell r="B865" t="str">
            <v>ZMFD</v>
          </cell>
          <cell r="C865">
            <v>45569</v>
          </cell>
          <cell r="D865" t="str">
            <v>Not delivered</v>
          </cell>
          <cell r="E865">
            <v>508005304</v>
          </cell>
          <cell r="F865">
            <v>80</v>
          </cell>
          <cell r="G865">
            <v>1419488</v>
          </cell>
          <cell r="H865" t="str">
            <v>CP-063R:SPOUT CAP WHITE LOREAL 12A</v>
          </cell>
          <cell r="I865">
            <v>1890000</v>
          </cell>
          <cell r="J865" t="str">
            <v>UN</v>
          </cell>
          <cell r="K865">
            <v>45673</v>
          </cell>
        </row>
        <row r="866">
          <cell r="A866" t="str">
            <v>50800500140</v>
          </cell>
          <cell r="B866" t="str">
            <v>ZMFD</v>
          </cell>
          <cell r="C866">
            <v>45412</v>
          </cell>
          <cell r="D866" t="str">
            <v>Not delivered</v>
          </cell>
          <cell r="E866">
            <v>508005001</v>
          </cell>
          <cell r="F866">
            <v>40</v>
          </cell>
          <cell r="G866">
            <v>1212608</v>
          </cell>
          <cell r="H866" t="str">
            <v>FP-014:CVR BLUE S/LOGO INEZ GOLD KSI 50C</v>
          </cell>
          <cell r="I866">
            <v>25000</v>
          </cell>
          <cell r="J866" t="str">
            <v>UN</v>
          </cell>
          <cell r="K866">
            <v>45673</v>
          </cell>
        </row>
        <row r="867">
          <cell r="A867" t="str">
            <v>50800500150</v>
          </cell>
          <cell r="B867" t="str">
            <v>ZMFD</v>
          </cell>
          <cell r="C867">
            <v>45412</v>
          </cell>
          <cell r="D867" t="str">
            <v>Not delivered</v>
          </cell>
          <cell r="E867">
            <v>508005001</v>
          </cell>
          <cell r="F867">
            <v>50</v>
          </cell>
          <cell r="G867">
            <v>1212609</v>
          </cell>
          <cell r="H867" t="str">
            <v>FP-014:SFTR NAT STICKER TRANS KSI 12A</v>
          </cell>
          <cell r="I867">
            <v>25000</v>
          </cell>
          <cell r="J867" t="str">
            <v>UN</v>
          </cell>
          <cell r="K867">
            <v>45673</v>
          </cell>
        </row>
        <row r="868">
          <cell r="A868" t="str">
            <v>50800500160</v>
          </cell>
          <cell r="B868" t="str">
            <v>ZMFD</v>
          </cell>
          <cell r="C868">
            <v>45412</v>
          </cell>
          <cell r="D868" t="str">
            <v>Not delivered</v>
          </cell>
          <cell r="E868">
            <v>508005001</v>
          </cell>
          <cell r="F868">
            <v>60</v>
          </cell>
          <cell r="G868">
            <v>1212640</v>
          </cell>
          <cell r="H868" t="str">
            <v>FP-014:BS CLR SPRYGRDS S/INEZ GLD 40C</v>
          </cell>
          <cell r="I868">
            <v>25000</v>
          </cell>
          <cell r="J868" t="str">
            <v>UN</v>
          </cell>
          <cell r="K868">
            <v>45673</v>
          </cell>
        </row>
        <row r="869">
          <cell r="A869" t="str">
            <v>50800532730</v>
          </cell>
          <cell r="B869" t="str">
            <v>ZMFD</v>
          </cell>
          <cell r="C869">
            <v>45573</v>
          </cell>
          <cell r="D869" t="str">
            <v>Not delivered</v>
          </cell>
          <cell r="E869">
            <v>508005327</v>
          </cell>
          <cell r="F869">
            <v>30</v>
          </cell>
          <cell r="G869">
            <v>1417990</v>
          </cell>
          <cell r="H869" t="str">
            <v>LC-009:BTL #2#3 INNER CLR P/OMG PTIPT60B</v>
          </cell>
          <cell r="I869">
            <v>400000</v>
          </cell>
          <cell r="J869" t="str">
            <v>UN</v>
          </cell>
          <cell r="K869">
            <v>45674</v>
          </cell>
        </row>
        <row r="870">
          <cell r="A870" t="str">
            <v>50800532740</v>
          </cell>
          <cell r="B870" t="str">
            <v>ZMFD</v>
          </cell>
          <cell r="C870">
            <v>45573</v>
          </cell>
          <cell r="D870" t="str">
            <v>Not delivered</v>
          </cell>
          <cell r="E870">
            <v>508005327</v>
          </cell>
          <cell r="F870">
            <v>40</v>
          </cell>
          <cell r="G870">
            <v>1417978</v>
          </cell>
          <cell r="H870" t="str">
            <v>LC-009:CAP #2#3 REDTR WIP S/OMG PTIPT60B</v>
          </cell>
          <cell r="I870">
            <v>400000</v>
          </cell>
          <cell r="J870" t="str">
            <v>UN</v>
          </cell>
          <cell r="K870">
            <v>45674</v>
          </cell>
        </row>
        <row r="871">
          <cell r="A871" t="str">
            <v>50800530490</v>
          </cell>
          <cell r="B871" t="str">
            <v>ZMFD</v>
          </cell>
          <cell r="C871">
            <v>45569</v>
          </cell>
          <cell r="D871" t="str">
            <v>Not delivered</v>
          </cell>
          <cell r="E871">
            <v>508005304</v>
          </cell>
          <cell r="F871">
            <v>90</v>
          </cell>
          <cell r="G871">
            <v>1419488</v>
          </cell>
          <cell r="H871" t="str">
            <v>CP-063R:SPOUT CAP WHITE LOREAL 12A</v>
          </cell>
          <cell r="I871">
            <v>1890000</v>
          </cell>
          <cell r="J871" t="str">
            <v>UN</v>
          </cell>
          <cell r="K871">
            <v>45674</v>
          </cell>
        </row>
        <row r="872">
          <cell r="A872" t="str">
            <v>50714276480</v>
          </cell>
          <cell r="B872" t="str">
            <v>ZMTD</v>
          </cell>
          <cell r="C872">
            <v>45552</v>
          </cell>
          <cell r="D872" t="str">
            <v>Not delivered</v>
          </cell>
          <cell r="E872">
            <v>507142764</v>
          </cell>
          <cell r="F872">
            <v>80</v>
          </cell>
          <cell r="G872">
            <v>1211756</v>
          </cell>
          <cell r="H872" t="str">
            <v>CM-246:COVER VM SHNY SLV ALMOST PWD</v>
          </cell>
          <cell r="I872">
            <v>71760</v>
          </cell>
          <cell r="J872" t="str">
            <v>UN</v>
          </cell>
          <cell r="K872">
            <v>45675</v>
          </cell>
        </row>
        <row r="873">
          <cell r="A873" t="str">
            <v>50800533610</v>
          </cell>
          <cell r="B873" t="str">
            <v>ZMFD</v>
          </cell>
          <cell r="C873">
            <v>45574</v>
          </cell>
          <cell r="D873" t="str">
            <v>Not delivered</v>
          </cell>
          <cell r="E873">
            <v>508005336</v>
          </cell>
          <cell r="F873">
            <v>10</v>
          </cell>
          <cell r="G873">
            <v>1411701</v>
          </cell>
          <cell r="H873" t="str">
            <v>PT-100:BS/INS BLUE P/WHT KAHF PTI 60B</v>
          </cell>
          <cell r="I873">
            <v>100000</v>
          </cell>
          <cell r="J873" t="str">
            <v>UN</v>
          </cell>
          <cell r="K873">
            <v>45677</v>
          </cell>
        </row>
        <row r="874">
          <cell r="A874" t="str">
            <v>50800533620</v>
          </cell>
          <cell r="B874" t="str">
            <v>ZMFD</v>
          </cell>
          <cell r="C874">
            <v>45574</v>
          </cell>
          <cell r="D874" t="str">
            <v>Not delivered</v>
          </cell>
          <cell r="E874">
            <v>508005336</v>
          </cell>
          <cell r="F874">
            <v>20</v>
          </cell>
          <cell r="G874">
            <v>1411700</v>
          </cell>
          <cell r="H874" t="str">
            <v>PT-100:CVR MT.BLUE EMBOS KAHF PTI 40D</v>
          </cell>
          <cell r="I874">
            <v>100000</v>
          </cell>
          <cell r="J874" t="str">
            <v>UN</v>
          </cell>
          <cell r="K874">
            <v>45677</v>
          </cell>
        </row>
        <row r="875">
          <cell r="A875" t="str">
            <v>50800531930</v>
          </cell>
          <cell r="B875" t="str">
            <v>ZMFD</v>
          </cell>
          <cell r="C875">
            <v>45573</v>
          </cell>
          <cell r="D875" t="str">
            <v>Not delivered</v>
          </cell>
          <cell r="E875">
            <v>508005319</v>
          </cell>
          <cell r="F875">
            <v>30</v>
          </cell>
          <cell r="G875">
            <v>1285116</v>
          </cell>
          <cell r="H875" t="str">
            <v>CM-292:CV/BS MTBLK LENS S/SLV MO PTI 40C</v>
          </cell>
          <cell r="I875">
            <v>25000</v>
          </cell>
          <cell r="J875" t="str">
            <v>UN</v>
          </cell>
          <cell r="K875">
            <v>45677</v>
          </cell>
        </row>
        <row r="876">
          <cell r="A876" t="str">
            <v>50800532510</v>
          </cell>
          <cell r="B876" t="str">
            <v>ZMFD</v>
          </cell>
          <cell r="C876">
            <v>45573</v>
          </cell>
          <cell r="D876" t="str">
            <v>Not delivered</v>
          </cell>
          <cell r="E876">
            <v>508005325</v>
          </cell>
          <cell r="F876">
            <v>10</v>
          </cell>
          <cell r="G876">
            <v>1336783</v>
          </cell>
          <cell r="H876" t="str">
            <v>LC-003:BTL CLR CLVM P/S/INSTSUEDE PTI20Y</v>
          </cell>
          <cell r="I876">
            <v>25000</v>
          </cell>
          <cell r="J876" t="str">
            <v>UN</v>
          </cell>
          <cell r="K876">
            <v>45677</v>
          </cell>
        </row>
        <row r="877">
          <cell r="A877" t="str">
            <v>50800532520</v>
          </cell>
          <cell r="B877" t="str">
            <v>ZMFD</v>
          </cell>
          <cell r="C877">
            <v>45573</v>
          </cell>
          <cell r="D877" t="str">
            <v>Not delivered</v>
          </cell>
          <cell r="E877">
            <v>508005325</v>
          </cell>
          <cell r="F877">
            <v>20</v>
          </cell>
          <cell r="G877">
            <v>1378266</v>
          </cell>
          <cell r="H877" t="str">
            <v>LC-003:CAP VM RS PINK INSTASUEDE PTI 20F</v>
          </cell>
          <cell r="I877">
            <v>25000</v>
          </cell>
          <cell r="J877" t="str">
            <v>UN</v>
          </cell>
          <cell r="K877">
            <v>45677</v>
          </cell>
        </row>
        <row r="878">
          <cell r="A878" t="str">
            <v>50800532650</v>
          </cell>
          <cell r="B878" t="str">
            <v>ZMFD</v>
          </cell>
          <cell r="C878">
            <v>45573</v>
          </cell>
          <cell r="D878" t="str">
            <v>Not delivered</v>
          </cell>
          <cell r="E878">
            <v>508005326</v>
          </cell>
          <cell r="F878">
            <v>50</v>
          </cell>
          <cell r="G878">
            <v>1375595</v>
          </cell>
          <cell r="H878" t="str">
            <v>LC-009:BTL/INNER CLEAR P/OMG PTIPT 60B</v>
          </cell>
          <cell r="I878">
            <v>150000</v>
          </cell>
          <cell r="J878" t="str">
            <v>UN</v>
          </cell>
          <cell r="K878">
            <v>45677</v>
          </cell>
        </row>
        <row r="879">
          <cell r="A879" t="str">
            <v>50800532660</v>
          </cell>
          <cell r="B879" t="str">
            <v>ZMFD</v>
          </cell>
          <cell r="C879">
            <v>45573</v>
          </cell>
          <cell r="D879" t="str">
            <v>Not delivered</v>
          </cell>
          <cell r="E879">
            <v>508005326</v>
          </cell>
          <cell r="F879">
            <v>60</v>
          </cell>
          <cell r="G879">
            <v>1375593</v>
          </cell>
          <cell r="H879" t="str">
            <v>LC-009:CAP REDTRANS WIP S/OMG PTIPT 60B</v>
          </cell>
          <cell r="I879">
            <v>150000</v>
          </cell>
          <cell r="J879" t="str">
            <v>UN</v>
          </cell>
          <cell r="K879">
            <v>45677</v>
          </cell>
        </row>
        <row r="880">
          <cell r="A880" t="str">
            <v>50800533470</v>
          </cell>
          <cell r="B880" t="str">
            <v>ZMFD</v>
          </cell>
          <cell r="C880">
            <v>45574</v>
          </cell>
          <cell r="D880" t="str">
            <v>Not delivered</v>
          </cell>
          <cell r="E880">
            <v>508005334</v>
          </cell>
          <cell r="F880">
            <v>70</v>
          </cell>
          <cell r="G880">
            <v>1437039</v>
          </cell>
          <cell r="H880" t="str">
            <v>CM-290:1PC BS CV MT.BLK S/ EMBOS OMG 40C</v>
          </cell>
          <cell r="I880">
            <v>25000</v>
          </cell>
          <cell r="J880" t="str">
            <v>UN</v>
          </cell>
          <cell r="K880">
            <v>45678</v>
          </cell>
        </row>
        <row r="881">
          <cell r="A881" t="str">
            <v>50800533480</v>
          </cell>
          <cell r="B881" t="str">
            <v>ZMFD</v>
          </cell>
          <cell r="C881">
            <v>45574</v>
          </cell>
          <cell r="D881" t="str">
            <v>Not delivered</v>
          </cell>
          <cell r="E881">
            <v>508005334</v>
          </cell>
          <cell r="F881">
            <v>80</v>
          </cell>
          <cell r="G881">
            <v>1437140</v>
          </cell>
          <cell r="H881" t="str">
            <v>CM-290:ENGINE CV RED, BS BLK OMG PTI 12A</v>
          </cell>
          <cell r="I881">
            <v>25000</v>
          </cell>
          <cell r="J881" t="str">
            <v>UN</v>
          </cell>
          <cell r="K881">
            <v>45678</v>
          </cell>
        </row>
        <row r="882">
          <cell r="A882" t="str">
            <v>50800533490</v>
          </cell>
          <cell r="B882" t="str">
            <v>ZMFD</v>
          </cell>
          <cell r="C882">
            <v>45574</v>
          </cell>
          <cell r="D882" t="str">
            <v>Not delivered</v>
          </cell>
          <cell r="E882">
            <v>508005334</v>
          </cell>
          <cell r="F882">
            <v>90</v>
          </cell>
          <cell r="G882">
            <v>1437141</v>
          </cell>
          <cell r="H882" t="str">
            <v>CM-290:RING BLACK OMG PTI 12A</v>
          </cell>
          <cell r="I882">
            <v>25000</v>
          </cell>
          <cell r="J882" t="str">
            <v>UN</v>
          </cell>
          <cell r="K882">
            <v>45678</v>
          </cell>
        </row>
        <row r="883">
          <cell r="A883" t="str">
            <v>50800532350</v>
          </cell>
          <cell r="B883" t="str">
            <v>ZMFD</v>
          </cell>
          <cell r="C883">
            <v>45573</v>
          </cell>
          <cell r="D883" t="str">
            <v>Not delivered</v>
          </cell>
          <cell r="E883">
            <v>508005323</v>
          </cell>
          <cell r="F883">
            <v>50</v>
          </cell>
          <cell r="G883">
            <v>1361170</v>
          </cell>
          <cell r="H883" t="str">
            <v>PT-097:BODY BLACK HOUSE WHT TRANS PTI12A</v>
          </cell>
          <cell r="I883">
            <v>50000</v>
          </cell>
          <cell r="J883" t="str">
            <v>UN</v>
          </cell>
          <cell r="K883">
            <v>45678</v>
          </cell>
        </row>
        <row r="884">
          <cell r="A884" t="str">
            <v>50800532360</v>
          </cell>
          <cell r="B884" t="str">
            <v>ZMFD</v>
          </cell>
          <cell r="C884">
            <v>45573</v>
          </cell>
          <cell r="D884" t="str">
            <v>Not delivered</v>
          </cell>
          <cell r="E884">
            <v>508005323</v>
          </cell>
          <cell r="F884">
            <v>60</v>
          </cell>
          <cell r="G884">
            <v>1361175</v>
          </cell>
          <cell r="H884" t="str">
            <v>PT-097:CAP BLACK TRANS PTI 12A</v>
          </cell>
          <cell r="I884">
            <v>50000</v>
          </cell>
          <cell r="J884" t="str">
            <v>UN</v>
          </cell>
          <cell r="K884">
            <v>45678</v>
          </cell>
        </row>
        <row r="885">
          <cell r="A885" t="str">
            <v>50800532450</v>
          </cell>
          <cell r="B885" t="str">
            <v>ZMFD</v>
          </cell>
          <cell r="C885">
            <v>45573</v>
          </cell>
          <cell r="D885" t="str">
            <v>Not delivered</v>
          </cell>
          <cell r="E885">
            <v>508005324</v>
          </cell>
          <cell r="F885">
            <v>50</v>
          </cell>
          <cell r="G885">
            <v>1367372</v>
          </cell>
          <cell r="H885" t="str">
            <v>PT-097:BODY GREN HOUSE WHT TRANS PTI 12A</v>
          </cell>
          <cell r="I885">
            <v>50000</v>
          </cell>
          <cell r="J885" t="str">
            <v>UN</v>
          </cell>
          <cell r="K885">
            <v>45678</v>
          </cell>
        </row>
        <row r="886">
          <cell r="A886" t="str">
            <v>50800532460</v>
          </cell>
          <cell r="B886" t="str">
            <v>ZMFD</v>
          </cell>
          <cell r="C886">
            <v>45573</v>
          </cell>
          <cell r="D886" t="str">
            <v>Not delivered</v>
          </cell>
          <cell r="E886">
            <v>508005324</v>
          </cell>
          <cell r="F886">
            <v>60</v>
          </cell>
          <cell r="G886">
            <v>1367370</v>
          </cell>
          <cell r="H886" t="str">
            <v>PT-097:CAP GREN TRANS PTI 12A</v>
          </cell>
          <cell r="I886">
            <v>50000</v>
          </cell>
          <cell r="J886" t="str">
            <v>UN</v>
          </cell>
          <cell r="K886">
            <v>45678</v>
          </cell>
        </row>
        <row r="887">
          <cell r="A887" t="str">
            <v>50800533210</v>
          </cell>
          <cell r="B887" t="str">
            <v>ZMFD</v>
          </cell>
          <cell r="C887">
            <v>45573</v>
          </cell>
          <cell r="D887" t="str">
            <v>Not delivered</v>
          </cell>
          <cell r="E887">
            <v>508005332</v>
          </cell>
          <cell r="F887">
            <v>10</v>
          </cell>
          <cell r="G887">
            <v>1168132</v>
          </cell>
          <cell r="H887" t="str">
            <v>LS-285:BS WHT NO DC WARDAH</v>
          </cell>
          <cell r="I887">
            <v>120000</v>
          </cell>
          <cell r="J887" t="str">
            <v>UN</v>
          </cell>
          <cell r="K887">
            <v>45678</v>
          </cell>
        </row>
        <row r="888">
          <cell r="A888" t="str">
            <v>50800533220</v>
          </cell>
          <cell r="B888" t="str">
            <v>ZMFD</v>
          </cell>
          <cell r="C888">
            <v>45573</v>
          </cell>
          <cell r="D888" t="str">
            <v>Not delivered</v>
          </cell>
          <cell r="E888">
            <v>508005332</v>
          </cell>
          <cell r="F888">
            <v>20</v>
          </cell>
          <cell r="G888">
            <v>1421510</v>
          </cell>
          <cell r="H888" t="str">
            <v>LS-285:CV PINK P/WHT UV P.BLOSOM PTI 30O</v>
          </cell>
          <cell r="I888">
            <v>120000</v>
          </cell>
          <cell r="J888" t="str">
            <v>UN</v>
          </cell>
          <cell r="K888">
            <v>45678</v>
          </cell>
        </row>
        <row r="889">
          <cell r="A889" t="str">
            <v>50800529640</v>
          </cell>
          <cell r="B889" t="str">
            <v>ZMFD</v>
          </cell>
          <cell r="C889">
            <v>45565</v>
          </cell>
          <cell r="D889" t="str">
            <v>Not delivered</v>
          </cell>
          <cell r="E889">
            <v>508005296</v>
          </cell>
          <cell r="F889">
            <v>40</v>
          </cell>
          <cell r="G889">
            <v>1378563</v>
          </cell>
          <cell r="H889" t="str">
            <v>CP-093:CAP D50 MT BLACK Ø.5 YASULOR 12A</v>
          </cell>
          <cell r="I889">
            <v>600000</v>
          </cell>
          <cell r="J889" t="str">
            <v>UN</v>
          </cell>
          <cell r="K889">
            <v>45678</v>
          </cell>
        </row>
        <row r="890">
          <cell r="A890" t="str">
            <v>50800532010</v>
          </cell>
          <cell r="B890" t="str">
            <v>ZMFD</v>
          </cell>
          <cell r="C890">
            <v>45573</v>
          </cell>
          <cell r="D890" t="str">
            <v>Not delivered</v>
          </cell>
          <cell r="E890">
            <v>508005320</v>
          </cell>
          <cell r="F890">
            <v>10</v>
          </cell>
          <cell r="G890">
            <v>1434959</v>
          </cell>
          <cell r="H890" t="str">
            <v>LC-008:BTL CLR (PCTG) P/WHT EMLC PTI 60B</v>
          </cell>
          <cell r="I890">
            <v>100000</v>
          </cell>
          <cell r="J890" t="str">
            <v>UN</v>
          </cell>
          <cell r="K890">
            <v>45679</v>
          </cell>
        </row>
        <row r="891">
          <cell r="A891" t="str">
            <v>50800532020</v>
          </cell>
          <cell r="B891" t="str">
            <v>ZMFD</v>
          </cell>
          <cell r="C891">
            <v>45573</v>
          </cell>
          <cell r="D891" t="str">
            <v>Not delivered</v>
          </cell>
          <cell r="E891">
            <v>508005320</v>
          </cell>
          <cell r="F891">
            <v>20</v>
          </cell>
          <cell r="G891">
            <v>1332995</v>
          </cell>
          <cell r="H891" t="str">
            <v>LC-008:CAP VM SLV WIP NAT EMLC PTI 20F</v>
          </cell>
          <cell r="I891">
            <v>100000</v>
          </cell>
          <cell r="J891" t="str">
            <v>UN</v>
          </cell>
          <cell r="K891">
            <v>45679</v>
          </cell>
        </row>
        <row r="892">
          <cell r="A892" t="str">
            <v>50800532250</v>
          </cell>
          <cell r="B892" t="str">
            <v>ZMFD</v>
          </cell>
          <cell r="C892">
            <v>45573</v>
          </cell>
          <cell r="D892" t="str">
            <v>Not delivered</v>
          </cell>
          <cell r="E892">
            <v>508005322</v>
          </cell>
          <cell r="F892">
            <v>50</v>
          </cell>
          <cell r="G892">
            <v>1408740</v>
          </cell>
          <cell r="H892" t="str">
            <v>PT-097B:BDSR.2 BLU HOUS WHT TRNS PTI12A</v>
          </cell>
          <cell r="I892">
            <v>50000</v>
          </cell>
          <cell r="J892" t="str">
            <v>UN</v>
          </cell>
          <cell r="K892">
            <v>45679</v>
          </cell>
        </row>
        <row r="893">
          <cell r="A893" t="str">
            <v>50800532260</v>
          </cell>
          <cell r="B893" t="str">
            <v>ZMFD</v>
          </cell>
          <cell r="C893">
            <v>45573</v>
          </cell>
          <cell r="D893" t="str">
            <v>Not delivered</v>
          </cell>
          <cell r="E893">
            <v>508005322</v>
          </cell>
          <cell r="F893">
            <v>60</v>
          </cell>
          <cell r="G893">
            <v>1408739</v>
          </cell>
          <cell r="H893" t="str">
            <v>PT-097B:CAP SR.2 BLUE TRANS PTI 12A</v>
          </cell>
          <cell r="I893">
            <v>50000</v>
          </cell>
          <cell r="J893" t="str">
            <v>UN</v>
          </cell>
          <cell r="K893">
            <v>45679</v>
          </cell>
        </row>
        <row r="894">
          <cell r="A894" t="str">
            <v>50800533030</v>
          </cell>
          <cell r="B894" t="str">
            <v>ZMFD</v>
          </cell>
          <cell r="C894">
            <v>45573</v>
          </cell>
          <cell r="D894" t="str">
            <v>Not delivered</v>
          </cell>
          <cell r="E894">
            <v>508005330</v>
          </cell>
          <cell r="F894">
            <v>30</v>
          </cell>
          <cell r="G894">
            <v>1409881</v>
          </cell>
          <cell r="H894" t="str">
            <v>CM-315:CVR/BS BLACK P/CVRLAST OMG RV160B</v>
          </cell>
          <cell r="I894">
            <v>60000</v>
          </cell>
          <cell r="J894" t="str">
            <v>UN</v>
          </cell>
          <cell r="K894">
            <v>45679</v>
          </cell>
        </row>
        <row r="895">
          <cell r="A895" t="str">
            <v>50800526440</v>
          </cell>
          <cell r="B895" t="str">
            <v>ZMFD</v>
          </cell>
          <cell r="C895">
            <v>45525</v>
          </cell>
          <cell r="D895" t="str">
            <v>Not delivered</v>
          </cell>
          <cell r="E895">
            <v>508005264</v>
          </cell>
          <cell r="F895">
            <v>40</v>
          </cell>
          <cell r="G895">
            <v>1187758</v>
          </cell>
          <cell r="H895" t="str">
            <v>CM-105:VM RAINBOW P/ULTIMA II RUDYS 40C</v>
          </cell>
          <cell r="I895">
            <v>12500</v>
          </cell>
          <cell r="J895" t="str">
            <v>UN</v>
          </cell>
          <cell r="K895">
            <v>45679</v>
          </cell>
        </row>
        <row r="896">
          <cell r="A896" t="str">
            <v>50800532750</v>
          </cell>
          <cell r="B896" t="str">
            <v>ZMFD</v>
          </cell>
          <cell r="C896">
            <v>45573</v>
          </cell>
          <cell r="D896" t="str">
            <v>Not delivered</v>
          </cell>
          <cell r="E896">
            <v>508005327</v>
          </cell>
          <cell r="F896">
            <v>50</v>
          </cell>
          <cell r="G896">
            <v>1417990</v>
          </cell>
          <cell r="H896" t="str">
            <v>LC-009:BTL #2#3 INNER CLR P/OMG PTIPT60B</v>
          </cell>
          <cell r="I896">
            <v>400000</v>
          </cell>
          <cell r="J896" t="str">
            <v>UN</v>
          </cell>
          <cell r="K896">
            <v>45681</v>
          </cell>
        </row>
        <row r="897">
          <cell r="A897" t="str">
            <v>50800532760</v>
          </cell>
          <cell r="B897" t="str">
            <v>ZMFD</v>
          </cell>
          <cell r="C897">
            <v>45573</v>
          </cell>
          <cell r="D897" t="str">
            <v>Not delivered</v>
          </cell>
          <cell r="E897">
            <v>508005327</v>
          </cell>
          <cell r="F897">
            <v>60</v>
          </cell>
          <cell r="G897">
            <v>1417978</v>
          </cell>
          <cell r="H897" t="str">
            <v>LC-009:CAP #2#3 REDTR WIP S/OMG PTIPT60B</v>
          </cell>
          <cell r="I897">
            <v>400000</v>
          </cell>
          <cell r="J897" t="str">
            <v>UN</v>
          </cell>
          <cell r="K897">
            <v>45681</v>
          </cell>
        </row>
        <row r="898">
          <cell r="A898" t="str">
            <v>50714150210</v>
          </cell>
          <cell r="B898" t="str">
            <v>ZMTD</v>
          </cell>
          <cell r="C898">
            <v>45282</v>
          </cell>
          <cell r="D898" t="str">
            <v>Not delivered</v>
          </cell>
          <cell r="E898">
            <v>507141502</v>
          </cell>
          <cell r="F898">
            <v>10</v>
          </cell>
          <cell r="G898">
            <v>1378529</v>
          </cell>
          <cell r="H898" t="str">
            <v>CP-093:CAP D50 MT BLACK Ø.3 YASULOR 12A</v>
          </cell>
          <cell r="I898">
            <v>50000</v>
          </cell>
          <cell r="J898" t="str">
            <v>UN</v>
          </cell>
          <cell r="K898">
            <v>45681</v>
          </cell>
        </row>
        <row r="899">
          <cell r="A899" t="str">
            <v>50800533530</v>
          </cell>
          <cell r="B899" t="str">
            <v>ZMFD</v>
          </cell>
          <cell r="C899">
            <v>45574</v>
          </cell>
          <cell r="D899" t="str">
            <v>Not delivered</v>
          </cell>
          <cell r="E899">
            <v>508005335</v>
          </cell>
          <cell r="F899">
            <v>30</v>
          </cell>
          <cell r="G899">
            <v>1411899</v>
          </cell>
          <cell r="H899" t="str">
            <v>PT-100:BS/INS GREEN P/WHT KAHF PTI 60B</v>
          </cell>
          <cell r="I899">
            <v>100000</v>
          </cell>
          <cell r="J899" t="str">
            <v>UN</v>
          </cell>
          <cell r="K899">
            <v>45684</v>
          </cell>
        </row>
        <row r="900">
          <cell r="A900" t="str">
            <v>50800533540</v>
          </cell>
          <cell r="B900" t="str">
            <v>ZMFD</v>
          </cell>
          <cell r="C900">
            <v>45574</v>
          </cell>
          <cell r="D900" t="str">
            <v>Not delivered</v>
          </cell>
          <cell r="E900">
            <v>508005335</v>
          </cell>
          <cell r="F900">
            <v>40</v>
          </cell>
          <cell r="G900">
            <v>1411898</v>
          </cell>
          <cell r="H900" t="str">
            <v>PT-100:CVR MT.GREEN EMBOS KAHF PTI 40D</v>
          </cell>
          <cell r="I900">
            <v>100000</v>
          </cell>
          <cell r="J900" t="str">
            <v>UN</v>
          </cell>
          <cell r="K900">
            <v>45684</v>
          </cell>
        </row>
        <row r="901">
          <cell r="A901" t="str">
            <v>50800531510</v>
          </cell>
          <cell r="B901" t="str">
            <v>ZMFD</v>
          </cell>
          <cell r="C901">
            <v>45573</v>
          </cell>
          <cell r="D901" t="str">
            <v>Not delivered</v>
          </cell>
          <cell r="E901">
            <v>508005315</v>
          </cell>
          <cell r="F901">
            <v>10</v>
          </cell>
          <cell r="G901">
            <v>1169047</v>
          </cell>
          <cell r="H901" t="str">
            <v>LS-285:B V/SL P/1PS SLEV H/SL BLM PTI20R</v>
          </cell>
          <cell r="I901">
            <v>25536</v>
          </cell>
          <cell r="J901" t="str">
            <v>UN</v>
          </cell>
          <cell r="K901">
            <v>45684</v>
          </cell>
        </row>
        <row r="902">
          <cell r="A902" t="str">
            <v>50800531520</v>
          </cell>
          <cell r="B902" t="str">
            <v>ZMFD</v>
          </cell>
          <cell r="C902">
            <v>45573</v>
          </cell>
          <cell r="D902" t="str">
            <v>Not delivered</v>
          </cell>
          <cell r="E902">
            <v>508005315</v>
          </cell>
          <cell r="F902">
            <v>20</v>
          </cell>
          <cell r="G902">
            <v>1171165</v>
          </cell>
          <cell r="H902" t="str">
            <v>LS-285:CV TRANS MATE 3 P/1PS VAR3 PTI40H</v>
          </cell>
          <cell r="I902">
            <v>25536</v>
          </cell>
          <cell r="J902" t="str">
            <v>UN</v>
          </cell>
          <cell r="K902">
            <v>45684</v>
          </cell>
        </row>
        <row r="903">
          <cell r="A903" t="str">
            <v>508005334100</v>
          </cell>
          <cell r="B903" t="str">
            <v>ZMFD</v>
          </cell>
          <cell r="C903">
            <v>45574</v>
          </cell>
          <cell r="D903" t="str">
            <v>Not delivered</v>
          </cell>
          <cell r="E903">
            <v>508005334</v>
          </cell>
          <cell r="F903">
            <v>100</v>
          </cell>
          <cell r="G903">
            <v>1437039</v>
          </cell>
          <cell r="H903" t="str">
            <v>CM-290:1PC BS CV MT.BLK S/ EMBOS OMG 40C</v>
          </cell>
          <cell r="I903">
            <v>25000</v>
          </cell>
          <cell r="J903" t="str">
            <v>UN</v>
          </cell>
          <cell r="K903">
            <v>45685</v>
          </cell>
        </row>
        <row r="904">
          <cell r="A904" t="str">
            <v>508005334110</v>
          </cell>
          <cell r="B904" t="str">
            <v>ZMFD</v>
          </cell>
          <cell r="C904">
            <v>45574</v>
          </cell>
          <cell r="D904" t="str">
            <v>Not delivered</v>
          </cell>
          <cell r="E904">
            <v>508005334</v>
          </cell>
          <cell r="F904">
            <v>110</v>
          </cell>
          <cell r="G904">
            <v>1437140</v>
          </cell>
          <cell r="H904" t="str">
            <v>CM-290:ENGINE CV RED, BS BLK OMG PTI 12A</v>
          </cell>
          <cell r="I904">
            <v>25000</v>
          </cell>
          <cell r="J904" t="str">
            <v>UN</v>
          </cell>
          <cell r="K904">
            <v>45685</v>
          </cell>
        </row>
        <row r="905">
          <cell r="A905" t="str">
            <v>508005334120</v>
          </cell>
          <cell r="B905" t="str">
            <v>ZMFD</v>
          </cell>
          <cell r="C905">
            <v>45574</v>
          </cell>
          <cell r="D905" t="str">
            <v>Not delivered</v>
          </cell>
          <cell r="E905">
            <v>508005334</v>
          </cell>
          <cell r="F905">
            <v>120</v>
          </cell>
          <cell r="G905">
            <v>1437141</v>
          </cell>
          <cell r="H905" t="str">
            <v>CM-290:RING BLACK OMG PTI 12A</v>
          </cell>
          <cell r="I905">
            <v>25000</v>
          </cell>
          <cell r="J905" t="str">
            <v>UN</v>
          </cell>
          <cell r="K905">
            <v>45685</v>
          </cell>
        </row>
        <row r="906">
          <cell r="A906" t="str">
            <v>50800533740</v>
          </cell>
          <cell r="B906" t="str">
            <v>ZMFD</v>
          </cell>
          <cell r="C906">
            <v>45574</v>
          </cell>
          <cell r="D906" t="str">
            <v>Not delivered</v>
          </cell>
          <cell r="E906">
            <v>508005337</v>
          </cell>
          <cell r="F906">
            <v>40</v>
          </cell>
          <cell r="G906">
            <v>1187960</v>
          </cell>
          <cell r="H906" t="str">
            <v>FP-014:CVR VMRAINBOW P/ULTM II RUDYS 40C</v>
          </cell>
          <cell r="I906">
            <v>15000</v>
          </cell>
          <cell r="J906" t="str">
            <v>UN</v>
          </cell>
          <cell r="K906">
            <v>45685</v>
          </cell>
        </row>
        <row r="907">
          <cell r="A907" t="str">
            <v>50800533750</v>
          </cell>
          <cell r="B907" t="str">
            <v>ZMFD</v>
          </cell>
          <cell r="C907">
            <v>45574</v>
          </cell>
          <cell r="D907" t="str">
            <v>Not delivered</v>
          </cell>
          <cell r="E907">
            <v>508005337</v>
          </cell>
          <cell r="F907">
            <v>50</v>
          </cell>
          <cell r="G907">
            <v>1172318</v>
          </cell>
          <cell r="H907" t="str">
            <v>FP-014:BASE CLEAR NO DC ULTIMA II RUDY S</v>
          </cell>
          <cell r="I907">
            <v>15000</v>
          </cell>
          <cell r="J907" t="str">
            <v>UN</v>
          </cell>
          <cell r="K907">
            <v>45685</v>
          </cell>
        </row>
        <row r="908">
          <cell r="A908" t="str">
            <v>50800533760</v>
          </cell>
          <cell r="B908" t="str">
            <v>ZMFD</v>
          </cell>
          <cell r="C908">
            <v>45574</v>
          </cell>
          <cell r="D908" t="str">
            <v>Not delivered</v>
          </cell>
          <cell r="E908">
            <v>508005337</v>
          </cell>
          <cell r="F908">
            <v>60</v>
          </cell>
          <cell r="G908">
            <v>1170826</v>
          </cell>
          <cell r="H908" t="str">
            <v>FP-014:SIFTER NT W/LBL NO DECO ULTIMA II</v>
          </cell>
          <cell r="I908">
            <v>15000</v>
          </cell>
          <cell r="J908" t="str">
            <v>UN</v>
          </cell>
          <cell r="K908">
            <v>45685</v>
          </cell>
        </row>
        <row r="909">
          <cell r="A909" t="str">
            <v>50800531530</v>
          </cell>
          <cell r="B909" t="str">
            <v>ZMFD</v>
          </cell>
          <cell r="C909">
            <v>45573</v>
          </cell>
          <cell r="D909" t="str">
            <v>Not delivered</v>
          </cell>
          <cell r="E909">
            <v>508005315</v>
          </cell>
          <cell r="F909">
            <v>30</v>
          </cell>
          <cell r="G909">
            <v>1169047</v>
          </cell>
          <cell r="H909" t="str">
            <v>LS-285:B V/SL P/1PS SLEV H/SL BLM PTI20R</v>
          </cell>
          <cell r="I909">
            <v>25536</v>
          </cell>
          <cell r="J909" t="str">
            <v>UN</v>
          </cell>
          <cell r="K909">
            <v>45685</v>
          </cell>
        </row>
        <row r="910">
          <cell r="A910" t="str">
            <v>50800531540</v>
          </cell>
          <cell r="B910" t="str">
            <v>ZMFD</v>
          </cell>
          <cell r="C910">
            <v>45573</v>
          </cell>
          <cell r="D910" t="str">
            <v>Not delivered</v>
          </cell>
          <cell r="E910">
            <v>508005315</v>
          </cell>
          <cell r="F910">
            <v>40</v>
          </cell>
          <cell r="G910">
            <v>1171873</v>
          </cell>
          <cell r="H910" t="str">
            <v>LS-285:CV TRANS MATE 6 P/1PS VAR5 PTI40H</v>
          </cell>
          <cell r="I910">
            <v>25536</v>
          </cell>
          <cell r="J910" t="str">
            <v>UN</v>
          </cell>
          <cell r="K910">
            <v>45685</v>
          </cell>
        </row>
        <row r="911">
          <cell r="A911" t="str">
            <v>50800531640</v>
          </cell>
          <cell r="B911" t="str">
            <v>ZMFD</v>
          </cell>
          <cell r="C911">
            <v>45573</v>
          </cell>
          <cell r="D911" t="str">
            <v>Not delivered</v>
          </cell>
          <cell r="E911">
            <v>508005316</v>
          </cell>
          <cell r="F911">
            <v>40</v>
          </cell>
          <cell r="G911">
            <v>1207621</v>
          </cell>
          <cell r="H911" t="str">
            <v>CP-090:CAP DELCATE MTPINK NOEMBOS PTI40D</v>
          </cell>
          <cell r="I911">
            <v>10000</v>
          </cell>
          <cell r="J911" t="str">
            <v>UN</v>
          </cell>
          <cell r="K911">
            <v>45685</v>
          </cell>
        </row>
        <row r="912">
          <cell r="A912" t="str">
            <v>50800531940</v>
          </cell>
          <cell r="B912" t="str">
            <v>ZMFD</v>
          </cell>
          <cell r="C912">
            <v>45573</v>
          </cell>
          <cell r="D912" t="str">
            <v>Not delivered</v>
          </cell>
          <cell r="E912">
            <v>508005319</v>
          </cell>
          <cell r="F912">
            <v>40</v>
          </cell>
          <cell r="G912">
            <v>1285116</v>
          </cell>
          <cell r="H912" t="str">
            <v>CM-292:CV/BS MTBLK LENS S/SLV MO PTI 40C</v>
          </cell>
          <cell r="I912">
            <v>25000</v>
          </cell>
          <cell r="J912" t="str">
            <v>UN</v>
          </cell>
          <cell r="K912">
            <v>45685</v>
          </cell>
        </row>
        <row r="913">
          <cell r="A913" t="str">
            <v>50800532270</v>
          </cell>
          <cell r="B913" t="str">
            <v>ZMFD</v>
          </cell>
          <cell r="C913">
            <v>45573</v>
          </cell>
          <cell r="D913" t="str">
            <v>Not delivered</v>
          </cell>
          <cell r="E913">
            <v>508005322</v>
          </cell>
          <cell r="F913">
            <v>70</v>
          </cell>
          <cell r="G913">
            <v>1408740</v>
          </cell>
          <cell r="H913" t="str">
            <v>PT-097B:BDSR.2 BLU HOUS WHT TRNS PTI12A</v>
          </cell>
          <cell r="I913">
            <v>50000</v>
          </cell>
          <cell r="J913" t="str">
            <v>UN</v>
          </cell>
          <cell r="K913">
            <v>45685</v>
          </cell>
        </row>
        <row r="914">
          <cell r="A914" t="str">
            <v>50800532280</v>
          </cell>
          <cell r="B914" t="str">
            <v>ZMFD</v>
          </cell>
          <cell r="C914">
            <v>45573</v>
          </cell>
          <cell r="D914" t="str">
            <v>Not delivered</v>
          </cell>
          <cell r="E914">
            <v>508005322</v>
          </cell>
          <cell r="F914">
            <v>80</v>
          </cell>
          <cell r="G914">
            <v>1408739</v>
          </cell>
          <cell r="H914" t="str">
            <v>PT-097B:CAP SR.2 BLUE TRANS PTI 12A</v>
          </cell>
          <cell r="I914">
            <v>50000</v>
          </cell>
          <cell r="J914" t="str">
            <v>UN</v>
          </cell>
          <cell r="K914">
            <v>45685</v>
          </cell>
        </row>
        <row r="915">
          <cell r="A915" t="str">
            <v>50800532530</v>
          </cell>
          <cell r="B915" t="str">
            <v>ZMFD</v>
          </cell>
          <cell r="C915">
            <v>45573</v>
          </cell>
          <cell r="D915" t="str">
            <v>Not delivered</v>
          </cell>
          <cell r="E915">
            <v>508005325</v>
          </cell>
          <cell r="F915">
            <v>30</v>
          </cell>
          <cell r="G915">
            <v>1336783</v>
          </cell>
          <cell r="H915" t="str">
            <v>LC-003:BTL CLR CLVM P/S/INSTSUEDE PTI20Y</v>
          </cell>
          <cell r="I915">
            <v>25000</v>
          </cell>
          <cell r="J915" t="str">
            <v>UN</v>
          </cell>
          <cell r="K915">
            <v>45685</v>
          </cell>
        </row>
        <row r="916">
          <cell r="A916" t="str">
            <v>50800532540</v>
          </cell>
          <cell r="B916" t="str">
            <v>ZMFD</v>
          </cell>
          <cell r="C916">
            <v>45573</v>
          </cell>
          <cell r="D916" t="str">
            <v>Not delivered</v>
          </cell>
          <cell r="E916">
            <v>508005325</v>
          </cell>
          <cell r="F916">
            <v>40</v>
          </cell>
          <cell r="G916">
            <v>1378266</v>
          </cell>
          <cell r="H916" t="str">
            <v>LC-003:CAP VM RS PINK INSTASUEDE PTI 20F</v>
          </cell>
          <cell r="I916">
            <v>25000</v>
          </cell>
          <cell r="J916" t="str">
            <v>UN</v>
          </cell>
          <cell r="K916">
            <v>45685</v>
          </cell>
        </row>
        <row r="917">
          <cell r="A917" t="str">
            <v>50800532670</v>
          </cell>
          <cell r="B917" t="str">
            <v>ZMFD</v>
          </cell>
          <cell r="C917">
            <v>45573</v>
          </cell>
          <cell r="D917" t="str">
            <v>Not delivered</v>
          </cell>
          <cell r="E917">
            <v>508005326</v>
          </cell>
          <cell r="F917">
            <v>70</v>
          </cell>
          <cell r="G917">
            <v>1375595</v>
          </cell>
          <cell r="H917" t="str">
            <v>LC-009:BTL/INNER CLEAR P/OMG PTIPT 60B</v>
          </cell>
          <cell r="I917">
            <v>150000</v>
          </cell>
          <cell r="J917" t="str">
            <v>UN</v>
          </cell>
          <cell r="K917">
            <v>45685</v>
          </cell>
        </row>
        <row r="918">
          <cell r="A918" t="str">
            <v>50800532680</v>
          </cell>
          <cell r="B918" t="str">
            <v>ZMFD</v>
          </cell>
          <cell r="C918">
            <v>45573</v>
          </cell>
          <cell r="D918" t="str">
            <v>Not delivered</v>
          </cell>
          <cell r="E918">
            <v>508005326</v>
          </cell>
          <cell r="F918">
            <v>80</v>
          </cell>
          <cell r="G918">
            <v>1375593</v>
          </cell>
          <cell r="H918" t="str">
            <v>LC-009:CAP REDTRANS WIP S/OMG PTIPT 60B</v>
          </cell>
          <cell r="I918">
            <v>150000</v>
          </cell>
          <cell r="J918" t="str">
            <v>UN</v>
          </cell>
          <cell r="K918">
            <v>45685</v>
          </cell>
        </row>
        <row r="919">
          <cell r="A919" t="str">
            <v>50800531550</v>
          </cell>
          <cell r="B919" t="str">
            <v>ZMFD</v>
          </cell>
          <cell r="C919">
            <v>45573</v>
          </cell>
          <cell r="D919" t="str">
            <v>Not delivered</v>
          </cell>
          <cell r="E919">
            <v>508005315</v>
          </cell>
          <cell r="F919">
            <v>50</v>
          </cell>
          <cell r="G919">
            <v>1169047</v>
          </cell>
          <cell r="H919" t="str">
            <v>LS-285:B V/SL P/1PS SLEV H/SL BLM PTI20R</v>
          </cell>
          <cell r="I919">
            <v>25536</v>
          </cell>
          <cell r="J919" t="str">
            <v>UN</v>
          </cell>
          <cell r="K919">
            <v>45686</v>
          </cell>
        </row>
        <row r="920">
          <cell r="A920" t="str">
            <v>50800531560</v>
          </cell>
          <cell r="B920" t="str">
            <v>ZMFD</v>
          </cell>
          <cell r="C920">
            <v>45573</v>
          </cell>
          <cell r="D920" t="str">
            <v>Not delivered</v>
          </cell>
          <cell r="E920">
            <v>508005315</v>
          </cell>
          <cell r="F920">
            <v>60</v>
          </cell>
          <cell r="G920">
            <v>1171889</v>
          </cell>
          <cell r="H920" t="str">
            <v>LS-285:CV TRANS MATE 7 P/1PS VAR6 PTI40H</v>
          </cell>
          <cell r="I920">
            <v>25536</v>
          </cell>
          <cell r="J920" t="str">
            <v>UN</v>
          </cell>
          <cell r="K920">
            <v>45686</v>
          </cell>
        </row>
        <row r="921">
          <cell r="A921" t="str">
            <v>50800533040</v>
          </cell>
          <cell r="B921" t="str">
            <v>ZMFD</v>
          </cell>
          <cell r="C921">
            <v>45573</v>
          </cell>
          <cell r="D921" t="str">
            <v>Not delivered</v>
          </cell>
          <cell r="E921">
            <v>508005330</v>
          </cell>
          <cell r="F921">
            <v>40</v>
          </cell>
          <cell r="G921">
            <v>1409881</v>
          </cell>
          <cell r="H921" t="str">
            <v>CM-315:CVR/BS BLACK P/CVRLAST OMG RV160B</v>
          </cell>
          <cell r="I921">
            <v>60000</v>
          </cell>
          <cell r="J921" t="str">
            <v>UN</v>
          </cell>
          <cell r="K921">
            <v>45686</v>
          </cell>
        </row>
        <row r="922">
          <cell r="A922" t="str">
            <v>50800532030</v>
          </cell>
          <cell r="B922" t="str">
            <v>ZMFD</v>
          </cell>
          <cell r="C922">
            <v>45573</v>
          </cell>
          <cell r="D922" t="str">
            <v>Not delivered</v>
          </cell>
          <cell r="E922">
            <v>508005320</v>
          </cell>
          <cell r="F922">
            <v>30</v>
          </cell>
          <cell r="G922">
            <v>1434959</v>
          </cell>
          <cell r="H922" t="str">
            <v>LC-008:BTL CLR (PCTG) P/WHT EMLC PTI 60B</v>
          </cell>
          <cell r="I922">
            <v>100000</v>
          </cell>
          <cell r="J922" t="str">
            <v>UN</v>
          </cell>
          <cell r="K922">
            <v>45687</v>
          </cell>
        </row>
        <row r="923">
          <cell r="A923" t="str">
            <v>50800532040</v>
          </cell>
          <cell r="B923" t="str">
            <v>ZMFD</v>
          </cell>
          <cell r="C923">
            <v>45573</v>
          </cell>
          <cell r="D923" t="str">
            <v>Not delivered</v>
          </cell>
          <cell r="E923">
            <v>508005320</v>
          </cell>
          <cell r="F923">
            <v>40</v>
          </cell>
          <cell r="G923">
            <v>1332995</v>
          </cell>
          <cell r="H923" t="str">
            <v>LC-008:CAP VM SLV WIP NAT EMLC PTI 20F</v>
          </cell>
          <cell r="I923">
            <v>100000</v>
          </cell>
          <cell r="J923" t="str">
            <v>UN</v>
          </cell>
          <cell r="K923">
            <v>45687</v>
          </cell>
        </row>
        <row r="924">
          <cell r="A924" t="str">
            <v>50800532370</v>
          </cell>
          <cell r="B924" t="str">
            <v>ZMFD</v>
          </cell>
          <cell r="C924">
            <v>45573</v>
          </cell>
          <cell r="D924" t="str">
            <v>Not delivered</v>
          </cell>
          <cell r="E924">
            <v>508005323</v>
          </cell>
          <cell r="F924">
            <v>70</v>
          </cell>
          <cell r="G924">
            <v>1361170</v>
          </cell>
          <cell r="H924" t="str">
            <v>PT-097:BODY BLACK HOUSE WHT TRANS PTI12A</v>
          </cell>
          <cell r="I924">
            <v>50000</v>
          </cell>
          <cell r="J924" t="str">
            <v>UN</v>
          </cell>
          <cell r="K924">
            <v>45687</v>
          </cell>
        </row>
        <row r="925">
          <cell r="A925" t="str">
            <v>50800532380</v>
          </cell>
          <cell r="B925" t="str">
            <v>ZMFD</v>
          </cell>
          <cell r="C925">
            <v>45573</v>
          </cell>
          <cell r="D925" t="str">
            <v>Not delivered</v>
          </cell>
          <cell r="E925">
            <v>508005323</v>
          </cell>
          <cell r="F925">
            <v>80</v>
          </cell>
          <cell r="G925">
            <v>1361175</v>
          </cell>
          <cell r="H925" t="str">
            <v>PT-097:CAP BLACK TRANS PTI 12A</v>
          </cell>
          <cell r="I925">
            <v>50000</v>
          </cell>
          <cell r="J925" t="str">
            <v>UN</v>
          </cell>
          <cell r="K925">
            <v>45687</v>
          </cell>
        </row>
        <row r="926">
          <cell r="A926" t="str">
            <v>50800532770</v>
          </cell>
          <cell r="B926" t="str">
            <v>ZMFD</v>
          </cell>
          <cell r="C926">
            <v>45573</v>
          </cell>
          <cell r="D926" t="str">
            <v>Not delivered</v>
          </cell>
          <cell r="E926">
            <v>508005327</v>
          </cell>
          <cell r="F926">
            <v>70</v>
          </cell>
          <cell r="G926">
            <v>1417990</v>
          </cell>
          <cell r="H926" t="str">
            <v>LC-009:BTL #2#3 INNER CLR P/OMG PTIPT60B</v>
          </cell>
          <cell r="I926">
            <v>400000</v>
          </cell>
          <cell r="J926" t="str">
            <v>UN</v>
          </cell>
          <cell r="K926">
            <v>45687</v>
          </cell>
        </row>
        <row r="927">
          <cell r="A927" t="str">
            <v>50800532780</v>
          </cell>
          <cell r="B927" t="str">
            <v>ZMFD</v>
          </cell>
          <cell r="C927">
            <v>45573</v>
          </cell>
          <cell r="D927" t="str">
            <v>Not delivered</v>
          </cell>
          <cell r="E927">
            <v>508005327</v>
          </cell>
          <cell r="F927">
            <v>80</v>
          </cell>
          <cell r="G927">
            <v>1417978</v>
          </cell>
          <cell r="H927" t="str">
            <v>LC-009:CAP #2#3 REDTR WIP S/OMG PTIPT60B</v>
          </cell>
          <cell r="I927">
            <v>400000</v>
          </cell>
          <cell r="J927" t="str">
            <v>UN</v>
          </cell>
          <cell r="K927">
            <v>45687</v>
          </cell>
        </row>
        <row r="928">
          <cell r="A928" t="str">
            <v>50800532910</v>
          </cell>
          <cell r="B928" t="str">
            <v>ZMFD</v>
          </cell>
          <cell r="C928">
            <v>45573</v>
          </cell>
          <cell r="D928" t="str">
            <v>Not delivered</v>
          </cell>
          <cell r="E928">
            <v>508005329</v>
          </cell>
          <cell r="F928">
            <v>10</v>
          </cell>
          <cell r="G928">
            <v>1153319</v>
          </cell>
          <cell r="H928" t="str">
            <v>LS-285:BS/SPRL BEIGE P/WRDH PTI 40H</v>
          </cell>
          <cell r="I928">
            <v>50000</v>
          </cell>
          <cell r="J928" t="str">
            <v>UN</v>
          </cell>
          <cell r="K928">
            <v>45687</v>
          </cell>
        </row>
        <row r="929">
          <cell r="A929" t="str">
            <v>50800532920</v>
          </cell>
          <cell r="B929" t="str">
            <v>ZMFD</v>
          </cell>
          <cell r="C929">
            <v>45573</v>
          </cell>
          <cell r="D929" t="str">
            <v>Not delivered</v>
          </cell>
          <cell r="E929">
            <v>508005329</v>
          </cell>
          <cell r="F929">
            <v>20</v>
          </cell>
          <cell r="G929">
            <v>1153467</v>
          </cell>
          <cell r="H929" t="str">
            <v>LS-285:CVR MT BEIGE P/S.SEOUL PTI40H</v>
          </cell>
          <cell r="I929">
            <v>50000</v>
          </cell>
          <cell r="J929" t="str">
            <v>UN</v>
          </cell>
          <cell r="K929">
            <v>45687</v>
          </cell>
        </row>
        <row r="930">
          <cell r="A930" t="str">
            <v>50714275910</v>
          </cell>
          <cell r="B930" t="str">
            <v>ZMTD</v>
          </cell>
          <cell r="C930">
            <v>45548</v>
          </cell>
          <cell r="D930" t="str">
            <v>Not delivered</v>
          </cell>
          <cell r="E930">
            <v>507142759</v>
          </cell>
          <cell r="F930">
            <v>10</v>
          </cell>
          <cell r="G930">
            <v>1432080</v>
          </cell>
          <cell r="H930" t="str">
            <v>CM-281:BS/CV TWC BLUE UV P/S/INEZ FTC30M</v>
          </cell>
          <cell r="I930">
            <v>25000</v>
          </cell>
          <cell r="J930" t="str">
            <v>UN</v>
          </cell>
          <cell r="K930">
            <v>45687</v>
          </cell>
        </row>
        <row r="931">
          <cell r="A931" t="str">
            <v>50800530510</v>
          </cell>
          <cell r="B931" t="str">
            <v>ZMFD</v>
          </cell>
          <cell r="C931">
            <v>45569</v>
          </cell>
          <cell r="D931" t="str">
            <v>Not delivered</v>
          </cell>
          <cell r="E931">
            <v>508005305</v>
          </cell>
          <cell r="F931">
            <v>10</v>
          </cell>
          <cell r="G931">
            <v>1419488</v>
          </cell>
          <cell r="H931" t="str">
            <v>CP-063R:SPOUT CAP WHITE LOREAL 12A</v>
          </cell>
          <cell r="I931">
            <v>1890000</v>
          </cell>
          <cell r="J931" t="str">
            <v>UN</v>
          </cell>
          <cell r="K931">
            <v>45691</v>
          </cell>
        </row>
        <row r="932">
          <cell r="A932" t="str">
            <v>50800530520</v>
          </cell>
          <cell r="B932" t="str">
            <v>ZMFD</v>
          </cell>
          <cell r="C932">
            <v>45569</v>
          </cell>
          <cell r="D932" t="str">
            <v>Not delivered</v>
          </cell>
          <cell r="E932">
            <v>508005305</v>
          </cell>
          <cell r="F932">
            <v>20</v>
          </cell>
          <cell r="G932">
            <v>1419488</v>
          </cell>
          <cell r="H932" t="str">
            <v>CP-063R:SPOUT CAP WHITE LOREAL 12A</v>
          </cell>
          <cell r="I932">
            <v>1890000</v>
          </cell>
          <cell r="J932" t="str">
            <v>UN</v>
          </cell>
          <cell r="K932">
            <v>45693</v>
          </cell>
        </row>
        <row r="933">
          <cell r="A933" t="str">
            <v>50800530530</v>
          </cell>
          <cell r="B933" t="str">
            <v>ZMFD</v>
          </cell>
          <cell r="C933">
            <v>45569</v>
          </cell>
          <cell r="D933" t="str">
            <v>Not delivered</v>
          </cell>
          <cell r="E933">
            <v>508005305</v>
          </cell>
          <cell r="F933">
            <v>30</v>
          </cell>
          <cell r="G933">
            <v>1419488</v>
          </cell>
          <cell r="H933" t="str">
            <v>CP-063R:SPOUT CAP WHITE LOREAL 12A</v>
          </cell>
          <cell r="I933">
            <v>1890000</v>
          </cell>
          <cell r="J933" t="str">
            <v>UN</v>
          </cell>
          <cell r="K933">
            <v>45695</v>
          </cell>
        </row>
        <row r="934">
          <cell r="A934" t="str">
            <v>50800530540</v>
          </cell>
          <cell r="B934" t="str">
            <v>ZMFD</v>
          </cell>
          <cell r="C934">
            <v>45569</v>
          </cell>
          <cell r="D934" t="str">
            <v>Not delivered</v>
          </cell>
          <cell r="E934">
            <v>508005305</v>
          </cell>
          <cell r="F934">
            <v>40</v>
          </cell>
          <cell r="G934">
            <v>1419488</v>
          </cell>
          <cell r="H934" t="str">
            <v>CP-063R:SPOUT CAP WHITE LOREAL 12A</v>
          </cell>
          <cell r="I934">
            <v>1890000</v>
          </cell>
          <cell r="J934" t="str">
            <v>UN</v>
          </cell>
          <cell r="K934">
            <v>45698</v>
          </cell>
        </row>
        <row r="935">
          <cell r="A935" t="str">
            <v>50800530550</v>
          </cell>
          <cell r="B935" t="str">
            <v>ZMFD</v>
          </cell>
          <cell r="C935">
            <v>45569</v>
          </cell>
          <cell r="D935" t="str">
            <v>Not delivered</v>
          </cell>
          <cell r="E935">
            <v>508005305</v>
          </cell>
          <cell r="F935">
            <v>50</v>
          </cell>
          <cell r="G935">
            <v>1419488</v>
          </cell>
          <cell r="H935" t="str">
            <v>CP-063R:SPOUT CAP WHITE LOREAL 12A</v>
          </cell>
          <cell r="I935">
            <v>1890000</v>
          </cell>
          <cell r="J935" t="str">
            <v>UN</v>
          </cell>
          <cell r="K935">
            <v>45699</v>
          </cell>
        </row>
        <row r="936">
          <cell r="A936" t="str">
            <v>50800530560</v>
          </cell>
          <cell r="B936" t="str">
            <v>ZMFD</v>
          </cell>
          <cell r="C936">
            <v>45569</v>
          </cell>
          <cell r="D936" t="str">
            <v>Not delivered</v>
          </cell>
          <cell r="E936">
            <v>508005305</v>
          </cell>
          <cell r="F936">
            <v>60</v>
          </cell>
          <cell r="G936">
            <v>1419488</v>
          </cell>
          <cell r="H936" t="str">
            <v>CP-063R:SPOUT CAP WHITE LOREAL 12A</v>
          </cell>
          <cell r="I936">
            <v>1890000</v>
          </cell>
          <cell r="J936" t="str">
            <v>UN</v>
          </cell>
          <cell r="K936">
            <v>45701</v>
          </cell>
        </row>
        <row r="937">
          <cell r="A937" t="str">
            <v>50800528210</v>
          </cell>
          <cell r="B937" t="str">
            <v>ZMFD</v>
          </cell>
          <cell r="C937">
            <v>45554</v>
          </cell>
          <cell r="D937" t="str">
            <v>Not delivered</v>
          </cell>
          <cell r="E937">
            <v>508005282</v>
          </cell>
          <cell r="F937">
            <v>10</v>
          </cell>
          <cell r="G937">
            <v>1431860</v>
          </cell>
          <cell r="H937" t="str">
            <v>PT6029R CAP GARNIER 18ML WHITE PLZ (553)</v>
          </cell>
          <cell r="I937">
            <v>70560</v>
          </cell>
          <cell r="J937" t="str">
            <v>UN</v>
          </cell>
          <cell r="K937">
            <v>45701</v>
          </cell>
        </row>
        <row r="938">
          <cell r="A938" t="str">
            <v>50800530570</v>
          </cell>
          <cell r="B938" t="str">
            <v>ZMFD</v>
          </cell>
          <cell r="C938">
            <v>45569</v>
          </cell>
          <cell r="D938" t="str">
            <v>Not delivered</v>
          </cell>
          <cell r="E938">
            <v>508005305</v>
          </cell>
          <cell r="F938">
            <v>70</v>
          </cell>
          <cell r="G938">
            <v>1419488</v>
          </cell>
          <cell r="H938" t="str">
            <v>CP-063R:SPOUT CAP WHITE LOREAL 12A</v>
          </cell>
          <cell r="I938">
            <v>1890000</v>
          </cell>
          <cell r="J938" t="str">
            <v>UN</v>
          </cell>
          <cell r="K938">
            <v>45702</v>
          </cell>
        </row>
        <row r="939">
          <cell r="A939" t="str">
            <v>50800530580</v>
          </cell>
          <cell r="B939" t="str">
            <v>ZMFD</v>
          </cell>
          <cell r="C939">
            <v>45569</v>
          </cell>
          <cell r="D939" t="str">
            <v>Not delivered</v>
          </cell>
          <cell r="E939">
            <v>508005305</v>
          </cell>
          <cell r="F939">
            <v>80</v>
          </cell>
          <cell r="G939">
            <v>1419488</v>
          </cell>
          <cell r="H939" t="str">
            <v>CP-063R:SPOUT CAP WHITE LOREAL 12A</v>
          </cell>
          <cell r="I939">
            <v>1890000</v>
          </cell>
          <cell r="J939" t="str">
            <v>UN</v>
          </cell>
          <cell r="K939">
            <v>45705</v>
          </cell>
        </row>
        <row r="940">
          <cell r="A940" t="str">
            <v>50800530590</v>
          </cell>
          <cell r="B940" t="str">
            <v>ZMFD</v>
          </cell>
          <cell r="C940">
            <v>45569</v>
          </cell>
          <cell r="D940" t="str">
            <v>Not delivered</v>
          </cell>
          <cell r="E940">
            <v>508005305</v>
          </cell>
          <cell r="F940">
            <v>90</v>
          </cell>
          <cell r="G940">
            <v>1419488</v>
          </cell>
          <cell r="H940" t="str">
            <v>CP-063R:SPOUT CAP WHITE LOREAL 12A</v>
          </cell>
          <cell r="I940">
            <v>1890000</v>
          </cell>
          <cell r="J940" t="str">
            <v>UN</v>
          </cell>
          <cell r="K940">
            <v>45707</v>
          </cell>
        </row>
        <row r="941">
          <cell r="A941" t="str">
            <v>50800533770</v>
          </cell>
          <cell r="B941" t="str">
            <v>ZMFD</v>
          </cell>
          <cell r="C941">
            <v>45574</v>
          </cell>
          <cell r="D941" t="str">
            <v>Not delivered</v>
          </cell>
          <cell r="E941">
            <v>508005337</v>
          </cell>
          <cell r="F941">
            <v>70</v>
          </cell>
          <cell r="G941">
            <v>1187960</v>
          </cell>
          <cell r="H941" t="str">
            <v>FP-014:CVR VMRAINBOW P/ULTM II RUDYS 40C</v>
          </cell>
          <cell r="I941">
            <v>32600</v>
          </cell>
          <cell r="J941" t="str">
            <v>UN</v>
          </cell>
          <cell r="K941">
            <v>45708</v>
          </cell>
        </row>
        <row r="942">
          <cell r="A942" t="str">
            <v>50800533780</v>
          </cell>
          <cell r="B942" t="str">
            <v>ZMFD</v>
          </cell>
          <cell r="C942">
            <v>45574</v>
          </cell>
          <cell r="D942" t="str">
            <v>Not delivered</v>
          </cell>
          <cell r="E942">
            <v>508005337</v>
          </cell>
          <cell r="F942">
            <v>80</v>
          </cell>
          <cell r="G942">
            <v>1172318</v>
          </cell>
          <cell r="H942" t="str">
            <v>FP-014:BASE CLEAR NO DC ULTIMA II RUDY S</v>
          </cell>
          <cell r="I942">
            <v>32600</v>
          </cell>
          <cell r="J942" t="str">
            <v>UN</v>
          </cell>
          <cell r="K942">
            <v>45708</v>
          </cell>
        </row>
        <row r="943">
          <cell r="A943" t="str">
            <v>50800533790</v>
          </cell>
          <cell r="B943" t="str">
            <v>ZMFD</v>
          </cell>
          <cell r="C943">
            <v>45574</v>
          </cell>
          <cell r="D943" t="str">
            <v>Not delivered</v>
          </cell>
          <cell r="E943">
            <v>508005337</v>
          </cell>
          <cell r="F943">
            <v>90</v>
          </cell>
          <cell r="G943">
            <v>1170826</v>
          </cell>
          <cell r="H943" t="str">
            <v>FP-014:SIFTER NT W/LBL NO DECO ULTIMA II</v>
          </cell>
          <cell r="I943">
            <v>32600</v>
          </cell>
          <cell r="J943" t="str">
            <v>UN</v>
          </cell>
          <cell r="K943">
            <v>45708</v>
          </cell>
        </row>
        <row r="944">
          <cell r="A944" t="str">
            <v>50800530710</v>
          </cell>
          <cell r="B944" t="str">
            <v>ZMFD</v>
          </cell>
          <cell r="C944">
            <v>45569</v>
          </cell>
          <cell r="D944" t="str">
            <v>Not delivered</v>
          </cell>
          <cell r="E944">
            <v>508005307</v>
          </cell>
          <cell r="F944">
            <v>10</v>
          </cell>
          <cell r="G944">
            <v>1431862</v>
          </cell>
          <cell r="H944" t="str">
            <v>PT6029R JAR GARNIER 18ML YUZU SPF30(635)</v>
          </cell>
          <cell r="I944">
            <v>56448</v>
          </cell>
          <cell r="J944" t="str">
            <v>UN</v>
          </cell>
          <cell r="K944">
            <v>45715</v>
          </cell>
        </row>
        <row r="945">
          <cell r="A945" t="str">
            <v>50800530610</v>
          </cell>
          <cell r="B945" t="str">
            <v>ZMFD</v>
          </cell>
          <cell r="C945">
            <v>45569</v>
          </cell>
          <cell r="D945" t="str">
            <v>Not delivered</v>
          </cell>
          <cell r="E945">
            <v>508005306</v>
          </cell>
          <cell r="F945">
            <v>10</v>
          </cell>
          <cell r="G945">
            <v>1419488</v>
          </cell>
          <cell r="H945" t="str">
            <v>CP-063R:SPOUT CAP WHITE LOREAL 12A</v>
          </cell>
          <cell r="I945">
            <v>1890000</v>
          </cell>
          <cell r="J945" t="str">
            <v>UN</v>
          </cell>
          <cell r="K945">
            <v>45719</v>
          </cell>
        </row>
        <row r="946">
          <cell r="A946" t="str">
            <v>50800530620</v>
          </cell>
          <cell r="B946" t="str">
            <v>ZMFD</v>
          </cell>
          <cell r="C946">
            <v>45569</v>
          </cell>
          <cell r="D946" t="str">
            <v>Not delivered</v>
          </cell>
          <cell r="E946">
            <v>508005306</v>
          </cell>
          <cell r="F946">
            <v>20</v>
          </cell>
          <cell r="G946">
            <v>1419488</v>
          </cell>
          <cell r="H946" t="str">
            <v>CP-063R:SPOUT CAP WHITE LOREAL 12A</v>
          </cell>
          <cell r="I946">
            <v>1890000</v>
          </cell>
          <cell r="J946" t="str">
            <v>UN</v>
          </cell>
          <cell r="K946">
            <v>45721</v>
          </cell>
        </row>
        <row r="947">
          <cell r="A947" t="str">
            <v>50714260650</v>
          </cell>
          <cell r="B947" t="str">
            <v>ZMTD</v>
          </cell>
          <cell r="C947">
            <v>45509</v>
          </cell>
          <cell r="D947" t="str">
            <v>Not delivered</v>
          </cell>
          <cell r="E947">
            <v>507142606</v>
          </cell>
          <cell r="F947">
            <v>50</v>
          </cell>
          <cell r="G947">
            <v>1172020</v>
          </cell>
          <cell r="H947" t="str">
            <v>FP-028:SLEEVE EYELASHES 01SLMAC EL</v>
          </cell>
          <cell r="I947">
            <v>80256</v>
          </cell>
          <cell r="J947" t="str">
            <v>UN</v>
          </cell>
          <cell r="K947">
            <v>45722</v>
          </cell>
        </row>
        <row r="948">
          <cell r="A948" t="str">
            <v>50714260660</v>
          </cell>
          <cell r="B948" t="str">
            <v>ZMTD</v>
          </cell>
          <cell r="C948">
            <v>45509</v>
          </cell>
          <cell r="D948" t="str">
            <v>Not delivered</v>
          </cell>
          <cell r="E948">
            <v>507142606</v>
          </cell>
          <cell r="F948">
            <v>60</v>
          </cell>
          <cell r="G948">
            <v>1170605</v>
          </cell>
          <cell r="H948" t="str">
            <v>FP-028:WHITE TR EYLSHS P/ 01PLMAC EL</v>
          </cell>
          <cell r="I948">
            <v>80514</v>
          </cell>
          <cell r="J948" t="str">
            <v>UN</v>
          </cell>
          <cell r="K948">
            <v>45722</v>
          </cell>
        </row>
        <row r="949">
          <cell r="A949" t="str">
            <v>50800530630</v>
          </cell>
          <cell r="B949" t="str">
            <v>ZMFD</v>
          </cell>
          <cell r="C949">
            <v>45569</v>
          </cell>
          <cell r="D949" t="str">
            <v>Not delivered</v>
          </cell>
          <cell r="E949">
            <v>508005306</v>
          </cell>
          <cell r="F949">
            <v>30</v>
          </cell>
          <cell r="G949">
            <v>1419488</v>
          </cell>
          <cell r="H949" t="str">
            <v>CP-063R:SPOUT CAP WHITE LOREAL 12A</v>
          </cell>
          <cell r="I949">
            <v>1890000</v>
          </cell>
          <cell r="J949" t="str">
            <v>UN</v>
          </cell>
          <cell r="K949">
            <v>45723</v>
          </cell>
        </row>
        <row r="950">
          <cell r="A950" t="str">
            <v>50800530640</v>
          </cell>
          <cell r="B950" t="str">
            <v>ZMFD</v>
          </cell>
          <cell r="C950">
            <v>45569</v>
          </cell>
          <cell r="D950" t="str">
            <v>Not delivered</v>
          </cell>
          <cell r="E950">
            <v>508005306</v>
          </cell>
          <cell r="F950">
            <v>40</v>
          </cell>
          <cell r="G950">
            <v>1419488</v>
          </cell>
          <cell r="H950" t="str">
            <v>CP-063R:SPOUT CAP WHITE LOREAL 12A</v>
          </cell>
          <cell r="I950">
            <v>1890000</v>
          </cell>
          <cell r="J950" t="str">
            <v>UN</v>
          </cell>
          <cell r="K950">
            <v>45723</v>
          </cell>
        </row>
        <row r="951">
          <cell r="A951" t="str">
            <v>50800530650</v>
          </cell>
          <cell r="B951" t="str">
            <v>ZMFD</v>
          </cell>
          <cell r="C951">
            <v>45569</v>
          </cell>
          <cell r="D951" t="str">
            <v>Not delivered</v>
          </cell>
          <cell r="E951">
            <v>508005306</v>
          </cell>
          <cell r="F951">
            <v>50</v>
          </cell>
          <cell r="G951">
            <v>1419488</v>
          </cell>
          <cell r="H951" t="str">
            <v>CP-063R:SPOUT CAP WHITE LOREAL 12A</v>
          </cell>
          <cell r="I951">
            <v>1890000</v>
          </cell>
          <cell r="J951" t="str">
            <v>UN</v>
          </cell>
          <cell r="K951">
            <v>45727</v>
          </cell>
        </row>
        <row r="952">
          <cell r="A952" t="str">
            <v>50800530660</v>
          </cell>
          <cell r="B952" t="str">
            <v>ZMFD</v>
          </cell>
          <cell r="C952">
            <v>45569</v>
          </cell>
          <cell r="D952" t="str">
            <v>Not delivered</v>
          </cell>
          <cell r="E952">
            <v>508005306</v>
          </cell>
          <cell r="F952">
            <v>60</v>
          </cell>
          <cell r="G952">
            <v>1419488</v>
          </cell>
          <cell r="H952" t="str">
            <v>CP-063R:SPOUT CAP WHITE LOREAL 12A</v>
          </cell>
          <cell r="I952">
            <v>1890000</v>
          </cell>
          <cell r="J952" t="str">
            <v>UN</v>
          </cell>
          <cell r="K952">
            <v>45729</v>
          </cell>
        </row>
        <row r="953">
          <cell r="A953" t="str">
            <v>50800528220</v>
          </cell>
          <cell r="B953" t="str">
            <v>ZMFD</v>
          </cell>
          <cell r="C953">
            <v>45554</v>
          </cell>
          <cell r="D953" t="str">
            <v>Not delivered</v>
          </cell>
          <cell r="E953">
            <v>508005282</v>
          </cell>
          <cell r="F953">
            <v>20</v>
          </cell>
          <cell r="G953">
            <v>1431860</v>
          </cell>
          <cell r="H953" t="str">
            <v>PT6029R CAP GARNIER 18ML WHITE PLZ (553)</v>
          </cell>
          <cell r="I953">
            <v>35280</v>
          </cell>
          <cell r="J953" t="str">
            <v>UN</v>
          </cell>
          <cell r="K953">
            <v>45729</v>
          </cell>
        </row>
        <row r="954">
          <cell r="A954" t="str">
            <v>50800528230</v>
          </cell>
          <cell r="B954" t="str">
            <v>ZMFD</v>
          </cell>
          <cell r="C954">
            <v>45554</v>
          </cell>
          <cell r="D954" t="str">
            <v>Not delivered</v>
          </cell>
          <cell r="E954">
            <v>508005282</v>
          </cell>
          <cell r="F954">
            <v>30</v>
          </cell>
          <cell r="G954">
            <v>1431860</v>
          </cell>
          <cell r="H954" t="str">
            <v>PT6029R CAP GARNIER 18ML WHITE PLZ (553)</v>
          </cell>
          <cell r="I954">
            <v>35280</v>
          </cell>
          <cell r="J954" t="str">
            <v>UN</v>
          </cell>
          <cell r="K954">
            <v>45736</v>
          </cell>
        </row>
        <row r="955">
          <cell r="A955" t="str">
            <v>50800530720</v>
          </cell>
          <cell r="B955" t="str">
            <v>ZMFD</v>
          </cell>
          <cell r="C955">
            <v>45569</v>
          </cell>
          <cell r="D955" t="str">
            <v>Not delivered</v>
          </cell>
          <cell r="E955">
            <v>508005307</v>
          </cell>
          <cell r="F955">
            <v>20</v>
          </cell>
          <cell r="G955">
            <v>1431862</v>
          </cell>
          <cell r="H955" t="str">
            <v>PT6029R JAR GARNIER 18ML YUZU SPF30(635)</v>
          </cell>
          <cell r="I955">
            <v>42336</v>
          </cell>
          <cell r="J955" t="str">
            <v>UN</v>
          </cell>
          <cell r="K955">
            <v>45743</v>
          </cell>
        </row>
        <row r="956">
          <cell r="A956" t="str">
            <v>50800528420</v>
          </cell>
          <cell r="B956" t="str">
            <v>ZMFD</v>
          </cell>
          <cell r="C956">
            <v>45554</v>
          </cell>
          <cell r="D956" t="str">
            <v>Not delivered</v>
          </cell>
          <cell r="E956">
            <v>508005284</v>
          </cell>
          <cell r="F956">
            <v>20</v>
          </cell>
          <cell r="G956">
            <v>1431861</v>
          </cell>
          <cell r="H956" t="str">
            <v>PT6029R JAR GARNIER 18ML NIGHT CRM (659)</v>
          </cell>
          <cell r="I956">
            <v>51855</v>
          </cell>
          <cell r="J956" t="str">
            <v>UN</v>
          </cell>
          <cell r="K956">
            <v>45750</v>
          </cell>
        </row>
        <row r="957">
          <cell r="A957" t="str">
            <v>50800528240</v>
          </cell>
          <cell r="B957" t="str">
            <v>ZMFD</v>
          </cell>
          <cell r="C957">
            <v>45554</v>
          </cell>
          <cell r="D957" t="str">
            <v>Not delivered</v>
          </cell>
          <cell r="E957">
            <v>508005282</v>
          </cell>
          <cell r="F957">
            <v>40</v>
          </cell>
          <cell r="G957">
            <v>1431860</v>
          </cell>
          <cell r="H957" t="str">
            <v>PT6029R CAP GARNIER 18ML WHITE PLZ (553)</v>
          </cell>
          <cell r="I957">
            <v>70560</v>
          </cell>
          <cell r="J957" t="str">
            <v>UN</v>
          </cell>
          <cell r="K957">
            <v>45792</v>
          </cell>
        </row>
        <row r="958">
          <cell r="A958" t="str">
            <v>50800530730</v>
          </cell>
          <cell r="B958" t="str">
            <v>ZMFD</v>
          </cell>
          <cell r="C958">
            <v>45569</v>
          </cell>
          <cell r="D958" t="str">
            <v>Not delivered</v>
          </cell>
          <cell r="E958">
            <v>508005307</v>
          </cell>
          <cell r="F958">
            <v>30</v>
          </cell>
          <cell r="G958">
            <v>1431862</v>
          </cell>
          <cell r="H958" t="str">
            <v>PT6029R JAR GARNIER 18ML YUZU SPF30(635)</v>
          </cell>
          <cell r="I958">
            <v>56448</v>
          </cell>
          <cell r="J958" t="str">
            <v>UN</v>
          </cell>
          <cell r="K958">
            <v>45805</v>
          </cell>
        </row>
        <row r="959">
          <cell r="A959" t="str">
            <v>50714283310</v>
          </cell>
          <cell r="B959" t="str">
            <v>ZMTD</v>
          </cell>
          <cell r="C959">
            <v>45561</v>
          </cell>
          <cell r="D959" t="str">
            <v>Not delivered</v>
          </cell>
          <cell r="E959">
            <v>507142833</v>
          </cell>
          <cell r="F959">
            <v>10</v>
          </cell>
          <cell r="G959">
            <v>1405658</v>
          </cell>
          <cell r="H959" t="str">
            <v>LC-012:BTL VR08 P/GLASTNG PTI60B</v>
          </cell>
          <cell r="I959">
            <v>25326</v>
          </cell>
          <cell r="J959" t="str">
            <v>UN</v>
          </cell>
          <cell r="K959">
            <v>45920</v>
          </cell>
        </row>
        <row r="960">
          <cell r="A960" t="str">
            <v>50714283320</v>
          </cell>
          <cell r="B960" t="str">
            <v>ZMTD</v>
          </cell>
          <cell r="C960">
            <v>45561</v>
          </cell>
          <cell r="D960" t="str">
            <v>Not delivered</v>
          </cell>
          <cell r="E960">
            <v>507142833</v>
          </cell>
          <cell r="F960">
            <v>20</v>
          </cell>
          <cell r="G960">
            <v>1385814</v>
          </cell>
          <cell r="H960" t="str">
            <v>LC-012:CAP VM BRWN WIP GLASTING PTI 20F</v>
          </cell>
          <cell r="I960">
            <v>25326</v>
          </cell>
          <cell r="J960" t="str">
            <v>UN</v>
          </cell>
          <cell r="K960">
            <v>45920</v>
          </cell>
        </row>
        <row r="961">
          <cell r="A961" t="str">
            <v>50900100110</v>
          </cell>
          <cell r="B961" t="str">
            <v>ZMRX</v>
          </cell>
          <cell r="C961">
            <v>45560</v>
          </cell>
          <cell r="D961" t="str">
            <v>Not delivered</v>
          </cell>
          <cell r="E961">
            <v>509001001</v>
          </cell>
          <cell r="F961">
            <v>10</v>
          </cell>
          <cell r="G961">
            <v>1385814</v>
          </cell>
          <cell r="H961" t="str">
            <v>LC-012:CAP VM BRWN WIP GLASTING PTI 20F</v>
          </cell>
          <cell r="I961">
            <v>12096</v>
          </cell>
          <cell r="J961" t="str">
            <v>UN</v>
          </cell>
          <cell r="K961">
            <v>45920</v>
          </cell>
        </row>
        <row r="962">
          <cell r="A962" t="str">
            <v>50900100120</v>
          </cell>
          <cell r="B962" t="str">
            <v>ZMRX</v>
          </cell>
          <cell r="C962">
            <v>45560</v>
          </cell>
          <cell r="D962" t="str">
            <v>Not delivered</v>
          </cell>
          <cell r="E962">
            <v>509001001</v>
          </cell>
          <cell r="F962">
            <v>20</v>
          </cell>
          <cell r="G962">
            <v>1382935</v>
          </cell>
          <cell r="H962" t="str">
            <v>LC-012:BTL VR2 PEACHPLS P/GLASTNG PTI60B</v>
          </cell>
          <cell r="I962">
            <v>12096</v>
          </cell>
          <cell r="J962" t="str">
            <v>UN</v>
          </cell>
          <cell r="K962">
            <v>45920</v>
          </cell>
        </row>
        <row r="963">
          <cell r="A963" t="str">
            <v>50714278510</v>
          </cell>
          <cell r="B963" t="str">
            <v>ZMTD</v>
          </cell>
          <cell r="C963">
            <v>45554</v>
          </cell>
          <cell r="D963" t="str">
            <v>Not delivered</v>
          </cell>
          <cell r="E963">
            <v>507142785</v>
          </cell>
          <cell r="F963">
            <v>10</v>
          </cell>
          <cell r="G963">
            <v>1405659</v>
          </cell>
          <cell r="H963" t="str">
            <v>LC-012:BTL VR12 P/GLASTNG PTI60B</v>
          </cell>
          <cell r="I963">
            <v>25326</v>
          </cell>
          <cell r="J963" t="str">
            <v>UN</v>
          </cell>
          <cell r="K963">
            <v>45920</v>
          </cell>
        </row>
        <row r="964">
          <cell r="A964" t="str">
            <v>50714278520</v>
          </cell>
          <cell r="B964" t="str">
            <v>ZMTD</v>
          </cell>
          <cell r="C964">
            <v>45554</v>
          </cell>
          <cell r="D964" t="str">
            <v>Not delivered</v>
          </cell>
          <cell r="E964">
            <v>507142785</v>
          </cell>
          <cell r="F964">
            <v>20</v>
          </cell>
          <cell r="G964">
            <v>1385814</v>
          </cell>
          <cell r="H964" t="str">
            <v>LC-012:CAP VM BRWN WIP GLASTING PTI 20F</v>
          </cell>
          <cell r="I964">
            <v>25326</v>
          </cell>
          <cell r="J964" t="str">
            <v>UN</v>
          </cell>
          <cell r="K964">
            <v>45920</v>
          </cell>
        </row>
        <row r="965">
          <cell r="A965" t="str">
            <v>50714279110</v>
          </cell>
          <cell r="B965" t="str">
            <v>ZMTD</v>
          </cell>
          <cell r="C965">
            <v>45554</v>
          </cell>
          <cell r="D965" t="str">
            <v>Not delivered</v>
          </cell>
          <cell r="E965">
            <v>507142791</v>
          </cell>
          <cell r="F965">
            <v>10</v>
          </cell>
          <cell r="G965">
            <v>1390981</v>
          </cell>
          <cell r="H965" t="str">
            <v>LC-012:BTL VR5 GLAZBERY P/GLASTNG PTI60B</v>
          </cell>
          <cell r="I965">
            <v>25326</v>
          </cell>
          <cell r="J965" t="str">
            <v>UN</v>
          </cell>
          <cell r="K965">
            <v>45920</v>
          </cell>
        </row>
        <row r="966">
          <cell r="A966" t="str">
            <v>50714279120</v>
          </cell>
          <cell r="B966" t="str">
            <v>ZMTD</v>
          </cell>
          <cell r="C966">
            <v>45554</v>
          </cell>
          <cell r="D966" t="str">
            <v>Not delivered</v>
          </cell>
          <cell r="E966">
            <v>507142791</v>
          </cell>
          <cell r="F966">
            <v>20</v>
          </cell>
          <cell r="G966">
            <v>1385814</v>
          </cell>
          <cell r="H966" t="str">
            <v>LC-012:CAP VM BRWN WIP GLASTING PTI 20F</v>
          </cell>
          <cell r="I966">
            <v>25326</v>
          </cell>
          <cell r="J966" t="str">
            <v>UN</v>
          </cell>
          <cell r="K966">
            <v>45920</v>
          </cell>
        </row>
        <row r="967">
          <cell r="A967" t="str">
            <v>50714252710</v>
          </cell>
          <cell r="B967" t="str">
            <v>ZMTD</v>
          </cell>
          <cell r="C967">
            <v>45488</v>
          </cell>
          <cell r="D967" t="str">
            <v>Not delivered</v>
          </cell>
          <cell r="E967">
            <v>507142527</v>
          </cell>
          <cell r="F967">
            <v>10</v>
          </cell>
          <cell r="G967">
            <v>1385814</v>
          </cell>
          <cell r="H967" t="str">
            <v>LC-012:CAP VM BRWN WIP GLASTING PTI 20F</v>
          </cell>
          <cell r="I967">
            <v>53298</v>
          </cell>
          <cell r="J967" t="str">
            <v>UN</v>
          </cell>
          <cell r="K967">
            <v>45920</v>
          </cell>
        </row>
        <row r="968">
          <cell r="A968" t="str">
            <v>50714252720</v>
          </cell>
          <cell r="B968" t="str">
            <v>ZMTD</v>
          </cell>
          <cell r="C968">
            <v>45488</v>
          </cell>
          <cell r="D968" t="str">
            <v>Not delivered</v>
          </cell>
          <cell r="E968">
            <v>507142527</v>
          </cell>
          <cell r="F968">
            <v>20</v>
          </cell>
          <cell r="G968">
            <v>1382935</v>
          </cell>
          <cell r="H968" t="str">
            <v>LC-012:BTL VR2 PEACHPLS P/GLASTNG PTI60B</v>
          </cell>
          <cell r="I968">
            <v>53298</v>
          </cell>
          <cell r="J968" t="str">
            <v>UN</v>
          </cell>
          <cell r="K968">
            <v>45920</v>
          </cell>
        </row>
        <row r="969">
          <cell r="A969" t="str">
            <v>50714249310</v>
          </cell>
          <cell r="B969" t="str">
            <v>ZMTD</v>
          </cell>
          <cell r="C969">
            <v>45485</v>
          </cell>
          <cell r="D969" t="str">
            <v>Not delivered</v>
          </cell>
          <cell r="E969">
            <v>507142493</v>
          </cell>
          <cell r="F969">
            <v>10</v>
          </cell>
          <cell r="G969">
            <v>1385814</v>
          </cell>
          <cell r="H969" t="str">
            <v>LC-012:CAP VM BRWN WIP GLASTING PTI 20F</v>
          </cell>
          <cell r="I969">
            <v>14364</v>
          </cell>
          <cell r="J969" t="str">
            <v>UN</v>
          </cell>
          <cell r="K969">
            <v>45920</v>
          </cell>
        </row>
        <row r="970">
          <cell r="A970" t="str">
            <v>50714249320</v>
          </cell>
          <cell r="B970" t="str">
            <v>ZMTD</v>
          </cell>
          <cell r="C970">
            <v>45485</v>
          </cell>
          <cell r="D970" t="str">
            <v>Not delivered</v>
          </cell>
          <cell r="E970">
            <v>507142493</v>
          </cell>
          <cell r="F970">
            <v>20</v>
          </cell>
          <cell r="G970">
            <v>1385811</v>
          </cell>
          <cell r="H970" t="str">
            <v>LC-012:BTL VR4 ROSEWOOD P/GLASTNG PTI60B</v>
          </cell>
          <cell r="I970">
            <v>14364</v>
          </cell>
          <cell r="J970" t="str">
            <v>UN</v>
          </cell>
          <cell r="K970">
            <v>45920</v>
          </cell>
        </row>
        <row r="971">
          <cell r="A971" t="str">
            <v>50714249330</v>
          </cell>
          <cell r="B971" t="str">
            <v>ZMTD</v>
          </cell>
          <cell r="C971">
            <v>45485</v>
          </cell>
          <cell r="D971" t="str">
            <v>Not delivered</v>
          </cell>
          <cell r="E971">
            <v>507142493</v>
          </cell>
          <cell r="F971">
            <v>30</v>
          </cell>
          <cell r="G971">
            <v>1385814</v>
          </cell>
          <cell r="H971" t="str">
            <v>LC-012:CAP VM BRWN WIP GLASTING PTI 20F</v>
          </cell>
          <cell r="I971">
            <v>38934</v>
          </cell>
          <cell r="J971" t="str">
            <v>UN</v>
          </cell>
          <cell r="K971">
            <v>45920</v>
          </cell>
        </row>
        <row r="972">
          <cell r="A972" t="str">
            <v>50714249340</v>
          </cell>
          <cell r="B972" t="str">
            <v>ZMTD</v>
          </cell>
          <cell r="C972">
            <v>45485</v>
          </cell>
          <cell r="D972" t="str">
            <v>Not delivered</v>
          </cell>
          <cell r="E972">
            <v>507142493</v>
          </cell>
          <cell r="F972">
            <v>40</v>
          </cell>
          <cell r="G972">
            <v>1385811</v>
          </cell>
          <cell r="H972" t="str">
            <v>LC-012:BTL VR4 ROSEWOOD P/GLASTNG PTI60B</v>
          </cell>
          <cell r="I972">
            <v>38934</v>
          </cell>
          <cell r="J972" t="str">
            <v>UN</v>
          </cell>
          <cell r="K972">
            <v>45920</v>
          </cell>
        </row>
        <row r="973">
          <cell r="A973" t="str">
            <v>50714248710</v>
          </cell>
          <cell r="B973" t="str">
            <v>ZMTD</v>
          </cell>
          <cell r="C973">
            <v>45484</v>
          </cell>
          <cell r="D973" t="str">
            <v>Not delivered</v>
          </cell>
          <cell r="E973">
            <v>507142487</v>
          </cell>
          <cell r="F973">
            <v>10</v>
          </cell>
          <cell r="G973">
            <v>1405377</v>
          </cell>
          <cell r="H973" t="str">
            <v>LC-012:BTL VR11 P/GLASTNG PTI60B</v>
          </cell>
          <cell r="I973">
            <v>53298</v>
          </cell>
          <cell r="J973" t="str">
            <v>UN</v>
          </cell>
          <cell r="K973">
            <v>45920</v>
          </cell>
        </row>
        <row r="974">
          <cell r="A974" t="str">
            <v>50714248720</v>
          </cell>
          <cell r="B974" t="str">
            <v>ZMTD</v>
          </cell>
          <cell r="C974">
            <v>45484</v>
          </cell>
          <cell r="D974" t="str">
            <v>Not delivered</v>
          </cell>
          <cell r="E974">
            <v>507142487</v>
          </cell>
          <cell r="F974">
            <v>20</v>
          </cell>
          <cell r="G974">
            <v>1385814</v>
          </cell>
          <cell r="H974" t="str">
            <v>LC-012:CAP VM BRWN WIP GLASTING PTI 20F</v>
          </cell>
          <cell r="I974">
            <v>53298</v>
          </cell>
          <cell r="J974" t="str">
            <v>UN</v>
          </cell>
          <cell r="K974">
            <v>45920</v>
          </cell>
        </row>
        <row r="975">
          <cell r="A975" t="str">
            <v>50714247030</v>
          </cell>
          <cell r="B975" t="str">
            <v>ZMTD</v>
          </cell>
          <cell r="C975">
            <v>45482</v>
          </cell>
          <cell r="D975" t="str">
            <v>Not delivered</v>
          </cell>
          <cell r="E975">
            <v>507142470</v>
          </cell>
          <cell r="F975">
            <v>30</v>
          </cell>
          <cell r="G975">
            <v>1390981</v>
          </cell>
          <cell r="H975" t="str">
            <v>LC-012:BTL VR5 GLAZBERY P/GLASTNG PTI60B</v>
          </cell>
          <cell r="I975">
            <v>24948</v>
          </cell>
          <cell r="J975" t="str">
            <v>UN</v>
          </cell>
          <cell r="K975">
            <v>45920</v>
          </cell>
        </row>
        <row r="976">
          <cell r="A976" t="str">
            <v>50714247040</v>
          </cell>
          <cell r="B976" t="str">
            <v>ZMTD</v>
          </cell>
          <cell r="C976">
            <v>45482</v>
          </cell>
          <cell r="D976" t="str">
            <v>Not delivered</v>
          </cell>
          <cell r="E976">
            <v>507142470</v>
          </cell>
          <cell r="F976">
            <v>40</v>
          </cell>
          <cell r="G976">
            <v>1385814</v>
          </cell>
          <cell r="H976" t="str">
            <v>LC-012:CAP VM BRWN WIP GLASTING PTI 20F</v>
          </cell>
          <cell r="I976">
            <v>24948</v>
          </cell>
          <cell r="J976" t="str">
            <v>UN</v>
          </cell>
          <cell r="K976">
            <v>45920</v>
          </cell>
        </row>
        <row r="977">
          <cell r="A977" t="str">
            <v>50714245810</v>
          </cell>
          <cell r="B977" t="str">
            <v>ZMTD</v>
          </cell>
          <cell r="C977">
            <v>45481</v>
          </cell>
          <cell r="D977" t="str">
            <v>Not delivered</v>
          </cell>
          <cell r="E977">
            <v>507142458</v>
          </cell>
          <cell r="F977">
            <v>10</v>
          </cell>
          <cell r="G977">
            <v>1385814</v>
          </cell>
          <cell r="H977" t="str">
            <v>LC-012:CAP VM BRWN WIP GLASTING PTI 20F</v>
          </cell>
          <cell r="I977">
            <v>25326</v>
          </cell>
          <cell r="J977" t="str">
            <v>UN</v>
          </cell>
          <cell r="K977">
            <v>45920</v>
          </cell>
        </row>
        <row r="978">
          <cell r="A978" t="str">
            <v>50714245820</v>
          </cell>
          <cell r="B978" t="str">
            <v>ZMTD</v>
          </cell>
          <cell r="C978">
            <v>45481</v>
          </cell>
          <cell r="D978" t="str">
            <v>Not delivered</v>
          </cell>
          <cell r="E978">
            <v>507142458</v>
          </cell>
          <cell r="F978">
            <v>20</v>
          </cell>
          <cell r="G978">
            <v>1405883</v>
          </cell>
          <cell r="H978" t="str">
            <v>LC-012:BTL VR13 P/GLASTNG PTI60B</v>
          </cell>
          <cell r="I978">
            <v>25326</v>
          </cell>
          <cell r="J978" t="str">
            <v>UN</v>
          </cell>
          <cell r="K978">
            <v>45920</v>
          </cell>
        </row>
        <row r="979">
          <cell r="A979" t="str">
            <v>50714241210</v>
          </cell>
          <cell r="B979" t="str">
            <v>ZMTD</v>
          </cell>
          <cell r="C979">
            <v>45470</v>
          </cell>
          <cell r="D979" t="str">
            <v>Partially delivered</v>
          </cell>
          <cell r="E979">
            <v>507142412</v>
          </cell>
          <cell r="F979">
            <v>10</v>
          </cell>
          <cell r="G979">
            <v>1385814</v>
          </cell>
          <cell r="H979" t="str">
            <v>LC-012:CAP VM BRWN WIP GLASTING PTI 20F</v>
          </cell>
          <cell r="I979">
            <v>53298</v>
          </cell>
          <cell r="J979" t="str">
            <v>UN</v>
          </cell>
          <cell r="K979">
            <v>45920</v>
          </cell>
        </row>
        <row r="980">
          <cell r="A980" t="str">
            <v>50714241220</v>
          </cell>
          <cell r="B980" t="str">
            <v>ZMTD</v>
          </cell>
          <cell r="C980">
            <v>45470</v>
          </cell>
          <cell r="D980" t="str">
            <v>Partially delivered</v>
          </cell>
          <cell r="E980">
            <v>507142412</v>
          </cell>
          <cell r="F980">
            <v>20</v>
          </cell>
          <cell r="G980">
            <v>1405377</v>
          </cell>
          <cell r="H980" t="str">
            <v>LC-012:BTL VR11 P/GLASTNG PTI60B</v>
          </cell>
          <cell r="I980">
            <v>53298</v>
          </cell>
          <cell r="J980" t="str">
            <v>UN</v>
          </cell>
          <cell r="K980">
            <v>45920</v>
          </cell>
        </row>
        <row r="981">
          <cell r="A981" t="str">
            <v>50714229430</v>
          </cell>
          <cell r="B981" t="str">
            <v>ZMTD</v>
          </cell>
          <cell r="C981">
            <v>45448</v>
          </cell>
          <cell r="D981" t="str">
            <v>Partially delivered</v>
          </cell>
          <cell r="E981">
            <v>507142294</v>
          </cell>
          <cell r="F981">
            <v>30</v>
          </cell>
          <cell r="G981">
            <v>1385814</v>
          </cell>
          <cell r="H981" t="str">
            <v>LC-012:CAP VM BRWN WIP GLASTING PTI 20F</v>
          </cell>
          <cell r="I981">
            <v>52920</v>
          </cell>
          <cell r="J981" t="str">
            <v>UN</v>
          </cell>
          <cell r="K981">
            <v>45920</v>
          </cell>
        </row>
        <row r="982">
          <cell r="A982" t="str">
            <v>50714229440</v>
          </cell>
          <cell r="B982" t="str">
            <v>ZMTD</v>
          </cell>
          <cell r="C982">
            <v>45448</v>
          </cell>
          <cell r="D982" t="str">
            <v>Partially delivered</v>
          </cell>
          <cell r="E982">
            <v>507142294</v>
          </cell>
          <cell r="F982">
            <v>40</v>
          </cell>
          <cell r="G982">
            <v>1390058</v>
          </cell>
          <cell r="H982" t="str">
            <v>LC-012:BTL VR6 RUBYSPAR P/GLASTNG PTI60B</v>
          </cell>
          <cell r="I982">
            <v>52920</v>
          </cell>
          <cell r="J982" t="str">
            <v>UN</v>
          </cell>
          <cell r="K982">
            <v>45920</v>
          </cell>
        </row>
        <row r="983">
          <cell r="A983" t="str">
            <v>50800530670</v>
          </cell>
          <cell r="B983" t="str">
            <v>ZMFD</v>
          </cell>
          <cell r="C983">
            <v>45569</v>
          </cell>
          <cell r="D983" t="str">
            <v>Not delivered</v>
          </cell>
          <cell r="E983">
            <v>508005306</v>
          </cell>
          <cell r="F983">
            <v>70</v>
          </cell>
          <cell r="G983">
            <v>1419488</v>
          </cell>
          <cell r="H983" t="str">
            <v>CP-063R:SPOUT CAP WHITE LOREAL 12A</v>
          </cell>
          <cell r="I983">
            <v>1890000</v>
          </cell>
          <cell r="J983" t="str">
            <v>UN</v>
          </cell>
          <cell r="K983">
            <v>45947</v>
          </cell>
        </row>
        <row r="984">
          <cell r="A984" t="str">
            <v>50800530680</v>
          </cell>
          <cell r="B984" t="str">
            <v>ZMFD</v>
          </cell>
          <cell r="C984">
            <v>45569</v>
          </cell>
          <cell r="D984" t="str">
            <v>Not delivered</v>
          </cell>
          <cell r="E984">
            <v>508005306</v>
          </cell>
          <cell r="F984">
            <v>80</v>
          </cell>
          <cell r="G984">
            <v>1419488</v>
          </cell>
          <cell r="H984" t="str">
            <v>CP-063R:SPOUT CAP WHITE LOREAL 12A</v>
          </cell>
          <cell r="I984">
            <v>1890000</v>
          </cell>
          <cell r="J984" t="str">
            <v>UN</v>
          </cell>
          <cell r="K984">
            <v>45947</v>
          </cell>
        </row>
        <row r="985">
          <cell r="A985" t="str">
            <v>50800530690</v>
          </cell>
          <cell r="B985" t="str">
            <v>ZMFD</v>
          </cell>
          <cell r="C985">
            <v>45569</v>
          </cell>
          <cell r="D985" t="str">
            <v>Not delivered</v>
          </cell>
          <cell r="E985">
            <v>508005306</v>
          </cell>
          <cell r="F985">
            <v>90</v>
          </cell>
          <cell r="G985">
            <v>1419488</v>
          </cell>
          <cell r="H985" t="str">
            <v>CP-063R:SPOUT CAP WHITE LOREAL 12A</v>
          </cell>
          <cell r="I985">
            <v>1890000</v>
          </cell>
          <cell r="J985" t="str">
            <v>UN</v>
          </cell>
          <cell r="K985">
            <v>45951</v>
          </cell>
        </row>
        <row r="986">
          <cell r="A986" t="str">
            <v>50800514920</v>
          </cell>
          <cell r="B986" t="str">
            <v>ZMFD</v>
          </cell>
          <cell r="C986">
            <v>45464</v>
          </cell>
          <cell r="D986" t="str">
            <v>Not delivered</v>
          </cell>
          <cell r="E986">
            <v>508005149</v>
          </cell>
          <cell r="F986">
            <v>20</v>
          </cell>
          <cell r="G986">
            <v>1378563</v>
          </cell>
          <cell r="H986" t="str">
            <v>CP-093:CAP D50 MT BLACK Ø.5 YASULOR 12A</v>
          </cell>
          <cell r="I986">
            <v>600000</v>
          </cell>
          <cell r="J986" t="str">
            <v>UN</v>
          </cell>
          <cell r="K986">
            <v>45988</v>
          </cell>
        </row>
        <row r="987">
          <cell r="A987" t="str">
            <v>50714262810</v>
          </cell>
          <cell r="B987" t="str">
            <v>ZMTD</v>
          </cell>
          <cell r="C987">
            <v>45516</v>
          </cell>
          <cell r="D987" t="str">
            <v>Not delivered</v>
          </cell>
          <cell r="E987">
            <v>507142628</v>
          </cell>
          <cell r="F987">
            <v>10</v>
          </cell>
          <cell r="G987">
            <v>1263107</v>
          </cell>
          <cell r="H987" t="str">
            <v>CM-117:CVR BLK S/SLV BS BLK KSIPT 30K</v>
          </cell>
          <cell r="I987">
            <v>10000</v>
          </cell>
          <cell r="J987" t="str">
            <v>UN</v>
          </cell>
          <cell r="K987">
            <v>45989</v>
          </cell>
        </row>
        <row r="988">
          <cell r="A988" t="str">
            <v>50800514930</v>
          </cell>
          <cell r="B988" t="str">
            <v>ZMFD</v>
          </cell>
          <cell r="C988">
            <v>45464</v>
          </cell>
          <cell r="D988" t="str">
            <v>Not delivered</v>
          </cell>
          <cell r="E988">
            <v>508005149</v>
          </cell>
          <cell r="F988">
            <v>30</v>
          </cell>
          <cell r="G988">
            <v>1378563</v>
          </cell>
          <cell r="H988" t="str">
            <v>CP-093:CAP D50 MT BLACK Ø.5 YASULOR 12A</v>
          </cell>
          <cell r="I988">
            <v>600000</v>
          </cell>
          <cell r="J988" t="str">
            <v>UN</v>
          </cell>
          <cell r="K988">
            <v>45993</v>
          </cell>
        </row>
        <row r="989">
          <cell r="A989" t="str">
            <v>50800514940</v>
          </cell>
          <cell r="B989" t="str">
            <v>ZMFD</v>
          </cell>
          <cell r="C989">
            <v>45464</v>
          </cell>
          <cell r="D989" t="str">
            <v>Not delivered</v>
          </cell>
          <cell r="E989">
            <v>508005149</v>
          </cell>
          <cell r="F989">
            <v>40</v>
          </cell>
          <cell r="G989">
            <v>1378563</v>
          </cell>
          <cell r="H989" t="str">
            <v>CP-093:CAP D50 MT BLACK Ø.5 YASULOR 12A</v>
          </cell>
          <cell r="I989">
            <v>600000</v>
          </cell>
          <cell r="J989" t="str">
            <v>UN</v>
          </cell>
          <cell r="K989">
            <v>46000</v>
          </cell>
        </row>
        <row r="990">
          <cell r="A990" t="str">
            <v>50714150830</v>
          </cell>
          <cell r="B990" t="str">
            <v>ZMTD</v>
          </cell>
          <cell r="C990">
            <v>45282</v>
          </cell>
          <cell r="D990" t="str">
            <v>Not delivered</v>
          </cell>
          <cell r="E990">
            <v>507141508</v>
          </cell>
          <cell r="F990">
            <v>30</v>
          </cell>
          <cell r="G990">
            <v>1171684</v>
          </cell>
          <cell r="H990" t="str">
            <v>LS-091:CVR WHT HTF NATURAL ROHTO60C</v>
          </cell>
          <cell r="I990">
            <v>38532</v>
          </cell>
          <cell r="J990" t="str">
            <v>UN</v>
          </cell>
          <cell r="K990">
            <v>46015</v>
          </cell>
        </row>
        <row r="991">
          <cell r="A991" t="str">
            <v>50714150860</v>
          </cell>
          <cell r="B991" t="str">
            <v>ZMTD</v>
          </cell>
          <cell r="C991">
            <v>45282</v>
          </cell>
          <cell r="D991" t="str">
            <v>Not delivered</v>
          </cell>
          <cell r="E991">
            <v>507141508</v>
          </cell>
          <cell r="F991">
            <v>60</v>
          </cell>
          <cell r="G991">
            <v>1243794</v>
          </cell>
          <cell r="H991" t="str">
            <v>LS-091:BS PINK P/SHEER CLR NEW ROHTO 60B</v>
          </cell>
          <cell r="I991">
            <v>38856</v>
          </cell>
          <cell r="J991" t="str">
            <v>UN</v>
          </cell>
          <cell r="K991">
            <v>46015</v>
          </cell>
        </row>
        <row r="992">
          <cell r="A992" t="str">
            <v>50714150950</v>
          </cell>
          <cell r="B992" t="str">
            <v>ZMTD</v>
          </cell>
          <cell r="C992">
            <v>45282</v>
          </cell>
          <cell r="D992" t="str">
            <v>Not delivered</v>
          </cell>
          <cell r="E992">
            <v>507141509</v>
          </cell>
          <cell r="F992">
            <v>50</v>
          </cell>
          <cell r="G992">
            <v>1194708</v>
          </cell>
          <cell r="H992" t="str">
            <v>LS-091:CVR WHT HTF APPLE ROHTO 60C</v>
          </cell>
          <cell r="I992">
            <v>9880</v>
          </cell>
          <cell r="J992" t="str">
            <v>UN</v>
          </cell>
          <cell r="K992">
            <v>46015</v>
          </cell>
        </row>
        <row r="993">
          <cell r="A993" t="str">
            <v>50714150960</v>
          </cell>
          <cell r="B993" t="str">
            <v>ZMTD</v>
          </cell>
          <cell r="C993">
            <v>45282</v>
          </cell>
          <cell r="D993" t="str">
            <v>Not delivered</v>
          </cell>
          <cell r="E993">
            <v>507141509</v>
          </cell>
          <cell r="F993">
            <v>60</v>
          </cell>
          <cell r="G993">
            <v>1243794</v>
          </cell>
          <cell r="H993" t="str">
            <v>LS-091:BS PINK P/SHEER CLR NEW ROHTO 60B</v>
          </cell>
          <cell r="I993">
            <v>9880</v>
          </cell>
          <cell r="J993" t="str">
            <v>UN</v>
          </cell>
          <cell r="K993">
            <v>46015</v>
          </cell>
        </row>
        <row r="994">
          <cell r="A994" t="str">
            <v>50714150970</v>
          </cell>
          <cell r="B994" t="str">
            <v>ZMTD</v>
          </cell>
          <cell r="C994">
            <v>45282</v>
          </cell>
          <cell r="D994" t="str">
            <v>Not delivered</v>
          </cell>
          <cell r="E994">
            <v>507141509</v>
          </cell>
          <cell r="F994">
            <v>70</v>
          </cell>
          <cell r="G994">
            <v>1173392</v>
          </cell>
          <cell r="H994" t="str">
            <v>LS-091:CVR WHT HTF ORANGE ROHTO60C</v>
          </cell>
          <cell r="I994">
            <v>9880</v>
          </cell>
          <cell r="J994" t="str">
            <v>UN</v>
          </cell>
          <cell r="K994">
            <v>46015</v>
          </cell>
        </row>
        <row r="995">
          <cell r="A995" t="str">
            <v>50714150980</v>
          </cell>
          <cell r="B995" t="str">
            <v>ZMTD</v>
          </cell>
          <cell r="C995">
            <v>45282</v>
          </cell>
          <cell r="D995" t="str">
            <v>Not delivered</v>
          </cell>
          <cell r="E995">
            <v>507141509</v>
          </cell>
          <cell r="F995">
            <v>80</v>
          </cell>
          <cell r="G995">
            <v>1243794</v>
          </cell>
          <cell r="H995" t="str">
            <v>LS-091:BS PINK P/SHEER CLR NEW ROHTO 60B</v>
          </cell>
          <cell r="I995">
            <v>9880</v>
          </cell>
          <cell r="J995" t="str">
            <v>UN</v>
          </cell>
          <cell r="K995">
            <v>46015</v>
          </cell>
        </row>
        <row r="996">
          <cell r="A996" t="str">
            <v>50714150990</v>
          </cell>
          <cell r="B996" t="str">
            <v>ZMTD</v>
          </cell>
          <cell r="C996">
            <v>45282</v>
          </cell>
          <cell r="D996" t="str">
            <v>Not delivered</v>
          </cell>
          <cell r="E996">
            <v>507141509</v>
          </cell>
          <cell r="F996">
            <v>90</v>
          </cell>
          <cell r="G996">
            <v>1170054</v>
          </cell>
          <cell r="H996" t="str">
            <v>LS-091:CVR WHT HTF BUBLEGUM ROHTO 60C</v>
          </cell>
          <cell r="I996">
            <v>9880</v>
          </cell>
          <cell r="J996" t="str">
            <v>UN</v>
          </cell>
          <cell r="K996">
            <v>46015</v>
          </cell>
        </row>
        <row r="997">
          <cell r="A997" t="str">
            <v>507141509100</v>
          </cell>
          <cell r="B997" t="str">
            <v>ZMTD</v>
          </cell>
          <cell r="C997">
            <v>45282</v>
          </cell>
          <cell r="D997" t="str">
            <v>Not delivered</v>
          </cell>
          <cell r="E997">
            <v>507141509</v>
          </cell>
          <cell r="F997">
            <v>100</v>
          </cell>
          <cell r="G997">
            <v>1243794</v>
          </cell>
          <cell r="H997" t="str">
            <v>LS-091:BS PINK P/SHEER CLR NEW ROHTO 60B</v>
          </cell>
          <cell r="I997">
            <v>9880</v>
          </cell>
          <cell r="J997" t="str">
            <v>UN</v>
          </cell>
          <cell r="K997">
            <v>46015</v>
          </cell>
        </row>
        <row r="998">
          <cell r="A998" t="str">
            <v>50714150050</v>
          </cell>
          <cell r="B998" t="str">
            <v>ZMTD</v>
          </cell>
          <cell r="C998">
            <v>45281</v>
          </cell>
          <cell r="D998" t="str">
            <v>Not delivered</v>
          </cell>
          <cell r="E998">
            <v>507141500</v>
          </cell>
          <cell r="F998">
            <v>50</v>
          </cell>
          <cell r="G998">
            <v>1173392</v>
          </cell>
          <cell r="H998" t="str">
            <v>LS-091:CVR WHT HTF ORANGE ROHTO60C</v>
          </cell>
          <cell r="I998">
            <v>15808</v>
          </cell>
          <cell r="J998" t="str">
            <v>UN</v>
          </cell>
          <cell r="K998">
            <v>46015</v>
          </cell>
        </row>
        <row r="999">
          <cell r="A999" t="str">
            <v>507141500130</v>
          </cell>
          <cell r="B999" t="str">
            <v>ZMTD</v>
          </cell>
          <cell r="C999">
            <v>45281</v>
          </cell>
          <cell r="D999" t="str">
            <v>Not delivered</v>
          </cell>
          <cell r="E999">
            <v>507141500</v>
          </cell>
          <cell r="F999">
            <v>130</v>
          </cell>
          <cell r="G999">
            <v>1194708</v>
          </cell>
          <cell r="H999" t="str">
            <v>LS-091:CVR WHT HTF APPLE ROHTO 60C</v>
          </cell>
          <cell r="I999">
            <v>7408</v>
          </cell>
          <cell r="J999" t="str">
            <v>UN</v>
          </cell>
          <cell r="K999">
            <v>46015</v>
          </cell>
        </row>
        <row r="1000">
          <cell r="A1000" t="str">
            <v>507141500140</v>
          </cell>
          <cell r="B1000" t="str">
            <v>ZMTD</v>
          </cell>
          <cell r="C1000">
            <v>45281</v>
          </cell>
          <cell r="D1000" t="str">
            <v>Not delivered</v>
          </cell>
          <cell r="E1000">
            <v>507141500</v>
          </cell>
          <cell r="F1000">
            <v>140</v>
          </cell>
          <cell r="G1000">
            <v>1170054</v>
          </cell>
          <cell r="H1000" t="str">
            <v>LS-091:CVR WHT HTF BUBLEGUM ROHTO 60C</v>
          </cell>
          <cell r="I1000">
            <v>3908</v>
          </cell>
          <cell r="J1000" t="str">
            <v>UN</v>
          </cell>
          <cell r="K1000">
            <v>46015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Material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4061-DBF4-43BF-8CC5-0AE09E43FE7B}">
  <dimension ref="A1:W282"/>
  <sheetViews>
    <sheetView topLeftCell="A209" workbookViewId="0">
      <selection activeCell="C216" sqref="C216"/>
    </sheetView>
  </sheetViews>
  <sheetFormatPr defaultRowHeight="15" x14ac:dyDescent="0.25"/>
  <cols>
    <col min="1" max="1" width="9.140625" style="13"/>
    <col min="2" max="2" width="12.42578125" style="13" bestFit="1" customWidth="1"/>
    <col min="3" max="3" width="11.28515625" style="13" bestFit="1" customWidth="1"/>
    <col min="4" max="4" width="4.42578125" style="13" bestFit="1" customWidth="1"/>
    <col min="5" max="5" width="6.42578125" style="13" bestFit="1" customWidth="1"/>
    <col min="6" max="6" width="9" style="13" bestFit="1" customWidth="1"/>
    <col min="7" max="7" width="51.5703125" style="13" bestFit="1" customWidth="1"/>
    <col min="8" max="11" width="9.28515625" style="13" bestFit="1" customWidth="1"/>
    <col min="12" max="16384" width="9.140625" style="13"/>
  </cols>
  <sheetData>
    <row r="1" spans="1:13" ht="23.25" x14ac:dyDescent="0.35">
      <c r="B1" s="1" t="s">
        <v>225</v>
      </c>
      <c r="C1" s="2"/>
      <c r="D1" s="3"/>
      <c r="E1" s="2"/>
      <c r="F1" s="4"/>
    </row>
    <row r="2" spans="1:13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50714262810</v>
      </c>
      <c r="B3" s="10">
        <v>1004054665</v>
      </c>
      <c r="C3" s="10">
        <v>507142628</v>
      </c>
      <c r="D3" s="10">
        <v>10</v>
      </c>
      <c r="E3" s="10" t="s">
        <v>10</v>
      </c>
      <c r="F3" s="10">
        <v>1187695</v>
      </c>
      <c r="G3" s="10" t="s">
        <v>218</v>
      </c>
      <c r="H3" s="11">
        <v>10131</v>
      </c>
      <c r="I3" s="10">
        <v>0</v>
      </c>
      <c r="J3" s="11">
        <f>H3-I3</f>
        <v>10131</v>
      </c>
      <c r="K3" s="12">
        <f>VLOOKUP(A3,[1]VA05!$A:$K,11,FALSE)</f>
        <v>45623</v>
      </c>
      <c r="L3" s="10" t="s">
        <v>12</v>
      </c>
      <c r="M3" s="10" t="s">
        <v>219</v>
      </c>
    </row>
    <row r="4" spans="1:13" x14ac:dyDescent="0.25">
      <c r="A4" s="13" t="str">
        <f t="shared" ref="A4:A67" si="0">C4&amp;D4</f>
        <v>50714270310</v>
      </c>
      <c r="B4" s="10">
        <v>1004054666</v>
      </c>
      <c r="C4" s="10">
        <v>507142703</v>
      </c>
      <c r="D4" s="10">
        <v>10</v>
      </c>
      <c r="E4" s="10" t="s">
        <v>10</v>
      </c>
      <c r="F4" s="10">
        <v>1187695</v>
      </c>
      <c r="G4" s="10" t="s">
        <v>218</v>
      </c>
      <c r="H4" s="11">
        <v>10217</v>
      </c>
      <c r="I4" s="10">
        <v>0</v>
      </c>
      <c r="J4" s="11">
        <f t="shared" ref="J4:J67" si="1">H4-I4</f>
        <v>10217</v>
      </c>
      <c r="K4" s="12">
        <f>VLOOKUP(A4,[1]VA05!$A:$K,11,FALSE)</f>
        <v>45594</v>
      </c>
      <c r="L4" s="10" t="s">
        <v>12</v>
      </c>
      <c r="M4" s="10" t="s">
        <v>204</v>
      </c>
    </row>
    <row r="5" spans="1:13" x14ac:dyDescent="0.25">
      <c r="A5" s="13" t="str">
        <f t="shared" si="0"/>
        <v>50714271810</v>
      </c>
      <c r="B5" s="10">
        <v>1004051716</v>
      </c>
      <c r="C5" s="10">
        <v>507142718</v>
      </c>
      <c r="D5" s="10">
        <v>10</v>
      </c>
      <c r="E5" s="10" t="s">
        <v>10</v>
      </c>
      <c r="F5" s="10">
        <v>1175676</v>
      </c>
      <c r="G5" s="10" t="s">
        <v>163</v>
      </c>
      <c r="H5" s="11">
        <v>10773</v>
      </c>
      <c r="I5" s="10">
        <v>0</v>
      </c>
      <c r="J5" s="11">
        <f t="shared" si="1"/>
        <v>10773</v>
      </c>
      <c r="K5" s="12">
        <f>VLOOKUP(A5,[1]VA05!$A:$K,11,FALSE)</f>
        <v>45593</v>
      </c>
      <c r="L5" s="10" t="s">
        <v>56</v>
      </c>
      <c r="M5" s="10" t="s">
        <v>142</v>
      </c>
    </row>
    <row r="6" spans="1:13" x14ac:dyDescent="0.25">
      <c r="A6" s="13" t="str">
        <f t="shared" si="0"/>
        <v>50714271810</v>
      </c>
      <c r="B6" s="10">
        <v>1004051717</v>
      </c>
      <c r="C6" s="10">
        <v>507142718</v>
      </c>
      <c r="D6" s="10">
        <v>10</v>
      </c>
      <c r="E6" s="10" t="s">
        <v>10</v>
      </c>
      <c r="F6" s="10">
        <v>1175673</v>
      </c>
      <c r="G6" s="10" t="s">
        <v>164</v>
      </c>
      <c r="H6" s="11">
        <v>11111</v>
      </c>
      <c r="I6" s="10">
        <v>0</v>
      </c>
      <c r="J6" s="11">
        <f t="shared" si="1"/>
        <v>11111</v>
      </c>
      <c r="K6" s="12">
        <f>VLOOKUP(A6,[1]VA05!$A:$K,11,FALSE)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1004051718</v>
      </c>
      <c r="C7" s="10">
        <v>507142718</v>
      </c>
      <c r="D7" s="10">
        <v>10</v>
      </c>
      <c r="E7" s="10" t="s">
        <v>10</v>
      </c>
      <c r="F7" s="10">
        <v>1175672</v>
      </c>
      <c r="G7" s="10" t="s">
        <v>165</v>
      </c>
      <c r="H7" s="11">
        <v>11111</v>
      </c>
      <c r="I7" s="10">
        <v>0</v>
      </c>
      <c r="J7" s="11">
        <f t="shared" si="1"/>
        <v>11111</v>
      </c>
      <c r="K7" s="12">
        <f>VLOOKUP(A7,[1]VA05!$A:$K,11,FALSE)</f>
        <v>45593</v>
      </c>
      <c r="L7" s="10" t="s">
        <v>12</v>
      </c>
      <c r="M7" s="10" t="s">
        <v>175</v>
      </c>
    </row>
    <row r="8" spans="1:13" x14ac:dyDescent="0.25">
      <c r="A8" s="13" t="str">
        <f t="shared" si="0"/>
        <v>50714271810</v>
      </c>
      <c r="B8" s="10">
        <v>1004051719</v>
      </c>
      <c r="C8" s="10">
        <v>507142718</v>
      </c>
      <c r="D8" s="10">
        <v>10</v>
      </c>
      <c r="E8" s="10" t="s">
        <v>10</v>
      </c>
      <c r="F8" s="10">
        <v>1175608</v>
      </c>
      <c r="G8" s="10" t="s">
        <v>166</v>
      </c>
      <c r="H8" s="11">
        <v>10394</v>
      </c>
      <c r="I8" s="10">
        <v>0</v>
      </c>
      <c r="J8" s="11">
        <f t="shared" si="1"/>
        <v>10394</v>
      </c>
      <c r="K8" s="12">
        <f>VLOOKUP(A8,[1]VA05!$A:$K,11,FALSE)</f>
        <v>45593</v>
      </c>
      <c r="L8" s="10" t="s">
        <v>12</v>
      </c>
      <c r="M8" s="10" t="s">
        <v>175</v>
      </c>
    </row>
    <row r="9" spans="1:13" x14ac:dyDescent="0.25">
      <c r="A9" s="13" t="str">
        <f t="shared" si="0"/>
        <v>50714271810</v>
      </c>
      <c r="B9" s="10">
        <v>1004051720</v>
      </c>
      <c r="C9" s="10">
        <v>507142718</v>
      </c>
      <c r="D9" s="10">
        <v>10</v>
      </c>
      <c r="E9" s="10" t="s">
        <v>10</v>
      </c>
      <c r="F9" s="10">
        <v>1175605</v>
      </c>
      <c r="G9" s="10" t="s">
        <v>167</v>
      </c>
      <c r="H9" s="11">
        <v>10454</v>
      </c>
      <c r="I9" s="10">
        <v>0</v>
      </c>
      <c r="J9" s="11">
        <f t="shared" si="1"/>
        <v>10454</v>
      </c>
      <c r="K9" s="12">
        <f>VLOOKUP(A9,[1]VA05!$A:$K,11,FALSE)</f>
        <v>45593</v>
      </c>
      <c r="L9" s="10" t="s">
        <v>12</v>
      </c>
      <c r="M9" s="10" t="s">
        <v>140</v>
      </c>
    </row>
    <row r="10" spans="1:13" x14ac:dyDescent="0.25">
      <c r="A10" s="13" t="str">
        <f t="shared" si="0"/>
        <v>50714272610</v>
      </c>
      <c r="B10" s="10">
        <v>1004052385</v>
      </c>
      <c r="C10" s="10">
        <v>507142726</v>
      </c>
      <c r="D10" s="10">
        <v>10</v>
      </c>
      <c r="E10" s="10" t="s">
        <v>10</v>
      </c>
      <c r="F10" s="10">
        <v>1412577</v>
      </c>
      <c r="G10" s="10" t="s">
        <v>181</v>
      </c>
      <c r="H10" s="11">
        <v>12094</v>
      </c>
      <c r="I10" s="10">
        <v>0</v>
      </c>
      <c r="J10" s="11">
        <f t="shared" si="1"/>
        <v>12094</v>
      </c>
      <c r="K10" s="12">
        <f>VLOOKUP(A10,[1]VA05!$A:$K,11,FALSE)</f>
        <v>45567</v>
      </c>
      <c r="L10" s="10" t="s">
        <v>12</v>
      </c>
      <c r="M10" s="10" t="s">
        <v>142</v>
      </c>
    </row>
    <row r="11" spans="1:13" x14ac:dyDescent="0.25">
      <c r="A11" s="13" t="str">
        <f t="shared" si="0"/>
        <v>50800513010</v>
      </c>
      <c r="B11" s="10">
        <v>1004054668</v>
      </c>
      <c r="C11" s="10">
        <v>508005130</v>
      </c>
      <c r="D11" s="10">
        <v>10</v>
      </c>
      <c r="E11" s="10" t="s">
        <v>10</v>
      </c>
      <c r="F11" s="10">
        <v>1200940</v>
      </c>
      <c r="G11" s="10" t="s">
        <v>42</v>
      </c>
      <c r="H11" s="11">
        <v>20400</v>
      </c>
      <c r="I11" s="10">
        <v>0</v>
      </c>
      <c r="J11" s="11">
        <f t="shared" si="1"/>
        <v>20400</v>
      </c>
      <c r="K11" s="12">
        <f>VLOOKUP(A11,[1]VA05!$A:$K,11,FALSE)</f>
        <v>45569</v>
      </c>
      <c r="L11" s="10" t="s">
        <v>12</v>
      </c>
      <c r="M11" s="10" t="s">
        <v>140</v>
      </c>
    </row>
    <row r="12" spans="1:13" x14ac:dyDescent="0.25">
      <c r="A12" s="13" t="str">
        <f t="shared" si="0"/>
        <v>50800513010</v>
      </c>
      <c r="B12" s="10">
        <v>1004054667</v>
      </c>
      <c r="C12" s="10">
        <v>508005130</v>
      </c>
      <c r="D12" s="10">
        <v>10</v>
      </c>
      <c r="E12" s="10" t="s">
        <v>10</v>
      </c>
      <c r="F12" s="10">
        <v>1200929</v>
      </c>
      <c r="G12" s="10" t="s">
        <v>43</v>
      </c>
      <c r="H12" s="11">
        <v>21885</v>
      </c>
      <c r="I12" s="10">
        <v>0</v>
      </c>
      <c r="J12" s="11">
        <f t="shared" si="1"/>
        <v>21885</v>
      </c>
      <c r="K12" s="12">
        <f>VLOOKUP(A12,[1]VA05!$A:$K,11,FALSE)</f>
        <v>45569</v>
      </c>
      <c r="L12" s="10" t="s">
        <v>12</v>
      </c>
      <c r="M12" s="10" t="s">
        <v>61</v>
      </c>
    </row>
    <row r="13" spans="1:13" x14ac:dyDescent="0.25">
      <c r="A13" s="13" t="str">
        <f t="shared" si="0"/>
        <v>50800513010</v>
      </c>
      <c r="B13" s="10">
        <v>1004054829</v>
      </c>
      <c r="C13" s="10">
        <v>508005130</v>
      </c>
      <c r="D13" s="10">
        <v>10</v>
      </c>
      <c r="E13" s="10" t="s">
        <v>10</v>
      </c>
      <c r="F13" s="10">
        <v>1200941</v>
      </c>
      <c r="G13" s="10" t="s">
        <v>48</v>
      </c>
      <c r="H13" s="11">
        <v>20400</v>
      </c>
      <c r="I13" s="10">
        <v>0</v>
      </c>
      <c r="J13" s="11">
        <f t="shared" si="1"/>
        <v>20400</v>
      </c>
      <c r="K13" s="12">
        <f>VLOOKUP(A13,[1]VA05!$A:$K,11,FALSE)</f>
        <v>45569</v>
      </c>
      <c r="L13" s="10" t="s">
        <v>12</v>
      </c>
      <c r="M13" s="10" t="s">
        <v>61</v>
      </c>
    </row>
    <row r="14" spans="1:13" x14ac:dyDescent="0.25">
      <c r="A14" s="13" t="str">
        <f t="shared" si="0"/>
        <v>50714156910</v>
      </c>
      <c r="B14" s="10">
        <v>1004003998</v>
      </c>
      <c r="C14" s="10">
        <v>507141569</v>
      </c>
      <c r="D14" s="10">
        <v>10</v>
      </c>
      <c r="E14" s="10" t="s">
        <v>10</v>
      </c>
      <c r="F14" s="10">
        <v>1175312</v>
      </c>
      <c r="G14" s="10" t="s">
        <v>51</v>
      </c>
      <c r="H14" s="11">
        <v>25845</v>
      </c>
      <c r="I14" s="10">
        <v>0</v>
      </c>
      <c r="J14" s="11">
        <f t="shared" si="1"/>
        <v>25845</v>
      </c>
      <c r="K14" s="12">
        <f>VLOOKUP(A14,[1]VA05!$A:$K,11,FALSE)</f>
        <v>45611</v>
      </c>
      <c r="L14" s="10" t="s">
        <v>117</v>
      </c>
      <c r="M14" s="10" t="s">
        <v>78</v>
      </c>
    </row>
    <row r="15" spans="1:13" x14ac:dyDescent="0.25">
      <c r="A15" s="13" t="str">
        <f t="shared" si="0"/>
        <v>50714156910</v>
      </c>
      <c r="B15" s="10">
        <v>1004017074</v>
      </c>
      <c r="C15" s="10">
        <v>507141569</v>
      </c>
      <c r="D15" s="10">
        <v>10</v>
      </c>
      <c r="E15" s="10" t="s">
        <v>10</v>
      </c>
      <c r="F15" s="10">
        <v>1175311</v>
      </c>
      <c r="G15" s="10" t="s">
        <v>67</v>
      </c>
      <c r="H15" s="11">
        <v>25845</v>
      </c>
      <c r="I15" s="10">
        <v>0</v>
      </c>
      <c r="J15" s="11">
        <f t="shared" si="1"/>
        <v>25845</v>
      </c>
      <c r="K15" s="12">
        <f>VLOOKUP(A15,[1]VA05!$A:$K,11,FALSE)</f>
        <v>45611</v>
      </c>
      <c r="L15" s="10" t="s">
        <v>12</v>
      </c>
      <c r="M15" s="10" t="s">
        <v>50</v>
      </c>
    </row>
    <row r="16" spans="1:13" x14ac:dyDescent="0.25">
      <c r="A16" s="13" t="str">
        <f t="shared" si="0"/>
        <v>50714270810</v>
      </c>
      <c r="B16" s="10">
        <v>1004052045</v>
      </c>
      <c r="C16" s="10">
        <v>507142708</v>
      </c>
      <c r="D16" s="10">
        <v>10</v>
      </c>
      <c r="E16" s="10" t="s">
        <v>10</v>
      </c>
      <c r="F16" s="10">
        <v>1215664</v>
      </c>
      <c r="G16" s="10" t="s">
        <v>90</v>
      </c>
      <c r="H16" s="11">
        <v>11159</v>
      </c>
      <c r="I16" s="10">
        <v>0</v>
      </c>
      <c r="J16" s="11">
        <f t="shared" si="1"/>
        <v>11159</v>
      </c>
      <c r="K16" s="12">
        <f>VLOOKUP(A16,[1]VA05!$A:$K,11,FALSE)</f>
        <v>45588</v>
      </c>
      <c r="L16" s="10" t="s">
        <v>12</v>
      </c>
      <c r="M16" s="10" t="s">
        <v>191</v>
      </c>
    </row>
    <row r="17" spans="1:13" x14ac:dyDescent="0.25">
      <c r="A17" s="13" t="str">
        <f t="shared" si="0"/>
        <v>50714273210</v>
      </c>
      <c r="B17" s="10">
        <v>1004052164</v>
      </c>
      <c r="C17" s="10">
        <v>507142732</v>
      </c>
      <c r="D17" s="10">
        <v>10</v>
      </c>
      <c r="E17" s="10" t="s">
        <v>10</v>
      </c>
      <c r="F17" s="10">
        <v>1411198</v>
      </c>
      <c r="G17" s="10" t="s">
        <v>41</v>
      </c>
      <c r="H17" s="11">
        <v>28402</v>
      </c>
      <c r="I17" s="11">
        <v>14046</v>
      </c>
      <c r="J17" s="11">
        <f t="shared" si="1"/>
        <v>14356</v>
      </c>
      <c r="K17" s="12">
        <f>VLOOKUP(A17,[1]VA05!$A:$K,11,FALSE)</f>
        <v>45572</v>
      </c>
      <c r="L17" s="10" t="s">
        <v>18</v>
      </c>
      <c r="M17" s="10" t="s">
        <v>140</v>
      </c>
    </row>
    <row r="18" spans="1:13" x14ac:dyDescent="0.25">
      <c r="A18" s="13" t="str">
        <f t="shared" si="0"/>
        <v>50714278910</v>
      </c>
      <c r="B18" s="10">
        <v>1004052165</v>
      </c>
      <c r="C18" s="10">
        <v>507142789</v>
      </c>
      <c r="D18" s="10">
        <v>10</v>
      </c>
      <c r="E18" s="10" t="s">
        <v>10</v>
      </c>
      <c r="F18" s="10">
        <v>1411198</v>
      </c>
      <c r="G18" s="10" t="s">
        <v>41</v>
      </c>
      <c r="H18" s="11">
        <v>14201</v>
      </c>
      <c r="I18" s="10">
        <v>0</v>
      </c>
      <c r="J18" s="11">
        <f t="shared" si="1"/>
        <v>14201</v>
      </c>
      <c r="K18" s="12">
        <f>VLOOKUP(A18,[1]VA05!$A:$K,11,FALSE)</f>
        <v>45583</v>
      </c>
      <c r="L18" s="10" t="s">
        <v>12</v>
      </c>
      <c r="M18" s="10" t="s">
        <v>156</v>
      </c>
    </row>
    <row r="19" spans="1:13" x14ac:dyDescent="0.25">
      <c r="A19" s="13" t="str">
        <f t="shared" si="0"/>
        <v>50714270810</v>
      </c>
      <c r="B19" s="10">
        <v>1004052046</v>
      </c>
      <c r="C19" s="10">
        <v>507142708</v>
      </c>
      <c r="D19" s="10">
        <v>10</v>
      </c>
      <c r="E19" s="10" t="s">
        <v>10</v>
      </c>
      <c r="F19" s="10">
        <v>1215668</v>
      </c>
      <c r="G19" s="10" t="s">
        <v>108</v>
      </c>
      <c r="H19" s="11">
        <v>11349</v>
      </c>
      <c r="I19" s="10">
        <v>0</v>
      </c>
      <c r="J19" s="11">
        <f t="shared" si="1"/>
        <v>11349</v>
      </c>
      <c r="K19" s="12">
        <f>VLOOKUP(A19,[1]VA05!$A:$K,11,FALSE)</f>
        <v>45588</v>
      </c>
      <c r="L19" s="10" t="s">
        <v>12</v>
      </c>
      <c r="M19" s="10" t="s">
        <v>192</v>
      </c>
    </row>
    <row r="20" spans="1:13" x14ac:dyDescent="0.25">
      <c r="A20" s="13" t="str">
        <f t="shared" si="0"/>
        <v>50714227020</v>
      </c>
      <c r="B20" s="10">
        <v>1004037311</v>
      </c>
      <c r="C20" s="10">
        <v>507142270</v>
      </c>
      <c r="D20" s="10">
        <v>20</v>
      </c>
      <c r="E20" s="10" t="s">
        <v>10</v>
      </c>
      <c r="F20" s="10">
        <v>1187766</v>
      </c>
      <c r="G20" s="10" t="s">
        <v>53</v>
      </c>
      <c r="H20" s="11">
        <v>17620</v>
      </c>
      <c r="I20" s="11">
        <v>14776</v>
      </c>
      <c r="J20" s="11">
        <f t="shared" si="1"/>
        <v>2844</v>
      </c>
      <c r="K20" s="12">
        <f>VLOOKUP(A20,[1]VA05!$A:$K,11,FALSE)</f>
        <v>45659</v>
      </c>
      <c r="L20" s="10" t="s">
        <v>11</v>
      </c>
      <c r="M20" s="10" t="s">
        <v>180</v>
      </c>
    </row>
    <row r="21" spans="1:13" x14ac:dyDescent="0.25">
      <c r="A21" s="13" t="str">
        <f t="shared" si="0"/>
        <v>50714250620</v>
      </c>
      <c r="B21" s="10">
        <v>1004052047</v>
      </c>
      <c r="C21" s="10">
        <v>507142506</v>
      </c>
      <c r="D21" s="10">
        <v>20</v>
      </c>
      <c r="E21" s="10" t="s">
        <v>10</v>
      </c>
      <c r="F21" s="10">
        <v>1187766</v>
      </c>
      <c r="G21" s="10" t="s">
        <v>53</v>
      </c>
      <c r="H21" s="11">
        <v>5333</v>
      </c>
      <c r="I21" s="10">
        <v>0</v>
      </c>
      <c r="J21" s="11">
        <f t="shared" si="1"/>
        <v>5333</v>
      </c>
      <c r="K21" s="12">
        <f>VLOOKUP(A21,[1]VA05!$A:$K,11,FALSE)</f>
        <v>45574</v>
      </c>
      <c r="L21" s="10" t="s">
        <v>25</v>
      </c>
      <c r="M21" s="10" t="s">
        <v>155</v>
      </c>
    </row>
    <row r="22" spans="1:13" x14ac:dyDescent="0.25">
      <c r="A22" s="13" t="str">
        <f t="shared" si="0"/>
        <v>50714270810</v>
      </c>
      <c r="B22" s="10">
        <v>1004052048</v>
      </c>
      <c r="C22" s="10">
        <v>507142708</v>
      </c>
      <c r="D22" s="10">
        <v>10</v>
      </c>
      <c r="E22" s="10" t="s">
        <v>10</v>
      </c>
      <c r="F22" s="10">
        <v>1215666</v>
      </c>
      <c r="G22" s="10" t="s">
        <v>182</v>
      </c>
      <c r="H22" s="11">
        <v>11159</v>
      </c>
      <c r="I22" s="10">
        <v>0</v>
      </c>
      <c r="J22" s="11">
        <f t="shared" si="1"/>
        <v>11159</v>
      </c>
      <c r="K22" s="12">
        <f>VLOOKUP(A22,[1]VA05!$A:$K,11,FALSE)</f>
        <v>45588</v>
      </c>
      <c r="L22" s="10" t="s">
        <v>12</v>
      </c>
      <c r="M22" s="10" t="s">
        <v>191</v>
      </c>
    </row>
    <row r="23" spans="1:13" x14ac:dyDescent="0.25">
      <c r="A23" s="13" t="str">
        <f t="shared" si="0"/>
        <v>50714270310</v>
      </c>
      <c r="B23" s="10">
        <v>1004053440</v>
      </c>
      <c r="C23" s="10">
        <v>507142703</v>
      </c>
      <c r="D23" s="10">
        <v>10</v>
      </c>
      <c r="E23" s="10" t="s">
        <v>10</v>
      </c>
      <c r="F23" s="10">
        <v>1187694</v>
      </c>
      <c r="G23" s="10" t="s">
        <v>206</v>
      </c>
      <c r="H23" s="11">
        <v>10217</v>
      </c>
      <c r="I23" s="10">
        <v>0</v>
      </c>
      <c r="J23" s="11">
        <f t="shared" si="1"/>
        <v>10217</v>
      </c>
      <c r="K23" s="12">
        <f>VLOOKUP(A23,[1]VA05!$A:$K,11,FALSE)</f>
        <v>45594</v>
      </c>
      <c r="L23" s="10" t="s">
        <v>12</v>
      </c>
      <c r="M23" s="10" t="s">
        <v>207</v>
      </c>
    </row>
    <row r="24" spans="1:13" x14ac:dyDescent="0.25">
      <c r="A24" s="13" t="str">
        <f t="shared" si="0"/>
        <v>50714270310</v>
      </c>
      <c r="B24" s="10">
        <v>1004053441</v>
      </c>
      <c r="C24" s="10">
        <v>507142703</v>
      </c>
      <c r="D24" s="10">
        <v>10</v>
      </c>
      <c r="E24" s="10" t="s">
        <v>10</v>
      </c>
      <c r="F24" s="10">
        <v>1268051</v>
      </c>
      <c r="G24" s="10" t="s">
        <v>208</v>
      </c>
      <c r="H24" s="11">
        <v>10524</v>
      </c>
      <c r="I24" s="10">
        <v>0</v>
      </c>
      <c r="J24" s="11">
        <f t="shared" si="1"/>
        <v>10524</v>
      </c>
      <c r="K24" s="12">
        <f>VLOOKUP(A24,[1]VA05!$A:$K,11,FALSE)</f>
        <v>45594</v>
      </c>
      <c r="L24" s="10" t="s">
        <v>12</v>
      </c>
      <c r="M24" s="10" t="s">
        <v>209</v>
      </c>
    </row>
    <row r="25" spans="1:13" x14ac:dyDescent="0.25">
      <c r="A25" s="13" t="str">
        <f t="shared" si="0"/>
        <v>50714262810</v>
      </c>
      <c r="B25" s="10">
        <v>1004053442</v>
      </c>
      <c r="C25" s="10">
        <v>507142628</v>
      </c>
      <c r="D25" s="10">
        <v>10</v>
      </c>
      <c r="E25" s="10" t="s">
        <v>10</v>
      </c>
      <c r="F25" s="10">
        <v>1263102</v>
      </c>
      <c r="G25" s="10" t="s">
        <v>210</v>
      </c>
      <c r="H25" s="11">
        <v>10131</v>
      </c>
      <c r="I25" s="10">
        <v>0</v>
      </c>
      <c r="J25" s="11">
        <f t="shared" si="1"/>
        <v>10131</v>
      </c>
      <c r="K25" s="12">
        <f>VLOOKUP(A25,[1]VA05!$A:$K,11,FALSE)</f>
        <v>45623</v>
      </c>
      <c r="L25" s="10" t="s">
        <v>12</v>
      </c>
      <c r="M25" s="10" t="s">
        <v>211</v>
      </c>
    </row>
    <row r="26" spans="1:13" x14ac:dyDescent="0.25">
      <c r="A26" s="13" t="str">
        <f t="shared" si="0"/>
        <v>50714272610</v>
      </c>
      <c r="B26" s="10">
        <v>1004052166</v>
      </c>
      <c r="C26" s="10">
        <v>507142726</v>
      </c>
      <c r="D26" s="10">
        <v>10</v>
      </c>
      <c r="E26" s="10" t="s">
        <v>10</v>
      </c>
      <c r="F26" s="10">
        <v>1411194</v>
      </c>
      <c r="G26" s="10" t="s">
        <v>46</v>
      </c>
      <c r="H26" s="11">
        <v>11741</v>
      </c>
      <c r="I26" s="11">
        <v>8179</v>
      </c>
      <c r="J26" s="11">
        <f t="shared" si="1"/>
        <v>3562</v>
      </c>
      <c r="K26" s="12">
        <f>VLOOKUP(A26,[1]VA05!$A:$K,11,FALSE)</f>
        <v>45567</v>
      </c>
      <c r="L26" s="10" t="s">
        <v>11</v>
      </c>
      <c r="M26" s="10" t="s">
        <v>61</v>
      </c>
    </row>
    <row r="27" spans="1:13" x14ac:dyDescent="0.25">
      <c r="A27" s="13" t="str">
        <f t="shared" si="0"/>
        <v>50714273210</v>
      </c>
      <c r="B27" s="10">
        <v>1004052167</v>
      </c>
      <c r="C27" s="10">
        <v>507142732</v>
      </c>
      <c r="D27" s="10">
        <v>10</v>
      </c>
      <c r="E27" s="10" t="s">
        <v>10</v>
      </c>
      <c r="F27" s="10">
        <v>1411194</v>
      </c>
      <c r="G27" s="10" t="s">
        <v>46</v>
      </c>
      <c r="H27" s="11">
        <v>20598</v>
      </c>
      <c r="I27" s="10">
        <v>0</v>
      </c>
      <c r="J27" s="11">
        <f t="shared" si="1"/>
        <v>20598</v>
      </c>
      <c r="K27" s="12">
        <f>VLOOKUP(A27,[1]VA05!$A:$K,11,FALSE)</f>
        <v>45572</v>
      </c>
      <c r="L27" s="10" t="s">
        <v>27</v>
      </c>
      <c r="M27" s="10" t="s">
        <v>155</v>
      </c>
    </row>
    <row r="28" spans="1:13" x14ac:dyDescent="0.25">
      <c r="A28" s="13" t="str">
        <f t="shared" si="0"/>
        <v>50714278910</v>
      </c>
      <c r="B28" s="10">
        <v>1004052168</v>
      </c>
      <c r="C28" s="10">
        <v>507142789</v>
      </c>
      <c r="D28" s="10">
        <v>10</v>
      </c>
      <c r="E28" s="10" t="s">
        <v>10</v>
      </c>
      <c r="F28" s="10">
        <v>1411194</v>
      </c>
      <c r="G28" s="10" t="s">
        <v>46</v>
      </c>
      <c r="H28" s="11">
        <v>10299</v>
      </c>
      <c r="I28" s="10">
        <v>0</v>
      </c>
      <c r="J28" s="11">
        <f t="shared" si="1"/>
        <v>10299</v>
      </c>
      <c r="K28" s="12">
        <f>VLOOKUP(A28,[1]VA05!$A:$K,11,FALSE)</f>
        <v>45583</v>
      </c>
      <c r="L28" s="10" t="s">
        <v>12</v>
      </c>
      <c r="M28" s="10" t="s">
        <v>193</v>
      </c>
    </row>
    <row r="29" spans="1:13" x14ac:dyDescent="0.25">
      <c r="A29" s="13" t="str">
        <f t="shared" si="0"/>
        <v>50714234710</v>
      </c>
      <c r="B29" s="10">
        <v>1004043798</v>
      </c>
      <c r="C29" s="10">
        <v>507142347</v>
      </c>
      <c r="D29" s="10">
        <v>10</v>
      </c>
      <c r="E29" s="10" t="s">
        <v>10</v>
      </c>
      <c r="F29" s="10">
        <v>1175349</v>
      </c>
      <c r="G29" s="10" t="s">
        <v>144</v>
      </c>
      <c r="H29" s="11">
        <v>10131</v>
      </c>
      <c r="I29" s="11">
        <v>1800</v>
      </c>
      <c r="J29" s="11">
        <f t="shared" si="1"/>
        <v>8331</v>
      </c>
      <c r="K29" s="12">
        <f>VLOOKUP(A29,[1]VA05!$A:$K,11,FALSE)</f>
        <v>45559</v>
      </c>
      <c r="L29" s="10" t="s">
        <v>11</v>
      </c>
      <c r="M29" s="10" t="s">
        <v>155</v>
      </c>
    </row>
    <row r="30" spans="1:13" x14ac:dyDescent="0.25">
      <c r="A30" s="13" t="str">
        <f t="shared" si="0"/>
        <v>50714277910</v>
      </c>
      <c r="B30" s="10">
        <v>1004053444</v>
      </c>
      <c r="C30" s="10">
        <v>507142779</v>
      </c>
      <c r="D30" s="10">
        <v>10</v>
      </c>
      <c r="E30" s="10" t="s">
        <v>10</v>
      </c>
      <c r="F30" s="10">
        <v>1173944</v>
      </c>
      <c r="G30" s="10" t="s">
        <v>91</v>
      </c>
      <c r="H30" s="11">
        <v>10928</v>
      </c>
      <c r="I30" s="11">
        <v>2090</v>
      </c>
      <c r="J30" s="11">
        <f t="shared" si="1"/>
        <v>8838</v>
      </c>
      <c r="K30" s="12">
        <f>VLOOKUP(A30,[1]VA05!$A:$K,11,FALSE)</f>
        <v>45580</v>
      </c>
      <c r="L30" s="10" t="s">
        <v>18</v>
      </c>
      <c r="M30" s="10" t="s">
        <v>162</v>
      </c>
    </row>
    <row r="31" spans="1:13" x14ac:dyDescent="0.25">
      <c r="A31" s="13" t="str">
        <f t="shared" si="0"/>
        <v>50714278410</v>
      </c>
      <c r="B31" s="10">
        <v>1004053445</v>
      </c>
      <c r="C31" s="10">
        <v>507142784</v>
      </c>
      <c r="D31" s="10">
        <v>10</v>
      </c>
      <c r="E31" s="10" t="s">
        <v>10</v>
      </c>
      <c r="F31" s="10">
        <v>1173944</v>
      </c>
      <c r="G31" s="10" t="s">
        <v>91</v>
      </c>
      <c r="H31" s="11">
        <v>11020</v>
      </c>
      <c r="I31" s="10">
        <v>0</v>
      </c>
      <c r="J31" s="11">
        <f t="shared" si="1"/>
        <v>11020</v>
      </c>
      <c r="K31" s="12">
        <f>VLOOKUP(A31,[1]VA05!$A:$K,11,FALSE)</f>
        <v>45580</v>
      </c>
      <c r="L31" s="10" t="s">
        <v>12</v>
      </c>
      <c r="M31" s="10" t="s">
        <v>162</v>
      </c>
    </row>
    <row r="32" spans="1:13" x14ac:dyDescent="0.25">
      <c r="A32" s="13" t="str">
        <f t="shared" si="0"/>
        <v>50714227020</v>
      </c>
      <c r="B32" s="10">
        <v>1004034399</v>
      </c>
      <c r="C32" s="10">
        <v>507142270</v>
      </c>
      <c r="D32" s="10">
        <v>20</v>
      </c>
      <c r="E32" s="10" t="s">
        <v>10</v>
      </c>
      <c r="F32" s="10">
        <v>1187764</v>
      </c>
      <c r="G32" s="10" t="s">
        <v>92</v>
      </c>
      <c r="H32" s="11">
        <v>17325</v>
      </c>
      <c r="I32" s="10">
        <v>0</v>
      </c>
      <c r="J32" s="11">
        <f t="shared" si="1"/>
        <v>17325</v>
      </c>
      <c r="K32" s="12">
        <f>VLOOKUP(A32,[1]VA05!$A:$K,11,FALSE)</f>
        <v>45659</v>
      </c>
      <c r="L32" s="10" t="s">
        <v>56</v>
      </c>
      <c r="M32" s="10" t="s">
        <v>97</v>
      </c>
    </row>
    <row r="33" spans="1:13" x14ac:dyDescent="0.25">
      <c r="A33" s="13" t="str">
        <f t="shared" si="0"/>
        <v>50714227010</v>
      </c>
      <c r="B33" s="10">
        <v>1004057062</v>
      </c>
      <c r="C33" s="10">
        <v>507142270</v>
      </c>
      <c r="D33" s="10">
        <v>10</v>
      </c>
      <c r="E33" s="10" t="s">
        <v>10</v>
      </c>
      <c r="F33" s="10">
        <v>1187764</v>
      </c>
      <c r="G33" s="10" t="s">
        <v>92</v>
      </c>
      <c r="H33" s="11">
        <v>5776</v>
      </c>
      <c r="I33" s="10">
        <v>0</v>
      </c>
      <c r="J33" s="11">
        <f t="shared" si="1"/>
        <v>5776</v>
      </c>
      <c r="K33" s="12">
        <f>VLOOKUP(A33,[1]VA05!$A:$K,11,FALSE)</f>
        <v>45659</v>
      </c>
      <c r="L33" s="10" t="s">
        <v>12</v>
      </c>
      <c r="M33" s="10" t="s">
        <v>180</v>
      </c>
    </row>
    <row r="34" spans="1:13" x14ac:dyDescent="0.25">
      <c r="A34" s="13" t="str">
        <f t="shared" si="0"/>
        <v>50714269620</v>
      </c>
      <c r="B34" s="10">
        <v>1004042037</v>
      </c>
      <c r="C34" s="10">
        <v>507142696</v>
      </c>
      <c r="D34" s="10">
        <v>20</v>
      </c>
      <c r="E34" s="10" t="s">
        <v>10</v>
      </c>
      <c r="F34" s="10">
        <v>1173947</v>
      </c>
      <c r="G34" s="10" t="s">
        <v>36</v>
      </c>
      <c r="H34" s="11">
        <v>12384</v>
      </c>
      <c r="I34" s="11">
        <v>3839</v>
      </c>
      <c r="J34" s="11">
        <f t="shared" si="1"/>
        <v>8545</v>
      </c>
      <c r="K34" s="12">
        <f>VLOOKUP(A34,[1]VA05!$A:$K,11,FALSE)</f>
        <v>45566</v>
      </c>
      <c r="L34" s="10" t="s">
        <v>18</v>
      </c>
      <c r="M34" s="10" t="s">
        <v>84</v>
      </c>
    </row>
    <row r="35" spans="1:13" x14ac:dyDescent="0.25">
      <c r="A35" s="13" t="str">
        <f t="shared" si="0"/>
        <v>50714274010</v>
      </c>
      <c r="B35" s="10">
        <v>1004052269</v>
      </c>
      <c r="C35" s="10">
        <v>507142740</v>
      </c>
      <c r="D35" s="10">
        <v>10</v>
      </c>
      <c r="E35" s="10" t="s">
        <v>10</v>
      </c>
      <c r="F35" s="10">
        <v>1173947</v>
      </c>
      <c r="G35" s="10" t="s">
        <v>36</v>
      </c>
      <c r="H35" s="11">
        <v>12384</v>
      </c>
      <c r="I35" s="10">
        <v>0</v>
      </c>
      <c r="J35" s="11">
        <f t="shared" si="1"/>
        <v>12384</v>
      </c>
      <c r="K35" s="12">
        <f>VLOOKUP(A35,[1]VA05!$A:$K,11,FALSE)</f>
        <v>45573</v>
      </c>
      <c r="L35" s="10" t="s">
        <v>12</v>
      </c>
      <c r="M35" s="10" t="s">
        <v>97</v>
      </c>
    </row>
    <row r="36" spans="1:13" x14ac:dyDescent="0.25">
      <c r="A36" s="13" t="str">
        <f t="shared" si="0"/>
        <v>50714277910</v>
      </c>
      <c r="B36" s="10">
        <v>1004052270</v>
      </c>
      <c r="C36" s="10">
        <v>507142779</v>
      </c>
      <c r="D36" s="10">
        <v>10</v>
      </c>
      <c r="E36" s="10" t="s">
        <v>10</v>
      </c>
      <c r="F36" s="10">
        <v>1173947</v>
      </c>
      <c r="G36" s="10" t="s">
        <v>36</v>
      </c>
      <c r="H36" s="11">
        <v>11922</v>
      </c>
      <c r="I36" s="10">
        <v>0</v>
      </c>
      <c r="J36" s="11">
        <f t="shared" si="1"/>
        <v>11922</v>
      </c>
      <c r="K36" s="12">
        <f>VLOOKUP(A36,[1]VA05!$A:$K,11,FALSE)</f>
        <v>45580</v>
      </c>
      <c r="L36" s="10" t="s">
        <v>12</v>
      </c>
      <c r="M36" s="10" t="s">
        <v>194</v>
      </c>
    </row>
    <row r="37" spans="1:13" x14ac:dyDescent="0.25">
      <c r="A37" s="13" t="str">
        <f t="shared" si="0"/>
        <v>50714278410</v>
      </c>
      <c r="B37" s="10">
        <v>1004052271</v>
      </c>
      <c r="C37" s="10">
        <v>507142784</v>
      </c>
      <c r="D37" s="10">
        <v>10</v>
      </c>
      <c r="E37" s="10" t="s">
        <v>10</v>
      </c>
      <c r="F37" s="10">
        <v>1173947</v>
      </c>
      <c r="G37" s="10" t="s">
        <v>36</v>
      </c>
      <c r="H37" s="11">
        <v>12384</v>
      </c>
      <c r="I37" s="10">
        <v>0</v>
      </c>
      <c r="J37" s="11">
        <f t="shared" si="1"/>
        <v>12384</v>
      </c>
      <c r="K37" s="12">
        <f>VLOOKUP(A37,[1]VA05!$A:$K,11,FALSE)</f>
        <v>45580</v>
      </c>
      <c r="L37" s="10" t="s">
        <v>12</v>
      </c>
      <c r="M37" s="10" t="s">
        <v>97</v>
      </c>
    </row>
    <row r="38" spans="1:13" x14ac:dyDescent="0.25">
      <c r="A38" s="13" t="str">
        <f t="shared" si="0"/>
        <v>50714278910</v>
      </c>
      <c r="B38" s="10">
        <v>1004052272</v>
      </c>
      <c r="C38" s="10">
        <v>507142789</v>
      </c>
      <c r="D38" s="10">
        <v>10</v>
      </c>
      <c r="E38" s="10" t="s">
        <v>10</v>
      </c>
      <c r="F38" s="10">
        <v>1411193</v>
      </c>
      <c r="G38" s="10" t="s">
        <v>47</v>
      </c>
      <c r="H38" s="11">
        <v>10299</v>
      </c>
      <c r="I38" s="11">
        <v>10299</v>
      </c>
      <c r="J38" s="11">
        <f t="shared" si="1"/>
        <v>0</v>
      </c>
      <c r="K38" s="12">
        <f>VLOOKUP(A38,[1]VA05!$A:$K,11,FALSE)</f>
        <v>45583</v>
      </c>
      <c r="L38" s="10" t="s">
        <v>113</v>
      </c>
      <c r="M38" s="10" t="s">
        <v>193</v>
      </c>
    </row>
    <row r="39" spans="1:13" x14ac:dyDescent="0.25">
      <c r="A39" s="13" t="str">
        <f t="shared" si="0"/>
        <v>50714251020</v>
      </c>
      <c r="B39" s="10">
        <v>1004045114</v>
      </c>
      <c r="C39" s="10">
        <v>507142510</v>
      </c>
      <c r="D39" s="10">
        <v>20</v>
      </c>
      <c r="E39" s="10" t="s">
        <v>10</v>
      </c>
      <c r="F39" s="10">
        <v>1171793</v>
      </c>
      <c r="G39" s="10" t="s">
        <v>33</v>
      </c>
      <c r="H39" s="11">
        <v>10792</v>
      </c>
      <c r="I39" s="10">
        <v>0</v>
      </c>
      <c r="J39" s="11">
        <f t="shared" si="1"/>
        <v>10792</v>
      </c>
      <c r="K39" s="12" t="e">
        <f>VLOOKUP(A39,[1]VA05!$A:$K,11,FALSE)</f>
        <v>#N/A</v>
      </c>
      <c r="L39" s="10" t="s">
        <v>25</v>
      </c>
      <c r="M39" s="10" t="s">
        <v>107</v>
      </c>
    </row>
    <row r="40" spans="1:13" x14ac:dyDescent="0.25">
      <c r="A40" s="13" t="str">
        <f t="shared" si="0"/>
        <v>50800514030</v>
      </c>
      <c r="B40" s="10">
        <v>1004050510</v>
      </c>
      <c r="C40" s="10">
        <v>508005140</v>
      </c>
      <c r="D40" s="10">
        <v>30</v>
      </c>
      <c r="E40" s="10" t="s">
        <v>10</v>
      </c>
      <c r="F40" s="10">
        <v>1171793</v>
      </c>
      <c r="G40" s="10" t="s">
        <v>33</v>
      </c>
      <c r="H40" s="11">
        <v>43162</v>
      </c>
      <c r="I40" s="10">
        <v>0</v>
      </c>
      <c r="J40" s="11">
        <f t="shared" si="1"/>
        <v>43162</v>
      </c>
      <c r="K40" s="12">
        <f>VLOOKUP(A40,[1]VA05!$A:$K,11,FALSE)</f>
        <v>45609</v>
      </c>
      <c r="L40" s="10" t="s">
        <v>119</v>
      </c>
      <c r="M40" s="10" t="s">
        <v>161</v>
      </c>
    </row>
    <row r="41" spans="1:13" x14ac:dyDescent="0.25">
      <c r="A41" s="13" t="str">
        <f t="shared" si="0"/>
        <v>50714269620</v>
      </c>
      <c r="B41" s="10">
        <v>1004051710</v>
      </c>
      <c r="C41" s="10">
        <v>507142696</v>
      </c>
      <c r="D41" s="10">
        <v>20</v>
      </c>
      <c r="E41" s="10" t="s">
        <v>10</v>
      </c>
      <c r="F41" s="10">
        <v>1171793</v>
      </c>
      <c r="G41" s="10" t="s">
        <v>33</v>
      </c>
      <c r="H41" s="11">
        <v>10882</v>
      </c>
      <c r="I41" s="11">
        <v>8761</v>
      </c>
      <c r="J41" s="11">
        <f t="shared" si="1"/>
        <v>2121</v>
      </c>
      <c r="K41" s="12">
        <f>VLOOKUP(A41,[1]VA05!$A:$K,11,FALSE)</f>
        <v>45566</v>
      </c>
      <c r="L41" s="10" t="s">
        <v>18</v>
      </c>
      <c r="M41" s="10" t="s">
        <v>140</v>
      </c>
    </row>
    <row r="42" spans="1:13" x14ac:dyDescent="0.25">
      <c r="A42" s="13" t="str">
        <f t="shared" si="0"/>
        <v>50714277910</v>
      </c>
      <c r="B42" s="10">
        <v>1004053448</v>
      </c>
      <c r="C42" s="10">
        <v>507142779</v>
      </c>
      <c r="D42" s="10">
        <v>10</v>
      </c>
      <c r="E42" s="10" t="s">
        <v>10</v>
      </c>
      <c r="F42" s="10">
        <v>1171793</v>
      </c>
      <c r="G42" s="10" t="s">
        <v>33</v>
      </c>
      <c r="H42" s="11">
        <v>10792</v>
      </c>
      <c r="I42" s="10">
        <v>0</v>
      </c>
      <c r="J42" s="11">
        <f t="shared" si="1"/>
        <v>10792</v>
      </c>
      <c r="K42" s="12">
        <f>VLOOKUP(A42,[1]VA05!$A:$K,11,FALSE)</f>
        <v>45580</v>
      </c>
      <c r="L42" s="10" t="s">
        <v>12</v>
      </c>
      <c r="M42" s="10" t="s">
        <v>162</v>
      </c>
    </row>
    <row r="43" spans="1:13" x14ac:dyDescent="0.25">
      <c r="A43" s="13" t="str">
        <f t="shared" si="0"/>
        <v>50714227010</v>
      </c>
      <c r="B43" s="10">
        <v>1004045113</v>
      </c>
      <c r="C43" s="10">
        <v>507142270</v>
      </c>
      <c r="D43" s="10">
        <v>10</v>
      </c>
      <c r="E43" s="10" t="s">
        <v>10</v>
      </c>
      <c r="F43" s="10">
        <v>1187765</v>
      </c>
      <c r="G43" s="10" t="s">
        <v>147</v>
      </c>
      <c r="H43" s="11">
        <v>5776</v>
      </c>
      <c r="I43" s="10">
        <v>0</v>
      </c>
      <c r="J43" s="11">
        <f t="shared" si="1"/>
        <v>5776</v>
      </c>
      <c r="K43" s="12">
        <f>VLOOKUP(A43,[1]VA05!$A:$K,11,FALSE)</f>
        <v>45659</v>
      </c>
      <c r="L43" s="10" t="s">
        <v>12</v>
      </c>
      <c r="M43" s="10" t="s">
        <v>61</v>
      </c>
    </row>
    <row r="44" spans="1:13" x14ac:dyDescent="0.25">
      <c r="A44" s="13" t="str">
        <f t="shared" si="0"/>
        <v>50714227020</v>
      </c>
      <c r="B44" s="10">
        <v>1004057063</v>
      </c>
      <c r="C44" s="10">
        <v>507142270</v>
      </c>
      <c r="D44" s="10">
        <v>20</v>
      </c>
      <c r="E44" s="10" t="s">
        <v>10</v>
      </c>
      <c r="F44" s="10">
        <v>1187765</v>
      </c>
      <c r="G44" s="10" t="s">
        <v>147</v>
      </c>
      <c r="H44" s="11">
        <v>17325</v>
      </c>
      <c r="I44" s="10">
        <v>0</v>
      </c>
      <c r="J44" s="11">
        <f t="shared" si="1"/>
        <v>17325</v>
      </c>
      <c r="K44" s="12">
        <f>VLOOKUP(A44,[1]VA05!$A:$K,11,FALSE)</f>
        <v>45659</v>
      </c>
      <c r="L44" s="10" t="s">
        <v>12</v>
      </c>
      <c r="M44" s="10" t="s">
        <v>180</v>
      </c>
    </row>
    <row r="45" spans="1:13" x14ac:dyDescent="0.25">
      <c r="A45" s="13" t="str">
        <f t="shared" si="0"/>
        <v>50714265410</v>
      </c>
      <c r="B45" s="10">
        <v>1004036495</v>
      </c>
      <c r="C45" s="10">
        <v>507142654</v>
      </c>
      <c r="D45" s="10">
        <v>10</v>
      </c>
      <c r="E45" s="10" t="s">
        <v>10</v>
      </c>
      <c r="F45" s="10">
        <v>1420608</v>
      </c>
      <c r="G45" s="10" t="s">
        <v>110</v>
      </c>
      <c r="H45" s="11">
        <v>16376</v>
      </c>
      <c r="I45" s="10">
        <v>0</v>
      </c>
      <c r="J45" s="11">
        <f t="shared" si="1"/>
        <v>16376</v>
      </c>
      <c r="K45" s="12">
        <f>VLOOKUP(A45,[1]VA05!$A:$K,11,FALSE)</f>
        <v>45552</v>
      </c>
      <c r="L45" s="10" t="s">
        <v>12</v>
      </c>
      <c r="M45" s="10" t="s">
        <v>111</v>
      </c>
    </row>
    <row r="46" spans="1:13" x14ac:dyDescent="0.25">
      <c r="A46" s="13" t="str">
        <f t="shared" si="0"/>
        <v>50714265120</v>
      </c>
      <c r="B46" s="10">
        <v>1004036496</v>
      </c>
      <c r="C46" s="10">
        <v>507142651</v>
      </c>
      <c r="D46" s="10">
        <v>20</v>
      </c>
      <c r="E46" s="10" t="s">
        <v>10</v>
      </c>
      <c r="F46" s="10">
        <v>1149455</v>
      </c>
      <c r="G46" s="10" t="s">
        <v>44</v>
      </c>
      <c r="H46" s="11">
        <v>28966</v>
      </c>
      <c r="I46" s="10">
        <v>0</v>
      </c>
      <c r="J46" s="11">
        <f t="shared" si="1"/>
        <v>28966</v>
      </c>
      <c r="K46" s="12">
        <f>VLOOKUP(A46,[1]VA05!$A:$K,11,FALSE)</f>
        <v>45567</v>
      </c>
      <c r="L46" s="10" t="s">
        <v>27</v>
      </c>
      <c r="M46" s="10" t="s">
        <v>106</v>
      </c>
    </row>
    <row r="47" spans="1:13" x14ac:dyDescent="0.25">
      <c r="A47" s="13" t="str">
        <f t="shared" si="0"/>
        <v>50714248510</v>
      </c>
      <c r="B47" s="10">
        <v>1004052273</v>
      </c>
      <c r="C47" s="10">
        <v>507142485</v>
      </c>
      <c r="D47" s="10">
        <v>10</v>
      </c>
      <c r="E47" s="10" t="s">
        <v>24</v>
      </c>
      <c r="F47" s="10">
        <v>1193509</v>
      </c>
      <c r="G47" s="10" t="s">
        <v>31</v>
      </c>
      <c r="H47" s="11">
        <v>10000</v>
      </c>
      <c r="I47" s="10">
        <v>0</v>
      </c>
      <c r="J47" s="11">
        <f t="shared" si="1"/>
        <v>10000</v>
      </c>
      <c r="K47" s="12">
        <f>VLOOKUP(A47,[1]VA05!$A:$K,11,FALSE)</f>
        <v>45538</v>
      </c>
      <c r="L47" s="10" t="s">
        <v>13</v>
      </c>
      <c r="M47" s="10" t="s">
        <v>97</v>
      </c>
    </row>
    <row r="48" spans="1:13" x14ac:dyDescent="0.25">
      <c r="A48" s="13" t="str">
        <f t="shared" si="0"/>
        <v>50714274310</v>
      </c>
      <c r="B48" s="10">
        <v>1004052275</v>
      </c>
      <c r="C48" s="10">
        <v>507142743</v>
      </c>
      <c r="D48" s="10">
        <v>10</v>
      </c>
      <c r="E48" s="10" t="s">
        <v>10</v>
      </c>
      <c r="F48" s="10">
        <v>1193509</v>
      </c>
      <c r="G48" s="10" t="s">
        <v>31</v>
      </c>
      <c r="H48" s="11">
        <v>16753</v>
      </c>
      <c r="I48" s="11">
        <v>16019</v>
      </c>
      <c r="J48" s="11">
        <f t="shared" si="1"/>
        <v>734</v>
      </c>
      <c r="K48" s="12">
        <f>VLOOKUP(A48,[1]VA05!$A:$K,11,FALSE)</f>
        <v>45575</v>
      </c>
      <c r="L48" s="10" t="s">
        <v>18</v>
      </c>
      <c r="M48" s="10" t="s">
        <v>195</v>
      </c>
    </row>
    <row r="49" spans="1:13" x14ac:dyDescent="0.25">
      <c r="A49" s="13" t="str">
        <f t="shared" si="0"/>
        <v>50714235110</v>
      </c>
      <c r="B49" s="10">
        <v>1004042803</v>
      </c>
      <c r="C49" s="10">
        <v>507142351</v>
      </c>
      <c r="D49" s="10">
        <v>10</v>
      </c>
      <c r="E49" s="10" t="s">
        <v>10</v>
      </c>
      <c r="F49" s="10">
        <v>1192909</v>
      </c>
      <c r="G49" s="10" t="s">
        <v>35</v>
      </c>
      <c r="H49" s="11">
        <v>16753</v>
      </c>
      <c r="I49" s="11">
        <v>9187</v>
      </c>
      <c r="J49" s="11">
        <f t="shared" si="1"/>
        <v>7566</v>
      </c>
      <c r="K49" s="12">
        <f>VLOOKUP(A49,[1]VA05!$A:$K,11,FALSE)</f>
        <v>45545</v>
      </c>
      <c r="L49" s="10" t="s">
        <v>18</v>
      </c>
      <c r="M49" s="10" t="s">
        <v>111</v>
      </c>
    </row>
    <row r="50" spans="1:13" x14ac:dyDescent="0.25">
      <c r="A50" s="13" t="str">
        <f t="shared" si="0"/>
        <v>50714258410</v>
      </c>
      <c r="B50" s="10">
        <v>1004024383</v>
      </c>
      <c r="C50" s="10">
        <v>507142584</v>
      </c>
      <c r="D50" s="10">
        <v>10</v>
      </c>
      <c r="E50" s="10" t="s">
        <v>10</v>
      </c>
      <c r="F50" s="10">
        <v>1192706</v>
      </c>
      <c r="G50" s="10" t="s">
        <v>14</v>
      </c>
      <c r="H50" s="11">
        <v>29915</v>
      </c>
      <c r="I50" s="11">
        <v>10400</v>
      </c>
      <c r="J50" s="11">
        <f t="shared" si="1"/>
        <v>19515</v>
      </c>
      <c r="K50" s="12">
        <f>VLOOKUP(A50,[1]VA05!$A:$K,11,FALSE)</f>
        <v>45565</v>
      </c>
      <c r="L50" s="10" t="s">
        <v>18</v>
      </c>
      <c r="M50" s="10" t="s">
        <v>82</v>
      </c>
    </row>
    <row r="51" spans="1:13" x14ac:dyDescent="0.25">
      <c r="A51" s="13" t="str">
        <f t="shared" si="0"/>
        <v>50714265410</v>
      </c>
      <c r="B51" s="10">
        <v>1004042744</v>
      </c>
      <c r="C51" s="10">
        <v>507142654</v>
      </c>
      <c r="D51" s="10">
        <v>10</v>
      </c>
      <c r="E51" s="10" t="s">
        <v>10</v>
      </c>
      <c r="F51" s="10">
        <v>1420609</v>
      </c>
      <c r="G51" s="10" t="s">
        <v>133</v>
      </c>
      <c r="H51" s="11">
        <v>16868</v>
      </c>
      <c r="I51" s="10">
        <v>0</v>
      </c>
      <c r="J51" s="11">
        <f t="shared" si="1"/>
        <v>16868</v>
      </c>
      <c r="K51" s="12">
        <f>VLOOKUP(A51,[1]VA05!$A:$K,11,FALSE)</f>
        <v>45552</v>
      </c>
      <c r="L51" s="10" t="s">
        <v>25</v>
      </c>
      <c r="M51" s="10" t="s">
        <v>84</v>
      </c>
    </row>
    <row r="52" spans="1:13" x14ac:dyDescent="0.25">
      <c r="A52" s="13" t="str">
        <f t="shared" si="0"/>
        <v>50714265120</v>
      </c>
      <c r="B52" s="10">
        <v>1004056891</v>
      </c>
      <c r="C52" s="10">
        <v>507142651</v>
      </c>
      <c r="D52" s="10">
        <v>20</v>
      </c>
      <c r="E52" s="10" t="s">
        <v>10</v>
      </c>
      <c r="F52" s="10">
        <v>1304095</v>
      </c>
      <c r="G52" s="10" t="s">
        <v>76</v>
      </c>
      <c r="H52" s="11">
        <v>28414</v>
      </c>
      <c r="I52" s="11">
        <v>4896</v>
      </c>
      <c r="J52" s="11">
        <f t="shared" si="1"/>
        <v>23518</v>
      </c>
      <c r="K52" s="12">
        <f>VLOOKUP(A52,[1]VA05!$A:$K,11,FALSE)</f>
        <v>45567</v>
      </c>
      <c r="L52" s="10" t="s">
        <v>11</v>
      </c>
      <c r="M52" s="10" t="s">
        <v>180</v>
      </c>
    </row>
    <row r="53" spans="1:13" x14ac:dyDescent="0.25">
      <c r="A53" s="13" t="str">
        <f t="shared" si="0"/>
        <v>50714278610</v>
      </c>
      <c r="B53" s="10">
        <v>1004056892</v>
      </c>
      <c r="C53" s="10">
        <v>507142786</v>
      </c>
      <c r="D53" s="10">
        <v>10</v>
      </c>
      <c r="E53" s="10" t="s">
        <v>10</v>
      </c>
      <c r="F53" s="10">
        <v>1304095</v>
      </c>
      <c r="G53" s="10" t="s">
        <v>76</v>
      </c>
      <c r="H53" s="11">
        <v>26709</v>
      </c>
      <c r="I53" s="10">
        <v>0</v>
      </c>
      <c r="J53" s="11">
        <f t="shared" si="1"/>
        <v>26709</v>
      </c>
      <c r="K53" s="12">
        <f>VLOOKUP(A53,[1]VA05!$A:$K,11,FALSE)</f>
        <v>45581</v>
      </c>
      <c r="L53" s="10" t="s">
        <v>12</v>
      </c>
      <c r="M53" s="10" t="s">
        <v>154</v>
      </c>
    </row>
    <row r="54" spans="1:13" x14ac:dyDescent="0.25">
      <c r="A54" s="13" t="str">
        <f t="shared" si="0"/>
        <v>50714265410</v>
      </c>
      <c r="B54" s="10">
        <v>1004045686</v>
      </c>
      <c r="C54" s="10">
        <v>507142654</v>
      </c>
      <c r="D54" s="10">
        <v>10</v>
      </c>
      <c r="E54" s="10" t="s">
        <v>10</v>
      </c>
      <c r="F54" s="10">
        <v>1420607</v>
      </c>
      <c r="G54" s="10" t="s">
        <v>149</v>
      </c>
      <c r="H54" s="11">
        <v>16376</v>
      </c>
      <c r="I54" s="10">
        <v>0</v>
      </c>
      <c r="J54" s="11">
        <f t="shared" si="1"/>
        <v>16376</v>
      </c>
      <c r="K54" s="12">
        <f>VLOOKUP(A54,[1]VA05!$A:$K,11,FALSE)</f>
        <v>45552</v>
      </c>
      <c r="L54" s="10" t="s">
        <v>56</v>
      </c>
      <c r="M54" s="10" t="s">
        <v>85</v>
      </c>
    </row>
    <row r="55" spans="1:13" x14ac:dyDescent="0.25">
      <c r="A55" s="13" t="str">
        <f t="shared" si="0"/>
        <v>50714273410</v>
      </c>
      <c r="B55" s="10">
        <v>1004054830</v>
      </c>
      <c r="C55" s="10">
        <v>507142734</v>
      </c>
      <c r="D55" s="10">
        <v>10</v>
      </c>
      <c r="E55" s="10" t="s">
        <v>10</v>
      </c>
      <c r="F55" s="10">
        <v>1193508</v>
      </c>
      <c r="G55" s="10" t="s">
        <v>134</v>
      </c>
      <c r="H55" s="11">
        <v>16753</v>
      </c>
      <c r="I55" s="10">
        <v>0</v>
      </c>
      <c r="J55" s="11">
        <f t="shared" si="1"/>
        <v>16753</v>
      </c>
      <c r="K55" s="12">
        <f>VLOOKUP(A55,[1]VA05!$A:$K,11,FALSE)</f>
        <v>45572</v>
      </c>
      <c r="L55" s="10" t="s">
        <v>27</v>
      </c>
      <c r="M55" s="10" t="s">
        <v>180</v>
      </c>
    </row>
    <row r="56" spans="1:13" x14ac:dyDescent="0.25">
      <c r="A56" s="13" t="str">
        <f t="shared" si="0"/>
        <v>50714274310</v>
      </c>
      <c r="B56" s="10">
        <v>1004054831</v>
      </c>
      <c r="C56" s="10">
        <v>507142743</v>
      </c>
      <c r="D56" s="10">
        <v>10</v>
      </c>
      <c r="E56" s="10" t="s">
        <v>10</v>
      </c>
      <c r="F56" s="10">
        <v>1193508</v>
      </c>
      <c r="G56" s="10" t="s">
        <v>134</v>
      </c>
      <c r="H56" s="11">
        <v>16753</v>
      </c>
      <c r="I56" s="10">
        <v>0</v>
      </c>
      <c r="J56" s="11">
        <f t="shared" si="1"/>
        <v>16753</v>
      </c>
      <c r="K56" s="12">
        <f>VLOOKUP(A56,[1]VA05!$A:$K,11,FALSE)</f>
        <v>45575</v>
      </c>
      <c r="L56" s="10" t="s">
        <v>12</v>
      </c>
      <c r="M56" s="10" t="s">
        <v>195</v>
      </c>
    </row>
    <row r="57" spans="1:13" x14ac:dyDescent="0.25">
      <c r="A57" s="13" t="str">
        <f t="shared" si="0"/>
        <v>50714258410</v>
      </c>
      <c r="B57" s="10">
        <v>1004025718</v>
      </c>
      <c r="C57" s="10">
        <v>507142584</v>
      </c>
      <c r="D57" s="10">
        <v>10</v>
      </c>
      <c r="E57" s="10" t="s">
        <v>10</v>
      </c>
      <c r="F57" s="10">
        <v>1192705</v>
      </c>
      <c r="G57" s="10" t="s">
        <v>45</v>
      </c>
      <c r="H57" s="11">
        <v>29915</v>
      </c>
      <c r="I57" s="11">
        <v>15280</v>
      </c>
      <c r="J57" s="11">
        <f t="shared" si="1"/>
        <v>14635</v>
      </c>
      <c r="K57" s="12">
        <f>VLOOKUP(A57,[1]VA05!$A:$K,11,FALSE)</f>
        <v>45565</v>
      </c>
      <c r="L57" s="10" t="s">
        <v>18</v>
      </c>
      <c r="M57" s="10" t="s">
        <v>66</v>
      </c>
    </row>
    <row r="58" spans="1:13" x14ac:dyDescent="0.25">
      <c r="A58" s="13" t="str">
        <f t="shared" si="0"/>
        <v>50714259810</v>
      </c>
      <c r="B58" s="10">
        <v>1004042031</v>
      </c>
      <c r="C58" s="10">
        <v>507142598</v>
      </c>
      <c r="D58" s="10">
        <v>10</v>
      </c>
      <c r="E58" s="10" t="s">
        <v>10</v>
      </c>
      <c r="F58" s="10">
        <v>1233459</v>
      </c>
      <c r="G58" s="10" t="s">
        <v>121</v>
      </c>
      <c r="H58" s="11">
        <v>15449</v>
      </c>
      <c r="I58" s="10">
        <v>0</v>
      </c>
      <c r="J58" s="11">
        <f t="shared" si="1"/>
        <v>15449</v>
      </c>
      <c r="K58" s="12">
        <f>VLOOKUP(A58,[1]VA05!$A:$K,11,FALSE)</f>
        <v>45560</v>
      </c>
      <c r="L58" s="10" t="s">
        <v>29</v>
      </c>
      <c r="M58" s="10" t="s">
        <v>106</v>
      </c>
    </row>
    <row r="59" spans="1:13" x14ac:dyDescent="0.25">
      <c r="A59" s="13" t="str">
        <f t="shared" si="0"/>
        <v>50714272410</v>
      </c>
      <c r="B59" s="10">
        <v>1004051405</v>
      </c>
      <c r="C59" s="10">
        <v>507142724</v>
      </c>
      <c r="D59" s="10">
        <v>10</v>
      </c>
      <c r="E59" s="10" t="s">
        <v>10</v>
      </c>
      <c r="F59" s="10">
        <v>1233459</v>
      </c>
      <c r="G59" s="10" t="s">
        <v>121</v>
      </c>
      <c r="H59" s="11">
        <v>10299</v>
      </c>
      <c r="I59" s="10">
        <v>0</v>
      </c>
      <c r="J59" s="11">
        <f t="shared" si="1"/>
        <v>10299</v>
      </c>
      <c r="K59" s="12">
        <f>VLOOKUP(A59,[1]VA05!$A:$K,11,FALSE)</f>
        <v>45594</v>
      </c>
      <c r="L59" s="10" t="s">
        <v>12</v>
      </c>
      <c r="M59" s="10" t="s">
        <v>176</v>
      </c>
    </row>
    <row r="60" spans="1:13" x14ac:dyDescent="0.25">
      <c r="A60" s="13" t="str">
        <f t="shared" si="0"/>
        <v>50714272410</v>
      </c>
      <c r="B60" s="10">
        <v>1004052526</v>
      </c>
      <c r="C60" s="10">
        <v>507142724</v>
      </c>
      <c r="D60" s="10">
        <v>10</v>
      </c>
      <c r="E60" s="10" t="s">
        <v>10</v>
      </c>
      <c r="F60" s="10">
        <v>1233471</v>
      </c>
      <c r="G60" s="10" t="s">
        <v>122</v>
      </c>
      <c r="H60" s="11">
        <v>20598</v>
      </c>
      <c r="I60" s="11">
        <v>7500</v>
      </c>
      <c r="J60" s="11">
        <f t="shared" si="1"/>
        <v>13098</v>
      </c>
      <c r="K60" s="12">
        <f>VLOOKUP(A60,[1]VA05!$A:$K,11,FALSE)</f>
        <v>45594</v>
      </c>
      <c r="L60" s="10" t="s">
        <v>18</v>
      </c>
      <c r="M60" s="10" t="s">
        <v>176</v>
      </c>
    </row>
    <row r="61" spans="1:13" x14ac:dyDescent="0.25">
      <c r="A61" s="13" t="str">
        <f t="shared" si="0"/>
        <v>507142721100</v>
      </c>
      <c r="B61" s="10">
        <v>1004052515</v>
      </c>
      <c r="C61" s="10">
        <v>507142721</v>
      </c>
      <c r="D61" s="10">
        <v>100</v>
      </c>
      <c r="E61" s="10" t="s">
        <v>10</v>
      </c>
      <c r="F61" s="10">
        <v>1209335</v>
      </c>
      <c r="G61" s="10" t="s">
        <v>150</v>
      </c>
      <c r="H61" s="11">
        <v>35874</v>
      </c>
      <c r="I61" s="11">
        <v>18836</v>
      </c>
      <c r="J61" s="11">
        <f t="shared" si="1"/>
        <v>17038</v>
      </c>
      <c r="K61" s="12">
        <f>VLOOKUP(A61,[1]VA05!$A:$K,11,FALSE)</f>
        <v>45568</v>
      </c>
      <c r="L61" s="10" t="s">
        <v>11</v>
      </c>
      <c r="M61" s="10" t="s">
        <v>143</v>
      </c>
    </row>
    <row r="62" spans="1:13" x14ac:dyDescent="0.25">
      <c r="A62" s="13" t="str">
        <f t="shared" si="0"/>
        <v>507142721110</v>
      </c>
      <c r="B62" s="10">
        <v>1004052516</v>
      </c>
      <c r="C62" s="10">
        <v>507142721</v>
      </c>
      <c r="D62" s="10">
        <v>110</v>
      </c>
      <c r="E62" s="10" t="s">
        <v>10</v>
      </c>
      <c r="F62" s="10">
        <v>1209335</v>
      </c>
      <c r="G62" s="10" t="s">
        <v>150</v>
      </c>
      <c r="H62" s="11">
        <v>6695</v>
      </c>
      <c r="I62" s="10">
        <v>0</v>
      </c>
      <c r="J62" s="11">
        <f t="shared" si="1"/>
        <v>6695</v>
      </c>
      <c r="K62" s="12">
        <f>VLOOKUP(A62,[1]VA05!$A:$K,11,FALSE)</f>
        <v>45576</v>
      </c>
      <c r="L62" s="10" t="s">
        <v>12</v>
      </c>
      <c r="M62" s="10" t="s">
        <v>141</v>
      </c>
    </row>
    <row r="63" spans="1:13" x14ac:dyDescent="0.25">
      <c r="A63" s="13" t="str">
        <f t="shared" si="0"/>
        <v>50714274210</v>
      </c>
      <c r="B63" s="10">
        <v>1004052517</v>
      </c>
      <c r="C63" s="10">
        <v>507142742</v>
      </c>
      <c r="D63" s="10">
        <v>10</v>
      </c>
      <c r="E63" s="10" t="s">
        <v>10</v>
      </c>
      <c r="F63" s="10">
        <v>1209335</v>
      </c>
      <c r="G63" s="10" t="s">
        <v>150</v>
      </c>
      <c r="H63" s="11">
        <v>25576</v>
      </c>
      <c r="I63" s="10">
        <v>0</v>
      </c>
      <c r="J63" s="11">
        <f t="shared" si="1"/>
        <v>25576</v>
      </c>
      <c r="K63" s="12">
        <f>VLOOKUP(A63,[1]VA05!$A:$K,11,FALSE)</f>
        <v>45580</v>
      </c>
      <c r="L63" s="10" t="s">
        <v>12</v>
      </c>
      <c r="M63" s="10" t="s">
        <v>194</v>
      </c>
    </row>
    <row r="64" spans="1:13" x14ac:dyDescent="0.25">
      <c r="A64" s="13" t="str">
        <f t="shared" si="0"/>
        <v>50714274240</v>
      </c>
      <c r="B64" s="10">
        <v>1004052518</v>
      </c>
      <c r="C64" s="10">
        <v>507142742</v>
      </c>
      <c r="D64" s="10">
        <v>40</v>
      </c>
      <c r="E64" s="10" t="s">
        <v>10</v>
      </c>
      <c r="F64" s="10">
        <v>1209335</v>
      </c>
      <c r="G64" s="10" t="s">
        <v>150</v>
      </c>
      <c r="H64" s="11">
        <v>25576</v>
      </c>
      <c r="I64" s="10">
        <v>0</v>
      </c>
      <c r="J64" s="11">
        <f t="shared" si="1"/>
        <v>25576</v>
      </c>
      <c r="K64" s="12">
        <f>VLOOKUP(A64,[1]VA05!$A:$K,11,FALSE)</f>
        <v>45587</v>
      </c>
      <c r="L64" s="10" t="s">
        <v>12</v>
      </c>
      <c r="M64" s="10" t="s">
        <v>179</v>
      </c>
    </row>
    <row r="65" spans="1:13" x14ac:dyDescent="0.25">
      <c r="A65" s="13" t="str">
        <f t="shared" si="0"/>
        <v>50714274270</v>
      </c>
      <c r="B65" s="10">
        <v>1004052519</v>
      </c>
      <c r="C65" s="10">
        <v>507142742</v>
      </c>
      <c r="D65" s="10">
        <v>70</v>
      </c>
      <c r="E65" s="10" t="s">
        <v>10</v>
      </c>
      <c r="F65" s="10">
        <v>1209335</v>
      </c>
      <c r="G65" s="10" t="s">
        <v>150</v>
      </c>
      <c r="H65" s="11">
        <v>25576</v>
      </c>
      <c r="I65" s="10">
        <v>0</v>
      </c>
      <c r="J65" s="11">
        <f t="shared" si="1"/>
        <v>25576</v>
      </c>
      <c r="K65" s="12">
        <f>VLOOKUP(A65,[1]VA05!$A:$K,11,FALSE)</f>
        <v>45594</v>
      </c>
      <c r="L65" s="10" t="s">
        <v>12</v>
      </c>
      <c r="M65" s="10" t="s">
        <v>109</v>
      </c>
    </row>
    <row r="66" spans="1:13" x14ac:dyDescent="0.25">
      <c r="A66" s="13" t="str">
        <f t="shared" si="0"/>
        <v>507142742100</v>
      </c>
      <c r="B66" s="10">
        <v>1004052522</v>
      </c>
      <c r="C66" s="10">
        <v>507142742</v>
      </c>
      <c r="D66" s="10">
        <v>100</v>
      </c>
      <c r="E66" s="10" t="s">
        <v>10</v>
      </c>
      <c r="F66" s="10">
        <v>1209335</v>
      </c>
      <c r="G66" s="10" t="s">
        <v>150</v>
      </c>
      <c r="H66" s="11">
        <v>25576</v>
      </c>
      <c r="I66" s="10">
        <v>0</v>
      </c>
      <c r="J66" s="11">
        <f t="shared" si="1"/>
        <v>25576</v>
      </c>
      <c r="K66" s="12">
        <f>VLOOKUP(A66,[1]VA05!$A:$K,11,FALSE)</f>
        <v>45601</v>
      </c>
      <c r="L66" s="10" t="s">
        <v>12</v>
      </c>
      <c r="M66" s="10" t="s">
        <v>196</v>
      </c>
    </row>
    <row r="67" spans="1:13" x14ac:dyDescent="0.25">
      <c r="A67" s="13" t="str">
        <f t="shared" si="0"/>
        <v>507142721100</v>
      </c>
      <c r="B67" s="10">
        <v>1004050512</v>
      </c>
      <c r="C67" s="10">
        <v>507142721</v>
      </c>
      <c r="D67" s="10">
        <v>100</v>
      </c>
      <c r="E67" s="10" t="s">
        <v>10</v>
      </c>
      <c r="F67" s="10">
        <v>1437142</v>
      </c>
      <c r="G67" s="10" t="s">
        <v>145</v>
      </c>
      <c r="H67" s="11">
        <v>38799</v>
      </c>
      <c r="I67" s="11">
        <v>21592</v>
      </c>
      <c r="J67" s="11">
        <f t="shared" si="1"/>
        <v>17207</v>
      </c>
      <c r="K67" s="12">
        <f>VLOOKUP(A67,[1]VA05!$A:$K,11,FALSE)</f>
        <v>45568</v>
      </c>
      <c r="L67" s="10" t="s">
        <v>11</v>
      </c>
      <c r="M67" s="10" t="s">
        <v>130</v>
      </c>
    </row>
    <row r="68" spans="1:13" x14ac:dyDescent="0.25">
      <c r="A68" s="13" t="str">
        <f t="shared" ref="A68:A131" si="2">C68&amp;D68</f>
        <v>50714274240</v>
      </c>
      <c r="B68" s="10">
        <v>1004052625</v>
      </c>
      <c r="C68" s="10">
        <v>507142742</v>
      </c>
      <c r="D68" s="10">
        <v>40</v>
      </c>
      <c r="E68" s="10" t="s">
        <v>10</v>
      </c>
      <c r="F68" s="10">
        <v>1437142</v>
      </c>
      <c r="G68" s="10" t="s">
        <v>145</v>
      </c>
      <c r="H68" s="11">
        <v>27661</v>
      </c>
      <c r="I68" s="10">
        <v>0</v>
      </c>
      <c r="J68" s="11">
        <f t="shared" ref="J68:J131" si="3">H68-I68</f>
        <v>27661</v>
      </c>
      <c r="K68" s="12">
        <f>VLOOKUP(A68,[1]VA05!$A:$K,11,FALSE)</f>
        <v>45587</v>
      </c>
      <c r="L68" s="10" t="s">
        <v>12</v>
      </c>
      <c r="M68" s="10" t="s">
        <v>194</v>
      </c>
    </row>
    <row r="69" spans="1:13" x14ac:dyDescent="0.25">
      <c r="A69" s="13" t="str">
        <f t="shared" si="2"/>
        <v>50714274270</v>
      </c>
      <c r="B69" s="10">
        <v>1004052626</v>
      </c>
      <c r="C69" s="10">
        <v>507142742</v>
      </c>
      <c r="D69" s="10">
        <v>70</v>
      </c>
      <c r="E69" s="10" t="s">
        <v>10</v>
      </c>
      <c r="F69" s="10">
        <v>1437142</v>
      </c>
      <c r="G69" s="10" t="s">
        <v>145</v>
      </c>
      <c r="H69" s="11">
        <v>27661</v>
      </c>
      <c r="I69" s="10">
        <v>0</v>
      </c>
      <c r="J69" s="11">
        <f t="shared" si="3"/>
        <v>27661</v>
      </c>
      <c r="K69" s="12">
        <f>VLOOKUP(A69,[1]VA05!$A:$K,11,FALSE)</f>
        <v>45594</v>
      </c>
      <c r="L69" s="10" t="s">
        <v>12</v>
      </c>
      <c r="M69" s="10" t="s">
        <v>179</v>
      </c>
    </row>
    <row r="70" spans="1:13" x14ac:dyDescent="0.25">
      <c r="A70" s="13" t="str">
        <f t="shared" si="2"/>
        <v>507142742100</v>
      </c>
      <c r="B70" s="10">
        <v>1004052627</v>
      </c>
      <c r="C70" s="10">
        <v>507142742</v>
      </c>
      <c r="D70" s="10">
        <v>100</v>
      </c>
      <c r="E70" s="10" t="s">
        <v>10</v>
      </c>
      <c r="F70" s="10">
        <v>1437142</v>
      </c>
      <c r="G70" s="10" t="s">
        <v>145</v>
      </c>
      <c r="H70" s="11">
        <v>27661</v>
      </c>
      <c r="I70" s="10">
        <v>0</v>
      </c>
      <c r="J70" s="11">
        <f t="shared" si="3"/>
        <v>27661</v>
      </c>
      <c r="K70" s="12">
        <f>VLOOKUP(A70,[1]VA05!$A:$K,11,FALSE)</f>
        <v>45601</v>
      </c>
      <c r="L70" s="10" t="s">
        <v>12</v>
      </c>
      <c r="M70" s="10" t="s">
        <v>109</v>
      </c>
    </row>
    <row r="71" spans="1:13" x14ac:dyDescent="0.25">
      <c r="A71" s="13" t="str">
        <f t="shared" si="2"/>
        <v>50714274210</v>
      </c>
      <c r="B71" s="10">
        <v>1004054341</v>
      </c>
      <c r="C71" s="10">
        <v>507142742</v>
      </c>
      <c r="D71" s="10">
        <v>10</v>
      </c>
      <c r="E71" s="10" t="s">
        <v>10</v>
      </c>
      <c r="F71" s="10">
        <v>1437142</v>
      </c>
      <c r="G71" s="10" t="s">
        <v>145</v>
      </c>
      <c r="H71" s="11">
        <v>27661</v>
      </c>
      <c r="I71" s="10">
        <v>0</v>
      </c>
      <c r="J71" s="11">
        <f t="shared" si="3"/>
        <v>27661</v>
      </c>
      <c r="K71" s="12">
        <f>VLOOKUP(A71,[1]VA05!$A:$K,11,FALSE)</f>
        <v>45580</v>
      </c>
      <c r="L71" s="10" t="s">
        <v>12</v>
      </c>
      <c r="M71" s="10" t="s">
        <v>140</v>
      </c>
    </row>
    <row r="72" spans="1:13" x14ac:dyDescent="0.25">
      <c r="A72" s="13" t="str">
        <f t="shared" si="2"/>
        <v>50714240840</v>
      </c>
      <c r="B72" s="10">
        <v>1004016988</v>
      </c>
      <c r="C72" s="10">
        <v>507142408</v>
      </c>
      <c r="D72" s="10">
        <v>40</v>
      </c>
      <c r="E72" s="10" t="s">
        <v>10</v>
      </c>
      <c r="F72" s="10">
        <v>1239879</v>
      </c>
      <c r="G72" s="10" t="s">
        <v>15</v>
      </c>
      <c r="H72" s="11">
        <v>32116</v>
      </c>
      <c r="I72" s="11">
        <v>5879</v>
      </c>
      <c r="J72" s="11">
        <f t="shared" si="3"/>
        <v>26237</v>
      </c>
      <c r="K72" s="12" t="e">
        <f>VLOOKUP(A72,[1]VA05!$A:$K,11,FALSE)</f>
        <v>#N/A</v>
      </c>
      <c r="L72" s="10" t="s">
        <v>18</v>
      </c>
      <c r="M72" s="10" t="s">
        <v>58</v>
      </c>
    </row>
    <row r="73" spans="1:13" x14ac:dyDescent="0.25">
      <c r="A73" s="13" t="str">
        <f t="shared" si="2"/>
        <v>50714242450</v>
      </c>
      <c r="B73" s="10">
        <v>1004019633</v>
      </c>
      <c r="C73" s="10">
        <v>507142424</v>
      </c>
      <c r="D73" s="10">
        <v>50</v>
      </c>
      <c r="E73" s="10" t="s">
        <v>10</v>
      </c>
      <c r="F73" s="10">
        <v>1212309</v>
      </c>
      <c r="G73" s="10" t="s">
        <v>16</v>
      </c>
      <c r="H73" s="11">
        <v>30725</v>
      </c>
      <c r="I73" s="10">
        <v>0</v>
      </c>
      <c r="J73" s="11">
        <f t="shared" si="3"/>
        <v>30725</v>
      </c>
      <c r="K73" s="12" t="e">
        <f>VLOOKUP(A73,[1]VA05!$A:$K,11,FALSE)</f>
        <v>#N/A</v>
      </c>
      <c r="L73" s="10" t="s">
        <v>12</v>
      </c>
      <c r="M73" s="10" t="s">
        <v>82</v>
      </c>
    </row>
    <row r="74" spans="1:13" x14ac:dyDescent="0.25">
      <c r="A74" s="13" t="str">
        <f t="shared" si="2"/>
        <v>50714274220</v>
      </c>
      <c r="B74" s="10">
        <v>1004052511</v>
      </c>
      <c r="C74" s="10">
        <v>507142742</v>
      </c>
      <c r="D74" s="10">
        <v>20</v>
      </c>
      <c r="E74" s="10" t="s">
        <v>10</v>
      </c>
      <c r="F74" s="10">
        <v>1209351</v>
      </c>
      <c r="G74" s="10" t="s">
        <v>135</v>
      </c>
      <c r="H74" s="11">
        <v>25576</v>
      </c>
      <c r="I74" s="11">
        <v>2837</v>
      </c>
      <c r="J74" s="11">
        <f t="shared" si="3"/>
        <v>22739</v>
      </c>
      <c r="K74" s="12">
        <f>VLOOKUP(A74,[1]VA05!$A:$K,11,FALSE)</f>
        <v>45580</v>
      </c>
      <c r="L74" s="10" t="s">
        <v>18</v>
      </c>
      <c r="M74" s="10" t="s">
        <v>197</v>
      </c>
    </row>
    <row r="75" spans="1:13" x14ac:dyDescent="0.25">
      <c r="A75" s="13" t="str">
        <f t="shared" si="2"/>
        <v>50714274250</v>
      </c>
      <c r="B75" s="10">
        <v>1004052512</v>
      </c>
      <c r="C75" s="10">
        <v>507142742</v>
      </c>
      <c r="D75" s="10">
        <v>50</v>
      </c>
      <c r="E75" s="10" t="s">
        <v>10</v>
      </c>
      <c r="F75" s="10">
        <v>1209351</v>
      </c>
      <c r="G75" s="10" t="s">
        <v>135</v>
      </c>
      <c r="H75" s="11">
        <v>25576</v>
      </c>
      <c r="I75" s="10">
        <v>0</v>
      </c>
      <c r="J75" s="11">
        <f t="shared" si="3"/>
        <v>25576</v>
      </c>
      <c r="K75" s="12">
        <f>VLOOKUP(A75,[1]VA05!$A:$K,11,FALSE)</f>
        <v>45587</v>
      </c>
      <c r="L75" s="10" t="s">
        <v>12</v>
      </c>
      <c r="M75" s="10" t="s">
        <v>192</v>
      </c>
    </row>
    <row r="76" spans="1:13" x14ac:dyDescent="0.25">
      <c r="A76" s="13" t="str">
        <f t="shared" si="2"/>
        <v>50714274280</v>
      </c>
      <c r="B76" s="10">
        <v>1004052513</v>
      </c>
      <c r="C76" s="10">
        <v>507142742</v>
      </c>
      <c r="D76" s="10">
        <v>80</v>
      </c>
      <c r="E76" s="10" t="s">
        <v>10</v>
      </c>
      <c r="F76" s="10">
        <v>1209351</v>
      </c>
      <c r="G76" s="10" t="s">
        <v>135</v>
      </c>
      <c r="H76" s="11">
        <v>25576</v>
      </c>
      <c r="I76" s="10">
        <v>0</v>
      </c>
      <c r="J76" s="11">
        <f t="shared" si="3"/>
        <v>25576</v>
      </c>
      <c r="K76" s="12">
        <f>VLOOKUP(A76,[1]VA05!$A:$K,11,FALSE)</f>
        <v>45594</v>
      </c>
      <c r="L76" s="10" t="s">
        <v>12</v>
      </c>
      <c r="M76" s="10" t="s">
        <v>176</v>
      </c>
    </row>
    <row r="77" spans="1:13" x14ac:dyDescent="0.25">
      <c r="A77" s="13" t="str">
        <f t="shared" si="2"/>
        <v>507142742110</v>
      </c>
      <c r="B77" s="10">
        <v>1004052514</v>
      </c>
      <c r="C77" s="10">
        <v>507142742</v>
      </c>
      <c r="D77" s="10">
        <v>110</v>
      </c>
      <c r="E77" s="10" t="s">
        <v>10</v>
      </c>
      <c r="F77" s="10">
        <v>1209351</v>
      </c>
      <c r="G77" s="10" t="s">
        <v>135</v>
      </c>
      <c r="H77" s="11">
        <v>25576</v>
      </c>
      <c r="I77" s="10">
        <v>0</v>
      </c>
      <c r="J77" s="11">
        <f t="shared" si="3"/>
        <v>25576</v>
      </c>
      <c r="K77" s="12">
        <f>VLOOKUP(A77,[1]VA05!$A:$K,11,FALSE)</f>
        <v>45601</v>
      </c>
      <c r="L77" s="10" t="s">
        <v>12</v>
      </c>
      <c r="M77" s="10" t="s">
        <v>198</v>
      </c>
    </row>
    <row r="78" spans="1:13" x14ac:dyDescent="0.25">
      <c r="A78" s="13" t="str">
        <f t="shared" si="2"/>
        <v>50900099220</v>
      </c>
      <c r="B78" s="10">
        <v>1004021332</v>
      </c>
      <c r="C78" s="10">
        <v>509000992</v>
      </c>
      <c r="D78" s="10">
        <v>20</v>
      </c>
      <c r="E78" s="10" t="s">
        <v>10</v>
      </c>
      <c r="F78" s="10">
        <v>1279716</v>
      </c>
      <c r="G78" s="10" t="s">
        <v>54</v>
      </c>
      <c r="H78" s="11">
        <v>10299</v>
      </c>
      <c r="I78" s="10">
        <v>0</v>
      </c>
      <c r="J78" s="11">
        <f t="shared" si="3"/>
        <v>10299</v>
      </c>
      <c r="K78" s="12" t="e">
        <f>VLOOKUP(A78,[1]VA05!$A:$K,11,FALSE)</f>
        <v>#N/A</v>
      </c>
      <c r="L78" s="10" t="s">
        <v>25</v>
      </c>
      <c r="M78" s="10" t="s">
        <v>66</v>
      </c>
    </row>
    <row r="79" spans="1:13" x14ac:dyDescent="0.25">
      <c r="A79" s="13" t="str">
        <f t="shared" si="2"/>
        <v>50714242410</v>
      </c>
      <c r="B79" s="10">
        <v>1004019563</v>
      </c>
      <c r="C79" s="10">
        <v>507142424</v>
      </c>
      <c r="D79" s="10">
        <v>10</v>
      </c>
      <c r="E79" s="10" t="s">
        <v>10</v>
      </c>
      <c r="F79" s="10">
        <v>1212320</v>
      </c>
      <c r="G79" s="10" t="s">
        <v>17</v>
      </c>
      <c r="H79" s="11">
        <v>19568</v>
      </c>
      <c r="I79" s="10">
        <v>0</v>
      </c>
      <c r="J79" s="11">
        <f t="shared" si="3"/>
        <v>19568</v>
      </c>
      <c r="K79" s="12" t="e">
        <f>VLOOKUP(A79,[1]VA05!$A:$K,11,FALSE)</f>
        <v>#N/A</v>
      </c>
      <c r="L79" s="10" t="s">
        <v>27</v>
      </c>
      <c r="M79" s="10" t="s">
        <v>72</v>
      </c>
    </row>
    <row r="80" spans="1:13" x14ac:dyDescent="0.25">
      <c r="A80" s="13" t="str">
        <f t="shared" si="2"/>
        <v>50714242430</v>
      </c>
      <c r="B80" s="10">
        <v>1004019564</v>
      </c>
      <c r="C80" s="10">
        <v>507142424</v>
      </c>
      <c r="D80" s="10">
        <v>30</v>
      </c>
      <c r="E80" s="10" t="s">
        <v>10</v>
      </c>
      <c r="F80" s="10">
        <v>1212320</v>
      </c>
      <c r="G80" s="10" t="s">
        <v>17</v>
      </c>
      <c r="H80" s="11">
        <v>19568</v>
      </c>
      <c r="I80" s="10">
        <v>0</v>
      </c>
      <c r="J80" s="11">
        <f t="shared" si="3"/>
        <v>19568</v>
      </c>
      <c r="K80" s="12" t="e">
        <f>VLOOKUP(A80,[1]VA05!$A:$K,11,FALSE)</f>
        <v>#N/A</v>
      </c>
      <c r="L80" s="10" t="s">
        <v>13</v>
      </c>
      <c r="M80" s="10" t="s">
        <v>69</v>
      </c>
    </row>
    <row r="81" spans="1:13" x14ac:dyDescent="0.25">
      <c r="A81" s="13" t="str">
        <f t="shared" si="2"/>
        <v>50714242450</v>
      </c>
      <c r="B81" s="10">
        <v>1004019566</v>
      </c>
      <c r="C81" s="10">
        <v>507142424</v>
      </c>
      <c r="D81" s="10">
        <v>50</v>
      </c>
      <c r="E81" s="10" t="s">
        <v>10</v>
      </c>
      <c r="F81" s="10">
        <v>1212320</v>
      </c>
      <c r="G81" s="10" t="s">
        <v>17</v>
      </c>
      <c r="H81" s="11">
        <v>30725</v>
      </c>
      <c r="I81" s="10">
        <v>0</v>
      </c>
      <c r="J81" s="11">
        <f t="shared" si="3"/>
        <v>30725</v>
      </c>
      <c r="K81" s="12" t="e">
        <f>VLOOKUP(A81,[1]VA05!$A:$K,11,FALSE)</f>
        <v>#N/A</v>
      </c>
      <c r="L81" s="10" t="s">
        <v>13</v>
      </c>
      <c r="M81" s="10" t="s">
        <v>73</v>
      </c>
    </row>
    <row r="82" spans="1:13" x14ac:dyDescent="0.25">
      <c r="A82" s="13" t="str">
        <f t="shared" si="2"/>
        <v>50714274220</v>
      </c>
      <c r="B82" s="10">
        <v>1004052428</v>
      </c>
      <c r="C82" s="10">
        <v>507142742</v>
      </c>
      <c r="D82" s="10">
        <v>20</v>
      </c>
      <c r="E82" s="10" t="s">
        <v>10</v>
      </c>
      <c r="F82" s="10">
        <v>1437172</v>
      </c>
      <c r="G82" s="10" t="s">
        <v>123</v>
      </c>
      <c r="H82" s="11">
        <v>25576</v>
      </c>
      <c r="I82" s="11">
        <v>7183</v>
      </c>
      <c r="J82" s="11">
        <f t="shared" si="3"/>
        <v>18393</v>
      </c>
      <c r="K82" s="12">
        <f>VLOOKUP(A82,[1]VA05!$A:$K,11,FALSE)</f>
        <v>45580</v>
      </c>
      <c r="L82" s="10" t="s">
        <v>18</v>
      </c>
      <c r="M82" s="10" t="s">
        <v>197</v>
      </c>
    </row>
    <row r="83" spans="1:13" x14ac:dyDescent="0.25">
      <c r="A83" s="13" t="str">
        <f t="shared" si="2"/>
        <v>50714274280</v>
      </c>
      <c r="B83" s="10">
        <v>1004052509</v>
      </c>
      <c r="C83" s="10">
        <v>507142742</v>
      </c>
      <c r="D83" s="10">
        <v>80</v>
      </c>
      <c r="E83" s="10" t="s">
        <v>10</v>
      </c>
      <c r="F83" s="10">
        <v>1437172</v>
      </c>
      <c r="G83" s="10" t="s">
        <v>123</v>
      </c>
      <c r="H83" s="11">
        <v>25576</v>
      </c>
      <c r="I83" s="10">
        <v>0</v>
      </c>
      <c r="J83" s="11">
        <f t="shared" si="3"/>
        <v>25576</v>
      </c>
      <c r="K83" s="12">
        <f>VLOOKUP(A83,[1]VA05!$A:$K,11,FALSE)</f>
        <v>45594</v>
      </c>
      <c r="L83" s="10" t="s">
        <v>12</v>
      </c>
      <c r="M83" s="10" t="s">
        <v>176</v>
      </c>
    </row>
    <row r="84" spans="1:13" x14ac:dyDescent="0.25">
      <c r="A84" s="13" t="str">
        <f t="shared" si="2"/>
        <v>507142742110</v>
      </c>
      <c r="B84" s="10">
        <v>1004052510</v>
      </c>
      <c r="C84" s="10">
        <v>507142742</v>
      </c>
      <c r="D84" s="10">
        <v>110</v>
      </c>
      <c r="E84" s="10" t="s">
        <v>10</v>
      </c>
      <c r="F84" s="10">
        <v>1437172</v>
      </c>
      <c r="G84" s="10" t="s">
        <v>123</v>
      </c>
      <c r="H84" s="11">
        <v>25576</v>
      </c>
      <c r="I84" s="10">
        <v>0</v>
      </c>
      <c r="J84" s="11">
        <f t="shared" si="3"/>
        <v>25576</v>
      </c>
      <c r="K84" s="12">
        <f>VLOOKUP(A84,[1]VA05!$A:$K,11,FALSE)</f>
        <v>45601</v>
      </c>
      <c r="L84" s="10" t="s">
        <v>12</v>
      </c>
      <c r="M84" s="10" t="s">
        <v>198</v>
      </c>
    </row>
    <row r="85" spans="1:13" x14ac:dyDescent="0.25">
      <c r="A85" s="13" t="str">
        <f t="shared" si="2"/>
        <v>50900099220</v>
      </c>
      <c r="B85" s="10">
        <v>1004016985</v>
      </c>
      <c r="C85" s="10">
        <v>509000992</v>
      </c>
      <c r="D85" s="10">
        <v>20</v>
      </c>
      <c r="E85" s="10" t="s">
        <v>10</v>
      </c>
      <c r="F85" s="10">
        <v>1279713</v>
      </c>
      <c r="G85" s="10" t="s">
        <v>55</v>
      </c>
      <c r="H85" s="11">
        <v>10299</v>
      </c>
      <c r="I85" s="10">
        <v>0</v>
      </c>
      <c r="J85" s="11">
        <f t="shared" si="3"/>
        <v>10299</v>
      </c>
      <c r="K85" s="12" t="e">
        <f>VLOOKUP(A85,[1]VA05!$A:$K,11,FALSE)</f>
        <v>#N/A</v>
      </c>
      <c r="L85" s="10" t="s">
        <v>13</v>
      </c>
      <c r="M85" s="10" t="s">
        <v>58</v>
      </c>
    </row>
    <row r="86" spans="1:13" x14ac:dyDescent="0.25">
      <c r="A86" s="13" t="str">
        <f t="shared" si="2"/>
        <v>50900099320</v>
      </c>
      <c r="B86" s="10">
        <v>1004016986</v>
      </c>
      <c r="C86" s="10">
        <v>509000993</v>
      </c>
      <c r="D86" s="10">
        <v>20</v>
      </c>
      <c r="E86" s="10" t="s">
        <v>10</v>
      </c>
      <c r="F86" s="10">
        <v>1279713</v>
      </c>
      <c r="G86" s="10" t="s">
        <v>55</v>
      </c>
      <c r="H86" s="11">
        <v>3262</v>
      </c>
      <c r="I86" s="10">
        <v>0</v>
      </c>
      <c r="J86" s="11">
        <f t="shared" si="3"/>
        <v>3262</v>
      </c>
      <c r="K86" s="12" t="e">
        <f>VLOOKUP(A86,[1]VA05!$A:$K,11,FALSE)</f>
        <v>#N/A</v>
      </c>
      <c r="L86" s="10" t="s">
        <v>12</v>
      </c>
      <c r="M86" s="10" t="s">
        <v>50</v>
      </c>
    </row>
    <row r="87" spans="1:13" x14ac:dyDescent="0.25">
      <c r="A87" s="13" t="str">
        <f t="shared" si="2"/>
        <v>50714274240</v>
      </c>
      <c r="B87" s="10">
        <v>1004049969</v>
      </c>
      <c r="C87" s="10">
        <v>507142742</v>
      </c>
      <c r="D87" s="10">
        <v>40</v>
      </c>
      <c r="E87" s="10" t="s">
        <v>10</v>
      </c>
      <c r="F87" s="10">
        <v>1209336</v>
      </c>
      <c r="G87" s="10" t="s">
        <v>124</v>
      </c>
      <c r="H87" s="11">
        <v>25576</v>
      </c>
      <c r="I87" s="11">
        <v>1312</v>
      </c>
      <c r="J87" s="11">
        <f t="shared" si="3"/>
        <v>24264</v>
      </c>
      <c r="K87" s="12">
        <f>VLOOKUP(A87,[1]VA05!$A:$K,11,FALSE)</f>
        <v>45587</v>
      </c>
      <c r="L87" s="10" t="s">
        <v>18</v>
      </c>
      <c r="M87" s="10" t="s">
        <v>157</v>
      </c>
    </row>
    <row r="88" spans="1:13" x14ac:dyDescent="0.25">
      <c r="A88" s="13" t="str">
        <f t="shared" si="2"/>
        <v>50714274270</v>
      </c>
      <c r="B88" s="10">
        <v>1004052425</v>
      </c>
      <c r="C88" s="10">
        <v>507142742</v>
      </c>
      <c r="D88" s="10">
        <v>70</v>
      </c>
      <c r="E88" s="10" t="s">
        <v>10</v>
      </c>
      <c r="F88" s="10">
        <v>1209336</v>
      </c>
      <c r="G88" s="10" t="s">
        <v>124</v>
      </c>
      <c r="H88" s="11">
        <v>25576</v>
      </c>
      <c r="I88" s="10">
        <v>0</v>
      </c>
      <c r="J88" s="11">
        <f t="shared" si="3"/>
        <v>25576</v>
      </c>
      <c r="K88" s="12">
        <f>VLOOKUP(A88,[1]VA05!$A:$K,11,FALSE)</f>
        <v>45594</v>
      </c>
      <c r="L88" s="10" t="s">
        <v>12</v>
      </c>
      <c r="M88" s="10" t="s">
        <v>199</v>
      </c>
    </row>
    <row r="89" spans="1:13" x14ac:dyDescent="0.25">
      <c r="A89" s="13" t="str">
        <f t="shared" si="2"/>
        <v>507142742100</v>
      </c>
      <c r="B89" s="10">
        <v>1004052426</v>
      </c>
      <c r="C89" s="10">
        <v>507142742</v>
      </c>
      <c r="D89" s="10">
        <v>100</v>
      </c>
      <c r="E89" s="10" t="s">
        <v>10</v>
      </c>
      <c r="F89" s="10">
        <v>1209336</v>
      </c>
      <c r="G89" s="10" t="s">
        <v>124</v>
      </c>
      <c r="H89" s="11">
        <v>25576</v>
      </c>
      <c r="I89" s="10">
        <v>0</v>
      </c>
      <c r="J89" s="11">
        <f t="shared" si="3"/>
        <v>25576</v>
      </c>
      <c r="K89" s="12">
        <f>VLOOKUP(A89,[1]VA05!$A:$K,11,FALSE)</f>
        <v>45601</v>
      </c>
      <c r="L89" s="10" t="s">
        <v>12</v>
      </c>
      <c r="M89" s="10" t="s">
        <v>200</v>
      </c>
    </row>
    <row r="90" spans="1:13" x14ac:dyDescent="0.25">
      <c r="A90" s="13" t="str">
        <f t="shared" si="2"/>
        <v>50714246960</v>
      </c>
      <c r="B90" s="10">
        <v>1004016982</v>
      </c>
      <c r="C90" s="10">
        <v>507142469</v>
      </c>
      <c r="D90" s="10">
        <v>60</v>
      </c>
      <c r="E90" s="10" t="s">
        <v>10</v>
      </c>
      <c r="F90" s="10">
        <v>1212321</v>
      </c>
      <c r="G90" s="10" t="s">
        <v>30</v>
      </c>
      <c r="H90" s="11">
        <v>71577</v>
      </c>
      <c r="I90" s="11">
        <v>8540</v>
      </c>
      <c r="J90" s="11">
        <f t="shared" si="3"/>
        <v>63037</v>
      </c>
      <c r="K90" s="12" t="e">
        <f>VLOOKUP(A90,[1]VA05!$A:$K,11,FALSE)</f>
        <v>#N/A</v>
      </c>
      <c r="L90" s="10" t="s">
        <v>18</v>
      </c>
      <c r="M90" s="10" t="s">
        <v>49</v>
      </c>
    </row>
    <row r="91" spans="1:13" x14ac:dyDescent="0.25">
      <c r="A91" s="13" t="str">
        <f t="shared" si="2"/>
        <v>50714274230</v>
      </c>
      <c r="B91" s="10">
        <v>1004052421</v>
      </c>
      <c r="C91" s="10">
        <v>507142742</v>
      </c>
      <c r="D91" s="10">
        <v>30</v>
      </c>
      <c r="E91" s="10" t="s">
        <v>10</v>
      </c>
      <c r="F91" s="10">
        <v>1209347</v>
      </c>
      <c r="G91" s="10" t="s">
        <v>136</v>
      </c>
      <c r="H91" s="11">
        <v>25576</v>
      </c>
      <c r="I91" s="10">
        <v>0</v>
      </c>
      <c r="J91" s="11">
        <f t="shared" si="3"/>
        <v>25576</v>
      </c>
      <c r="K91" s="12">
        <f>VLOOKUP(A91,[1]VA05!$A:$K,11,FALSE)</f>
        <v>45580</v>
      </c>
      <c r="L91" s="10" t="s">
        <v>12</v>
      </c>
      <c r="M91" s="10" t="s">
        <v>197</v>
      </c>
    </row>
    <row r="92" spans="1:13" x14ac:dyDescent="0.25">
      <c r="A92" s="13" t="str">
        <f t="shared" si="2"/>
        <v>50714274260</v>
      </c>
      <c r="B92" s="10">
        <v>1004052422</v>
      </c>
      <c r="C92" s="10">
        <v>507142742</v>
      </c>
      <c r="D92" s="10">
        <v>60</v>
      </c>
      <c r="E92" s="10" t="s">
        <v>10</v>
      </c>
      <c r="F92" s="10">
        <v>1209347</v>
      </c>
      <c r="G92" s="10" t="s">
        <v>136</v>
      </c>
      <c r="H92" s="11">
        <v>25576</v>
      </c>
      <c r="I92" s="10">
        <v>0</v>
      </c>
      <c r="J92" s="11">
        <f t="shared" si="3"/>
        <v>25576</v>
      </c>
      <c r="K92" s="12">
        <f>VLOOKUP(A92,[1]VA05!$A:$K,11,FALSE)</f>
        <v>45587</v>
      </c>
      <c r="L92" s="10" t="s">
        <v>12</v>
      </c>
      <c r="M92" s="10" t="s">
        <v>192</v>
      </c>
    </row>
    <row r="93" spans="1:13" x14ac:dyDescent="0.25">
      <c r="A93" s="13" t="str">
        <f t="shared" si="2"/>
        <v>50714274290</v>
      </c>
      <c r="B93" s="10">
        <v>1004052423</v>
      </c>
      <c r="C93" s="10">
        <v>507142742</v>
      </c>
      <c r="D93" s="10">
        <v>90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>
        <f>VLOOKUP(A93,[1]VA05!$A:$K,11,FALSE)</f>
        <v>45594</v>
      </c>
      <c r="L93" s="10" t="s">
        <v>12</v>
      </c>
      <c r="M93" s="10" t="s">
        <v>176</v>
      </c>
    </row>
    <row r="94" spans="1:13" x14ac:dyDescent="0.25">
      <c r="A94" s="13" t="str">
        <f t="shared" si="2"/>
        <v>507142742120</v>
      </c>
      <c r="B94" s="10">
        <v>1004052424</v>
      </c>
      <c r="C94" s="10">
        <v>507142742</v>
      </c>
      <c r="D94" s="10">
        <v>120</v>
      </c>
      <c r="E94" s="10" t="s">
        <v>10</v>
      </c>
      <c r="F94" s="10">
        <v>1209347</v>
      </c>
      <c r="G94" s="10" t="s">
        <v>136</v>
      </c>
      <c r="H94" s="11">
        <v>25576</v>
      </c>
      <c r="I94" s="10">
        <v>0</v>
      </c>
      <c r="J94" s="11">
        <f t="shared" si="3"/>
        <v>25576</v>
      </c>
      <c r="K94" s="12">
        <f>VLOOKUP(A94,[1]VA05!$A:$K,11,FALSE)</f>
        <v>45601</v>
      </c>
      <c r="L94" s="10" t="s">
        <v>12</v>
      </c>
      <c r="M94" s="10" t="s">
        <v>198</v>
      </c>
    </row>
    <row r="95" spans="1:13" x14ac:dyDescent="0.25">
      <c r="A95" s="13" t="str">
        <f t="shared" si="2"/>
        <v>50714273910</v>
      </c>
      <c r="B95" s="10">
        <v>1004051713</v>
      </c>
      <c r="C95" s="10">
        <v>507142739</v>
      </c>
      <c r="D95" s="10">
        <v>10</v>
      </c>
      <c r="E95" s="10" t="s">
        <v>10</v>
      </c>
      <c r="F95" s="10">
        <v>1409882</v>
      </c>
      <c r="G95" s="10" t="s">
        <v>39</v>
      </c>
      <c r="H95" s="11">
        <v>22415</v>
      </c>
      <c r="I95" s="11">
        <v>8029</v>
      </c>
      <c r="J95" s="11">
        <f t="shared" si="3"/>
        <v>14386</v>
      </c>
      <c r="K95" s="12">
        <f>VLOOKUP(A95,[1]VA05!$A:$K,11,FALSE)</f>
        <v>45568</v>
      </c>
      <c r="L95" s="10" t="s">
        <v>18</v>
      </c>
      <c r="M95" s="10" t="s">
        <v>61</v>
      </c>
    </row>
    <row r="96" spans="1:13" x14ac:dyDescent="0.25">
      <c r="A96" s="13" t="str">
        <f t="shared" si="2"/>
        <v>50714273920</v>
      </c>
      <c r="B96" s="10">
        <v>1004051714</v>
      </c>
      <c r="C96" s="10">
        <v>507142739</v>
      </c>
      <c r="D96" s="10">
        <v>20</v>
      </c>
      <c r="E96" s="10" t="s">
        <v>10</v>
      </c>
      <c r="F96" s="10">
        <v>1409882</v>
      </c>
      <c r="G96" s="10" t="s">
        <v>39</v>
      </c>
      <c r="H96" s="11">
        <v>51460</v>
      </c>
      <c r="I96" s="10">
        <v>0</v>
      </c>
      <c r="J96" s="11">
        <f t="shared" si="3"/>
        <v>51460</v>
      </c>
      <c r="K96" s="12">
        <f>VLOOKUP(A96,[1]VA05!$A:$K,11,FALSE)</f>
        <v>45573</v>
      </c>
      <c r="L96" s="10" t="s">
        <v>12</v>
      </c>
      <c r="M96" s="10" t="s">
        <v>97</v>
      </c>
    </row>
    <row r="97" spans="1:13" x14ac:dyDescent="0.25">
      <c r="A97" s="13" t="str">
        <f t="shared" si="2"/>
        <v>50714273910</v>
      </c>
      <c r="B97" s="10">
        <v>1004056940</v>
      </c>
      <c r="C97" s="10">
        <v>507142739</v>
      </c>
      <c r="D97" s="10">
        <v>10</v>
      </c>
      <c r="E97" s="10" t="s">
        <v>10</v>
      </c>
      <c r="F97" s="10">
        <v>1409883</v>
      </c>
      <c r="G97" s="10" t="s">
        <v>40</v>
      </c>
      <c r="H97" s="11">
        <v>23551</v>
      </c>
      <c r="I97" s="10">
        <v>0</v>
      </c>
      <c r="J97" s="11">
        <f t="shared" si="3"/>
        <v>23551</v>
      </c>
      <c r="K97" s="12">
        <f>VLOOKUP(A97,[1]VA05!$A:$K,11,FALSE)</f>
        <v>45568</v>
      </c>
      <c r="L97" s="10" t="s">
        <v>119</v>
      </c>
      <c r="M97" s="10" t="s">
        <v>180</v>
      </c>
    </row>
    <row r="98" spans="1:13" x14ac:dyDescent="0.25">
      <c r="A98" s="13" t="str">
        <f t="shared" si="2"/>
        <v>50714273920</v>
      </c>
      <c r="B98" s="10">
        <v>1004056941</v>
      </c>
      <c r="C98" s="10">
        <v>507142739</v>
      </c>
      <c r="D98" s="10">
        <v>20</v>
      </c>
      <c r="E98" s="10" t="s">
        <v>10</v>
      </c>
      <c r="F98" s="10">
        <v>1409883</v>
      </c>
      <c r="G98" s="10" t="s">
        <v>40</v>
      </c>
      <c r="H98" s="11">
        <v>54066</v>
      </c>
      <c r="I98" s="10">
        <v>0</v>
      </c>
      <c r="J98" s="11">
        <f t="shared" si="3"/>
        <v>54066</v>
      </c>
      <c r="K98" s="12">
        <f>VLOOKUP(A98,[1]VA05!$A:$K,11,FALSE)</f>
        <v>45573</v>
      </c>
      <c r="L98" s="10" t="s">
        <v>12</v>
      </c>
      <c r="M98" s="10" t="s">
        <v>180</v>
      </c>
    </row>
    <row r="99" spans="1:13" x14ac:dyDescent="0.25">
      <c r="A99" s="13" t="str">
        <f t="shared" si="2"/>
        <v>50714276510</v>
      </c>
      <c r="B99" s="10">
        <v>1004051406</v>
      </c>
      <c r="C99" s="10">
        <v>507142765</v>
      </c>
      <c r="D99" s="10">
        <v>10</v>
      </c>
      <c r="E99" s="10" t="s">
        <v>10</v>
      </c>
      <c r="F99" s="10">
        <v>1398384</v>
      </c>
      <c r="G99" s="10" t="s">
        <v>168</v>
      </c>
      <c r="H99" s="11">
        <v>11422</v>
      </c>
      <c r="I99" s="10">
        <v>0</v>
      </c>
      <c r="J99" s="11">
        <f t="shared" si="3"/>
        <v>11422</v>
      </c>
      <c r="K99" s="12">
        <f>VLOOKUP(A99,[1]VA05!$A:$K,11,FALSE)</f>
        <v>45561</v>
      </c>
      <c r="L99" s="10" t="s">
        <v>25</v>
      </c>
      <c r="M99" s="10" t="s">
        <v>180</v>
      </c>
    </row>
    <row r="100" spans="1:13" x14ac:dyDescent="0.25">
      <c r="A100" s="13" t="str">
        <f t="shared" si="2"/>
        <v>50714276520</v>
      </c>
      <c r="B100" s="10">
        <v>1004051407</v>
      </c>
      <c r="C100" s="10">
        <v>507142765</v>
      </c>
      <c r="D100" s="10">
        <v>20</v>
      </c>
      <c r="E100" s="10" t="s">
        <v>10</v>
      </c>
      <c r="F100" s="10">
        <v>1398384</v>
      </c>
      <c r="G100" s="10" t="s">
        <v>168</v>
      </c>
      <c r="H100" s="11">
        <v>22842</v>
      </c>
      <c r="I100" s="10">
        <v>0</v>
      </c>
      <c r="J100" s="11">
        <f t="shared" si="3"/>
        <v>22842</v>
      </c>
      <c r="K100" s="12">
        <f>VLOOKUP(A100,[1]VA05!$A:$K,11,FALSE)</f>
        <v>45567</v>
      </c>
      <c r="L100" s="10" t="s">
        <v>12</v>
      </c>
      <c r="M100" s="10" t="s">
        <v>97</v>
      </c>
    </row>
    <row r="101" spans="1:13" x14ac:dyDescent="0.25">
      <c r="A101" s="13" t="str">
        <f t="shared" si="2"/>
        <v>50714276530</v>
      </c>
      <c r="B101" s="10">
        <v>1004051408</v>
      </c>
      <c r="C101" s="10">
        <v>507142765</v>
      </c>
      <c r="D101" s="10">
        <v>30</v>
      </c>
      <c r="E101" s="10" t="s">
        <v>10</v>
      </c>
      <c r="F101" s="10">
        <v>1398384</v>
      </c>
      <c r="G101" s="10" t="s">
        <v>168</v>
      </c>
      <c r="H101" s="11">
        <v>34807</v>
      </c>
      <c r="I101" s="10">
        <v>0</v>
      </c>
      <c r="J101" s="11">
        <f t="shared" si="3"/>
        <v>34807</v>
      </c>
      <c r="K101" s="12">
        <f>VLOOKUP(A101,[1]VA05!$A:$K,11,FALSE)</f>
        <v>45574</v>
      </c>
      <c r="L101" s="10" t="s">
        <v>12</v>
      </c>
      <c r="M101" s="10" t="s">
        <v>143</v>
      </c>
    </row>
    <row r="102" spans="1:13" x14ac:dyDescent="0.25">
      <c r="A102" s="13" t="str">
        <f t="shared" si="2"/>
        <v>50714276540</v>
      </c>
      <c r="B102" s="10">
        <v>1004052528</v>
      </c>
      <c r="C102" s="10">
        <v>507142765</v>
      </c>
      <c r="D102" s="10">
        <v>40</v>
      </c>
      <c r="E102" s="10" t="s">
        <v>10</v>
      </c>
      <c r="F102" s="10">
        <v>1398384</v>
      </c>
      <c r="G102" s="10" t="s">
        <v>168</v>
      </c>
      <c r="H102" s="11">
        <v>35078</v>
      </c>
      <c r="I102" s="10">
        <v>0</v>
      </c>
      <c r="J102" s="11">
        <f t="shared" si="3"/>
        <v>35078</v>
      </c>
      <c r="K102" s="12">
        <f>VLOOKUP(A102,[1]VA05!$A:$K,11,FALSE)</f>
        <v>45581</v>
      </c>
      <c r="L102" s="10" t="s">
        <v>12</v>
      </c>
      <c r="M102" s="10" t="s">
        <v>195</v>
      </c>
    </row>
    <row r="103" spans="1:13" x14ac:dyDescent="0.25">
      <c r="A103" s="13" t="str">
        <f t="shared" si="2"/>
        <v>50714276550</v>
      </c>
      <c r="B103" s="10">
        <v>1004052529</v>
      </c>
      <c r="C103" s="10">
        <v>507142765</v>
      </c>
      <c r="D103" s="10">
        <v>50</v>
      </c>
      <c r="E103" s="10" t="s">
        <v>10</v>
      </c>
      <c r="F103" s="10">
        <v>1398384</v>
      </c>
      <c r="G103" s="10" t="s">
        <v>168</v>
      </c>
      <c r="H103" s="11">
        <v>45412</v>
      </c>
      <c r="I103" s="10">
        <v>0</v>
      </c>
      <c r="J103" s="11">
        <f t="shared" si="3"/>
        <v>45412</v>
      </c>
      <c r="K103" s="12">
        <f>VLOOKUP(A103,[1]VA05!$A:$K,11,FALSE)</f>
        <v>45588</v>
      </c>
      <c r="L103" s="10" t="s">
        <v>12</v>
      </c>
      <c r="M103" s="10" t="s">
        <v>194</v>
      </c>
    </row>
    <row r="104" spans="1:13" x14ac:dyDescent="0.25">
      <c r="A104" s="13" t="str">
        <f t="shared" si="2"/>
        <v>50714276560</v>
      </c>
      <c r="B104" s="10">
        <v>1004052530</v>
      </c>
      <c r="C104" s="10">
        <v>507142765</v>
      </c>
      <c r="D104" s="10">
        <v>60</v>
      </c>
      <c r="E104" s="10" t="s">
        <v>10</v>
      </c>
      <c r="F104" s="10">
        <v>1398384</v>
      </c>
      <c r="G104" s="10" t="s">
        <v>168</v>
      </c>
      <c r="H104" s="11">
        <v>45412</v>
      </c>
      <c r="I104" s="10">
        <v>0</v>
      </c>
      <c r="J104" s="11">
        <f t="shared" si="3"/>
        <v>45412</v>
      </c>
      <c r="K104" s="12">
        <f>VLOOKUP(A104,[1]VA05!$A:$K,11,FALSE)</f>
        <v>45595</v>
      </c>
      <c r="L104" s="10" t="s">
        <v>12</v>
      </c>
      <c r="M104" s="10" t="s">
        <v>179</v>
      </c>
    </row>
    <row r="105" spans="1:13" x14ac:dyDescent="0.25">
      <c r="A105" s="13" t="str">
        <f t="shared" si="2"/>
        <v>50714276510</v>
      </c>
      <c r="B105" s="10">
        <v>1004052532</v>
      </c>
      <c r="C105" s="10">
        <v>507142765</v>
      </c>
      <c r="D105" s="10">
        <v>10</v>
      </c>
      <c r="E105" s="10" t="s">
        <v>10</v>
      </c>
      <c r="F105" s="10">
        <v>1398385</v>
      </c>
      <c r="G105" s="10" t="s">
        <v>183</v>
      </c>
      <c r="H105" s="11">
        <v>11765</v>
      </c>
      <c r="I105" s="10">
        <v>0</v>
      </c>
      <c r="J105" s="11">
        <f t="shared" si="3"/>
        <v>11765</v>
      </c>
      <c r="K105" s="12">
        <f>VLOOKUP(A105,[1]VA05!$A:$K,11,FALSE)</f>
        <v>45561</v>
      </c>
      <c r="L105" s="10" t="s">
        <v>25</v>
      </c>
      <c r="M105" s="10" t="s">
        <v>180</v>
      </c>
    </row>
    <row r="106" spans="1:13" x14ac:dyDescent="0.25">
      <c r="A106" s="13" t="str">
        <f t="shared" si="2"/>
        <v>50714276520</v>
      </c>
      <c r="B106" s="10">
        <v>1004052533</v>
      </c>
      <c r="C106" s="10">
        <v>507142765</v>
      </c>
      <c r="D106" s="10">
        <v>20</v>
      </c>
      <c r="E106" s="10" t="s">
        <v>10</v>
      </c>
      <c r="F106" s="10">
        <v>1398385</v>
      </c>
      <c r="G106" s="10" t="s">
        <v>183</v>
      </c>
      <c r="H106" s="11">
        <v>23528</v>
      </c>
      <c r="I106" s="10">
        <v>0</v>
      </c>
      <c r="J106" s="11">
        <f t="shared" si="3"/>
        <v>23528</v>
      </c>
      <c r="K106" s="12">
        <f>VLOOKUP(A106,[1]VA05!$A:$K,11,FALSE)</f>
        <v>45567</v>
      </c>
      <c r="L106" s="10" t="s">
        <v>12</v>
      </c>
      <c r="M106" s="10" t="s">
        <v>97</v>
      </c>
    </row>
    <row r="107" spans="1:13" x14ac:dyDescent="0.25">
      <c r="A107" s="13" t="str">
        <f t="shared" si="2"/>
        <v>50714276530</v>
      </c>
      <c r="B107" s="10">
        <v>1004052534</v>
      </c>
      <c r="C107" s="10">
        <v>507142765</v>
      </c>
      <c r="D107" s="10">
        <v>30</v>
      </c>
      <c r="E107" s="10" t="s">
        <v>10</v>
      </c>
      <c r="F107" s="10">
        <v>1398385</v>
      </c>
      <c r="G107" s="10" t="s">
        <v>183</v>
      </c>
      <c r="H107" s="11">
        <v>35852</v>
      </c>
      <c r="I107" s="10">
        <v>0</v>
      </c>
      <c r="J107" s="11">
        <f t="shared" si="3"/>
        <v>35852</v>
      </c>
      <c r="K107" s="12">
        <f>VLOOKUP(A107,[1]VA05!$A:$K,11,FALSE)</f>
        <v>45574</v>
      </c>
      <c r="L107" s="10" t="s">
        <v>12</v>
      </c>
      <c r="M107" s="10" t="s">
        <v>97</v>
      </c>
    </row>
    <row r="108" spans="1:13" x14ac:dyDescent="0.25">
      <c r="A108" s="13" t="str">
        <f t="shared" si="2"/>
        <v>50714276540</v>
      </c>
      <c r="B108" s="10">
        <v>1004052535</v>
      </c>
      <c r="C108" s="10">
        <v>507142765</v>
      </c>
      <c r="D108" s="10">
        <v>40</v>
      </c>
      <c r="E108" s="10" t="s">
        <v>10</v>
      </c>
      <c r="F108" s="10">
        <v>1398385</v>
      </c>
      <c r="G108" s="10" t="s">
        <v>183</v>
      </c>
      <c r="H108" s="11">
        <v>36131</v>
      </c>
      <c r="I108" s="10">
        <v>0</v>
      </c>
      <c r="J108" s="11">
        <f t="shared" si="3"/>
        <v>36131</v>
      </c>
      <c r="K108" s="12">
        <f>VLOOKUP(A108,[1]VA05!$A:$K,11,FALSE)</f>
        <v>45581</v>
      </c>
      <c r="L108" s="10" t="s">
        <v>12</v>
      </c>
      <c r="M108" s="10" t="s">
        <v>180</v>
      </c>
    </row>
    <row r="109" spans="1:13" x14ac:dyDescent="0.25">
      <c r="A109" s="13" t="str">
        <f t="shared" si="2"/>
        <v>50714276550</v>
      </c>
      <c r="B109" s="10">
        <v>1004052536</v>
      </c>
      <c r="C109" s="10">
        <v>507142765</v>
      </c>
      <c r="D109" s="10">
        <v>50</v>
      </c>
      <c r="E109" s="10" t="s">
        <v>10</v>
      </c>
      <c r="F109" s="10">
        <v>1398385</v>
      </c>
      <c r="G109" s="10" t="s">
        <v>183</v>
      </c>
      <c r="H109" s="11">
        <v>46775</v>
      </c>
      <c r="I109" s="10">
        <v>0</v>
      </c>
      <c r="J109" s="11">
        <f t="shared" si="3"/>
        <v>46775</v>
      </c>
      <c r="K109" s="12">
        <f>VLOOKUP(A109,[1]VA05!$A:$K,11,FALSE)</f>
        <v>45588</v>
      </c>
      <c r="L109" s="10" t="s">
        <v>12</v>
      </c>
      <c r="M109" s="10" t="s">
        <v>201</v>
      </c>
    </row>
    <row r="110" spans="1:13" x14ac:dyDescent="0.25">
      <c r="A110" s="13" t="str">
        <f t="shared" si="2"/>
        <v>50714276560</v>
      </c>
      <c r="B110" s="10">
        <v>1004052537</v>
      </c>
      <c r="C110" s="10">
        <v>507142765</v>
      </c>
      <c r="D110" s="10">
        <v>60</v>
      </c>
      <c r="E110" s="10" t="s">
        <v>10</v>
      </c>
      <c r="F110" s="10">
        <v>1398385</v>
      </c>
      <c r="G110" s="10" t="s">
        <v>183</v>
      </c>
      <c r="H110" s="11">
        <v>46775</v>
      </c>
      <c r="I110" s="10">
        <v>0</v>
      </c>
      <c r="J110" s="11">
        <f t="shared" si="3"/>
        <v>46775</v>
      </c>
      <c r="K110" s="12">
        <f>VLOOKUP(A110,[1]VA05!$A:$K,11,FALSE)</f>
        <v>45595</v>
      </c>
      <c r="L110" s="10" t="s">
        <v>12</v>
      </c>
      <c r="M110" s="10" t="s">
        <v>178</v>
      </c>
    </row>
    <row r="111" spans="1:13" x14ac:dyDescent="0.25">
      <c r="A111" s="13" t="str">
        <f t="shared" si="2"/>
        <v>50714276510</v>
      </c>
      <c r="B111" s="10">
        <v>1004052538</v>
      </c>
      <c r="C111" s="10">
        <v>507142765</v>
      </c>
      <c r="D111" s="10">
        <v>10</v>
      </c>
      <c r="E111" s="10" t="s">
        <v>10</v>
      </c>
      <c r="F111" s="10">
        <v>1398386</v>
      </c>
      <c r="G111" s="10" t="s">
        <v>184</v>
      </c>
      <c r="H111" s="11">
        <v>10383</v>
      </c>
      <c r="I111" s="10">
        <v>0</v>
      </c>
      <c r="J111" s="11">
        <f t="shared" si="3"/>
        <v>10383</v>
      </c>
      <c r="K111" s="12">
        <f>VLOOKUP(A111,[1]VA05!$A:$K,11,FALSE)</f>
        <v>45561</v>
      </c>
      <c r="L111" s="10" t="s">
        <v>12</v>
      </c>
      <c r="M111" s="10" t="s">
        <v>97</v>
      </c>
    </row>
    <row r="112" spans="1:13" x14ac:dyDescent="0.25">
      <c r="A112" s="13" t="str">
        <f t="shared" si="2"/>
        <v>50714276520</v>
      </c>
      <c r="B112" s="10">
        <v>1004052539</v>
      </c>
      <c r="C112" s="10">
        <v>507142765</v>
      </c>
      <c r="D112" s="10">
        <v>20</v>
      </c>
      <c r="E112" s="10" t="s">
        <v>10</v>
      </c>
      <c r="F112" s="10">
        <v>1398386</v>
      </c>
      <c r="G112" s="10" t="s">
        <v>184</v>
      </c>
      <c r="H112" s="11">
        <v>20765</v>
      </c>
      <c r="I112" s="10">
        <v>0</v>
      </c>
      <c r="J112" s="11">
        <f t="shared" si="3"/>
        <v>20765</v>
      </c>
      <c r="K112" s="12">
        <f>VLOOKUP(A112,[1]VA05!$A:$K,11,FALSE)</f>
        <v>45567</v>
      </c>
      <c r="L112" s="10" t="s">
        <v>12</v>
      </c>
      <c r="M112" s="10" t="s">
        <v>130</v>
      </c>
    </row>
    <row r="113" spans="1:13" x14ac:dyDescent="0.25">
      <c r="A113" s="13" t="str">
        <f t="shared" si="2"/>
        <v>50714276530</v>
      </c>
      <c r="B113" s="10">
        <v>1004052540</v>
      </c>
      <c r="C113" s="10">
        <v>507142765</v>
      </c>
      <c r="D113" s="10">
        <v>30</v>
      </c>
      <c r="E113" s="10" t="s">
        <v>10</v>
      </c>
      <c r="F113" s="10">
        <v>1398386</v>
      </c>
      <c r="G113" s="10" t="s">
        <v>184</v>
      </c>
      <c r="H113" s="11">
        <v>31642</v>
      </c>
      <c r="I113" s="10">
        <v>0</v>
      </c>
      <c r="J113" s="11">
        <f t="shared" si="3"/>
        <v>31642</v>
      </c>
      <c r="K113" s="12">
        <f>VLOOKUP(A113,[1]VA05!$A:$K,11,FALSE)</f>
        <v>45574</v>
      </c>
      <c r="L113" s="10" t="s">
        <v>12</v>
      </c>
      <c r="M113" s="10" t="s">
        <v>180</v>
      </c>
    </row>
    <row r="114" spans="1:13" x14ac:dyDescent="0.25">
      <c r="A114" s="13" t="str">
        <f t="shared" si="2"/>
        <v>50714276540</v>
      </c>
      <c r="B114" s="10">
        <v>1004052541</v>
      </c>
      <c r="C114" s="10">
        <v>507142765</v>
      </c>
      <c r="D114" s="10">
        <v>40</v>
      </c>
      <c r="E114" s="10" t="s">
        <v>10</v>
      </c>
      <c r="F114" s="10">
        <v>1398386</v>
      </c>
      <c r="G114" s="10" t="s">
        <v>184</v>
      </c>
      <c r="H114" s="11">
        <v>31889</v>
      </c>
      <c r="I114" s="10">
        <v>0</v>
      </c>
      <c r="J114" s="11">
        <f t="shared" si="3"/>
        <v>31889</v>
      </c>
      <c r="K114" s="12">
        <f>VLOOKUP(A114,[1]VA05!$A:$K,11,FALSE)</f>
        <v>45581</v>
      </c>
      <c r="L114" s="10" t="s">
        <v>12</v>
      </c>
      <c r="M114" s="10" t="s">
        <v>156</v>
      </c>
    </row>
    <row r="115" spans="1:13" x14ac:dyDescent="0.25">
      <c r="A115" s="13" t="str">
        <f t="shared" si="2"/>
        <v>50714276550</v>
      </c>
      <c r="B115" s="10">
        <v>1004052543</v>
      </c>
      <c r="C115" s="10">
        <v>507142765</v>
      </c>
      <c r="D115" s="10">
        <v>50</v>
      </c>
      <c r="E115" s="10" t="s">
        <v>10</v>
      </c>
      <c r="F115" s="10">
        <v>1398386</v>
      </c>
      <c r="G115" s="10" t="s">
        <v>184</v>
      </c>
      <c r="H115" s="11">
        <v>41283</v>
      </c>
      <c r="I115" s="10">
        <v>0</v>
      </c>
      <c r="J115" s="11">
        <f t="shared" si="3"/>
        <v>41283</v>
      </c>
      <c r="K115" s="12">
        <f>VLOOKUP(A115,[1]VA05!$A:$K,11,FALSE)</f>
        <v>45588</v>
      </c>
      <c r="L115" s="10" t="s">
        <v>12</v>
      </c>
      <c r="M115" s="10" t="s">
        <v>202</v>
      </c>
    </row>
    <row r="116" spans="1:13" x14ac:dyDescent="0.25">
      <c r="A116" s="13" t="str">
        <f t="shared" si="2"/>
        <v>50714276560</v>
      </c>
      <c r="B116" s="10">
        <v>1004052544</v>
      </c>
      <c r="C116" s="10">
        <v>507142765</v>
      </c>
      <c r="D116" s="10">
        <v>60</v>
      </c>
      <c r="E116" s="10" t="s">
        <v>10</v>
      </c>
      <c r="F116" s="10">
        <v>1398386</v>
      </c>
      <c r="G116" s="10" t="s">
        <v>184</v>
      </c>
      <c r="H116" s="11">
        <v>41283</v>
      </c>
      <c r="I116" s="10">
        <v>0</v>
      </c>
      <c r="J116" s="11">
        <f t="shared" si="3"/>
        <v>41283</v>
      </c>
      <c r="K116" s="12">
        <f>VLOOKUP(A116,[1]VA05!$A:$K,11,FALSE)</f>
        <v>45595</v>
      </c>
      <c r="L116" s="10" t="s">
        <v>12</v>
      </c>
      <c r="M116" s="10" t="s">
        <v>191</v>
      </c>
    </row>
    <row r="117" spans="1:13" x14ac:dyDescent="0.25">
      <c r="A117" s="13" t="str">
        <f t="shared" si="2"/>
        <v>50714276620</v>
      </c>
      <c r="B117" s="10">
        <v>1004053431</v>
      </c>
      <c r="C117" s="10">
        <v>507142766</v>
      </c>
      <c r="D117" s="10">
        <v>20</v>
      </c>
      <c r="E117" s="10" t="s">
        <v>10</v>
      </c>
      <c r="F117" s="10">
        <v>1398745</v>
      </c>
      <c r="G117" s="10" t="s">
        <v>212</v>
      </c>
      <c r="H117" s="11">
        <v>22827</v>
      </c>
      <c r="I117" s="11">
        <v>16080</v>
      </c>
      <c r="J117" s="11">
        <f t="shared" si="3"/>
        <v>6747</v>
      </c>
      <c r="K117" s="12">
        <f>VLOOKUP(A117,[1]VA05!$A:$K,11,FALSE)</f>
        <v>45567</v>
      </c>
      <c r="L117" s="10" t="s">
        <v>18</v>
      </c>
      <c r="M117" s="10" t="s">
        <v>201</v>
      </c>
    </row>
    <row r="118" spans="1:13" x14ac:dyDescent="0.25">
      <c r="A118" s="13" t="str">
        <f t="shared" si="2"/>
        <v>50714276630</v>
      </c>
      <c r="B118" s="10">
        <v>1004053432</v>
      </c>
      <c r="C118" s="10">
        <v>507142766</v>
      </c>
      <c r="D118" s="10">
        <v>30</v>
      </c>
      <c r="E118" s="10" t="s">
        <v>10</v>
      </c>
      <c r="F118" s="10">
        <v>1398745</v>
      </c>
      <c r="G118" s="10" t="s">
        <v>212</v>
      </c>
      <c r="H118" s="11">
        <v>33640</v>
      </c>
      <c r="I118" s="10">
        <v>0</v>
      </c>
      <c r="J118" s="11">
        <f t="shared" si="3"/>
        <v>33640</v>
      </c>
      <c r="K118" s="12">
        <f>VLOOKUP(A118,[1]VA05!$A:$K,11,FALSE)</f>
        <v>45574</v>
      </c>
      <c r="L118" s="10" t="s">
        <v>12</v>
      </c>
      <c r="M118" s="10" t="s">
        <v>201</v>
      </c>
    </row>
    <row r="119" spans="1:13" x14ac:dyDescent="0.25">
      <c r="A119" s="13" t="str">
        <f t="shared" si="2"/>
        <v>50714276610</v>
      </c>
      <c r="B119" s="10">
        <v>1004053437</v>
      </c>
      <c r="C119" s="10">
        <v>507142766</v>
      </c>
      <c r="D119" s="10">
        <v>10</v>
      </c>
      <c r="E119" s="10" t="s">
        <v>10</v>
      </c>
      <c r="F119" s="10">
        <v>1398746</v>
      </c>
      <c r="G119" s="10" t="s">
        <v>213</v>
      </c>
      <c r="H119" s="11">
        <v>11757</v>
      </c>
      <c r="I119" s="11">
        <v>11356</v>
      </c>
      <c r="J119" s="11">
        <f t="shared" si="3"/>
        <v>401</v>
      </c>
      <c r="K119" s="12">
        <f>VLOOKUP(A119,[1]VA05!$A:$K,11,FALSE)</f>
        <v>45561</v>
      </c>
      <c r="L119" s="10" t="s">
        <v>11</v>
      </c>
      <c r="M119" s="10" t="s">
        <v>180</v>
      </c>
    </row>
    <row r="120" spans="1:13" x14ac:dyDescent="0.25">
      <c r="A120" s="13" t="str">
        <f t="shared" si="2"/>
        <v>50714276620</v>
      </c>
      <c r="B120" s="10">
        <v>1004053438</v>
      </c>
      <c r="C120" s="10">
        <v>507142766</v>
      </c>
      <c r="D120" s="10">
        <v>20</v>
      </c>
      <c r="E120" s="10" t="s">
        <v>10</v>
      </c>
      <c r="F120" s="10">
        <v>1398746</v>
      </c>
      <c r="G120" s="10" t="s">
        <v>213</v>
      </c>
      <c r="H120" s="11">
        <v>23512</v>
      </c>
      <c r="I120" s="10">
        <v>0</v>
      </c>
      <c r="J120" s="11">
        <f t="shared" si="3"/>
        <v>23512</v>
      </c>
      <c r="K120" s="12">
        <f>VLOOKUP(A120,[1]VA05!$A:$K,11,FALSE)</f>
        <v>45567</v>
      </c>
      <c r="L120" s="10" t="s">
        <v>13</v>
      </c>
      <c r="M120" s="10" t="s">
        <v>180</v>
      </c>
    </row>
    <row r="121" spans="1:13" x14ac:dyDescent="0.25">
      <c r="A121" s="13" t="str">
        <f t="shared" si="2"/>
        <v>50714276630</v>
      </c>
      <c r="B121" s="10">
        <v>1004053439</v>
      </c>
      <c r="C121" s="10">
        <v>507142766</v>
      </c>
      <c r="D121" s="10">
        <v>30</v>
      </c>
      <c r="E121" s="10" t="s">
        <v>10</v>
      </c>
      <c r="F121" s="10">
        <v>1398746</v>
      </c>
      <c r="G121" s="10" t="s">
        <v>213</v>
      </c>
      <c r="H121" s="11">
        <v>34650</v>
      </c>
      <c r="I121" s="10">
        <v>0</v>
      </c>
      <c r="J121" s="11">
        <f t="shared" si="3"/>
        <v>34650</v>
      </c>
      <c r="K121" s="12">
        <f>VLOOKUP(A121,[1]VA05!$A:$K,11,FALSE)</f>
        <v>45574</v>
      </c>
      <c r="L121" s="10" t="s">
        <v>12</v>
      </c>
      <c r="M121" s="10" t="s">
        <v>140</v>
      </c>
    </row>
    <row r="122" spans="1:13" x14ac:dyDescent="0.25">
      <c r="A122" s="13" t="str">
        <f t="shared" si="2"/>
        <v>50714276610</v>
      </c>
      <c r="B122" s="10">
        <v>1004053433</v>
      </c>
      <c r="C122" s="10">
        <v>507142766</v>
      </c>
      <c r="D122" s="10">
        <v>10</v>
      </c>
      <c r="E122" s="10" t="s">
        <v>10</v>
      </c>
      <c r="F122" s="10">
        <v>1398747</v>
      </c>
      <c r="G122" s="10" t="s">
        <v>214</v>
      </c>
      <c r="H122" s="11">
        <v>10568</v>
      </c>
      <c r="I122" s="10">
        <v>0</v>
      </c>
      <c r="J122" s="11">
        <f t="shared" si="3"/>
        <v>10568</v>
      </c>
      <c r="K122" s="12">
        <f>VLOOKUP(A122,[1]VA05!$A:$K,11,FALSE)</f>
        <v>45561</v>
      </c>
      <c r="L122" s="10" t="s">
        <v>25</v>
      </c>
      <c r="M122" s="10" t="s">
        <v>180</v>
      </c>
    </row>
    <row r="123" spans="1:13" x14ac:dyDescent="0.25">
      <c r="A123" s="13" t="str">
        <f t="shared" si="2"/>
        <v>50714276620</v>
      </c>
      <c r="B123" s="10">
        <v>1004053434</v>
      </c>
      <c r="C123" s="10">
        <v>507142766</v>
      </c>
      <c r="D123" s="10">
        <v>20</v>
      </c>
      <c r="E123" s="10" t="s">
        <v>10</v>
      </c>
      <c r="F123" s="10">
        <v>1398747</v>
      </c>
      <c r="G123" s="10" t="s">
        <v>214</v>
      </c>
      <c r="H123" s="11">
        <v>21136</v>
      </c>
      <c r="I123" s="10">
        <v>0</v>
      </c>
      <c r="J123" s="11">
        <f t="shared" si="3"/>
        <v>21136</v>
      </c>
      <c r="K123" s="12">
        <f>VLOOKUP(A123,[1]VA05!$A:$K,11,FALSE)</f>
        <v>45567</v>
      </c>
      <c r="L123" s="10" t="s">
        <v>12</v>
      </c>
      <c r="M123" s="10" t="s">
        <v>140</v>
      </c>
    </row>
    <row r="124" spans="1:13" x14ac:dyDescent="0.25">
      <c r="A124" s="13" t="str">
        <f t="shared" si="2"/>
        <v>50714276630</v>
      </c>
      <c r="B124" s="10">
        <v>1004053435</v>
      </c>
      <c r="C124" s="10">
        <v>507142766</v>
      </c>
      <c r="D124" s="10">
        <v>30</v>
      </c>
      <c r="E124" s="10" t="s">
        <v>10</v>
      </c>
      <c r="F124" s="10">
        <v>1398747</v>
      </c>
      <c r="G124" s="10" t="s">
        <v>214</v>
      </c>
      <c r="H124" s="11">
        <v>31148</v>
      </c>
      <c r="I124" s="10">
        <v>0</v>
      </c>
      <c r="J124" s="11">
        <f t="shared" si="3"/>
        <v>31148</v>
      </c>
      <c r="K124" s="12">
        <f>VLOOKUP(A124,[1]VA05!$A:$K,11,FALSE)</f>
        <v>45574</v>
      </c>
      <c r="L124" s="10" t="s">
        <v>12</v>
      </c>
      <c r="M124" s="10" t="s">
        <v>154</v>
      </c>
    </row>
    <row r="125" spans="1:13" x14ac:dyDescent="0.25">
      <c r="A125" s="13" t="str">
        <f t="shared" si="2"/>
        <v>50714270610</v>
      </c>
      <c r="B125" s="10">
        <v>1004052545</v>
      </c>
      <c r="C125" s="10">
        <v>507142706</v>
      </c>
      <c r="D125" s="10">
        <v>10</v>
      </c>
      <c r="E125" s="10" t="s">
        <v>10</v>
      </c>
      <c r="F125" s="10">
        <v>1152845</v>
      </c>
      <c r="G125" s="10" t="s">
        <v>185</v>
      </c>
      <c r="H125" s="11">
        <v>10262</v>
      </c>
      <c r="I125" s="10">
        <v>0</v>
      </c>
      <c r="J125" s="11">
        <f t="shared" si="3"/>
        <v>10262</v>
      </c>
      <c r="K125" s="12">
        <f>VLOOKUP(A125,[1]VA05!$A:$K,11,FALSE)</f>
        <v>45567</v>
      </c>
      <c r="L125" s="10" t="s">
        <v>25</v>
      </c>
      <c r="M125" s="10" t="s">
        <v>180</v>
      </c>
    </row>
    <row r="126" spans="1:13" x14ac:dyDescent="0.25">
      <c r="A126" s="13" t="str">
        <f t="shared" si="2"/>
        <v>50714270610</v>
      </c>
      <c r="B126" s="10">
        <v>1004052546</v>
      </c>
      <c r="C126" s="10">
        <v>507142706</v>
      </c>
      <c r="D126" s="10">
        <v>10</v>
      </c>
      <c r="E126" s="10" t="s">
        <v>10</v>
      </c>
      <c r="F126" s="10">
        <v>1207631</v>
      </c>
      <c r="G126" s="10" t="s">
        <v>186</v>
      </c>
      <c r="H126" s="11">
        <v>10776</v>
      </c>
      <c r="I126" s="10">
        <v>0</v>
      </c>
      <c r="J126" s="11">
        <f t="shared" si="3"/>
        <v>10776</v>
      </c>
      <c r="K126" s="12">
        <f>VLOOKUP(A126,[1]VA05!$A:$K,11,FALSE)</f>
        <v>45567</v>
      </c>
      <c r="L126" s="10" t="s">
        <v>12</v>
      </c>
      <c r="M126" s="10" t="s">
        <v>130</v>
      </c>
    </row>
    <row r="127" spans="1:13" x14ac:dyDescent="0.25">
      <c r="A127" s="13" t="str">
        <f t="shared" si="2"/>
        <v>507142416210</v>
      </c>
      <c r="B127" s="10">
        <v>1004052554</v>
      </c>
      <c r="C127" s="10">
        <v>507142416</v>
      </c>
      <c r="D127" s="10">
        <v>210</v>
      </c>
      <c r="E127" s="10" t="s">
        <v>10</v>
      </c>
      <c r="F127" s="10">
        <v>1172472</v>
      </c>
      <c r="G127" s="10" t="s">
        <v>86</v>
      </c>
      <c r="H127" s="11">
        <v>10524</v>
      </c>
      <c r="I127" s="11">
        <v>8850</v>
      </c>
      <c r="J127" s="11">
        <f t="shared" si="3"/>
        <v>1674</v>
      </c>
      <c r="K127" s="12">
        <f>VLOOKUP(A127,[1]VA05!$A:$K,11,FALSE)</f>
        <v>45587</v>
      </c>
      <c r="L127" s="10" t="s">
        <v>18</v>
      </c>
      <c r="M127" s="10" t="s">
        <v>192</v>
      </c>
    </row>
    <row r="128" spans="1:13" x14ac:dyDescent="0.25">
      <c r="A128" s="13" t="str">
        <f t="shared" si="2"/>
        <v>50714271310</v>
      </c>
      <c r="B128" s="10">
        <v>1004052555</v>
      </c>
      <c r="C128" s="10">
        <v>507142713</v>
      </c>
      <c r="D128" s="10">
        <v>10</v>
      </c>
      <c r="E128" s="10" t="s">
        <v>10</v>
      </c>
      <c r="F128" s="10">
        <v>1172472</v>
      </c>
      <c r="G128" s="10" t="s">
        <v>86</v>
      </c>
      <c r="H128" s="11">
        <v>10524</v>
      </c>
      <c r="I128" s="10">
        <v>0</v>
      </c>
      <c r="J128" s="11">
        <f t="shared" si="3"/>
        <v>10524</v>
      </c>
      <c r="K128" s="12">
        <f>VLOOKUP(A128,[1]VA05!$A:$K,11,FALSE)</f>
        <v>45591</v>
      </c>
      <c r="L128" s="10" t="s">
        <v>12</v>
      </c>
      <c r="M128" s="10" t="s">
        <v>203</v>
      </c>
    </row>
    <row r="129" spans="1:13" x14ac:dyDescent="0.25">
      <c r="A129" s="13" t="str">
        <f t="shared" si="2"/>
        <v>50714271340</v>
      </c>
      <c r="B129" s="10">
        <v>1004052556</v>
      </c>
      <c r="C129" s="10">
        <v>507142713</v>
      </c>
      <c r="D129" s="10">
        <v>40</v>
      </c>
      <c r="E129" s="10" t="s">
        <v>10</v>
      </c>
      <c r="F129" s="10">
        <v>1172472</v>
      </c>
      <c r="G129" s="10" t="s">
        <v>86</v>
      </c>
      <c r="H129" s="11">
        <v>10524</v>
      </c>
      <c r="I129" s="10">
        <v>0</v>
      </c>
      <c r="J129" s="11">
        <f t="shared" si="3"/>
        <v>10524</v>
      </c>
      <c r="K129" s="12">
        <f>VLOOKUP(A129,[1]VA05!$A:$K,11,FALSE)</f>
        <v>45591</v>
      </c>
      <c r="L129" s="10" t="s">
        <v>12</v>
      </c>
      <c r="M129" s="10" t="s">
        <v>203</v>
      </c>
    </row>
    <row r="130" spans="1:13" x14ac:dyDescent="0.25">
      <c r="A130" s="13" t="str">
        <f t="shared" si="2"/>
        <v>50714241670</v>
      </c>
      <c r="B130" s="10">
        <v>1004052559</v>
      </c>
      <c r="C130" s="10">
        <v>507142416</v>
      </c>
      <c r="D130" s="10">
        <v>70</v>
      </c>
      <c r="E130" s="10" t="s">
        <v>10</v>
      </c>
      <c r="F130" s="10">
        <v>1171177</v>
      </c>
      <c r="G130" s="10" t="s">
        <v>88</v>
      </c>
      <c r="H130" s="11">
        <v>10170</v>
      </c>
      <c r="I130" s="11">
        <v>5920</v>
      </c>
      <c r="J130" s="11">
        <f t="shared" si="3"/>
        <v>4250</v>
      </c>
      <c r="K130" s="12">
        <f>VLOOKUP(A130,[1]VA05!$A:$K,11,FALSE)</f>
        <v>45576</v>
      </c>
      <c r="L130" s="10" t="s">
        <v>18</v>
      </c>
      <c r="M130" s="10" t="s">
        <v>162</v>
      </c>
    </row>
    <row r="131" spans="1:13" x14ac:dyDescent="0.25">
      <c r="A131" s="13" t="str">
        <f t="shared" si="2"/>
        <v>507142416100</v>
      </c>
      <c r="B131" s="10">
        <v>1004052560</v>
      </c>
      <c r="C131" s="10">
        <v>507142416</v>
      </c>
      <c r="D131" s="10">
        <v>100</v>
      </c>
      <c r="E131" s="10" t="s">
        <v>10</v>
      </c>
      <c r="F131" s="10">
        <v>1171177</v>
      </c>
      <c r="G131" s="10" t="s">
        <v>88</v>
      </c>
      <c r="H131" s="11">
        <v>10170</v>
      </c>
      <c r="I131" s="10">
        <v>0</v>
      </c>
      <c r="J131" s="11">
        <f t="shared" si="3"/>
        <v>10170</v>
      </c>
      <c r="K131" s="12">
        <f>VLOOKUP(A131,[1]VA05!$A:$K,11,FALSE)</f>
        <v>45580</v>
      </c>
      <c r="L131" s="10" t="s">
        <v>12</v>
      </c>
      <c r="M131" s="10" t="s">
        <v>179</v>
      </c>
    </row>
    <row r="132" spans="1:13" x14ac:dyDescent="0.25">
      <c r="A132" s="13" t="str">
        <f t="shared" ref="A132:A195" si="4">C132&amp;D132</f>
        <v>507142416190</v>
      </c>
      <c r="B132" s="10">
        <v>1004052561</v>
      </c>
      <c r="C132" s="10">
        <v>507142416</v>
      </c>
      <c r="D132" s="10">
        <v>190</v>
      </c>
      <c r="E132" s="10" t="s">
        <v>10</v>
      </c>
      <c r="F132" s="10">
        <v>1171177</v>
      </c>
      <c r="G132" s="10" t="s">
        <v>88</v>
      </c>
      <c r="H132" s="11">
        <v>10170</v>
      </c>
      <c r="I132" s="10">
        <v>0</v>
      </c>
      <c r="J132" s="11">
        <f t="shared" ref="J132:J195" si="5">H132-I132</f>
        <v>10170</v>
      </c>
      <c r="K132" s="12">
        <f>VLOOKUP(A132,[1]VA05!$A:$K,11,FALSE)</f>
        <v>45583</v>
      </c>
      <c r="L132" s="10" t="s">
        <v>12</v>
      </c>
      <c r="M132" s="10" t="s">
        <v>177</v>
      </c>
    </row>
    <row r="133" spans="1:13" x14ac:dyDescent="0.25">
      <c r="A133" s="13" t="str">
        <f t="shared" si="4"/>
        <v>507142416220</v>
      </c>
      <c r="B133" s="10">
        <v>1004052563</v>
      </c>
      <c r="C133" s="10">
        <v>507142416</v>
      </c>
      <c r="D133" s="10">
        <v>220</v>
      </c>
      <c r="E133" s="10" t="s">
        <v>10</v>
      </c>
      <c r="F133" s="10">
        <v>1171177</v>
      </c>
      <c r="G133" s="10" t="s">
        <v>88</v>
      </c>
      <c r="H133" s="11">
        <v>10170</v>
      </c>
      <c r="I133" s="10">
        <v>0</v>
      </c>
      <c r="J133" s="11">
        <f t="shared" si="5"/>
        <v>10170</v>
      </c>
      <c r="K133" s="12">
        <f>VLOOKUP(A133,[1]VA05!$A:$K,11,FALSE)</f>
        <v>45587</v>
      </c>
      <c r="L133" s="10" t="s">
        <v>12</v>
      </c>
      <c r="M133" s="10" t="s">
        <v>109</v>
      </c>
    </row>
    <row r="134" spans="1:13" x14ac:dyDescent="0.25">
      <c r="A134" s="13" t="str">
        <f t="shared" si="4"/>
        <v>50714271320</v>
      </c>
      <c r="B134" s="10">
        <v>1004052564</v>
      </c>
      <c r="C134" s="10">
        <v>507142713</v>
      </c>
      <c r="D134" s="10">
        <v>20</v>
      </c>
      <c r="E134" s="10" t="s">
        <v>10</v>
      </c>
      <c r="F134" s="10">
        <v>1171177</v>
      </c>
      <c r="G134" s="10" t="s">
        <v>88</v>
      </c>
      <c r="H134" s="11">
        <v>10170</v>
      </c>
      <c r="I134" s="10">
        <v>0</v>
      </c>
      <c r="J134" s="11">
        <f t="shared" si="5"/>
        <v>10170</v>
      </c>
      <c r="K134" s="12">
        <f>VLOOKUP(A134,[1]VA05!$A:$K,11,FALSE)</f>
        <v>45591</v>
      </c>
      <c r="L134" s="10" t="s">
        <v>12</v>
      </c>
      <c r="M134" s="10" t="s">
        <v>204</v>
      </c>
    </row>
    <row r="135" spans="1:13" x14ac:dyDescent="0.25">
      <c r="A135" s="13" t="str">
        <f t="shared" si="4"/>
        <v>50714271350</v>
      </c>
      <c r="B135" s="10">
        <v>1004052565</v>
      </c>
      <c r="C135" s="10">
        <v>507142713</v>
      </c>
      <c r="D135" s="10">
        <v>50</v>
      </c>
      <c r="E135" s="10" t="s">
        <v>10</v>
      </c>
      <c r="F135" s="10">
        <v>1171177</v>
      </c>
      <c r="G135" s="10" t="s">
        <v>88</v>
      </c>
      <c r="H135" s="11">
        <v>10170</v>
      </c>
      <c r="I135" s="10">
        <v>0</v>
      </c>
      <c r="J135" s="11">
        <f t="shared" si="5"/>
        <v>10170</v>
      </c>
      <c r="K135" s="12">
        <f>VLOOKUP(A135,[1]VA05!$A:$K,11,FALSE)</f>
        <v>45591</v>
      </c>
      <c r="L135" s="10" t="s">
        <v>12</v>
      </c>
      <c r="M135" s="10" t="s">
        <v>204</v>
      </c>
    </row>
    <row r="136" spans="1:13" x14ac:dyDescent="0.25">
      <c r="A136" s="13" t="str">
        <f t="shared" si="4"/>
        <v>50714241640</v>
      </c>
      <c r="B136" s="10">
        <v>1004052566</v>
      </c>
      <c r="C136" s="10">
        <v>507142416</v>
      </c>
      <c r="D136" s="10">
        <v>40</v>
      </c>
      <c r="E136" s="10" t="s">
        <v>10</v>
      </c>
      <c r="F136" s="10">
        <v>1171178</v>
      </c>
      <c r="G136" s="10" t="s">
        <v>87</v>
      </c>
      <c r="H136" s="11">
        <v>10170</v>
      </c>
      <c r="I136" s="10">
        <v>0</v>
      </c>
      <c r="J136" s="11">
        <f t="shared" si="5"/>
        <v>10170</v>
      </c>
      <c r="K136" s="12">
        <f>VLOOKUP(A136,[1]VA05!$A:$K,11,FALSE)</f>
        <v>45573</v>
      </c>
      <c r="L136" s="10" t="s">
        <v>12</v>
      </c>
      <c r="M136" s="10" t="s">
        <v>194</v>
      </c>
    </row>
    <row r="137" spans="1:13" x14ac:dyDescent="0.25">
      <c r="A137" s="13" t="str">
        <f t="shared" si="4"/>
        <v>50714241670</v>
      </c>
      <c r="B137" s="10">
        <v>1004052567</v>
      </c>
      <c r="C137" s="10">
        <v>507142416</v>
      </c>
      <c r="D137" s="10">
        <v>70</v>
      </c>
      <c r="E137" s="10" t="s">
        <v>10</v>
      </c>
      <c r="F137" s="10">
        <v>1171178</v>
      </c>
      <c r="G137" s="10" t="s">
        <v>87</v>
      </c>
      <c r="H137" s="11">
        <v>10170</v>
      </c>
      <c r="I137" s="10">
        <v>0</v>
      </c>
      <c r="J137" s="11">
        <f t="shared" si="5"/>
        <v>10170</v>
      </c>
      <c r="K137" s="12">
        <f>VLOOKUP(A137,[1]VA05!$A:$K,11,FALSE)</f>
        <v>45576</v>
      </c>
      <c r="L137" s="10" t="s">
        <v>12</v>
      </c>
      <c r="M137" s="10" t="s">
        <v>162</v>
      </c>
    </row>
    <row r="138" spans="1:13" x14ac:dyDescent="0.25">
      <c r="A138" s="13" t="str">
        <f t="shared" si="4"/>
        <v>507142416100</v>
      </c>
      <c r="B138" s="10">
        <v>1004052568</v>
      </c>
      <c r="C138" s="10">
        <v>507142416</v>
      </c>
      <c r="D138" s="10">
        <v>100</v>
      </c>
      <c r="E138" s="10" t="s">
        <v>10</v>
      </c>
      <c r="F138" s="10">
        <v>1171178</v>
      </c>
      <c r="G138" s="10" t="s">
        <v>87</v>
      </c>
      <c r="H138" s="11">
        <v>10170</v>
      </c>
      <c r="I138" s="10">
        <v>0</v>
      </c>
      <c r="J138" s="11">
        <f t="shared" si="5"/>
        <v>10170</v>
      </c>
      <c r="K138" s="12">
        <f>VLOOKUP(A138,[1]VA05!$A:$K,11,FALSE)</f>
        <v>45580</v>
      </c>
      <c r="L138" s="10" t="s">
        <v>12</v>
      </c>
      <c r="M138" s="10" t="s">
        <v>179</v>
      </c>
    </row>
    <row r="139" spans="1:13" x14ac:dyDescent="0.25">
      <c r="A139" s="13" t="str">
        <f t="shared" si="4"/>
        <v>507142416190</v>
      </c>
      <c r="B139" s="10">
        <v>1004052609</v>
      </c>
      <c r="C139" s="10">
        <v>507142416</v>
      </c>
      <c r="D139" s="10">
        <v>190</v>
      </c>
      <c r="E139" s="10" t="s">
        <v>10</v>
      </c>
      <c r="F139" s="10">
        <v>1171178</v>
      </c>
      <c r="G139" s="10" t="s">
        <v>87</v>
      </c>
      <c r="H139" s="11">
        <v>10170</v>
      </c>
      <c r="I139" s="10">
        <v>0</v>
      </c>
      <c r="J139" s="11">
        <f t="shared" si="5"/>
        <v>10170</v>
      </c>
      <c r="K139" s="12">
        <f>VLOOKUP(A139,[1]VA05!$A:$K,11,FALSE)</f>
        <v>45583</v>
      </c>
      <c r="L139" s="10" t="s">
        <v>12</v>
      </c>
      <c r="M139" s="10" t="s">
        <v>177</v>
      </c>
    </row>
    <row r="140" spans="1:13" x14ac:dyDescent="0.25">
      <c r="A140" s="13" t="str">
        <f t="shared" si="4"/>
        <v>507142416220</v>
      </c>
      <c r="B140" s="10">
        <v>1004052611</v>
      </c>
      <c r="C140" s="10">
        <v>507142416</v>
      </c>
      <c r="D140" s="10">
        <v>220</v>
      </c>
      <c r="E140" s="10" t="s">
        <v>10</v>
      </c>
      <c r="F140" s="10">
        <v>1171178</v>
      </c>
      <c r="G140" s="10" t="s">
        <v>87</v>
      </c>
      <c r="H140" s="11">
        <v>10170</v>
      </c>
      <c r="I140" s="10">
        <v>0</v>
      </c>
      <c r="J140" s="11">
        <f t="shared" si="5"/>
        <v>10170</v>
      </c>
      <c r="K140" s="12">
        <f>VLOOKUP(A140,[1]VA05!$A:$K,11,FALSE)</f>
        <v>45587</v>
      </c>
      <c r="L140" s="10" t="s">
        <v>12</v>
      </c>
      <c r="M140" s="10" t="s">
        <v>109</v>
      </c>
    </row>
    <row r="141" spans="1:13" x14ac:dyDescent="0.25">
      <c r="A141" s="13" t="str">
        <f t="shared" si="4"/>
        <v>50714271320</v>
      </c>
      <c r="B141" s="10">
        <v>1004052612</v>
      </c>
      <c r="C141" s="10">
        <v>507142713</v>
      </c>
      <c r="D141" s="10">
        <v>20</v>
      </c>
      <c r="E141" s="10" t="s">
        <v>10</v>
      </c>
      <c r="F141" s="10">
        <v>1171178</v>
      </c>
      <c r="G141" s="10" t="s">
        <v>87</v>
      </c>
      <c r="H141" s="11">
        <v>10170</v>
      </c>
      <c r="I141" s="10">
        <v>0</v>
      </c>
      <c r="J141" s="11">
        <f t="shared" si="5"/>
        <v>10170</v>
      </c>
      <c r="K141" s="12">
        <f>VLOOKUP(A141,[1]VA05!$A:$K,11,FALSE)</f>
        <v>45591</v>
      </c>
      <c r="L141" s="10" t="s">
        <v>12</v>
      </c>
      <c r="M141" s="10" t="s">
        <v>204</v>
      </c>
    </row>
    <row r="142" spans="1:13" x14ac:dyDescent="0.25">
      <c r="A142" s="13" t="str">
        <f t="shared" si="4"/>
        <v>50714271350</v>
      </c>
      <c r="B142" s="10">
        <v>1004052613</v>
      </c>
      <c r="C142" s="10">
        <v>507142713</v>
      </c>
      <c r="D142" s="10">
        <v>50</v>
      </c>
      <c r="E142" s="10" t="s">
        <v>10</v>
      </c>
      <c r="F142" s="10">
        <v>1171178</v>
      </c>
      <c r="G142" s="10" t="s">
        <v>87</v>
      </c>
      <c r="H142" s="11">
        <v>10170</v>
      </c>
      <c r="I142" s="10">
        <v>0</v>
      </c>
      <c r="J142" s="11">
        <f t="shared" si="5"/>
        <v>10170</v>
      </c>
      <c r="K142" s="12">
        <f>VLOOKUP(A142,[1]VA05!$A:$K,11,FALSE)</f>
        <v>45591</v>
      </c>
      <c r="L142" s="10" t="s">
        <v>12</v>
      </c>
      <c r="M142" s="10" t="s">
        <v>204</v>
      </c>
    </row>
    <row r="143" spans="1:13" x14ac:dyDescent="0.25">
      <c r="A143" s="13" t="str">
        <f t="shared" si="4"/>
        <v>50714268030</v>
      </c>
      <c r="B143" s="10">
        <v>1004050520</v>
      </c>
      <c r="C143" s="10">
        <v>507142680</v>
      </c>
      <c r="D143" s="10">
        <v>30</v>
      </c>
      <c r="E143" s="10" t="s">
        <v>10</v>
      </c>
      <c r="F143" s="10">
        <v>1192468</v>
      </c>
      <c r="G143" s="10" t="s">
        <v>114</v>
      </c>
      <c r="H143" s="11">
        <v>25930</v>
      </c>
      <c r="I143" s="11">
        <v>15840</v>
      </c>
      <c r="J143" s="11">
        <f t="shared" si="5"/>
        <v>10090</v>
      </c>
      <c r="K143" s="12">
        <f>VLOOKUP(A143,[1]VA05!$A:$K,11,FALSE)</f>
        <v>45569</v>
      </c>
      <c r="L143" s="10" t="s">
        <v>18</v>
      </c>
      <c r="M143" s="10" t="s">
        <v>97</v>
      </c>
    </row>
    <row r="144" spans="1:13" x14ac:dyDescent="0.25">
      <c r="A144" s="13" t="str">
        <f t="shared" si="4"/>
        <v>50714262630</v>
      </c>
      <c r="B144" s="10">
        <v>1004052617</v>
      </c>
      <c r="C144" s="10">
        <v>507142626</v>
      </c>
      <c r="D144" s="10">
        <v>30</v>
      </c>
      <c r="E144" s="10" t="s">
        <v>10</v>
      </c>
      <c r="F144" s="10">
        <v>1172030</v>
      </c>
      <c r="G144" s="10" t="s">
        <v>112</v>
      </c>
      <c r="H144" s="11">
        <v>29055</v>
      </c>
      <c r="I144" s="10">
        <v>0</v>
      </c>
      <c r="J144" s="11">
        <f t="shared" si="5"/>
        <v>29055</v>
      </c>
      <c r="K144" s="12">
        <f>VLOOKUP(A144,[1]VA05!$A:$K,11,FALSE)</f>
        <v>45590</v>
      </c>
      <c r="L144" s="10" t="s">
        <v>12</v>
      </c>
      <c r="M144" s="10" t="s">
        <v>154</v>
      </c>
    </row>
    <row r="145" spans="1:13" x14ac:dyDescent="0.25">
      <c r="A145" s="13" t="str">
        <f t="shared" si="4"/>
        <v>50714267970</v>
      </c>
      <c r="B145" s="10">
        <v>1004052615</v>
      </c>
      <c r="C145" s="10">
        <v>507142679</v>
      </c>
      <c r="D145" s="10">
        <v>70</v>
      </c>
      <c r="E145" s="10" t="s">
        <v>10</v>
      </c>
      <c r="F145" s="10">
        <v>1167579</v>
      </c>
      <c r="G145" s="10" t="s">
        <v>19</v>
      </c>
      <c r="H145" s="11">
        <v>20260</v>
      </c>
      <c r="I145" s="11">
        <v>15067</v>
      </c>
      <c r="J145" s="11">
        <f t="shared" si="5"/>
        <v>5193</v>
      </c>
      <c r="K145" s="12">
        <f>VLOOKUP(A145,[1]VA05!$A:$K,11,FALSE)</f>
        <v>45569</v>
      </c>
      <c r="L145" s="10" t="s">
        <v>18</v>
      </c>
      <c r="M145" s="10" t="s">
        <v>61</v>
      </c>
    </row>
    <row r="146" spans="1:13" x14ac:dyDescent="0.25">
      <c r="A146" s="13" t="str">
        <f t="shared" si="4"/>
        <v>50714276910</v>
      </c>
      <c r="B146" s="10">
        <v>1004052616</v>
      </c>
      <c r="C146" s="10">
        <v>507142769</v>
      </c>
      <c r="D146" s="10">
        <v>10</v>
      </c>
      <c r="E146" s="10" t="s">
        <v>10</v>
      </c>
      <c r="F146" s="10">
        <v>1167579</v>
      </c>
      <c r="G146" s="10" t="s">
        <v>19</v>
      </c>
      <c r="H146" s="11">
        <v>30683</v>
      </c>
      <c r="I146" s="10">
        <v>0</v>
      </c>
      <c r="J146" s="11">
        <f t="shared" si="5"/>
        <v>30683</v>
      </c>
      <c r="K146" s="12">
        <f>VLOOKUP(A146,[1]VA05!$A:$K,11,FALSE)</f>
        <v>45575</v>
      </c>
      <c r="L146" s="10" t="s">
        <v>25</v>
      </c>
      <c r="M146" s="10" t="s">
        <v>155</v>
      </c>
    </row>
    <row r="147" spans="1:13" x14ac:dyDescent="0.25">
      <c r="A147" s="13" t="str">
        <f t="shared" si="4"/>
        <v>50714276920</v>
      </c>
      <c r="B147" s="10">
        <v>1004054833</v>
      </c>
      <c r="C147" s="10">
        <v>507142769</v>
      </c>
      <c r="D147" s="10">
        <v>20</v>
      </c>
      <c r="E147" s="10" t="s">
        <v>10</v>
      </c>
      <c r="F147" s="10">
        <v>1173995</v>
      </c>
      <c r="G147" s="10" t="s">
        <v>20</v>
      </c>
      <c r="H147" s="11">
        <v>34793</v>
      </c>
      <c r="I147" s="11">
        <v>4400</v>
      </c>
      <c r="J147" s="11">
        <f t="shared" si="5"/>
        <v>30393</v>
      </c>
      <c r="K147" s="12">
        <f>VLOOKUP(A147,[1]VA05!$A:$K,11,FALSE)</f>
        <v>45575</v>
      </c>
      <c r="L147" s="10" t="s">
        <v>18</v>
      </c>
      <c r="M147" s="10" t="s">
        <v>201</v>
      </c>
    </row>
    <row r="148" spans="1:13" x14ac:dyDescent="0.25">
      <c r="A148" s="13" t="str">
        <f t="shared" si="4"/>
        <v>50714262610</v>
      </c>
      <c r="B148" s="10">
        <v>1004050514</v>
      </c>
      <c r="C148" s="10">
        <v>507142626</v>
      </c>
      <c r="D148" s="10">
        <v>10</v>
      </c>
      <c r="E148" s="10" t="s">
        <v>10</v>
      </c>
      <c r="F148" s="10">
        <v>1212641</v>
      </c>
      <c r="G148" s="10" t="s">
        <v>99</v>
      </c>
      <c r="H148" s="11">
        <v>25858</v>
      </c>
      <c r="I148" s="10">
        <v>0</v>
      </c>
      <c r="J148" s="11">
        <f t="shared" si="5"/>
        <v>25858</v>
      </c>
      <c r="K148" s="12">
        <f>VLOOKUP(A148,[1]VA05!$A:$K,11,FALSE)</f>
        <v>45590</v>
      </c>
      <c r="L148" s="10" t="s">
        <v>27</v>
      </c>
      <c r="M148" s="10" t="s">
        <v>162</v>
      </c>
    </row>
    <row r="149" spans="1:13" x14ac:dyDescent="0.25">
      <c r="A149" s="13" t="str">
        <f t="shared" si="4"/>
        <v>50714226510</v>
      </c>
      <c r="B149" s="10">
        <v>1004050518</v>
      </c>
      <c r="C149" s="10">
        <v>507142265</v>
      </c>
      <c r="D149" s="10">
        <v>10</v>
      </c>
      <c r="E149" s="10" t="s">
        <v>10</v>
      </c>
      <c r="F149" s="10">
        <v>1172346</v>
      </c>
      <c r="G149" s="10" t="s">
        <v>158</v>
      </c>
      <c r="H149" s="11">
        <v>46376</v>
      </c>
      <c r="I149" s="11">
        <v>9388</v>
      </c>
      <c r="J149" s="11">
        <f t="shared" si="5"/>
        <v>36988</v>
      </c>
      <c r="K149" s="12">
        <f>VLOOKUP(A149,[1]VA05!$A:$K,11,FALSE)</f>
        <v>45576</v>
      </c>
      <c r="L149" s="10" t="s">
        <v>18</v>
      </c>
      <c r="M149" s="10" t="s">
        <v>155</v>
      </c>
    </row>
    <row r="150" spans="1:13" x14ac:dyDescent="0.25">
      <c r="A150" s="13" t="str">
        <f t="shared" si="4"/>
        <v>50714239710</v>
      </c>
      <c r="B150" s="10">
        <v>1004054834</v>
      </c>
      <c r="C150" s="10">
        <v>507142397</v>
      </c>
      <c r="D150" s="10">
        <v>10</v>
      </c>
      <c r="E150" s="10" t="s">
        <v>10</v>
      </c>
      <c r="F150" s="10">
        <v>1195537</v>
      </c>
      <c r="G150" s="10" t="s">
        <v>220</v>
      </c>
      <c r="H150" s="11">
        <v>62346</v>
      </c>
      <c r="I150" s="10">
        <v>0</v>
      </c>
      <c r="J150" s="11">
        <f t="shared" si="5"/>
        <v>62346</v>
      </c>
      <c r="K150" s="12">
        <f>VLOOKUP(A150,[1]VA05!$A:$K,11,FALSE)</f>
        <v>45579</v>
      </c>
      <c r="L150" s="10" t="s">
        <v>12</v>
      </c>
      <c r="M150" s="10" t="s">
        <v>61</v>
      </c>
    </row>
    <row r="151" spans="1:13" x14ac:dyDescent="0.25">
      <c r="A151" s="13" t="str">
        <f t="shared" si="4"/>
        <v>50714247910</v>
      </c>
      <c r="B151" s="10">
        <v>1004054835</v>
      </c>
      <c r="C151" s="10">
        <v>507142479</v>
      </c>
      <c r="D151" s="10">
        <v>10</v>
      </c>
      <c r="E151" s="10" t="s">
        <v>10</v>
      </c>
      <c r="F151" s="10">
        <v>1195537</v>
      </c>
      <c r="G151" s="10" t="s">
        <v>220</v>
      </c>
      <c r="H151" s="11">
        <v>52994</v>
      </c>
      <c r="I151" s="10">
        <v>0</v>
      </c>
      <c r="J151" s="11">
        <f t="shared" si="5"/>
        <v>52994</v>
      </c>
      <c r="K151" s="12">
        <f>VLOOKUP(A151,[1]VA05!$A:$K,11,FALSE)</f>
        <v>45587</v>
      </c>
      <c r="L151" s="10" t="s">
        <v>12</v>
      </c>
      <c r="M151" s="10" t="s">
        <v>155</v>
      </c>
    </row>
    <row r="152" spans="1:13" x14ac:dyDescent="0.25">
      <c r="A152" s="13" t="str">
        <f t="shared" si="4"/>
        <v>50714248010</v>
      </c>
      <c r="B152" s="10">
        <v>1004052386</v>
      </c>
      <c r="C152" s="10">
        <v>507142480</v>
      </c>
      <c r="D152" s="10">
        <v>10</v>
      </c>
      <c r="E152" s="10" t="s">
        <v>10</v>
      </c>
      <c r="F152" s="10">
        <v>1191883</v>
      </c>
      <c r="G152" s="10" t="s">
        <v>125</v>
      </c>
      <c r="H152" s="11">
        <v>57584</v>
      </c>
      <c r="I152" s="11">
        <v>42089</v>
      </c>
      <c r="J152" s="11">
        <f t="shared" si="5"/>
        <v>15495</v>
      </c>
      <c r="K152" s="12">
        <f>VLOOKUP(A152,[1]VA05!$A:$K,11,FALSE)</f>
        <v>45587</v>
      </c>
      <c r="L152" s="10" t="s">
        <v>18</v>
      </c>
      <c r="M152" s="10" t="s">
        <v>195</v>
      </c>
    </row>
    <row r="153" spans="1:13" x14ac:dyDescent="0.25">
      <c r="A153" s="13" t="str">
        <f t="shared" si="4"/>
        <v>50714239810</v>
      </c>
      <c r="B153" s="10">
        <v>1004042839</v>
      </c>
      <c r="C153" s="10">
        <v>507142398</v>
      </c>
      <c r="D153" s="10">
        <v>10</v>
      </c>
      <c r="E153" s="10" t="s">
        <v>10</v>
      </c>
      <c r="F153" s="10">
        <v>1191882</v>
      </c>
      <c r="G153" s="10" t="s">
        <v>137</v>
      </c>
      <c r="H153" s="11">
        <v>62639</v>
      </c>
      <c r="I153" s="10">
        <v>0</v>
      </c>
      <c r="J153" s="11">
        <f t="shared" si="5"/>
        <v>62639</v>
      </c>
      <c r="K153" s="12">
        <f>VLOOKUP(A153,[1]VA05!$A:$K,11,FALSE)</f>
        <v>45579</v>
      </c>
      <c r="L153" s="10" t="s">
        <v>12</v>
      </c>
      <c r="M153" s="10" t="s">
        <v>140</v>
      </c>
    </row>
    <row r="154" spans="1:13" x14ac:dyDescent="0.25">
      <c r="A154" s="13" t="str">
        <f t="shared" si="4"/>
        <v>50714248010</v>
      </c>
      <c r="B154" s="10">
        <v>1004042840</v>
      </c>
      <c r="C154" s="10">
        <v>507142480</v>
      </c>
      <c r="D154" s="10">
        <v>10</v>
      </c>
      <c r="E154" s="10" t="s">
        <v>10</v>
      </c>
      <c r="F154" s="10">
        <v>1191882</v>
      </c>
      <c r="G154" s="10" t="s">
        <v>137</v>
      </c>
      <c r="H154" s="11">
        <v>51677</v>
      </c>
      <c r="I154" s="10">
        <v>0</v>
      </c>
      <c r="J154" s="11">
        <f t="shared" si="5"/>
        <v>51677</v>
      </c>
      <c r="K154" s="12">
        <f>VLOOKUP(A154,[1]VA05!$A:$K,11,FALSE)</f>
        <v>45587</v>
      </c>
      <c r="L154" s="10" t="s">
        <v>12</v>
      </c>
      <c r="M154" s="10" t="s">
        <v>141</v>
      </c>
    </row>
    <row r="155" spans="1:13" x14ac:dyDescent="0.25">
      <c r="A155" s="13" t="str">
        <f t="shared" si="4"/>
        <v>50714239810</v>
      </c>
      <c r="B155" s="10">
        <v>1004041747</v>
      </c>
      <c r="C155" s="10">
        <v>507142398</v>
      </c>
      <c r="D155" s="10">
        <v>10</v>
      </c>
      <c r="E155" s="10" t="s">
        <v>10</v>
      </c>
      <c r="F155" s="10">
        <v>1191889</v>
      </c>
      <c r="G155" s="10" t="s">
        <v>126</v>
      </c>
      <c r="H155" s="11">
        <v>67867</v>
      </c>
      <c r="I155" s="11">
        <v>57534</v>
      </c>
      <c r="J155" s="11">
        <f t="shared" si="5"/>
        <v>10333</v>
      </c>
      <c r="K155" s="12">
        <f>VLOOKUP(A155,[1]VA05!$A:$K,11,FALSE)</f>
        <v>45579</v>
      </c>
      <c r="L155" s="10" t="s">
        <v>11</v>
      </c>
      <c r="M155" s="10" t="s">
        <v>107</v>
      </c>
    </row>
    <row r="156" spans="1:13" x14ac:dyDescent="0.25">
      <c r="A156" s="13" t="str">
        <f t="shared" si="4"/>
        <v>50714248010</v>
      </c>
      <c r="B156" s="10">
        <v>1004056890</v>
      </c>
      <c r="C156" s="10">
        <v>507142480</v>
      </c>
      <c r="D156" s="10">
        <v>10</v>
      </c>
      <c r="E156" s="10" t="s">
        <v>10</v>
      </c>
      <c r="F156" s="10">
        <v>1191889</v>
      </c>
      <c r="G156" s="10" t="s">
        <v>126</v>
      </c>
      <c r="H156" s="11">
        <v>55990</v>
      </c>
      <c r="I156" s="10">
        <v>0</v>
      </c>
      <c r="J156" s="11">
        <f t="shared" si="5"/>
        <v>55990</v>
      </c>
      <c r="K156" s="12">
        <f>VLOOKUP(A156,[1]VA05!$A:$K,11,FALSE)</f>
        <v>45587</v>
      </c>
      <c r="L156" s="10" t="s">
        <v>13</v>
      </c>
      <c r="M156" s="10" t="s">
        <v>201</v>
      </c>
    </row>
    <row r="157" spans="1:13" x14ac:dyDescent="0.25">
      <c r="A157" s="13" t="str">
        <f t="shared" si="4"/>
        <v>50714278320</v>
      </c>
      <c r="B157" s="10">
        <v>1004056039</v>
      </c>
      <c r="C157" s="10">
        <v>507142783</v>
      </c>
      <c r="D157" s="10">
        <v>20</v>
      </c>
      <c r="E157" s="10" t="s">
        <v>10</v>
      </c>
      <c r="F157" s="10">
        <v>1161035</v>
      </c>
      <c r="G157" s="10" t="s">
        <v>222</v>
      </c>
      <c r="H157" s="11">
        <v>25747</v>
      </c>
      <c r="I157" s="10">
        <v>0</v>
      </c>
      <c r="J157" s="11">
        <f t="shared" si="5"/>
        <v>25747</v>
      </c>
      <c r="K157" s="12">
        <f>VLOOKUP(A157,[1]VA05!$A:$K,11,FALSE)</f>
        <v>45582</v>
      </c>
      <c r="L157" s="10" t="s">
        <v>13</v>
      </c>
      <c r="M157" s="10" t="s">
        <v>202</v>
      </c>
    </row>
    <row r="158" spans="1:13" x14ac:dyDescent="0.25">
      <c r="A158" s="13" t="str">
        <f t="shared" si="4"/>
        <v>50714271610</v>
      </c>
      <c r="B158" s="10">
        <v>1004056047</v>
      </c>
      <c r="C158" s="10">
        <v>507142716</v>
      </c>
      <c r="D158" s="10">
        <v>10</v>
      </c>
      <c r="E158" s="10" t="s">
        <v>10</v>
      </c>
      <c r="F158" s="10">
        <v>1159340</v>
      </c>
      <c r="G158" s="10" t="s">
        <v>223</v>
      </c>
      <c r="H158" s="11">
        <v>18391</v>
      </c>
      <c r="I158" s="10">
        <v>0</v>
      </c>
      <c r="J158" s="11">
        <f t="shared" si="5"/>
        <v>18391</v>
      </c>
      <c r="K158" s="12">
        <f>VLOOKUP(A158,[1]VA05!$A:$K,11,FALSE)</f>
        <v>45569</v>
      </c>
      <c r="L158" s="10" t="s">
        <v>13</v>
      </c>
      <c r="M158" s="10" t="s">
        <v>180</v>
      </c>
    </row>
    <row r="159" spans="1:13" x14ac:dyDescent="0.25">
      <c r="A159" s="13" t="str">
        <f t="shared" si="4"/>
        <v>50714259350</v>
      </c>
      <c r="B159" s="10">
        <v>1004038638</v>
      </c>
      <c r="C159" s="10">
        <v>507142593</v>
      </c>
      <c r="D159" s="10">
        <v>50</v>
      </c>
      <c r="E159" s="10" t="s">
        <v>10</v>
      </c>
      <c r="F159" s="10">
        <v>1392680</v>
      </c>
      <c r="G159" s="10" t="s">
        <v>148</v>
      </c>
      <c r="H159" s="11">
        <v>126094</v>
      </c>
      <c r="I159" s="11">
        <v>113860</v>
      </c>
      <c r="J159" s="11">
        <f t="shared" si="5"/>
        <v>12234</v>
      </c>
      <c r="K159" s="12">
        <f>VLOOKUP(A159,[1]VA05!$A:$K,11,FALSE)</f>
        <v>45562</v>
      </c>
      <c r="L159" s="10" t="s">
        <v>11</v>
      </c>
      <c r="M159" s="10" t="s">
        <v>105</v>
      </c>
    </row>
    <row r="160" spans="1:13" x14ac:dyDescent="0.25">
      <c r="A160" s="13" t="str">
        <f t="shared" si="4"/>
        <v>50714259410</v>
      </c>
      <c r="B160" s="10">
        <v>1004042029</v>
      </c>
      <c r="C160" s="10">
        <v>507142594</v>
      </c>
      <c r="D160" s="10">
        <v>10</v>
      </c>
      <c r="E160" s="10" t="s">
        <v>10</v>
      </c>
      <c r="F160" s="10">
        <v>1307502</v>
      </c>
      <c r="G160" s="10" t="s">
        <v>127</v>
      </c>
      <c r="H160" s="11">
        <v>5220</v>
      </c>
      <c r="I160" s="10">
        <v>0</v>
      </c>
      <c r="J160" s="11">
        <f t="shared" si="5"/>
        <v>5220</v>
      </c>
      <c r="K160" s="12">
        <f>VLOOKUP(A160,[1]VA05!$A:$K,11,FALSE)</f>
        <v>45552</v>
      </c>
      <c r="L160" s="10" t="s">
        <v>13</v>
      </c>
      <c r="M160" s="10" t="s">
        <v>95</v>
      </c>
    </row>
    <row r="161" spans="1:13" x14ac:dyDescent="0.25">
      <c r="A161" s="13" t="str">
        <f t="shared" si="4"/>
        <v>50714259420</v>
      </c>
      <c r="B161" s="10">
        <v>1004042030</v>
      </c>
      <c r="C161" s="10">
        <v>507142594</v>
      </c>
      <c r="D161" s="10">
        <v>20</v>
      </c>
      <c r="E161" s="10" t="s">
        <v>10</v>
      </c>
      <c r="F161" s="10">
        <v>1307502</v>
      </c>
      <c r="G161" s="10" t="s">
        <v>127</v>
      </c>
      <c r="H161" s="11">
        <v>5220</v>
      </c>
      <c r="I161" s="10">
        <v>0</v>
      </c>
      <c r="J161" s="11">
        <f t="shared" si="5"/>
        <v>5220</v>
      </c>
      <c r="K161" s="12">
        <f>VLOOKUP(A161,[1]VA05!$A:$K,11,FALSE)</f>
        <v>45552</v>
      </c>
      <c r="L161" s="10" t="s">
        <v>13</v>
      </c>
      <c r="M161" s="10" t="s">
        <v>95</v>
      </c>
    </row>
    <row r="162" spans="1:13" x14ac:dyDescent="0.25">
      <c r="A162" s="13" t="str">
        <f t="shared" si="4"/>
        <v>50714259410</v>
      </c>
      <c r="B162" s="10">
        <v>1004050305</v>
      </c>
      <c r="C162" s="10">
        <v>507142594</v>
      </c>
      <c r="D162" s="10">
        <v>10</v>
      </c>
      <c r="E162" s="10" t="s">
        <v>10</v>
      </c>
      <c r="F162" s="10">
        <v>1307503</v>
      </c>
      <c r="G162" s="10" t="s">
        <v>159</v>
      </c>
      <c r="H162" s="11">
        <v>5109</v>
      </c>
      <c r="I162" s="10">
        <v>0</v>
      </c>
      <c r="J162" s="11">
        <f t="shared" si="5"/>
        <v>5109</v>
      </c>
      <c r="K162" s="12">
        <f>VLOOKUP(A162,[1]VA05!$A:$K,11,FALSE)</f>
        <v>45552</v>
      </c>
      <c r="L162" s="10" t="s">
        <v>119</v>
      </c>
      <c r="M162" s="10" t="s">
        <v>95</v>
      </c>
    </row>
    <row r="163" spans="1:13" x14ac:dyDescent="0.25">
      <c r="A163" s="13" t="str">
        <f t="shared" si="4"/>
        <v>50714259420</v>
      </c>
      <c r="B163" s="10">
        <v>1004050306</v>
      </c>
      <c r="C163" s="10">
        <v>507142594</v>
      </c>
      <c r="D163" s="10">
        <v>20</v>
      </c>
      <c r="E163" s="10" t="s">
        <v>10</v>
      </c>
      <c r="F163" s="10">
        <v>1307503</v>
      </c>
      <c r="G163" s="10" t="s">
        <v>159</v>
      </c>
      <c r="H163" s="11">
        <v>5109</v>
      </c>
      <c r="I163" s="10">
        <v>0</v>
      </c>
      <c r="J163" s="11">
        <f t="shared" si="5"/>
        <v>5109</v>
      </c>
      <c r="K163" s="12">
        <f>VLOOKUP(A163,[1]VA05!$A:$K,11,FALSE)</f>
        <v>45552</v>
      </c>
      <c r="L163" s="10" t="s">
        <v>12</v>
      </c>
      <c r="M163" s="10" t="s">
        <v>95</v>
      </c>
    </row>
    <row r="164" spans="1:13" x14ac:dyDescent="0.25">
      <c r="A164" s="13" t="str">
        <f t="shared" si="4"/>
        <v>50714259410</v>
      </c>
      <c r="B164" s="10">
        <v>1004050308</v>
      </c>
      <c r="C164" s="10">
        <v>507142594</v>
      </c>
      <c r="D164" s="10">
        <v>10</v>
      </c>
      <c r="E164" s="10" t="s">
        <v>10</v>
      </c>
      <c r="F164" s="10">
        <v>1307501</v>
      </c>
      <c r="G164" s="10" t="s">
        <v>160</v>
      </c>
      <c r="H164" s="11">
        <v>5220</v>
      </c>
      <c r="I164" s="10">
        <v>0</v>
      </c>
      <c r="J164" s="11">
        <f t="shared" si="5"/>
        <v>5220</v>
      </c>
      <c r="K164" s="12">
        <f>VLOOKUP(A164,[1]VA05!$A:$K,11,FALSE)</f>
        <v>45552</v>
      </c>
      <c r="L164" s="10" t="s">
        <v>12</v>
      </c>
      <c r="M164" s="10" t="s">
        <v>95</v>
      </c>
    </row>
    <row r="165" spans="1:13" x14ac:dyDescent="0.25">
      <c r="A165" s="13" t="str">
        <f t="shared" si="4"/>
        <v>50714259420</v>
      </c>
      <c r="B165" s="10">
        <v>1004050509</v>
      </c>
      <c r="C165" s="10">
        <v>507142594</v>
      </c>
      <c r="D165" s="10">
        <v>20</v>
      </c>
      <c r="E165" s="10" t="s">
        <v>10</v>
      </c>
      <c r="F165" s="10">
        <v>1307501</v>
      </c>
      <c r="G165" s="10" t="s">
        <v>160</v>
      </c>
      <c r="H165" s="11">
        <v>5220</v>
      </c>
      <c r="I165" s="10">
        <v>0</v>
      </c>
      <c r="J165" s="11">
        <f t="shared" si="5"/>
        <v>5220</v>
      </c>
      <c r="K165" s="12">
        <f>VLOOKUP(A165,[1]VA05!$A:$K,11,FALSE)</f>
        <v>45552</v>
      </c>
      <c r="L165" s="10" t="s">
        <v>12</v>
      </c>
      <c r="M165" s="10" t="s">
        <v>95</v>
      </c>
    </row>
    <row r="166" spans="1:13" x14ac:dyDescent="0.25">
      <c r="A166" s="13" t="str">
        <f t="shared" si="4"/>
        <v>50714255810</v>
      </c>
      <c r="B166" s="10">
        <v>1004042232</v>
      </c>
      <c r="C166" s="10">
        <v>507142558</v>
      </c>
      <c r="D166" s="10">
        <v>10</v>
      </c>
      <c r="E166" s="10" t="s">
        <v>10</v>
      </c>
      <c r="F166" s="10">
        <v>1209582</v>
      </c>
      <c r="G166" s="10" t="s">
        <v>128</v>
      </c>
      <c r="H166" s="11">
        <v>61302</v>
      </c>
      <c r="I166" s="10">
        <v>0</v>
      </c>
      <c r="J166" s="11">
        <f t="shared" si="5"/>
        <v>61302</v>
      </c>
      <c r="K166" s="12">
        <f>VLOOKUP(A166,[1]VA05!$A:$K,11,FALSE)</f>
        <v>45562</v>
      </c>
      <c r="L166" s="10" t="s">
        <v>25</v>
      </c>
      <c r="M166" s="10" t="s">
        <v>201</v>
      </c>
    </row>
    <row r="167" spans="1:13" x14ac:dyDescent="0.25">
      <c r="A167" s="13" t="str">
        <f t="shared" si="4"/>
        <v>50714255810</v>
      </c>
      <c r="B167" s="10">
        <v>1004035205</v>
      </c>
      <c r="C167" s="10">
        <v>507142558</v>
      </c>
      <c r="D167" s="10">
        <v>10</v>
      </c>
      <c r="E167" s="10" t="s">
        <v>10</v>
      </c>
      <c r="F167" s="10">
        <v>1209580</v>
      </c>
      <c r="G167" s="10" t="s">
        <v>100</v>
      </c>
      <c r="H167" s="11">
        <v>61302</v>
      </c>
      <c r="I167" s="10">
        <v>0</v>
      </c>
      <c r="J167" s="11">
        <f t="shared" si="5"/>
        <v>61302</v>
      </c>
      <c r="K167" s="12">
        <f>VLOOKUP(A167,[1]VA05!$A:$K,11,FALSE)</f>
        <v>45562</v>
      </c>
      <c r="L167" s="10" t="s">
        <v>25</v>
      </c>
      <c r="M167" s="10" t="s">
        <v>201</v>
      </c>
    </row>
    <row r="168" spans="1:13" x14ac:dyDescent="0.25">
      <c r="A168" s="13" t="str">
        <f t="shared" si="4"/>
        <v>50714255810</v>
      </c>
      <c r="B168" s="10">
        <v>1004042231</v>
      </c>
      <c r="C168" s="10">
        <v>507142558</v>
      </c>
      <c r="D168" s="10">
        <v>10</v>
      </c>
      <c r="E168" s="10" t="s">
        <v>10</v>
      </c>
      <c r="F168" s="10">
        <v>1209581</v>
      </c>
      <c r="G168" s="10" t="s">
        <v>129</v>
      </c>
      <c r="H168" s="11">
        <v>61302</v>
      </c>
      <c r="I168" s="10">
        <v>0</v>
      </c>
      <c r="J168" s="11">
        <f t="shared" si="5"/>
        <v>61302</v>
      </c>
      <c r="K168" s="12">
        <f>VLOOKUP(A168,[1]VA05!$A:$K,11,FALSE)</f>
        <v>45562</v>
      </c>
      <c r="L168" s="10" t="s">
        <v>25</v>
      </c>
      <c r="M168" s="10" t="s">
        <v>201</v>
      </c>
    </row>
    <row r="169" spans="1:13" x14ac:dyDescent="0.25">
      <c r="A169" s="13" t="str">
        <f t="shared" si="4"/>
        <v>50714244520</v>
      </c>
      <c r="B169" s="10">
        <v>1004053208</v>
      </c>
      <c r="C169" s="10">
        <v>507142445</v>
      </c>
      <c r="D169" s="10">
        <v>20</v>
      </c>
      <c r="E169" s="10" t="s">
        <v>10</v>
      </c>
      <c r="F169" s="10">
        <v>1210955</v>
      </c>
      <c r="G169" s="10" t="s">
        <v>215</v>
      </c>
      <c r="H169" s="11">
        <v>53210</v>
      </c>
      <c r="I169" s="10">
        <v>0</v>
      </c>
      <c r="J169" s="11">
        <f t="shared" si="5"/>
        <v>53210</v>
      </c>
      <c r="K169" s="12">
        <f>VLOOKUP(A169,[1]VA05!$A:$K,11,FALSE)</f>
        <v>45595</v>
      </c>
      <c r="L169" s="10" t="s">
        <v>27</v>
      </c>
      <c r="M169" s="10" t="s">
        <v>216</v>
      </c>
    </row>
    <row r="170" spans="1:13" x14ac:dyDescent="0.25">
      <c r="A170" s="13" t="str">
        <f t="shared" si="4"/>
        <v>50714244520</v>
      </c>
      <c r="B170" s="10">
        <v>1004052416</v>
      </c>
      <c r="C170" s="10">
        <v>507142445</v>
      </c>
      <c r="D170" s="10">
        <v>20</v>
      </c>
      <c r="E170" s="10" t="s">
        <v>10</v>
      </c>
      <c r="F170" s="10">
        <v>1259266</v>
      </c>
      <c r="G170" s="10" t="s">
        <v>64</v>
      </c>
      <c r="H170" s="11">
        <v>51912</v>
      </c>
      <c r="I170" s="10">
        <v>0</v>
      </c>
      <c r="J170" s="11">
        <f t="shared" si="5"/>
        <v>51912</v>
      </c>
      <c r="K170" s="12">
        <f>VLOOKUP(A170,[1]VA05!$A:$K,11,FALSE)</f>
        <v>45595</v>
      </c>
      <c r="L170" s="10" t="s">
        <v>27</v>
      </c>
      <c r="M170" s="10" t="s">
        <v>199</v>
      </c>
    </row>
    <row r="171" spans="1:13" x14ac:dyDescent="0.25">
      <c r="A171" s="13" t="str">
        <f t="shared" si="4"/>
        <v>50714244520</v>
      </c>
      <c r="B171" s="10">
        <v>1004052417</v>
      </c>
      <c r="C171" s="10">
        <v>507142445</v>
      </c>
      <c r="D171" s="10">
        <v>20</v>
      </c>
      <c r="E171" s="10" t="s">
        <v>10</v>
      </c>
      <c r="F171" s="10">
        <v>1259265</v>
      </c>
      <c r="G171" s="10" t="s">
        <v>187</v>
      </c>
      <c r="H171" s="11">
        <v>53210</v>
      </c>
      <c r="I171" s="10">
        <v>0</v>
      </c>
      <c r="J171" s="11">
        <f t="shared" si="5"/>
        <v>53210</v>
      </c>
      <c r="K171" s="12">
        <f>VLOOKUP(A171,[1]VA05!$A:$K,11,FALSE)</f>
        <v>45595</v>
      </c>
      <c r="L171" s="10" t="s">
        <v>12</v>
      </c>
      <c r="M171" s="10" t="s">
        <v>202</v>
      </c>
    </row>
    <row r="172" spans="1:13" x14ac:dyDescent="0.25">
      <c r="A172" s="13" t="str">
        <f t="shared" si="4"/>
        <v>50714264910</v>
      </c>
      <c r="B172" s="10">
        <v>1004034992</v>
      </c>
      <c r="C172" s="10">
        <v>507142649</v>
      </c>
      <c r="D172" s="10">
        <v>10</v>
      </c>
      <c r="E172" s="10" t="s">
        <v>10</v>
      </c>
      <c r="F172" s="10">
        <v>1168128</v>
      </c>
      <c r="G172" s="10" t="s">
        <v>77</v>
      </c>
      <c r="H172" s="11">
        <v>51094</v>
      </c>
      <c r="I172" s="11">
        <v>31687</v>
      </c>
      <c r="J172" s="11">
        <f t="shared" si="5"/>
        <v>19407</v>
      </c>
      <c r="K172" s="12">
        <f>VLOOKUP(A172,[1]VA05!$A:$K,11,FALSE)</f>
        <v>45567</v>
      </c>
      <c r="L172" s="10" t="s">
        <v>18</v>
      </c>
      <c r="M172" s="10" t="s">
        <v>180</v>
      </c>
    </row>
    <row r="173" spans="1:13" x14ac:dyDescent="0.25">
      <c r="A173" s="13" t="str">
        <f t="shared" si="4"/>
        <v>50714264710</v>
      </c>
      <c r="B173" s="10">
        <v>1004045115</v>
      </c>
      <c r="C173" s="10">
        <v>507142647</v>
      </c>
      <c r="D173" s="10">
        <v>10</v>
      </c>
      <c r="E173" s="10" t="s">
        <v>10</v>
      </c>
      <c r="F173" s="10">
        <v>1168128</v>
      </c>
      <c r="G173" s="10" t="s">
        <v>77</v>
      </c>
      <c r="H173" s="11">
        <v>54355</v>
      </c>
      <c r="I173" s="10">
        <v>0</v>
      </c>
      <c r="J173" s="11">
        <f t="shared" si="5"/>
        <v>54355</v>
      </c>
      <c r="K173" s="12">
        <f>VLOOKUP(A173,[1]VA05!$A:$K,11,FALSE)</f>
        <v>45567</v>
      </c>
      <c r="L173" s="10" t="s">
        <v>12</v>
      </c>
      <c r="M173" s="10" t="s">
        <v>85</v>
      </c>
    </row>
    <row r="174" spans="1:13" x14ac:dyDescent="0.25">
      <c r="A174" s="13" t="str">
        <f t="shared" si="4"/>
        <v>50714264830</v>
      </c>
      <c r="B174" s="10">
        <v>1004053487</v>
      </c>
      <c r="C174" s="10">
        <v>507142648</v>
      </c>
      <c r="D174" s="10">
        <v>30</v>
      </c>
      <c r="E174" s="10" t="s">
        <v>10</v>
      </c>
      <c r="F174" s="10">
        <v>1168128</v>
      </c>
      <c r="G174" s="10" t="s">
        <v>77</v>
      </c>
      <c r="H174" s="11">
        <v>71748</v>
      </c>
      <c r="I174" s="11">
        <v>71748</v>
      </c>
      <c r="J174" s="11">
        <f t="shared" si="5"/>
        <v>0</v>
      </c>
      <c r="K174" s="12">
        <f>VLOOKUP(A174,[1]VA05!$A:$K,11,FALSE)</f>
        <v>45580</v>
      </c>
      <c r="L174" s="10" t="s">
        <v>28</v>
      </c>
      <c r="M174" s="10" t="s">
        <v>130</v>
      </c>
    </row>
    <row r="175" spans="1:13" x14ac:dyDescent="0.25">
      <c r="A175" s="13" t="str">
        <f t="shared" si="4"/>
        <v>50714278810</v>
      </c>
      <c r="B175" s="10">
        <v>1004053488</v>
      </c>
      <c r="C175" s="10">
        <v>507142788</v>
      </c>
      <c r="D175" s="10">
        <v>10</v>
      </c>
      <c r="E175" s="10" t="s">
        <v>10</v>
      </c>
      <c r="F175" s="10">
        <v>1168128</v>
      </c>
      <c r="G175" s="10" t="s">
        <v>77</v>
      </c>
      <c r="H175" s="11">
        <v>56529</v>
      </c>
      <c r="I175" s="10">
        <v>0</v>
      </c>
      <c r="J175" s="11">
        <f t="shared" si="5"/>
        <v>56529</v>
      </c>
      <c r="K175" s="12">
        <f>VLOOKUP(A175,[1]VA05!$A:$K,11,FALSE)</f>
        <v>45582</v>
      </c>
      <c r="L175" s="10" t="s">
        <v>12</v>
      </c>
      <c r="M175" s="10" t="s">
        <v>162</v>
      </c>
    </row>
    <row r="176" spans="1:13" x14ac:dyDescent="0.25">
      <c r="A176" s="13" t="str">
        <f t="shared" si="4"/>
        <v>50714264710</v>
      </c>
      <c r="B176" s="10">
        <v>1004038443</v>
      </c>
      <c r="C176" s="10">
        <v>507142647</v>
      </c>
      <c r="D176" s="10">
        <v>10</v>
      </c>
      <c r="E176" s="10" t="s">
        <v>10</v>
      </c>
      <c r="F176" s="10">
        <v>1168125</v>
      </c>
      <c r="G176" s="10" t="s">
        <v>32</v>
      </c>
      <c r="H176" s="11">
        <v>54355</v>
      </c>
      <c r="I176" s="11">
        <v>28372</v>
      </c>
      <c r="J176" s="11">
        <f t="shared" si="5"/>
        <v>25983</v>
      </c>
      <c r="K176" s="12">
        <f>VLOOKUP(A176,[1]VA05!$A:$K,11,FALSE)</f>
        <v>45567</v>
      </c>
      <c r="L176" s="10" t="s">
        <v>18</v>
      </c>
      <c r="M176" s="10" t="s">
        <v>180</v>
      </c>
    </row>
    <row r="177" spans="1:13" x14ac:dyDescent="0.25">
      <c r="A177" s="13" t="str">
        <f t="shared" si="4"/>
        <v>50714264910</v>
      </c>
      <c r="B177" s="10">
        <v>1004038445</v>
      </c>
      <c r="C177" s="10">
        <v>507142649</v>
      </c>
      <c r="D177" s="10">
        <v>10</v>
      </c>
      <c r="E177" s="10" t="s">
        <v>10</v>
      </c>
      <c r="F177" s="10">
        <v>1168125</v>
      </c>
      <c r="G177" s="10" t="s">
        <v>32</v>
      </c>
      <c r="H177" s="11">
        <v>51094</v>
      </c>
      <c r="I177" s="10">
        <v>0</v>
      </c>
      <c r="J177" s="11">
        <f t="shared" si="5"/>
        <v>51094</v>
      </c>
      <c r="K177" s="12">
        <f>VLOOKUP(A177,[1]VA05!$A:$K,11,FALSE)</f>
        <v>45567</v>
      </c>
      <c r="L177" s="10" t="s">
        <v>12</v>
      </c>
      <c r="M177" s="10" t="s">
        <v>84</v>
      </c>
    </row>
    <row r="178" spans="1:13" x14ac:dyDescent="0.25">
      <c r="A178" s="13" t="str">
        <f t="shared" si="4"/>
        <v>50714268810</v>
      </c>
      <c r="B178" s="10">
        <v>1004051400</v>
      </c>
      <c r="C178" s="10">
        <v>507142688</v>
      </c>
      <c r="D178" s="10">
        <v>10</v>
      </c>
      <c r="E178" s="10" t="s">
        <v>10</v>
      </c>
      <c r="F178" s="10">
        <v>1430111</v>
      </c>
      <c r="G178" s="10" t="s">
        <v>101</v>
      </c>
      <c r="H178" s="11">
        <v>122842</v>
      </c>
      <c r="I178" s="10">
        <v>0</v>
      </c>
      <c r="J178" s="11">
        <f t="shared" si="5"/>
        <v>122842</v>
      </c>
      <c r="K178" s="12">
        <f>VLOOKUP(A178,[1]VA05!$A:$K,11,FALSE)</f>
        <v>45567</v>
      </c>
      <c r="L178" s="10" t="s">
        <v>25</v>
      </c>
      <c r="M178" s="10" t="s">
        <v>107</v>
      </c>
    </row>
    <row r="179" spans="1:13" x14ac:dyDescent="0.25">
      <c r="A179" s="13" t="str">
        <f t="shared" si="4"/>
        <v>50714239390</v>
      </c>
      <c r="B179" s="10">
        <v>1004032826</v>
      </c>
      <c r="C179" s="10">
        <v>507142393</v>
      </c>
      <c r="D179" s="10">
        <v>90</v>
      </c>
      <c r="E179" s="10" t="s">
        <v>10</v>
      </c>
      <c r="F179" s="10">
        <v>1416752</v>
      </c>
      <c r="G179" s="10" t="s">
        <v>52</v>
      </c>
      <c r="H179" s="11">
        <v>47012</v>
      </c>
      <c r="I179" s="11">
        <v>38740</v>
      </c>
      <c r="J179" s="11">
        <f t="shared" si="5"/>
        <v>8272</v>
      </c>
      <c r="K179" s="12" t="e">
        <f>VLOOKUP(A179,[1]VA05!$A:$K,11,FALSE)</f>
        <v>#N/A</v>
      </c>
      <c r="L179" s="10" t="s">
        <v>11</v>
      </c>
      <c r="M179" s="10" t="s">
        <v>73</v>
      </c>
    </row>
    <row r="180" spans="1:13" x14ac:dyDescent="0.25">
      <c r="A180" s="13" t="str">
        <f t="shared" si="4"/>
        <v>507142416150</v>
      </c>
      <c r="B180" s="10">
        <v>1004052419</v>
      </c>
      <c r="C180" s="10">
        <v>507142416</v>
      </c>
      <c r="D180" s="10">
        <v>150</v>
      </c>
      <c r="E180" s="10" t="s">
        <v>10</v>
      </c>
      <c r="F180" s="10">
        <v>1269350</v>
      </c>
      <c r="G180" s="10" t="s">
        <v>188</v>
      </c>
      <c r="H180" s="11">
        <v>10439</v>
      </c>
      <c r="I180" s="10">
        <v>0</v>
      </c>
      <c r="J180" s="11">
        <f t="shared" si="5"/>
        <v>10439</v>
      </c>
      <c r="K180" s="12">
        <f>VLOOKUP(A180,[1]VA05!$A:$K,11,FALSE)</f>
        <v>45576</v>
      </c>
      <c r="L180" s="10" t="s">
        <v>12</v>
      </c>
      <c r="M180" s="10" t="s">
        <v>156</v>
      </c>
    </row>
    <row r="181" spans="1:13" x14ac:dyDescent="0.25">
      <c r="A181" s="13" t="str">
        <f t="shared" si="4"/>
        <v>507142416170</v>
      </c>
      <c r="B181" s="10">
        <v>1004051401</v>
      </c>
      <c r="C181" s="10">
        <v>507142416</v>
      </c>
      <c r="D181" s="10">
        <v>170</v>
      </c>
      <c r="E181" s="10" t="s">
        <v>10</v>
      </c>
      <c r="F181" s="10">
        <v>1267335</v>
      </c>
      <c r="G181" s="10" t="s">
        <v>138</v>
      </c>
      <c r="H181" s="11">
        <v>10439</v>
      </c>
      <c r="I181" s="11">
        <v>10439</v>
      </c>
      <c r="J181" s="11">
        <f t="shared" si="5"/>
        <v>0</v>
      </c>
      <c r="K181" s="12">
        <f>VLOOKUP(A181,[1]VA05!$A:$K,11,FALSE)</f>
        <v>45580</v>
      </c>
      <c r="L181" s="10" t="s">
        <v>113</v>
      </c>
      <c r="M181" s="10" t="s">
        <v>162</v>
      </c>
    </row>
    <row r="182" spans="1:13" x14ac:dyDescent="0.25">
      <c r="A182" s="13" t="str">
        <f t="shared" si="4"/>
        <v>50714268820</v>
      </c>
      <c r="B182" s="10">
        <v>1004052420</v>
      </c>
      <c r="C182" s="10">
        <v>507142688</v>
      </c>
      <c r="D182" s="10">
        <v>20</v>
      </c>
      <c r="E182" s="10" t="s">
        <v>10</v>
      </c>
      <c r="F182" s="10">
        <v>1430096</v>
      </c>
      <c r="G182" s="10" t="s">
        <v>93</v>
      </c>
      <c r="H182" s="11">
        <v>134120</v>
      </c>
      <c r="I182" s="10">
        <v>0</v>
      </c>
      <c r="J182" s="11">
        <f t="shared" si="5"/>
        <v>134120</v>
      </c>
      <c r="K182" s="12">
        <f>VLOOKUP(A182,[1]VA05!$A:$K,11,FALSE)</f>
        <v>45567</v>
      </c>
      <c r="L182" s="10" t="s">
        <v>12</v>
      </c>
      <c r="M182" s="10" t="s">
        <v>143</v>
      </c>
    </row>
    <row r="183" spans="1:13" x14ac:dyDescent="0.25">
      <c r="A183" s="13" t="str">
        <f t="shared" si="4"/>
        <v>50714264820</v>
      </c>
      <c r="B183" s="10">
        <v>1004034229</v>
      </c>
      <c r="C183" s="10">
        <v>507142648</v>
      </c>
      <c r="D183" s="10">
        <v>20</v>
      </c>
      <c r="E183" s="10" t="s">
        <v>10</v>
      </c>
      <c r="F183" s="10">
        <v>1421506</v>
      </c>
      <c r="G183" s="10" t="s">
        <v>75</v>
      </c>
      <c r="H183" s="11">
        <v>106418</v>
      </c>
      <c r="I183" s="11">
        <v>89996</v>
      </c>
      <c r="J183" s="11">
        <f t="shared" si="5"/>
        <v>16422</v>
      </c>
      <c r="K183" s="12">
        <f>VLOOKUP(A183,[1]VA05!$A:$K,11,FALSE)</f>
        <v>45559</v>
      </c>
      <c r="L183" s="10" t="s">
        <v>18</v>
      </c>
      <c r="M183" s="10" t="s">
        <v>96</v>
      </c>
    </row>
    <row r="184" spans="1:13" x14ac:dyDescent="0.25">
      <c r="A184" s="13" t="str">
        <f t="shared" si="4"/>
        <v>50714268920</v>
      </c>
      <c r="B184" s="10">
        <v>1004041355</v>
      </c>
      <c r="C184" s="10">
        <v>507142689</v>
      </c>
      <c r="D184" s="10">
        <v>20</v>
      </c>
      <c r="E184" s="10" t="s">
        <v>10</v>
      </c>
      <c r="F184" s="10">
        <v>1187156</v>
      </c>
      <c r="G184" s="10" t="s">
        <v>80</v>
      </c>
      <c r="H184" s="11">
        <v>85860</v>
      </c>
      <c r="I184" s="11">
        <v>28066</v>
      </c>
      <c r="J184" s="11">
        <f t="shared" si="5"/>
        <v>57794</v>
      </c>
      <c r="K184" s="12">
        <f>VLOOKUP(A184,[1]VA05!$A:$K,11,FALSE)</f>
        <v>45558</v>
      </c>
      <c r="L184" s="10" t="s">
        <v>18</v>
      </c>
      <c r="M184" s="10" t="s">
        <v>131</v>
      </c>
    </row>
    <row r="185" spans="1:13" x14ac:dyDescent="0.25">
      <c r="A185" s="13" t="str">
        <f t="shared" si="4"/>
        <v>507142416140</v>
      </c>
      <c r="B185" s="10">
        <v>1004051396</v>
      </c>
      <c r="C185" s="10">
        <v>507142416</v>
      </c>
      <c r="D185" s="10">
        <v>140</v>
      </c>
      <c r="E185" s="10" t="s">
        <v>10</v>
      </c>
      <c r="F185" s="10">
        <v>1269354</v>
      </c>
      <c r="G185" s="10" t="s">
        <v>169</v>
      </c>
      <c r="H185" s="11">
        <v>10217</v>
      </c>
      <c r="I185" s="10">
        <v>0</v>
      </c>
      <c r="J185" s="11">
        <f t="shared" si="5"/>
        <v>10217</v>
      </c>
      <c r="K185" s="12">
        <f>VLOOKUP(A185,[1]VA05!$A:$K,11,FALSE)</f>
        <v>45576</v>
      </c>
      <c r="L185" s="10" t="s">
        <v>25</v>
      </c>
      <c r="M185" s="10" t="s">
        <v>162</v>
      </c>
    </row>
    <row r="186" spans="1:13" x14ac:dyDescent="0.25">
      <c r="A186" s="13" t="str">
        <f t="shared" si="4"/>
        <v>507142416160</v>
      </c>
      <c r="B186" s="10">
        <v>1004051395</v>
      </c>
      <c r="C186" s="10">
        <v>507142416</v>
      </c>
      <c r="D186" s="10">
        <v>160</v>
      </c>
      <c r="E186" s="10" t="s">
        <v>10</v>
      </c>
      <c r="F186" s="10">
        <v>1267332</v>
      </c>
      <c r="G186" s="10" t="s">
        <v>102</v>
      </c>
      <c r="H186" s="11">
        <v>10217</v>
      </c>
      <c r="I186" s="11">
        <v>6487</v>
      </c>
      <c r="J186" s="11">
        <f t="shared" si="5"/>
        <v>3730</v>
      </c>
      <c r="K186" s="12">
        <f>VLOOKUP(A186,[1]VA05!$A:$K,11,FALSE)</f>
        <v>45580</v>
      </c>
      <c r="L186" s="10" t="s">
        <v>11</v>
      </c>
      <c r="M186" s="10" t="s">
        <v>179</v>
      </c>
    </row>
    <row r="187" spans="1:13" x14ac:dyDescent="0.25">
      <c r="A187" s="13" t="str">
        <f t="shared" si="4"/>
        <v>50714271370</v>
      </c>
      <c r="B187" s="10">
        <v>1004042923</v>
      </c>
      <c r="C187" s="10">
        <v>507142713</v>
      </c>
      <c r="D187" s="10">
        <v>70</v>
      </c>
      <c r="E187" s="10" t="s">
        <v>10</v>
      </c>
      <c r="F187" s="10">
        <v>1256197</v>
      </c>
      <c r="G187" s="10" t="s">
        <v>139</v>
      </c>
      <c r="H187" s="11">
        <v>10217</v>
      </c>
      <c r="I187" s="10">
        <v>0</v>
      </c>
      <c r="J187" s="11">
        <f t="shared" si="5"/>
        <v>10217</v>
      </c>
      <c r="K187" s="12">
        <f>VLOOKUP(A187,[1]VA05!$A:$K,11,FALSE)</f>
        <v>45591</v>
      </c>
      <c r="L187" s="10" t="s">
        <v>13</v>
      </c>
      <c r="M187" s="10" t="s">
        <v>142</v>
      </c>
    </row>
    <row r="188" spans="1:13" x14ac:dyDescent="0.25">
      <c r="A188" s="13" t="str">
        <f t="shared" si="4"/>
        <v>50714264910</v>
      </c>
      <c r="B188" s="10">
        <v>1004037614</v>
      </c>
      <c r="C188" s="10">
        <v>507142649</v>
      </c>
      <c r="D188" s="10">
        <v>10</v>
      </c>
      <c r="E188" s="10" t="s">
        <v>10</v>
      </c>
      <c r="F188" s="10">
        <v>1168127</v>
      </c>
      <c r="G188" s="10" t="s">
        <v>21</v>
      </c>
      <c r="H188" s="11">
        <v>51094</v>
      </c>
      <c r="I188" s="10">
        <v>0</v>
      </c>
      <c r="J188" s="11">
        <f t="shared" si="5"/>
        <v>51094</v>
      </c>
      <c r="K188" s="12">
        <f>VLOOKUP(A188,[1]VA05!$A:$K,11,FALSE)</f>
        <v>45567</v>
      </c>
      <c r="L188" s="10" t="s">
        <v>12</v>
      </c>
      <c r="M188" s="10" t="s">
        <v>84</v>
      </c>
    </row>
    <row r="189" spans="1:13" x14ac:dyDescent="0.25">
      <c r="A189" s="13" t="str">
        <f t="shared" si="4"/>
        <v>50714268910</v>
      </c>
      <c r="B189" s="10">
        <v>1004042916</v>
      </c>
      <c r="C189" s="10">
        <v>507142689</v>
      </c>
      <c r="D189" s="10">
        <v>10</v>
      </c>
      <c r="E189" s="10" t="s">
        <v>10</v>
      </c>
      <c r="F189" s="10">
        <v>1168127</v>
      </c>
      <c r="G189" s="10" t="s">
        <v>21</v>
      </c>
      <c r="H189" s="11">
        <v>77184</v>
      </c>
      <c r="I189" s="11">
        <v>77184</v>
      </c>
      <c r="J189" s="11">
        <f t="shared" si="5"/>
        <v>0</v>
      </c>
      <c r="K189" s="12">
        <f>VLOOKUP(A189,[1]VA05!$A:$K,11,FALSE)</f>
        <v>45558</v>
      </c>
      <c r="L189" s="10" t="s">
        <v>113</v>
      </c>
      <c r="M189" s="10" t="s">
        <v>142</v>
      </c>
    </row>
    <row r="190" spans="1:13" x14ac:dyDescent="0.25">
      <c r="A190" s="13" t="str">
        <f t="shared" si="4"/>
        <v>50714269110</v>
      </c>
      <c r="B190" s="10">
        <v>1004042917</v>
      </c>
      <c r="C190" s="10">
        <v>507142691</v>
      </c>
      <c r="D190" s="10">
        <v>10</v>
      </c>
      <c r="E190" s="10" t="s">
        <v>10</v>
      </c>
      <c r="F190" s="10">
        <v>1168127</v>
      </c>
      <c r="G190" s="10" t="s">
        <v>21</v>
      </c>
      <c r="H190" s="11">
        <v>51094</v>
      </c>
      <c r="I190" s="11">
        <v>8800</v>
      </c>
      <c r="J190" s="11">
        <f t="shared" si="5"/>
        <v>42294</v>
      </c>
      <c r="K190" s="12">
        <f>VLOOKUP(A190,[1]VA05!$A:$K,11,FALSE)</f>
        <v>45547</v>
      </c>
      <c r="L190" s="10" t="s">
        <v>18</v>
      </c>
      <c r="M190" s="10" t="s">
        <v>180</v>
      </c>
    </row>
    <row r="191" spans="1:13" x14ac:dyDescent="0.25">
      <c r="A191" s="13" t="str">
        <f t="shared" si="4"/>
        <v>50714268810</v>
      </c>
      <c r="B191" s="10">
        <v>1004052619</v>
      </c>
      <c r="C191" s="10">
        <v>507142688</v>
      </c>
      <c r="D191" s="10">
        <v>10</v>
      </c>
      <c r="E191" s="10" t="s">
        <v>10</v>
      </c>
      <c r="F191" s="10">
        <v>1168127</v>
      </c>
      <c r="G191" s="10" t="s">
        <v>21</v>
      </c>
      <c r="H191" s="11">
        <v>122842</v>
      </c>
      <c r="I191" s="10">
        <v>0</v>
      </c>
      <c r="J191" s="11">
        <f t="shared" si="5"/>
        <v>122842</v>
      </c>
      <c r="K191" s="12">
        <f>VLOOKUP(A191,[1]VA05!$A:$K,11,FALSE)</f>
        <v>45567</v>
      </c>
      <c r="L191" s="10" t="s">
        <v>12</v>
      </c>
      <c r="M191" s="10" t="s">
        <v>97</v>
      </c>
    </row>
    <row r="192" spans="1:13" x14ac:dyDescent="0.25">
      <c r="A192" s="13" t="str">
        <f t="shared" si="4"/>
        <v>507142416130</v>
      </c>
      <c r="B192" s="10">
        <v>1004052620</v>
      </c>
      <c r="C192" s="10">
        <v>507142416</v>
      </c>
      <c r="D192" s="10">
        <v>130</v>
      </c>
      <c r="E192" s="10" t="s">
        <v>10</v>
      </c>
      <c r="F192" s="10">
        <v>1168127</v>
      </c>
      <c r="G192" s="10" t="s">
        <v>21</v>
      </c>
      <c r="H192" s="11">
        <v>10217</v>
      </c>
      <c r="I192" s="10">
        <v>0</v>
      </c>
      <c r="J192" s="11">
        <f t="shared" si="5"/>
        <v>10217</v>
      </c>
      <c r="K192" s="12">
        <f>VLOOKUP(A192,[1]VA05!$A:$K,11,FALSE)</f>
        <v>45573</v>
      </c>
      <c r="L192" s="10" t="s">
        <v>12</v>
      </c>
      <c r="M192" s="10" t="s">
        <v>194</v>
      </c>
    </row>
    <row r="193" spans="1:13" x14ac:dyDescent="0.25">
      <c r="A193" s="13" t="str">
        <f t="shared" si="4"/>
        <v>50714264830</v>
      </c>
      <c r="B193" s="10">
        <v>1004052621</v>
      </c>
      <c r="C193" s="10">
        <v>507142648</v>
      </c>
      <c r="D193" s="10">
        <v>30</v>
      </c>
      <c r="E193" s="10" t="s">
        <v>10</v>
      </c>
      <c r="F193" s="10">
        <v>1168127</v>
      </c>
      <c r="G193" s="10" t="s">
        <v>21</v>
      </c>
      <c r="H193" s="11">
        <v>71748</v>
      </c>
      <c r="I193" s="10">
        <v>0</v>
      </c>
      <c r="J193" s="11">
        <f t="shared" si="5"/>
        <v>71748</v>
      </c>
      <c r="K193" s="12">
        <f>VLOOKUP(A193,[1]VA05!$A:$K,11,FALSE)</f>
        <v>45580</v>
      </c>
      <c r="L193" s="10" t="s">
        <v>12</v>
      </c>
      <c r="M193" s="10" t="s">
        <v>194</v>
      </c>
    </row>
    <row r="194" spans="1:13" x14ac:dyDescent="0.25">
      <c r="A194" s="13" t="str">
        <f t="shared" si="4"/>
        <v>507142416150</v>
      </c>
      <c r="B194" s="10">
        <v>1004052622</v>
      </c>
      <c r="C194" s="10">
        <v>507142416</v>
      </c>
      <c r="D194" s="10">
        <v>150</v>
      </c>
      <c r="E194" s="10" t="s">
        <v>10</v>
      </c>
      <c r="F194" s="10">
        <v>1168127</v>
      </c>
      <c r="G194" s="10" t="s">
        <v>21</v>
      </c>
      <c r="H194" s="11">
        <v>10217</v>
      </c>
      <c r="I194" s="10">
        <v>0</v>
      </c>
      <c r="J194" s="11">
        <f t="shared" si="5"/>
        <v>10217</v>
      </c>
      <c r="K194" s="12">
        <f>VLOOKUP(A194,[1]VA05!$A:$K,11,FALSE)</f>
        <v>45576</v>
      </c>
      <c r="L194" s="10" t="s">
        <v>12</v>
      </c>
      <c r="M194" s="10" t="s">
        <v>162</v>
      </c>
    </row>
    <row r="195" spans="1:13" x14ac:dyDescent="0.25">
      <c r="A195" s="13" t="str">
        <f t="shared" si="4"/>
        <v>50714278810</v>
      </c>
      <c r="B195" s="10">
        <v>1004052623</v>
      </c>
      <c r="C195" s="10">
        <v>507142788</v>
      </c>
      <c r="D195" s="10">
        <v>10</v>
      </c>
      <c r="E195" s="10" t="s">
        <v>10</v>
      </c>
      <c r="F195" s="10">
        <v>1168127</v>
      </c>
      <c r="G195" s="10" t="s">
        <v>21</v>
      </c>
      <c r="H195" s="11">
        <v>56529</v>
      </c>
      <c r="I195" s="10">
        <v>0</v>
      </c>
      <c r="J195" s="11">
        <f t="shared" si="5"/>
        <v>56529</v>
      </c>
      <c r="K195" s="12">
        <f>VLOOKUP(A195,[1]VA05!$A:$K,11,FALSE)</f>
        <v>45582</v>
      </c>
      <c r="L195" s="10" t="s">
        <v>12</v>
      </c>
      <c r="M195" s="10" t="s">
        <v>162</v>
      </c>
    </row>
    <row r="196" spans="1:13" x14ac:dyDescent="0.25">
      <c r="A196" s="13" t="str">
        <f t="shared" ref="A196:A259" si="6">C196&amp;D196</f>
        <v>50714271380</v>
      </c>
      <c r="B196" s="10">
        <v>1004052624</v>
      </c>
      <c r="C196" s="10">
        <v>507142713</v>
      </c>
      <c r="D196" s="10">
        <v>80</v>
      </c>
      <c r="E196" s="10" t="s">
        <v>10</v>
      </c>
      <c r="F196" s="10">
        <v>1168127</v>
      </c>
      <c r="G196" s="10" t="s">
        <v>21</v>
      </c>
      <c r="H196" s="11">
        <v>10217</v>
      </c>
      <c r="I196" s="10">
        <v>0</v>
      </c>
      <c r="J196" s="11">
        <f t="shared" ref="J196:J259" si="7">H196-I196</f>
        <v>10217</v>
      </c>
      <c r="K196" s="12">
        <f>VLOOKUP(A196,[1]VA05!$A:$K,11,FALSE)</f>
        <v>45591</v>
      </c>
      <c r="L196" s="10" t="s">
        <v>12</v>
      </c>
      <c r="M196" s="10" t="s">
        <v>204</v>
      </c>
    </row>
    <row r="197" spans="1:13" x14ac:dyDescent="0.25">
      <c r="A197" s="13" t="str">
        <f t="shared" si="6"/>
        <v>507142416150</v>
      </c>
      <c r="B197" s="10">
        <v>1004051561</v>
      </c>
      <c r="C197" s="10">
        <v>507142416</v>
      </c>
      <c r="D197" s="10">
        <v>150</v>
      </c>
      <c r="E197" s="10" t="s">
        <v>10</v>
      </c>
      <c r="F197" s="10">
        <v>1269318</v>
      </c>
      <c r="G197" s="10" t="s">
        <v>170</v>
      </c>
      <c r="H197" s="11">
        <v>10217</v>
      </c>
      <c r="I197" s="10">
        <v>0</v>
      </c>
      <c r="J197" s="11">
        <f t="shared" si="7"/>
        <v>10217</v>
      </c>
      <c r="K197" s="12">
        <f>VLOOKUP(A197,[1]VA05!$A:$K,11,FALSE)</f>
        <v>45576</v>
      </c>
      <c r="L197" s="10" t="s">
        <v>12</v>
      </c>
      <c r="M197" s="10" t="s">
        <v>162</v>
      </c>
    </row>
    <row r="198" spans="1:13" x14ac:dyDescent="0.25">
      <c r="A198" s="13" t="str">
        <f t="shared" si="6"/>
        <v>507142416170</v>
      </c>
      <c r="B198" s="10">
        <v>1004051559</v>
      </c>
      <c r="C198" s="10">
        <v>507142416</v>
      </c>
      <c r="D198" s="10">
        <v>170</v>
      </c>
      <c r="E198" s="10" t="s">
        <v>10</v>
      </c>
      <c r="F198" s="10">
        <v>1267334</v>
      </c>
      <c r="G198" s="10" t="s">
        <v>171</v>
      </c>
      <c r="H198" s="11">
        <v>10217</v>
      </c>
      <c r="I198" s="11">
        <v>10217</v>
      </c>
      <c r="J198" s="11">
        <f t="shared" si="7"/>
        <v>0</v>
      </c>
      <c r="K198" s="12">
        <f>VLOOKUP(A198,[1]VA05!$A:$K,11,FALSE)</f>
        <v>45580</v>
      </c>
      <c r="L198" s="10" t="s">
        <v>113</v>
      </c>
      <c r="M198" s="10" t="s">
        <v>179</v>
      </c>
    </row>
    <row r="199" spans="1:13" x14ac:dyDescent="0.25">
      <c r="A199" s="13" t="str">
        <f t="shared" si="6"/>
        <v>50714245510</v>
      </c>
      <c r="B199" s="10">
        <v>1004010713</v>
      </c>
      <c r="C199" s="10">
        <v>507142455</v>
      </c>
      <c r="D199" s="10">
        <v>10</v>
      </c>
      <c r="E199" s="10" t="s">
        <v>10</v>
      </c>
      <c r="F199" s="10">
        <v>1153314</v>
      </c>
      <c r="G199" s="10" t="s">
        <v>60</v>
      </c>
      <c r="H199" s="11">
        <v>26091</v>
      </c>
      <c r="I199" s="11">
        <v>22631</v>
      </c>
      <c r="J199" s="11">
        <f t="shared" si="7"/>
        <v>3460</v>
      </c>
      <c r="K199" s="12" t="e">
        <f>VLOOKUP(A199,[1]VA05!$A:$K,11,FALSE)</f>
        <v>#N/A</v>
      </c>
      <c r="L199" s="10" t="s">
        <v>18</v>
      </c>
      <c r="M199" s="10" t="s">
        <v>61</v>
      </c>
    </row>
    <row r="200" spans="1:13" x14ac:dyDescent="0.25">
      <c r="A200" s="13" t="str">
        <f t="shared" si="6"/>
        <v>50714239390</v>
      </c>
      <c r="B200" s="10">
        <v>1004032825</v>
      </c>
      <c r="C200" s="10">
        <v>507142393</v>
      </c>
      <c r="D200" s="10">
        <v>90</v>
      </c>
      <c r="E200" s="10" t="s">
        <v>10</v>
      </c>
      <c r="F200" s="10">
        <v>1416751</v>
      </c>
      <c r="G200" s="10" t="s">
        <v>57</v>
      </c>
      <c r="H200" s="11">
        <v>45642</v>
      </c>
      <c r="I200" s="10">
        <v>0</v>
      </c>
      <c r="J200" s="11">
        <f t="shared" si="7"/>
        <v>45642</v>
      </c>
      <c r="K200" s="12" t="e">
        <f>VLOOKUP(A200,[1]VA05!$A:$K,11,FALSE)</f>
        <v>#N/A</v>
      </c>
      <c r="L200" s="10" t="s">
        <v>12</v>
      </c>
      <c r="M200" s="10" t="s">
        <v>73</v>
      </c>
    </row>
    <row r="201" spans="1:13" x14ac:dyDescent="0.25">
      <c r="A201" s="13" t="str">
        <f t="shared" si="6"/>
        <v>50714256520</v>
      </c>
      <c r="B201" s="10">
        <v>1004041364</v>
      </c>
      <c r="C201" s="10">
        <v>507142565</v>
      </c>
      <c r="D201" s="10">
        <v>20</v>
      </c>
      <c r="E201" s="10" t="s">
        <v>10</v>
      </c>
      <c r="F201" s="10">
        <v>1170136</v>
      </c>
      <c r="G201" s="10" t="s">
        <v>81</v>
      </c>
      <c r="H201" s="11">
        <v>87480</v>
      </c>
      <c r="I201" s="11">
        <v>58349</v>
      </c>
      <c r="J201" s="11">
        <f t="shared" si="7"/>
        <v>29131</v>
      </c>
      <c r="K201" s="12">
        <f>VLOOKUP(A201,[1]VA05!$A:$K,11,FALSE)</f>
        <v>45561</v>
      </c>
      <c r="L201" s="10" t="s">
        <v>11</v>
      </c>
      <c r="M201" s="10" t="s">
        <v>74</v>
      </c>
    </row>
    <row r="202" spans="1:13" x14ac:dyDescent="0.25">
      <c r="A202" s="13" t="str">
        <f t="shared" si="6"/>
        <v>50714256610</v>
      </c>
      <c r="B202" s="10">
        <v>1004041365</v>
      </c>
      <c r="C202" s="10">
        <v>507142566</v>
      </c>
      <c r="D202" s="10">
        <v>10</v>
      </c>
      <c r="E202" s="10" t="s">
        <v>10</v>
      </c>
      <c r="F202" s="10">
        <v>1170136</v>
      </c>
      <c r="G202" s="10" t="s">
        <v>81</v>
      </c>
      <c r="H202" s="11">
        <v>23298</v>
      </c>
      <c r="I202" s="10">
        <v>0</v>
      </c>
      <c r="J202" s="11">
        <f t="shared" si="7"/>
        <v>23298</v>
      </c>
      <c r="K202" s="12">
        <f>VLOOKUP(A202,[1]VA05!$A:$K,11,FALSE)</f>
        <v>45561</v>
      </c>
      <c r="L202" s="10" t="s">
        <v>12</v>
      </c>
      <c r="M202" s="10" t="s">
        <v>116</v>
      </c>
    </row>
    <row r="203" spans="1:13" x14ac:dyDescent="0.25">
      <c r="A203" s="13" t="str">
        <f t="shared" si="6"/>
        <v>50714256730</v>
      </c>
      <c r="B203" s="10">
        <v>1004041366</v>
      </c>
      <c r="C203" s="10">
        <v>507142567</v>
      </c>
      <c r="D203" s="10">
        <v>30</v>
      </c>
      <c r="E203" s="10" t="s">
        <v>10</v>
      </c>
      <c r="F203" s="10">
        <v>1170136</v>
      </c>
      <c r="G203" s="10" t="s">
        <v>81</v>
      </c>
      <c r="H203" s="11">
        <v>17589</v>
      </c>
      <c r="I203" s="10">
        <v>0</v>
      </c>
      <c r="J203" s="11">
        <f t="shared" si="7"/>
        <v>17589</v>
      </c>
      <c r="K203" s="12">
        <f>VLOOKUP(A203,[1]VA05!$A:$K,11,FALSE)</f>
        <v>45561</v>
      </c>
      <c r="L203" s="10" t="s">
        <v>12</v>
      </c>
      <c r="M203" s="10" t="s">
        <v>85</v>
      </c>
    </row>
    <row r="204" spans="1:13" x14ac:dyDescent="0.25">
      <c r="A204" s="13" t="str">
        <f t="shared" si="6"/>
        <v>50714255610</v>
      </c>
      <c r="B204" s="10">
        <v>1004051403</v>
      </c>
      <c r="C204" s="10">
        <v>507142556</v>
      </c>
      <c r="D204" s="10">
        <v>10</v>
      </c>
      <c r="E204" s="10" t="s">
        <v>24</v>
      </c>
      <c r="F204" s="10">
        <v>1436161</v>
      </c>
      <c r="G204" s="10" t="s">
        <v>94</v>
      </c>
      <c r="H204" s="11">
        <v>1900</v>
      </c>
      <c r="I204" s="10">
        <v>0</v>
      </c>
      <c r="J204" s="11">
        <f t="shared" si="7"/>
        <v>1900</v>
      </c>
      <c r="K204" s="12">
        <f>VLOOKUP(A204,[1]VA05!$A:$K,11,FALSE)</f>
        <v>45538</v>
      </c>
      <c r="L204" s="10" t="s">
        <v>25</v>
      </c>
      <c r="M204" s="10" t="s">
        <v>97</v>
      </c>
    </row>
    <row r="205" spans="1:13" x14ac:dyDescent="0.25">
      <c r="A205" s="13" t="str">
        <f t="shared" si="6"/>
        <v>50714256230</v>
      </c>
      <c r="B205" s="10">
        <v>1004042741</v>
      </c>
      <c r="C205" s="10">
        <v>507142562</v>
      </c>
      <c r="D205" s="10">
        <v>30</v>
      </c>
      <c r="E205" s="10" t="s">
        <v>10</v>
      </c>
      <c r="F205" s="10">
        <v>1165028</v>
      </c>
      <c r="G205" s="10" t="s">
        <v>68</v>
      </c>
      <c r="H205" s="11">
        <v>85259</v>
      </c>
      <c r="I205" s="11">
        <v>23904</v>
      </c>
      <c r="J205" s="11">
        <f t="shared" si="7"/>
        <v>61355</v>
      </c>
      <c r="K205" s="12">
        <f>VLOOKUP(A205,[1]VA05!$A:$K,11,FALSE)</f>
        <v>45565</v>
      </c>
      <c r="L205" s="10" t="s">
        <v>18</v>
      </c>
      <c r="M205" s="10" t="s">
        <v>201</v>
      </c>
    </row>
    <row r="206" spans="1:13" x14ac:dyDescent="0.25">
      <c r="A206" s="13" t="str">
        <f t="shared" si="6"/>
        <v>50714256230</v>
      </c>
      <c r="B206" s="10">
        <v>1004035819</v>
      </c>
      <c r="C206" s="10">
        <v>507142562</v>
      </c>
      <c r="D206" s="10">
        <v>30</v>
      </c>
      <c r="E206" s="10" t="s">
        <v>10</v>
      </c>
      <c r="F206" s="10">
        <v>1176008</v>
      </c>
      <c r="G206" s="10" t="s">
        <v>65</v>
      </c>
      <c r="H206" s="11">
        <v>85259</v>
      </c>
      <c r="I206" s="11">
        <v>17033</v>
      </c>
      <c r="J206" s="11">
        <f t="shared" si="7"/>
        <v>68226</v>
      </c>
      <c r="K206" s="12">
        <f>VLOOKUP(A206,[1]VA05!$A:$K,11,FALSE)</f>
        <v>45565</v>
      </c>
      <c r="L206" s="10" t="s">
        <v>18</v>
      </c>
      <c r="M206" s="10" t="s">
        <v>201</v>
      </c>
    </row>
    <row r="207" spans="1:13" x14ac:dyDescent="0.25">
      <c r="A207" s="13" t="str">
        <f t="shared" si="6"/>
        <v>50714256230</v>
      </c>
      <c r="B207" s="10">
        <v>1004042025</v>
      </c>
      <c r="C207" s="10">
        <v>507142562</v>
      </c>
      <c r="D207" s="10">
        <v>30</v>
      </c>
      <c r="E207" s="10" t="s">
        <v>10</v>
      </c>
      <c r="F207" s="10">
        <v>1170133</v>
      </c>
      <c r="G207" s="10" t="s">
        <v>70</v>
      </c>
      <c r="H207" s="11">
        <v>85259</v>
      </c>
      <c r="I207" s="11">
        <v>46629</v>
      </c>
      <c r="J207" s="11">
        <f t="shared" si="7"/>
        <v>38630</v>
      </c>
      <c r="K207" s="12">
        <f>VLOOKUP(A207,[1]VA05!$A:$K,11,FALSE)</f>
        <v>45565</v>
      </c>
      <c r="L207" s="10" t="s">
        <v>18</v>
      </c>
      <c r="M207" s="10" t="s">
        <v>130</v>
      </c>
    </row>
    <row r="208" spans="1:13" x14ac:dyDescent="0.25">
      <c r="A208" s="13" t="str">
        <f t="shared" si="6"/>
        <v>50714256530</v>
      </c>
      <c r="B208" s="10">
        <v>1004044947</v>
      </c>
      <c r="C208" s="10">
        <v>507142565</v>
      </c>
      <c r="D208" s="10">
        <v>30</v>
      </c>
      <c r="E208" s="10" t="s">
        <v>10</v>
      </c>
      <c r="F208" s="10">
        <v>1169065</v>
      </c>
      <c r="G208" s="10" t="s">
        <v>83</v>
      </c>
      <c r="H208" s="11">
        <v>85895</v>
      </c>
      <c r="I208" s="11">
        <v>33313</v>
      </c>
      <c r="J208" s="11">
        <f t="shared" si="7"/>
        <v>52582</v>
      </c>
      <c r="K208" s="12">
        <f>VLOOKUP(A208,[1]VA05!$A:$K,11,FALSE)</f>
        <v>45561</v>
      </c>
      <c r="L208" s="10" t="s">
        <v>18</v>
      </c>
      <c r="M208" s="10" t="s">
        <v>142</v>
      </c>
    </row>
    <row r="209" spans="1:13" x14ac:dyDescent="0.25">
      <c r="A209" s="13" t="str">
        <f t="shared" si="6"/>
        <v>50714256720</v>
      </c>
      <c r="B209" s="10">
        <v>1004044948</v>
      </c>
      <c r="C209" s="10">
        <v>507142567</v>
      </c>
      <c r="D209" s="10">
        <v>20</v>
      </c>
      <c r="E209" s="10" t="s">
        <v>10</v>
      </c>
      <c r="F209" s="10">
        <v>1169065</v>
      </c>
      <c r="G209" s="10" t="s">
        <v>83</v>
      </c>
      <c r="H209" s="11">
        <v>17711</v>
      </c>
      <c r="I209" s="10">
        <v>0</v>
      </c>
      <c r="J209" s="11">
        <f t="shared" si="7"/>
        <v>17711</v>
      </c>
      <c r="K209" s="12">
        <f>VLOOKUP(A209,[1]VA05!$A:$K,11,FALSE)</f>
        <v>45561</v>
      </c>
      <c r="L209" s="10" t="s">
        <v>12</v>
      </c>
      <c r="M209" s="10" t="s">
        <v>98</v>
      </c>
    </row>
    <row r="210" spans="1:13" x14ac:dyDescent="0.25">
      <c r="A210" s="13" t="str">
        <f t="shared" si="6"/>
        <v>50714256610</v>
      </c>
      <c r="B210" s="10">
        <v>1004044990</v>
      </c>
      <c r="C210" s="10">
        <v>507142566</v>
      </c>
      <c r="D210" s="10">
        <v>10</v>
      </c>
      <c r="E210" s="10" t="s">
        <v>10</v>
      </c>
      <c r="F210" s="10">
        <v>1171801</v>
      </c>
      <c r="G210" s="10" t="s">
        <v>71</v>
      </c>
      <c r="H210" s="11">
        <v>21280</v>
      </c>
      <c r="I210" s="11">
        <v>16540</v>
      </c>
      <c r="J210" s="11">
        <f t="shared" si="7"/>
        <v>4740</v>
      </c>
      <c r="K210" s="12">
        <f>VLOOKUP(A210,[1]VA05!$A:$K,11,FALSE)</f>
        <v>45561</v>
      </c>
      <c r="L210" s="10" t="s">
        <v>18</v>
      </c>
      <c r="M210" s="10" t="s">
        <v>155</v>
      </c>
    </row>
    <row r="211" spans="1:13" x14ac:dyDescent="0.25">
      <c r="A211" s="13" t="str">
        <f t="shared" si="6"/>
        <v>50714256730</v>
      </c>
      <c r="B211" s="10">
        <v>1004052387</v>
      </c>
      <c r="C211" s="10">
        <v>507142567</v>
      </c>
      <c r="D211" s="10">
        <v>30</v>
      </c>
      <c r="E211" s="10" t="s">
        <v>10</v>
      </c>
      <c r="F211" s="10">
        <v>1171801</v>
      </c>
      <c r="G211" s="10" t="s">
        <v>71</v>
      </c>
      <c r="H211" s="11">
        <v>16066</v>
      </c>
      <c r="I211" s="10">
        <v>0</v>
      </c>
      <c r="J211" s="11">
        <f t="shared" si="7"/>
        <v>16066</v>
      </c>
      <c r="K211" s="12">
        <f>VLOOKUP(A211,[1]VA05!$A:$K,11,FALSE)</f>
        <v>45561</v>
      </c>
      <c r="L211" s="10" t="s">
        <v>25</v>
      </c>
      <c r="M211" s="10" t="s">
        <v>155</v>
      </c>
    </row>
    <row r="212" spans="1:13" x14ac:dyDescent="0.25">
      <c r="A212" s="13" t="str">
        <f t="shared" si="6"/>
        <v>50714256520</v>
      </c>
      <c r="B212" s="10">
        <v>1004052388</v>
      </c>
      <c r="C212" s="10">
        <v>507142565</v>
      </c>
      <c r="D212" s="10">
        <v>20</v>
      </c>
      <c r="E212" s="10" t="s">
        <v>10</v>
      </c>
      <c r="F212" s="10">
        <v>1171801</v>
      </c>
      <c r="G212" s="10" t="s">
        <v>71</v>
      </c>
      <c r="H212" s="11">
        <v>79905</v>
      </c>
      <c r="I212" s="10">
        <v>0</v>
      </c>
      <c r="J212" s="11">
        <f t="shared" si="7"/>
        <v>79905</v>
      </c>
      <c r="K212" s="12">
        <f>VLOOKUP(A212,[1]VA05!$A:$K,11,FALSE)</f>
        <v>45561</v>
      </c>
      <c r="L212" s="10" t="s">
        <v>13</v>
      </c>
      <c r="M212" s="10" t="s">
        <v>180</v>
      </c>
    </row>
    <row r="213" spans="1:13" x14ac:dyDescent="0.25">
      <c r="A213" s="13" t="str">
        <f t="shared" si="6"/>
        <v>50714276210</v>
      </c>
      <c r="B213" s="10">
        <v>1004051397</v>
      </c>
      <c r="C213" s="10">
        <v>507142762</v>
      </c>
      <c r="D213" s="10">
        <v>10</v>
      </c>
      <c r="E213" s="10" t="s">
        <v>10</v>
      </c>
      <c r="F213" s="10">
        <v>1162016</v>
      </c>
      <c r="G213" s="10" t="s">
        <v>172</v>
      </c>
      <c r="H213" s="11">
        <v>40900</v>
      </c>
      <c r="I213" s="10">
        <v>483</v>
      </c>
      <c r="J213" s="11">
        <f t="shared" si="7"/>
        <v>40417</v>
      </c>
      <c r="K213" s="12">
        <f>VLOOKUP(A213,[1]VA05!$A:$K,11,FALSE)</f>
        <v>45570</v>
      </c>
      <c r="L213" s="10" t="s">
        <v>11</v>
      </c>
      <c r="M213" s="10" t="s">
        <v>143</v>
      </c>
    </row>
    <row r="214" spans="1:13" x14ac:dyDescent="0.25">
      <c r="A214" s="13" t="str">
        <f t="shared" si="6"/>
        <v>50714263610</v>
      </c>
      <c r="B214" s="10">
        <v>1004040222</v>
      </c>
      <c r="C214" s="10">
        <v>507142636</v>
      </c>
      <c r="D214" s="10">
        <v>10</v>
      </c>
      <c r="E214" s="10" t="s">
        <v>10</v>
      </c>
      <c r="F214" s="10">
        <v>1437043</v>
      </c>
      <c r="G214" s="10" t="s">
        <v>115</v>
      </c>
      <c r="H214" s="11">
        <v>51125</v>
      </c>
      <c r="I214" s="11">
        <v>43670</v>
      </c>
      <c r="J214" s="11">
        <f t="shared" si="7"/>
        <v>7455</v>
      </c>
      <c r="K214" s="12">
        <f>VLOOKUP(A214,[1]VA05!$A:$K,11,FALSE)</f>
        <v>45552</v>
      </c>
      <c r="L214" s="10" t="s">
        <v>11</v>
      </c>
      <c r="M214" s="10" t="s">
        <v>116</v>
      </c>
    </row>
    <row r="215" spans="1:13" x14ac:dyDescent="0.25">
      <c r="A215" s="13" t="str">
        <f t="shared" si="6"/>
        <v>50714276210</v>
      </c>
      <c r="B215" s="10">
        <v>1004051398</v>
      </c>
      <c r="C215" s="10">
        <v>507142762</v>
      </c>
      <c r="D215" s="10">
        <v>10</v>
      </c>
      <c r="E215" s="10" t="s">
        <v>10</v>
      </c>
      <c r="F215" s="10">
        <v>1162012</v>
      </c>
      <c r="G215" s="10" t="s">
        <v>173</v>
      </c>
      <c r="H215" s="11">
        <v>40900</v>
      </c>
      <c r="I215" s="10">
        <v>0</v>
      </c>
      <c r="J215" s="11">
        <f t="shared" si="7"/>
        <v>40900</v>
      </c>
      <c r="K215" s="12">
        <f>VLOOKUP(A215,[1]VA05!$A:$K,11,FALSE)</f>
        <v>45570</v>
      </c>
      <c r="L215" s="10" t="s">
        <v>25</v>
      </c>
      <c r="M215" s="10" t="s">
        <v>201</v>
      </c>
    </row>
    <row r="216" spans="1:13" x14ac:dyDescent="0.25">
      <c r="A216" s="13" t="str">
        <f t="shared" si="6"/>
        <v>50714276210</v>
      </c>
      <c r="B216" s="10">
        <v>1004051399</v>
      </c>
      <c r="C216" s="10">
        <v>507142762</v>
      </c>
      <c r="D216" s="10">
        <v>10</v>
      </c>
      <c r="E216" s="10" t="s">
        <v>10</v>
      </c>
      <c r="F216" s="10">
        <v>1163168</v>
      </c>
      <c r="G216" s="10" t="s">
        <v>174</v>
      </c>
      <c r="H216" s="11">
        <v>40900</v>
      </c>
      <c r="I216" s="10">
        <v>0</v>
      </c>
      <c r="J216" s="11">
        <f t="shared" si="7"/>
        <v>40900</v>
      </c>
      <c r="K216" s="12">
        <f>VLOOKUP(A216,[1]VA05!$A:$K,11,FALSE)</f>
        <v>45570</v>
      </c>
      <c r="L216" s="10" t="s">
        <v>25</v>
      </c>
      <c r="M216" s="10" t="s">
        <v>201</v>
      </c>
    </row>
    <row r="217" spans="1:13" x14ac:dyDescent="0.25">
      <c r="A217" s="13" t="str">
        <f t="shared" si="6"/>
        <v>50714263850</v>
      </c>
      <c r="B217" s="10">
        <v>1004049841</v>
      </c>
      <c r="C217" s="10">
        <v>507142638</v>
      </c>
      <c r="D217" s="10">
        <v>50</v>
      </c>
      <c r="E217" s="10" t="s">
        <v>10</v>
      </c>
      <c r="F217" s="10">
        <v>1361170</v>
      </c>
      <c r="G217" s="10" t="s">
        <v>103</v>
      </c>
      <c r="H217" s="11">
        <v>27540</v>
      </c>
      <c r="I217" s="11">
        <v>23178</v>
      </c>
      <c r="J217" s="11">
        <f t="shared" si="7"/>
        <v>4362</v>
      </c>
      <c r="K217" s="12">
        <f>VLOOKUP(A217,[1]VA05!$A:$K,11,FALSE)</f>
        <v>45560</v>
      </c>
      <c r="L217" s="10" t="s">
        <v>224</v>
      </c>
      <c r="M217" s="10" t="s">
        <v>143</v>
      </c>
    </row>
    <row r="218" spans="1:13" x14ac:dyDescent="0.25">
      <c r="A218" s="13" t="str">
        <f t="shared" si="6"/>
        <v>50714263850</v>
      </c>
      <c r="B218" s="10">
        <v>1004049842</v>
      </c>
      <c r="C218" s="10">
        <v>507142638</v>
      </c>
      <c r="D218" s="10">
        <v>50</v>
      </c>
      <c r="E218" s="10" t="s">
        <v>10</v>
      </c>
      <c r="F218" s="10">
        <v>1361170</v>
      </c>
      <c r="G218" s="10" t="s">
        <v>103</v>
      </c>
      <c r="H218" s="11">
        <v>27540</v>
      </c>
      <c r="I218" s="10">
        <v>0</v>
      </c>
      <c r="J218" s="11">
        <f t="shared" si="7"/>
        <v>27540</v>
      </c>
      <c r="K218" s="12">
        <f>VLOOKUP(A218,[1]VA05!$A:$K,11,FALSE)</f>
        <v>45560</v>
      </c>
      <c r="L218" s="10" t="s">
        <v>120</v>
      </c>
      <c r="M218" s="10" t="s">
        <v>143</v>
      </c>
    </row>
    <row r="219" spans="1:13" x14ac:dyDescent="0.25">
      <c r="A219" s="13" t="str">
        <f t="shared" si="6"/>
        <v>50714263850</v>
      </c>
      <c r="B219" s="10">
        <v>1004049843</v>
      </c>
      <c r="C219" s="10">
        <v>507142638</v>
      </c>
      <c r="D219" s="10">
        <v>50</v>
      </c>
      <c r="E219" s="10" t="s">
        <v>10</v>
      </c>
      <c r="F219" s="10">
        <v>1361170</v>
      </c>
      <c r="G219" s="10" t="s">
        <v>103</v>
      </c>
      <c r="H219" s="11">
        <v>27270</v>
      </c>
      <c r="I219" s="10">
        <v>0</v>
      </c>
      <c r="J219" s="11">
        <f t="shared" si="7"/>
        <v>27270</v>
      </c>
      <c r="K219" s="12">
        <f>VLOOKUP(A219,[1]VA05!$A:$K,11,FALSE)</f>
        <v>45560</v>
      </c>
      <c r="L219" s="10" t="s">
        <v>29</v>
      </c>
      <c r="M219" s="10" t="s">
        <v>143</v>
      </c>
    </row>
    <row r="220" spans="1:13" x14ac:dyDescent="0.25">
      <c r="A220" s="13" t="str">
        <f t="shared" si="6"/>
        <v>50714273810</v>
      </c>
      <c r="B220" s="10">
        <v>1004051551</v>
      </c>
      <c r="C220" s="10">
        <v>507142738</v>
      </c>
      <c r="D220" s="10">
        <v>10</v>
      </c>
      <c r="E220" s="10" t="s">
        <v>10</v>
      </c>
      <c r="F220" s="10">
        <v>1361170</v>
      </c>
      <c r="G220" s="10" t="s">
        <v>103</v>
      </c>
      <c r="H220" s="11">
        <v>27540</v>
      </c>
      <c r="I220" s="10">
        <v>0</v>
      </c>
      <c r="J220" s="11">
        <f t="shared" si="7"/>
        <v>27540</v>
      </c>
      <c r="K220" s="12">
        <f>VLOOKUP(A220,[1]VA05!$A:$K,11,FALSE)</f>
        <v>45567</v>
      </c>
      <c r="L220" s="10" t="s">
        <v>12</v>
      </c>
      <c r="M220" s="10" t="s">
        <v>180</v>
      </c>
    </row>
    <row r="221" spans="1:13" x14ac:dyDescent="0.25">
      <c r="A221" s="13" t="str">
        <f t="shared" si="6"/>
        <v>50714273810</v>
      </c>
      <c r="B221" s="10">
        <v>1004051552</v>
      </c>
      <c r="C221" s="10">
        <v>507142738</v>
      </c>
      <c r="D221" s="10">
        <v>10</v>
      </c>
      <c r="E221" s="10" t="s">
        <v>10</v>
      </c>
      <c r="F221" s="10">
        <v>1361170</v>
      </c>
      <c r="G221" s="10" t="s">
        <v>103</v>
      </c>
      <c r="H221" s="11">
        <v>27540</v>
      </c>
      <c r="I221" s="10">
        <v>0</v>
      </c>
      <c r="J221" s="11">
        <f t="shared" si="7"/>
        <v>27540</v>
      </c>
      <c r="K221" s="12">
        <f>VLOOKUP(A221,[1]VA05!$A:$K,11,FALSE)</f>
        <v>45567</v>
      </c>
      <c r="L221" s="10" t="s">
        <v>12</v>
      </c>
      <c r="M221" s="10" t="s">
        <v>180</v>
      </c>
    </row>
    <row r="222" spans="1:13" x14ac:dyDescent="0.25">
      <c r="A222" s="13" t="str">
        <f t="shared" si="6"/>
        <v>50714273810</v>
      </c>
      <c r="B222" s="10">
        <v>1004051553</v>
      </c>
      <c r="C222" s="10">
        <v>507142738</v>
      </c>
      <c r="D222" s="10">
        <v>10</v>
      </c>
      <c r="E222" s="10" t="s">
        <v>10</v>
      </c>
      <c r="F222" s="10">
        <v>1361170</v>
      </c>
      <c r="G222" s="10" t="s">
        <v>103</v>
      </c>
      <c r="H222" s="11">
        <v>27540</v>
      </c>
      <c r="I222" s="10">
        <v>0</v>
      </c>
      <c r="J222" s="11">
        <f t="shared" si="7"/>
        <v>27540</v>
      </c>
      <c r="K222" s="12">
        <f>VLOOKUP(A222,[1]VA05!$A:$K,11,FALSE)</f>
        <v>45567</v>
      </c>
      <c r="L222" s="10" t="s">
        <v>12</v>
      </c>
      <c r="M222" s="10" t="s">
        <v>180</v>
      </c>
    </row>
    <row r="223" spans="1:13" x14ac:dyDescent="0.25">
      <c r="A223" s="13" t="str">
        <f t="shared" si="6"/>
        <v>50714273810</v>
      </c>
      <c r="B223" s="10">
        <v>1004051554</v>
      </c>
      <c r="C223" s="10">
        <v>507142738</v>
      </c>
      <c r="D223" s="10">
        <v>10</v>
      </c>
      <c r="E223" s="10" t="s">
        <v>10</v>
      </c>
      <c r="F223" s="10">
        <v>1361170</v>
      </c>
      <c r="G223" s="10" t="s">
        <v>103</v>
      </c>
      <c r="H223" s="11">
        <v>27540</v>
      </c>
      <c r="I223" s="10">
        <v>0</v>
      </c>
      <c r="J223" s="11">
        <f t="shared" si="7"/>
        <v>27540</v>
      </c>
      <c r="K223" s="12">
        <f>VLOOKUP(A223,[1]VA05!$A:$K,11,FALSE)</f>
        <v>45567</v>
      </c>
      <c r="L223" s="10" t="s">
        <v>12</v>
      </c>
      <c r="M223" s="10" t="s">
        <v>180</v>
      </c>
    </row>
    <row r="224" spans="1:13" x14ac:dyDescent="0.25">
      <c r="A224" s="13" t="str">
        <f t="shared" si="6"/>
        <v>50714263930</v>
      </c>
      <c r="B224" s="10">
        <v>1004043109</v>
      </c>
      <c r="C224" s="10">
        <v>507142639</v>
      </c>
      <c r="D224" s="10">
        <v>30</v>
      </c>
      <c r="E224" s="10" t="s">
        <v>10</v>
      </c>
      <c r="F224" s="10">
        <v>1367372</v>
      </c>
      <c r="G224" s="10" t="s">
        <v>62</v>
      </c>
      <c r="H224" s="11">
        <v>20250</v>
      </c>
      <c r="I224" s="11">
        <v>20250</v>
      </c>
      <c r="J224" s="11">
        <f t="shared" si="7"/>
        <v>0</v>
      </c>
      <c r="K224" s="12">
        <f>VLOOKUP(A224,[1]VA05!$A:$K,11,FALSE)</f>
        <v>45547</v>
      </c>
      <c r="L224" s="10" t="s">
        <v>34</v>
      </c>
      <c r="M224" s="10" t="s">
        <v>142</v>
      </c>
    </row>
    <row r="225" spans="1:13" x14ac:dyDescent="0.25">
      <c r="A225" s="13" t="str">
        <f t="shared" si="6"/>
        <v>50714263930</v>
      </c>
      <c r="B225" s="10">
        <v>1004043110</v>
      </c>
      <c r="C225" s="10">
        <v>507142639</v>
      </c>
      <c r="D225" s="10">
        <v>30</v>
      </c>
      <c r="E225" s="10" t="s">
        <v>10</v>
      </c>
      <c r="F225" s="10">
        <v>1367372</v>
      </c>
      <c r="G225" s="10" t="s">
        <v>62</v>
      </c>
      <c r="H225" s="11">
        <v>18900</v>
      </c>
      <c r="I225" s="11">
        <v>18900</v>
      </c>
      <c r="J225" s="11">
        <f t="shared" si="7"/>
        <v>0</v>
      </c>
      <c r="K225" s="12">
        <f>VLOOKUP(A225,[1]VA05!$A:$K,11,FALSE)</f>
        <v>45547</v>
      </c>
      <c r="L225" s="10" t="s">
        <v>34</v>
      </c>
      <c r="M225" s="10" t="s">
        <v>142</v>
      </c>
    </row>
    <row r="226" spans="1:13" x14ac:dyDescent="0.25">
      <c r="A226" s="13" t="str">
        <f t="shared" si="6"/>
        <v>50714263860</v>
      </c>
      <c r="B226" s="10">
        <v>1004049845</v>
      </c>
      <c r="C226" s="10">
        <v>507142638</v>
      </c>
      <c r="D226" s="10">
        <v>60</v>
      </c>
      <c r="E226" s="10" t="s">
        <v>10</v>
      </c>
      <c r="F226" s="10">
        <v>1361175</v>
      </c>
      <c r="G226" s="10" t="s">
        <v>22</v>
      </c>
      <c r="H226" s="11">
        <v>36850</v>
      </c>
      <c r="I226" s="11">
        <v>4576</v>
      </c>
      <c r="J226" s="11">
        <f t="shared" si="7"/>
        <v>32274</v>
      </c>
      <c r="K226" s="12">
        <f>VLOOKUP(A226,[1]VA05!$A:$K,11,FALSE)</f>
        <v>45560</v>
      </c>
      <c r="L226" s="10" t="s">
        <v>11</v>
      </c>
      <c r="M226" s="10" t="s">
        <v>143</v>
      </c>
    </row>
    <row r="227" spans="1:13" x14ac:dyDescent="0.25">
      <c r="A227" s="13" t="str">
        <f t="shared" si="6"/>
        <v>50714263860</v>
      </c>
      <c r="B227" s="10">
        <v>1004049846</v>
      </c>
      <c r="C227" s="10">
        <v>507142638</v>
      </c>
      <c r="D227" s="10">
        <v>60</v>
      </c>
      <c r="E227" s="10" t="s">
        <v>10</v>
      </c>
      <c r="F227" s="10">
        <v>1361175</v>
      </c>
      <c r="G227" s="10" t="s">
        <v>22</v>
      </c>
      <c r="H227" s="11">
        <v>36190</v>
      </c>
      <c r="I227" s="10">
        <v>0</v>
      </c>
      <c r="J227" s="11">
        <f t="shared" si="7"/>
        <v>36190</v>
      </c>
      <c r="K227" s="12">
        <f>VLOOKUP(A227,[1]VA05!$A:$K,11,FALSE)</f>
        <v>45560</v>
      </c>
      <c r="L227" s="10" t="s">
        <v>13</v>
      </c>
      <c r="M227" s="10" t="s">
        <v>97</v>
      </c>
    </row>
    <row r="228" spans="1:13" x14ac:dyDescent="0.25">
      <c r="A228" s="13" t="str">
        <f t="shared" si="6"/>
        <v>50714238310</v>
      </c>
      <c r="B228" s="10">
        <v>1004012620</v>
      </c>
      <c r="C228" s="10">
        <v>507142383</v>
      </c>
      <c r="D228" s="10">
        <v>10</v>
      </c>
      <c r="E228" s="10" t="s">
        <v>10</v>
      </c>
      <c r="F228" s="10">
        <v>1367370</v>
      </c>
      <c r="G228" s="10" t="s">
        <v>63</v>
      </c>
      <c r="H228" s="11">
        <v>49950</v>
      </c>
      <c r="I228" s="11">
        <v>7362</v>
      </c>
      <c r="J228" s="11">
        <f t="shared" si="7"/>
        <v>42588</v>
      </c>
      <c r="K228" s="12" t="e">
        <f>VLOOKUP(A228,[1]VA05!$A:$K,11,FALSE)</f>
        <v>#N/A</v>
      </c>
      <c r="L228" s="10" t="s">
        <v>34</v>
      </c>
      <c r="M228" s="10" t="s">
        <v>155</v>
      </c>
    </row>
    <row r="229" spans="1:13" x14ac:dyDescent="0.25">
      <c r="A229" s="13" t="str">
        <f t="shared" si="6"/>
        <v>50714263940</v>
      </c>
      <c r="B229" s="10">
        <v>1004046968</v>
      </c>
      <c r="C229" s="10">
        <v>507142639</v>
      </c>
      <c r="D229" s="10">
        <v>40</v>
      </c>
      <c r="E229" s="10" t="s">
        <v>10</v>
      </c>
      <c r="F229" s="10">
        <v>1367370</v>
      </c>
      <c r="G229" s="10" t="s">
        <v>63</v>
      </c>
      <c r="H229" s="11">
        <v>33048</v>
      </c>
      <c r="I229" s="11">
        <v>33048</v>
      </c>
      <c r="J229" s="11">
        <f t="shared" si="7"/>
        <v>0</v>
      </c>
      <c r="K229" s="12">
        <f>VLOOKUP(A229,[1]VA05!$A:$K,11,FALSE)</f>
        <v>45547</v>
      </c>
      <c r="L229" s="10" t="s">
        <v>34</v>
      </c>
      <c r="M229" s="10" t="s">
        <v>61</v>
      </c>
    </row>
    <row r="230" spans="1:13" x14ac:dyDescent="0.25">
      <c r="A230" s="13" t="str">
        <f t="shared" si="6"/>
        <v>50714263940</v>
      </c>
      <c r="B230" s="10">
        <v>1004047189</v>
      </c>
      <c r="C230" s="10">
        <v>507142639</v>
      </c>
      <c r="D230" s="10">
        <v>40</v>
      </c>
      <c r="E230" s="10" t="s">
        <v>10</v>
      </c>
      <c r="F230" s="10">
        <v>1367370</v>
      </c>
      <c r="G230" s="10" t="s">
        <v>63</v>
      </c>
      <c r="H230" s="11">
        <v>33804</v>
      </c>
      <c r="I230" s="11">
        <v>33804</v>
      </c>
      <c r="J230" s="11">
        <f t="shared" si="7"/>
        <v>0</v>
      </c>
      <c r="K230" s="12">
        <f>VLOOKUP(A230,[1]VA05!$A:$K,11,FALSE)</f>
        <v>45547</v>
      </c>
      <c r="L230" s="10" t="s">
        <v>34</v>
      </c>
      <c r="M230" s="10" t="s">
        <v>142</v>
      </c>
    </row>
    <row r="231" spans="1:13" x14ac:dyDescent="0.25">
      <c r="A231" s="13" t="str">
        <f t="shared" si="6"/>
        <v>50714269210</v>
      </c>
      <c r="B231" s="10">
        <v>1004041362</v>
      </c>
      <c r="C231" s="10">
        <v>507142692</v>
      </c>
      <c r="D231" s="10">
        <v>10</v>
      </c>
      <c r="E231" s="10" t="s">
        <v>10</v>
      </c>
      <c r="F231" s="10">
        <v>1361213</v>
      </c>
      <c r="G231" s="10" t="s">
        <v>23</v>
      </c>
      <c r="H231" s="11">
        <v>113465</v>
      </c>
      <c r="I231" s="11">
        <v>109490</v>
      </c>
      <c r="J231" s="11">
        <f t="shared" si="7"/>
        <v>3975</v>
      </c>
      <c r="K231" s="12">
        <f>VLOOKUP(A231,[1]VA05!$A:$K,11,FALSE)</f>
        <v>45558</v>
      </c>
      <c r="L231" s="10" t="s">
        <v>18</v>
      </c>
      <c r="M231" s="10" t="s">
        <v>130</v>
      </c>
    </row>
    <row r="232" spans="1:13" x14ac:dyDescent="0.25">
      <c r="A232" s="13" t="str">
        <f t="shared" si="6"/>
        <v>50714263830</v>
      </c>
      <c r="B232" s="10">
        <v>1004043125</v>
      </c>
      <c r="C232" s="10">
        <v>507142638</v>
      </c>
      <c r="D232" s="10">
        <v>30</v>
      </c>
      <c r="E232" s="10" t="s">
        <v>10</v>
      </c>
      <c r="F232" s="10">
        <v>1361213</v>
      </c>
      <c r="G232" s="10" t="s">
        <v>23</v>
      </c>
      <c r="H232" s="11">
        <v>113465</v>
      </c>
      <c r="I232" s="10">
        <v>0</v>
      </c>
      <c r="J232" s="11">
        <f t="shared" si="7"/>
        <v>113465</v>
      </c>
      <c r="K232" s="12" t="e">
        <f>VLOOKUP(A232,[1]VA05!$A:$K,11,FALSE)</f>
        <v>#N/A</v>
      </c>
      <c r="L232" s="10" t="s">
        <v>12</v>
      </c>
      <c r="M232" s="10" t="s">
        <v>111</v>
      </c>
    </row>
    <row r="233" spans="1:13" x14ac:dyDescent="0.25">
      <c r="A233" s="13" t="str">
        <f t="shared" si="6"/>
        <v>50714263850</v>
      </c>
      <c r="B233" s="10">
        <v>1004043126</v>
      </c>
      <c r="C233" s="10">
        <v>507142638</v>
      </c>
      <c r="D233" s="10">
        <v>50</v>
      </c>
      <c r="E233" s="10" t="s">
        <v>10</v>
      </c>
      <c r="F233" s="10">
        <v>1361213</v>
      </c>
      <c r="G233" s="10" t="s">
        <v>23</v>
      </c>
      <c r="H233" s="11">
        <v>113187</v>
      </c>
      <c r="I233" s="10">
        <v>0</v>
      </c>
      <c r="J233" s="11">
        <f t="shared" si="7"/>
        <v>113187</v>
      </c>
      <c r="K233" s="12">
        <f>VLOOKUP(A233,[1]VA05!$A:$K,11,FALSE)</f>
        <v>45560</v>
      </c>
      <c r="L233" s="10" t="s">
        <v>12</v>
      </c>
      <c r="M233" s="10" t="s">
        <v>111</v>
      </c>
    </row>
    <row r="234" spans="1:13" x14ac:dyDescent="0.25">
      <c r="A234" s="13" t="str">
        <f t="shared" si="6"/>
        <v>50714273810</v>
      </c>
      <c r="B234" s="10">
        <v>1004053617</v>
      </c>
      <c r="C234" s="10">
        <v>507142738</v>
      </c>
      <c r="D234" s="10">
        <v>10</v>
      </c>
      <c r="E234" s="10" t="s">
        <v>10</v>
      </c>
      <c r="F234" s="10">
        <v>1361213</v>
      </c>
      <c r="G234" s="10" t="s">
        <v>23</v>
      </c>
      <c r="H234" s="11">
        <v>113468</v>
      </c>
      <c r="I234" s="10">
        <v>0</v>
      </c>
      <c r="J234" s="11">
        <f t="shared" si="7"/>
        <v>113468</v>
      </c>
      <c r="K234" s="12">
        <f>VLOOKUP(A234,[1]VA05!$A:$K,11,FALSE)</f>
        <v>45567</v>
      </c>
      <c r="L234" s="10" t="s">
        <v>12</v>
      </c>
      <c r="M234" s="10" t="s">
        <v>130</v>
      </c>
    </row>
    <row r="235" spans="1:13" x14ac:dyDescent="0.25">
      <c r="A235" s="13" t="str">
        <f t="shared" si="6"/>
        <v>50714279010</v>
      </c>
      <c r="B235" s="10">
        <v>1004053618</v>
      </c>
      <c r="C235" s="10">
        <v>507142790</v>
      </c>
      <c r="D235" s="10">
        <v>10</v>
      </c>
      <c r="E235" s="10" t="s">
        <v>10</v>
      </c>
      <c r="F235" s="10">
        <v>1361213</v>
      </c>
      <c r="G235" s="10" t="s">
        <v>23</v>
      </c>
      <c r="H235" s="11">
        <v>113465</v>
      </c>
      <c r="I235" s="10">
        <v>0</v>
      </c>
      <c r="J235" s="11">
        <f t="shared" si="7"/>
        <v>113465</v>
      </c>
      <c r="K235" s="12">
        <f>VLOOKUP(A235,[1]VA05!$A:$K,11,FALSE)</f>
        <v>45583</v>
      </c>
      <c r="L235" s="10" t="s">
        <v>12</v>
      </c>
      <c r="M235" s="10" t="s">
        <v>180</v>
      </c>
    </row>
    <row r="236" spans="1:13" x14ac:dyDescent="0.25">
      <c r="A236" s="13" t="str">
        <f t="shared" si="6"/>
        <v>50714263730</v>
      </c>
      <c r="B236" s="10">
        <v>1004053624</v>
      </c>
      <c r="C236" s="10">
        <v>507142637</v>
      </c>
      <c r="D236" s="10">
        <v>30</v>
      </c>
      <c r="E236" s="10" t="s">
        <v>10</v>
      </c>
      <c r="F236" s="10">
        <v>1408740</v>
      </c>
      <c r="G236" s="10" t="s">
        <v>104</v>
      </c>
      <c r="H236" s="11">
        <v>27540</v>
      </c>
      <c r="I236" s="11">
        <v>27540</v>
      </c>
      <c r="J236" s="11">
        <f t="shared" si="7"/>
        <v>0</v>
      </c>
      <c r="K236" s="12">
        <f>VLOOKUP(A236,[1]VA05!$A:$K,11,FALSE)</f>
        <v>45546</v>
      </c>
      <c r="L236" s="10" t="s">
        <v>18</v>
      </c>
      <c r="M236" s="10" t="s">
        <v>140</v>
      </c>
    </row>
    <row r="237" spans="1:13" x14ac:dyDescent="0.25">
      <c r="A237" s="13" t="str">
        <f t="shared" si="6"/>
        <v>50714263730</v>
      </c>
      <c r="B237" s="10">
        <v>1004053625</v>
      </c>
      <c r="C237" s="10">
        <v>507142637</v>
      </c>
      <c r="D237" s="10">
        <v>30</v>
      </c>
      <c r="E237" s="10" t="s">
        <v>10</v>
      </c>
      <c r="F237" s="10">
        <v>1408740</v>
      </c>
      <c r="G237" s="10" t="s">
        <v>104</v>
      </c>
      <c r="H237" s="11">
        <v>27540</v>
      </c>
      <c r="I237" s="11">
        <v>4170</v>
      </c>
      <c r="J237" s="11">
        <f t="shared" si="7"/>
        <v>23370</v>
      </c>
      <c r="K237" s="12">
        <f>VLOOKUP(A237,[1]VA05!$A:$K,11,FALSE)</f>
        <v>45546</v>
      </c>
      <c r="L237" s="10" t="s">
        <v>89</v>
      </c>
      <c r="M237" s="10" t="s">
        <v>155</v>
      </c>
    </row>
    <row r="238" spans="1:13" x14ac:dyDescent="0.25">
      <c r="A238" s="13" t="str">
        <f t="shared" si="6"/>
        <v>50714263750</v>
      </c>
      <c r="B238" s="10">
        <v>1004053626</v>
      </c>
      <c r="C238" s="10">
        <v>507142637</v>
      </c>
      <c r="D238" s="10">
        <v>50</v>
      </c>
      <c r="E238" s="10" t="s">
        <v>10</v>
      </c>
      <c r="F238" s="10">
        <v>1408740</v>
      </c>
      <c r="G238" s="10" t="s">
        <v>104</v>
      </c>
      <c r="H238" s="11">
        <v>27540</v>
      </c>
      <c r="I238" s="10">
        <v>0</v>
      </c>
      <c r="J238" s="11">
        <f t="shared" si="7"/>
        <v>27540</v>
      </c>
      <c r="K238" s="12">
        <f>VLOOKUP(A238,[1]VA05!$A:$K,11,FALSE)</f>
        <v>45552</v>
      </c>
      <c r="L238" s="10" t="s">
        <v>12</v>
      </c>
      <c r="M238" s="10" t="s">
        <v>142</v>
      </c>
    </row>
    <row r="239" spans="1:13" x14ac:dyDescent="0.25">
      <c r="A239" s="13" t="str">
        <f t="shared" si="6"/>
        <v>50714263750</v>
      </c>
      <c r="B239" s="10">
        <v>1004053627</v>
      </c>
      <c r="C239" s="10">
        <v>507142637</v>
      </c>
      <c r="D239" s="10">
        <v>50</v>
      </c>
      <c r="E239" s="10" t="s">
        <v>10</v>
      </c>
      <c r="F239" s="10">
        <v>1408740</v>
      </c>
      <c r="G239" s="10" t="s">
        <v>104</v>
      </c>
      <c r="H239" s="11">
        <v>27540</v>
      </c>
      <c r="I239" s="10">
        <v>0</v>
      </c>
      <c r="J239" s="11">
        <f t="shared" si="7"/>
        <v>27540</v>
      </c>
      <c r="K239" s="12">
        <f>VLOOKUP(A239,[1]VA05!$A:$K,11,FALSE)</f>
        <v>45552</v>
      </c>
      <c r="L239" s="10" t="s">
        <v>12</v>
      </c>
      <c r="M239" s="10" t="s">
        <v>142</v>
      </c>
    </row>
    <row r="240" spans="1:13" x14ac:dyDescent="0.25">
      <c r="A240" s="13" t="str">
        <f t="shared" si="6"/>
        <v>50714263750</v>
      </c>
      <c r="B240" s="10">
        <v>1004053628</v>
      </c>
      <c r="C240" s="10">
        <v>507142637</v>
      </c>
      <c r="D240" s="10">
        <v>50</v>
      </c>
      <c r="E240" s="10" t="s">
        <v>10</v>
      </c>
      <c r="F240" s="10">
        <v>1408740</v>
      </c>
      <c r="G240" s="10" t="s">
        <v>104</v>
      </c>
      <c r="H240" s="11">
        <v>27540</v>
      </c>
      <c r="I240" s="10">
        <v>0</v>
      </c>
      <c r="J240" s="11">
        <f t="shared" si="7"/>
        <v>27540</v>
      </c>
      <c r="K240" s="12">
        <f>VLOOKUP(A240,[1]VA05!$A:$K,11,FALSE)</f>
        <v>45552</v>
      </c>
      <c r="L240" s="10" t="s">
        <v>12</v>
      </c>
      <c r="M240" s="10" t="s">
        <v>142</v>
      </c>
    </row>
    <row r="241" spans="1:13" x14ac:dyDescent="0.25">
      <c r="A241" s="13" t="str">
        <f t="shared" si="6"/>
        <v>50714263750</v>
      </c>
      <c r="B241" s="10">
        <v>1004053629</v>
      </c>
      <c r="C241" s="10">
        <v>507142637</v>
      </c>
      <c r="D241" s="10">
        <v>50</v>
      </c>
      <c r="E241" s="10" t="s">
        <v>10</v>
      </c>
      <c r="F241" s="10">
        <v>1408740</v>
      </c>
      <c r="G241" s="10" t="s">
        <v>104</v>
      </c>
      <c r="H241" s="11">
        <v>27270</v>
      </c>
      <c r="I241" s="10">
        <v>0</v>
      </c>
      <c r="J241" s="11">
        <f t="shared" si="7"/>
        <v>27270</v>
      </c>
      <c r="K241" s="12">
        <f>VLOOKUP(A241,[1]VA05!$A:$K,11,FALSE)</f>
        <v>45552</v>
      </c>
      <c r="L241" s="10" t="s">
        <v>12</v>
      </c>
      <c r="M241" s="10" t="s">
        <v>142</v>
      </c>
    </row>
    <row r="242" spans="1:13" x14ac:dyDescent="0.25">
      <c r="A242" s="13" t="str">
        <f t="shared" si="6"/>
        <v>50714238440</v>
      </c>
      <c r="B242" s="10">
        <v>1004037417</v>
      </c>
      <c r="C242" s="10">
        <v>507142384</v>
      </c>
      <c r="D242" s="10">
        <v>40</v>
      </c>
      <c r="E242" s="10" t="s">
        <v>10</v>
      </c>
      <c r="F242" s="10">
        <v>1408739</v>
      </c>
      <c r="G242" s="10" t="s">
        <v>37</v>
      </c>
      <c r="H242" s="11">
        <v>25460</v>
      </c>
      <c r="I242" s="11">
        <v>19083</v>
      </c>
      <c r="J242" s="11">
        <f t="shared" si="7"/>
        <v>6377</v>
      </c>
      <c r="K242" s="12" t="e">
        <f>VLOOKUP(A242,[1]VA05!$A:$K,11,FALSE)</f>
        <v>#N/A</v>
      </c>
      <c r="L242" s="10" t="s">
        <v>118</v>
      </c>
      <c r="M242" s="10" t="s">
        <v>74</v>
      </c>
    </row>
    <row r="243" spans="1:13" x14ac:dyDescent="0.25">
      <c r="A243" s="13" t="str">
        <f t="shared" si="6"/>
        <v>50714238440</v>
      </c>
      <c r="B243" s="10">
        <v>1004037418</v>
      </c>
      <c r="C243" s="10">
        <v>507142384</v>
      </c>
      <c r="D243" s="10">
        <v>40</v>
      </c>
      <c r="E243" s="10" t="s">
        <v>10</v>
      </c>
      <c r="F243" s="10">
        <v>1408739</v>
      </c>
      <c r="G243" s="10" t="s">
        <v>37</v>
      </c>
      <c r="H243" s="11">
        <v>25460</v>
      </c>
      <c r="I243" s="11">
        <v>19050</v>
      </c>
      <c r="J243" s="11">
        <f t="shared" si="7"/>
        <v>6410</v>
      </c>
      <c r="K243" s="12" t="e">
        <f>VLOOKUP(A243,[1]VA05!$A:$K,11,FALSE)</f>
        <v>#N/A</v>
      </c>
      <c r="L243" s="10" t="s">
        <v>118</v>
      </c>
      <c r="M243" s="10" t="s">
        <v>79</v>
      </c>
    </row>
    <row r="244" spans="1:13" x14ac:dyDescent="0.25">
      <c r="A244" s="13" t="str">
        <f t="shared" si="6"/>
        <v>50714238440</v>
      </c>
      <c r="B244" s="10">
        <v>1004037419</v>
      </c>
      <c r="C244" s="10">
        <v>507142384</v>
      </c>
      <c r="D244" s="10">
        <v>40</v>
      </c>
      <c r="E244" s="10" t="s">
        <v>10</v>
      </c>
      <c r="F244" s="10">
        <v>1408739</v>
      </c>
      <c r="G244" s="10" t="s">
        <v>37</v>
      </c>
      <c r="H244" s="11">
        <v>25460</v>
      </c>
      <c r="I244" s="11">
        <v>7500</v>
      </c>
      <c r="J244" s="11">
        <f t="shared" si="7"/>
        <v>17960</v>
      </c>
      <c r="K244" s="12" t="e">
        <f>VLOOKUP(A244,[1]VA05!$A:$K,11,FALSE)</f>
        <v>#N/A</v>
      </c>
      <c r="L244" s="10" t="s">
        <v>118</v>
      </c>
      <c r="M244" s="10" t="s">
        <v>79</v>
      </c>
    </row>
    <row r="245" spans="1:13" x14ac:dyDescent="0.25">
      <c r="A245" s="13" t="str">
        <f t="shared" si="6"/>
        <v>50714238440</v>
      </c>
      <c r="B245" s="10">
        <v>1004037420</v>
      </c>
      <c r="C245" s="10">
        <v>507142384</v>
      </c>
      <c r="D245" s="10">
        <v>40</v>
      </c>
      <c r="E245" s="10" t="s">
        <v>10</v>
      </c>
      <c r="F245" s="10">
        <v>1408739</v>
      </c>
      <c r="G245" s="10" t="s">
        <v>37</v>
      </c>
      <c r="H245" s="11">
        <v>33510</v>
      </c>
      <c r="I245" s="11">
        <v>12436</v>
      </c>
      <c r="J245" s="11">
        <f t="shared" si="7"/>
        <v>21074</v>
      </c>
      <c r="K245" s="12" t="e">
        <f>VLOOKUP(A245,[1]VA05!$A:$K,11,FALSE)</f>
        <v>#N/A</v>
      </c>
      <c r="L245" s="10" t="s">
        <v>118</v>
      </c>
      <c r="M245" s="10" t="s">
        <v>79</v>
      </c>
    </row>
    <row r="246" spans="1:13" x14ac:dyDescent="0.25">
      <c r="A246" s="13" t="str">
        <f t="shared" si="6"/>
        <v>50714263740</v>
      </c>
      <c r="B246" s="10">
        <v>1004047197</v>
      </c>
      <c r="C246" s="10">
        <v>507142637</v>
      </c>
      <c r="D246" s="10">
        <v>40</v>
      </c>
      <c r="E246" s="10" t="s">
        <v>10</v>
      </c>
      <c r="F246" s="10">
        <v>1408739</v>
      </c>
      <c r="G246" s="10" t="s">
        <v>37</v>
      </c>
      <c r="H246" s="11">
        <v>29760</v>
      </c>
      <c r="I246" s="11">
        <v>29760</v>
      </c>
      <c r="J246" s="11">
        <f t="shared" si="7"/>
        <v>0</v>
      </c>
      <c r="K246" s="12">
        <f>VLOOKUP(A246,[1]VA05!$A:$K,11,FALSE)</f>
        <v>45546</v>
      </c>
      <c r="L246" s="10" t="s">
        <v>132</v>
      </c>
      <c r="M246" s="10" t="s">
        <v>142</v>
      </c>
    </row>
    <row r="247" spans="1:13" x14ac:dyDescent="0.25">
      <c r="A247" s="13" t="str">
        <f t="shared" si="6"/>
        <v>50714263760</v>
      </c>
      <c r="B247" s="10">
        <v>1004053630</v>
      </c>
      <c r="C247" s="10">
        <v>507142637</v>
      </c>
      <c r="D247" s="10">
        <v>60</v>
      </c>
      <c r="E247" s="10" t="s">
        <v>10</v>
      </c>
      <c r="F247" s="10">
        <v>1408739</v>
      </c>
      <c r="G247" s="10" t="s">
        <v>37</v>
      </c>
      <c r="H247" s="11">
        <v>27864</v>
      </c>
      <c r="I247" s="11">
        <v>27864</v>
      </c>
      <c r="J247" s="11">
        <f t="shared" si="7"/>
        <v>0</v>
      </c>
      <c r="K247" s="12">
        <f>VLOOKUP(A247,[1]VA05!$A:$K,11,FALSE)</f>
        <v>45553</v>
      </c>
      <c r="L247" s="10" t="s">
        <v>132</v>
      </c>
      <c r="M247" s="10" t="s">
        <v>130</v>
      </c>
    </row>
    <row r="248" spans="1:13" x14ac:dyDescent="0.25">
      <c r="A248" s="13" t="str">
        <f t="shared" si="6"/>
        <v>50714263760</v>
      </c>
      <c r="B248" s="10">
        <v>1004053631</v>
      </c>
      <c r="C248" s="10">
        <v>507142637</v>
      </c>
      <c r="D248" s="10">
        <v>60</v>
      </c>
      <c r="E248" s="10" t="s">
        <v>10</v>
      </c>
      <c r="F248" s="10">
        <v>1408739</v>
      </c>
      <c r="G248" s="10" t="s">
        <v>37</v>
      </c>
      <c r="H248" s="11">
        <v>27864</v>
      </c>
      <c r="I248" s="11">
        <v>27864</v>
      </c>
      <c r="J248" s="11">
        <f t="shared" si="7"/>
        <v>0</v>
      </c>
      <c r="K248" s="12">
        <f>VLOOKUP(A248,[1]VA05!$A:$K,11,FALSE)</f>
        <v>45553</v>
      </c>
      <c r="L248" s="10" t="s">
        <v>132</v>
      </c>
      <c r="M248" s="10" t="s">
        <v>61</v>
      </c>
    </row>
    <row r="249" spans="1:13" x14ac:dyDescent="0.25">
      <c r="A249" s="13" t="str">
        <f t="shared" si="6"/>
        <v>50714263760</v>
      </c>
      <c r="B249" s="10">
        <v>1004053632</v>
      </c>
      <c r="C249" s="10">
        <v>507142637</v>
      </c>
      <c r="D249" s="10">
        <v>60</v>
      </c>
      <c r="E249" s="10" t="s">
        <v>10</v>
      </c>
      <c r="F249" s="10">
        <v>1408739</v>
      </c>
      <c r="G249" s="10" t="s">
        <v>37</v>
      </c>
      <c r="H249" s="11">
        <v>27864</v>
      </c>
      <c r="I249" s="11">
        <v>20000</v>
      </c>
      <c r="J249" s="11">
        <f t="shared" si="7"/>
        <v>7864</v>
      </c>
      <c r="K249" s="12">
        <f>VLOOKUP(A249,[1]VA05!$A:$K,11,FALSE)</f>
        <v>45553</v>
      </c>
      <c r="L249" s="10" t="s">
        <v>205</v>
      </c>
      <c r="M249" s="10" t="s">
        <v>155</v>
      </c>
    </row>
    <row r="250" spans="1:13" x14ac:dyDescent="0.25">
      <c r="A250" s="13" t="str">
        <f t="shared" si="6"/>
        <v>50714263760</v>
      </c>
      <c r="B250" s="10">
        <v>1004053633</v>
      </c>
      <c r="C250" s="10">
        <v>507142637</v>
      </c>
      <c r="D250" s="10">
        <v>60</v>
      </c>
      <c r="E250" s="10" t="s">
        <v>10</v>
      </c>
      <c r="F250" s="10">
        <v>1408739</v>
      </c>
      <c r="G250" s="10" t="s">
        <v>37</v>
      </c>
      <c r="H250" s="11">
        <v>26298</v>
      </c>
      <c r="I250" s="10">
        <v>0</v>
      </c>
      <c r="J250" s="11">
        <f t="shared" si="7"/>
        <v>26298</v>
      </c>
      <c r="K250" s="12">
        <f>VLOOKUP(A250,[1]VA05!$A:$K,11,FALSE)</f>
        <v>45553</v>
      </c>
      <c r="L250" s="10" t="s">
        <v>146</v>
      </c>
      <c r="M250" s="10" t="s">
        <v>142</v>
      </c>
    </row>
    <row r="251" spans="1:13" x14ac:dyDescent="0.25">
      <c r="A251" s="13" t="str">
        <f t="shared" si="6"/>
        <v>50714263750</v>
      </c>
      <c r="B251" s="10">
        <v>1004041360</v>
      </c>
      <c r="C251" s="10">
        <v>507142637</v>
      </c>
      <c r="D251" s="10">
        <v>50</v>
      </c>
      <c r="E251" s="10" t="s">
        <v>10</v>
      </c>
      <c r="F251" s="10">
        <v>1408742</v>
      </c>
      <c r="G251" s="10" t="s">
        <v>38</v>
      </c>
      <c r="H251" s="11">
        <v>113187</v>
      </c>
      <c r="I251" s="11">
        <v>80465</v>
      </c>
      <c r="J251" s="11">
        <f t="shared" si="7"/>
        <v>32722</v>
      </c>
      <c r="K251" s="12">
        <f>VLOOKUP(A251,[1]VA05!$A:$K,11,FALSE)</f>
        <v>45552</v>
      </c>
      <c r="L251" s="10" t="s">
        <v>18</v>
      </c>
      <c r="M251" s="10" t="s">
        <v>140</v>
      </c>
    </row>
    <row r="252" spans="1:13" x14ac:dyDescent="0.25">
      <c r="A252" s="13" t="str">
        <f t="shared" si="6"/>
        <v>50714269810</v>
      </c>
      <c r="B252" s="10">
        <v>1004041361</v>
      </c>
      <c r="C252" s="10">
        <v>507142698</v>
      </c>
      <c r="D252" s="10">
        <v>10</v>
      </c>
      <c r="E252" s="10" t="s">
        <v>10</v>
      </c>
      <c r="F252" s="10">
        <v>1408742</v>
      </c>
      <c r="G252" s="10" t="s">
        <v>38</v>
      </c>
      <c r="H252" s="11">
        <v>113465</v>
      </c>
      <c r="I252" s="10">
        <v>0</v>
      </c>
      <c r="J252" s="11">
        <f t="shared" si="7"/>
        <v>113465</v>
      </c>
      <c r="K252" s="12">
        <f>VLOOKUP(A252,[1]VA05!$A:$K,11,FALSE)</f>
        <v>45553</v>
      </c>
      <c r="L252" s="10" t="s">
        <v>12</v>
      </c>
      <c r="M252" s="10" t="s">
        <v>96</v>
      </c>
    </row>
    <row r="253" spans="1:13" x14ac:dyDescent="0.25">
      <c r="A253" s="13" t="str">
        <f t="shared" si="6"/>
        <v>50714275710</v>
      </c>
      <c r="B253" s="10">
        <v>1004054925</v>
      </c>
      <c r="C253" s="10">
        <v>507142757</v>
      </c>
      <c r="D253" s="10">
        <v>10</v>
      </c>
      <c r="E253" s="10" t="s">
        <v>10</v>
      </c>
      <c r="F253" s="10">
        <v>1411702</v>
      </c>
      <c r="G253" s="10" t="s">
        <v>221</v>
      </c>
      <c r="H253" s="11">
        <v>74055</v>
      </c>
      <c r="I253" s="10">
        <v>0</v>
      </c>
      <c r="J253" s="11">
        <f t="shared" si="7"/>
        <v>74055</v>
      </c>
      <c r="K253" s="12">
        <f>VLOOKUP(A253,[1]VA05!$A:$K,11,FALSE)</f>
        <v>45567</v>
      </c>
      <c r="L253" s="10" t="s">
        <v>25</v>
      </c>
      <c r="M253" s="10" t="s">
        <v>61</v>
      </c>
    </row>
    <row r="254" spans="1:13" x14ac:dyDescent="0.25">
      <c r="A254" s="13" t="str">
        <f t="shared" si="6"/>
        <v>50714275730</v>
      </c>
      <c r="B254" s="10">
        <v>1004054926</v>
      </c>
      <c r="C254" s="10">
        <v>507142757</v>
      </c>
      <c r="D254" s="10">
        <v>30</v>
      </c>
      <c r="E254" s="10" t="s">
        <v>10</v>
      </c>
      <c r="F254" s="10">
        <v>1411702</v>
      </c>
      <c r="G254" s="10" t="s">
        <v>221</v>
      </c>
      <c r="H254" s="11">
        <v>126758</v>
      </c>
      <c r="I254" s="10">
        <v>0</v>
      </c>
      <c r="J254" s="11">
        <f t="shared" si="7"/>
        <v>126758</v>
      </c>
      <c r="K254" s="12">
        <f>VLOOKUP(A254,[1]VA05!$A:$K,11,FALSE)</f>
        <v>45574</v>
      </c>
      <c r="L254" s="10" t="s">
        <v>12</v>
      </c>
      <c r="M254" s="10" t="s">
        <v>61</v>
      </c>
    </row>
    <row r="255" spans="1:13" x14ac:dyDescent="0.25">
      <c r="A255" s="13" t="str">
        <f t="shared" si="6"/>
        <v>50714275750</v>
      </c>
      <c r="B255" s="10">
        <v>1004054927</v>
      </c>
      <c r="C255" s="10">
        <v>507142757</v>
      </c>
      <c r="D255" s="10">
        <v>50</v>
      </c>
      <c r="E255" s="10" t="s">
        <v>10</v>
      </c>
      <c r="F255" s="10">
        <v>1411702</v>
      </c>
      <c r="G255" s="10" t="s">
        <v>221</v>
      </c>
      <c r="H255" s="11">
        <v>63514</v>
      </c>
      <c r="I255" s="10">
        <v>0</v>
      </c>
      <c r="J255" s="11">
        <f t="shared" si="7"/>
        <v>63514</v>
      </c>
      <c r="K255" s="12">
        <f>VLOOKUP(A255,[1]VA05!$A:$K,11,FALSE)</f>
        <v>45587</v>
      </c>
      <c r="L255" s="10" t="s">
        <v>12</v>
      </c>
      <c r="M255" s="10" t="s">
        <v>156</v>
      </c>
    </row>
    <row r="256" spans="1:13" x14ac:dyDescent="0.25">
      <c r="A256" s="13" t="str">
        <f t="shared" si="6"/>
        <v>50714275670</v>
      </c>
      <c r="B256" s="10">
        <v>1004052383</v>
      </c>
      <c r="C256" s="10">
        <v>507142756</v>
      </c>
      <c r="D256" s="10">
        <v>70</v>
      </c>
      <c r="E256" s="10" t="s">
        <v>10</v>
      </c>
      <c r="F256" s="10">
        <v>1411902</v>
      </c>
      <c r="G256" s="10" t="s">
        <v>151</v>
      </c>
      <c r="H256" s="11">
        <v>126758</v>
      </c>
      <c r="I256" s="11">
        <v>49782</v>
      </c>
      <c r="J256" s="11">
        <f t="shared" si="7"/>
        <v>76976</v>
      </c>
      <c r="K256" s="12">
        <f>VLOOKUP(A256,[1]VA05!$A:$K,11,FALSE)</f>
        <v>45582</v>
      </c>
      <c r="L256" s="10" t="s">
        <v>18</v>
      </c>
      <c r="M256" s="10" t="s">
        <v>201</v>
      </c>
    </row>
    <row r="257" spans="1:13" x14ac:dyDescent="0.25">
      <c r="A257" s="13" t="str">
        <f t="shared" si="6"/>
        <v>50714275690</v>
      </c>
      <c r="B257" s="10">
        <v>1004052384</v>
      </c>
      <c r="C257" s="10">
        <v>507142756</v>
      </c>
      <c r="D257" s="10">
        <v>90</v>
      </c>
      <c r="E257" s="10" t="s">
        <v>10</v>
      </c>
      <c r="F257" s="10">
        <v>1411902</v>
      </c>
      <c r="G257" s="10" t="s">
        <v>151</v>
      </c>
      <c r="H257" s="11">
        <v>68920</v>
      </c>
      <c r="I257" s="10">
        <v>0</v>
      </c>
      <c r="J257" s="11">
        <f t="shared" si="7"/>
        <v>68920</v>
      </c>
      <c r="K257" s="12">
        <f>VLOOKUP(A257,[1]VA05!$A:$K,11,FALSE)</f>
        <v>45588</v>
      </c>
      <c r="L257" s="10" t="s">
        <v>12</v>
      </c>
      <c r="M257" s="10" t="s">
        <v>194</v>
      </c>
    </row>
    <row r="258" spans="1:13" x14ac:dyDescent="0.25">
      <c r="A258" s="13" t="str">
        <f t="shared" si="6"/>
        <v>50714275720</v>
      </c>
      <c r="B258" s="10">
        <v>1004052373</v>
      </c>
      <c r="C258" s="10">
        <v>507142757</v>
      </c>
      <c r="D258" s="10">
        <v>20</v>
      </c>
      <c r="E258" s="10" t="s">
        <v>10</v>
      </c>
      <c r="F258" s="10">
        <v>1411705</v>
      </c>
      <c r="G258" s="10" t="s">
        <v>189</v>
      </c>
      <c r="H258" s="11">
        <v>75493</v>
      </c>
      <c r="I258" s="10">
        <v>0</v>
      </c>
      <c r="J258" s="11">
        <f t="shared" si="7"/>
        <v>75493</v>
      </c>
      <c r="K258" s="12">
        <f>VLOOKUP(A258,[1]VA05!$A:$K,11,FALSE)</f>
        <v>45567</v>
      </c>
      <c r="L258" s="10" t="s">
        <v>27</v>
      </c>
      <c r="M258" s="10" t="s">
        <v>143</v>
      </c>
    </row>
    <row r="259" spans="1:13" x14ac:dyDescent="0.25">
      <c r="A259" s="13" t="str">
        <f t="shared" si="6"/>
        <v>50714275740</v>
      </c>
      <c r="B259" s="10">
        <v>1004052374</v>
      </c>
      <c r="C259" s="10">
        <v>507142757</v>
      </c>
      <c r="D259" s="10">
        <v>40</v>
      </c>
      <c r="E259" s="10" t="s">
        <v>10</v>
      </c>
      <c r="F259" s="10">
        <v>1411705</v>
      </c>
      <c r="G259" s="10" t="s">
        <v>189</v>
      </c>
      <c r="H259" s="11">
        <v>129220</v>
      </c>
      <c r="I259" s="10">
        <v>0</v>
      </c>
      <c r="J259" s="11">
        <f t="shared" si="7"/>
        <v>129220</v>
      </c>
      <c r="K259" s="12">
        <f>VLOOKUP(A259,[1]VA05!$A:$K,11,FALSE)</f>
        <v>45574</v>
      </c>
      <c r="L259" s="10" t="s">
        <v>12</v>
      </c>
      <c r="M259" s="10" t="s">
        <v>143</v>
      </c>
    </row>
    <row r="260" spans="1:13" x14ac:dyDescent="0.25">
      <c r="A260" s="13" t="str">
        <f t="shared" ref="A260:A281" si="8">C260&amp;D260</f>
        <v>50714275760</v>
      </c>
      <c r="B260" s="10">
        <v>1004052375</v>
      </c>
      <c r="C260" s="10">
        <v>507142757</v>
      </c>
      <c r="D260" s="10">
        <v>60</v>
      </c>
      <c r="E260" s="10" t="s">
        <v>10</v>
      </c>
      <c r="F260" s="10">
        <v>1411705</v>
      </c>
      <c r="G260" s="10" t="s">
        <v>189</v>
      </c>
      <c r="H260" s="11">
        <v>64748</v>
      </c>
      <c r="I260" s="10">
        <v>0</v>
      </c>
      <c r="J260" s="11">
        <f t="shared" ref="J260:J281" si="9">H260-I260</f>
        <v>64748</v>
      </c>
      <c r="K260" s="12">
        <f>VLOOKUP(A260,[1]VA05!$A:$K,11,FALSE)</f>
        <v>45587</v>
      </c>
      <c r="L260" s="10" t="s">
        <v>12</v>
      </c>
      <c r="M260" s="10" t="s">
        <v>156</v>
      </c>
    </row>
    <row r="261" spans="1:13" x14ac:dyDescent="0.25">
      <c r="A261" s="13" t="str">
        <f t="shared" si="8"/>
        <v>50714275780</v>
      </c>
      <c r="B261" s="10">
        <v>1004052376</v>
      </c>
      <c r="C261" s="10">
        <v>507142757</v>
      </c>
      <c r="D261" s="10">
        <v>80</v>
      </c>
      <c r="E261" s="10" t="s">
        <v>10</v>
      </c>
      <c r="F261" s="10">
        <v>1411705</v>
      </c>
      <c r="G261" s="10" t="s">
        <v>189</v>
      </c>
      <c r="H261" s="11">
        <v>23145</v>
      </c>
      <c r="I261" s="10">
        <v>0</v>
      </c>
      <c r="J261" s="11">
        <f t="shared" si="9"/>
        <v>23145</v>
      </c>
      <c r="K261" s="12">
        <f>VLOOKUP(A261,[1]VA05!$A:$K,11,FALSE)</f>
        <v>45594</v>
      </c>
      <c r="L261" s="10" t="s">
        <v>12</v>
      </c>
      <c r="M261" s="10" t="s">
        <v>176</v>
      </c>
    </row>
    <row r="262" spans="1:13" x14ac:dyDescent="0.25">
      <c r="A262" s="13" t="str">
        <f t="shared" si="8"/>
        <v>50714275680</v>
      </c>
      <c r="B262" s="10">
        <v>1004052371</v>
      </c>
      <c r="C262" s="10">
        <v>507142756</v>
      </c>
      <c r="D262" s="10">
        <v>80</v>
      </c>
      <c r="E262" s="10" t="s">
        <v>10</v>
      </c>
      <c r="F262" s="10">
        <v>1411900</v>
      </c>
      <c r="G262" s="10" t="s">
        <v>152</v>
      </c>
      <c r="H262" s="11">
        <v>129220</v>
      </c>
      <c r="I262" s="11">
        <v>40422</v>
      </c>
      <c r="J262" s="11">
        <f t="shared" si="9"/>
        <v>88798</v>
      </c>
      <c r="K262" s="12">
        <f>VLOOKUP(A262,[1]VA05!$A:$K,11,FALSE)</f>
        <v>45582</v>
      </c>
      <c r="L262" s="10" t="s">
        <v>18</v>
      </c>
      <c r="M262" s="10" t="s">
        <v>180</v>
      </c>
    </row>
    <row r="263" spans="1:13" x14ac:dyDescent="0.25">
      <c r="A263" s="13" t="str">
        <f t="shared" si="8"/>
        <v>507142756100</v>
      </c>
      <c r="B263" s="10">
        <v>1004052372</v>
      </c>
      <c r="C263" s="10">
        <v>507142756</v>
      </c>
      <c r="D263" s="10">
        <v>100</v>
      </c>
      <c r="E263" s="10" t="s">
        <v>10</v>
      </c>
      <c r="F263" s="10">
        <v>1411900</v>
      </c>
      <c r="G263" s="10" t="s">
        <v>152</v>
      </c>
      <c r="H263" s="11">
        <v>70258</v>
      </c>
      <c r="I263" s="10">
        <v>0</v>
      </c>
      <c r="J263" s="11">
        <f t="shared" si="9"/>
        <v>70258</v>
      </c>
      <c r="K263" s="12">
        <f>VLOOKUP(A263,[1]VA05!$A:$K,11,FALSE)</f>
        <v>45588</v>
      </c>
      <c r="L263" s="10" t="s">
        <v>12</v>
      </c>
      <c r="M263" s="10" t="s">
        <v>178</v>
      </c>
    </row>
    <row r="264" spans="1:13" x14ac:dyDescent="0.25">
      <c r="A264" s="13" t="str">
        <f t="shared" si="8"/>
        <v>50714275710</v>
      </c>
      <c r="B264" s="10">
        <v>1004052377</v>
      </c>
      <c r="C264" s="10">
        <v>507142757</v>
      </c>
      <c r="D264" s="10">
        <v>10</v>
      </c>
      <c r="E264" s="10" t="s">
        <v>10</v>
      </c>
      <c r="F264" s="10">
        <v>1411703</v>
      </c>
      <c r="G264" s="10" t="s">
        <v>190</v>
      </c>
      <c r="H264" s="11">
        <v>71898</v>
      </c>
      <c r="I264" s="10">
        <v>0</v>
      </c>
      <c r="J264" s="11">
        <f t="shared" si="9"/>
        <v>71898</v>
      </c>
      <c r="K264" s="12">
        <f>VLOOKUP(A264,[1]VA05!$A:$K,11,FALSE)</f>
        <v>45567</v>
      </c>
      <c r="L264" s="10" t="s">
        <v>27</v>
      </c>
      <c r="M264" s="10" t="s">
        <v>143</v>
      </c>
    </row>
    <row r="265" spans="1:13" x14ac:dyDescent="0.25">
      <c r="A265" s="13" t="str">
        <f t="shared" si="8"/>
        <v>50714275730</v>
      </c>
      <c r="B265" s="10">
        <v>1004052378</v>
      </c>
      <c r="C265" s="10">
        <v>507142757</v>
      </c>
      <c r="D265" s="10">
        <v>30</v>
      </c>
      <c r="E265" s="10" t="s">
        <v>10</v>
      </c>
      <c r="F265" s="10">
        <v>1411703</v>
      </c>
      <c r="G265" s="10" t="s">
        <v>190</v>
      </c>
      <c r="H265" s="11">
        <v>123066</v>
      </c>
      <c r="I265" s="10">
        <v>0</v>
      </c>
      <c r="J265" s="11">
        <f t="shared" si="9"/>
        <v>123066</v>
      </c>
      <c r="K265" s="12">
        <f>VLOOKUP(A265,[1]VA05!$A:$K,11,FALSE)</f>
        <v>45574</v>
      </c>
      <c r="L265" s="10" t="s">
        <v>12</v>
      </c>
      <c r="M265" s="10" t="s">
        <v>97</v>
      </c>
    </row>
    <row r="266" spans="1:13" x14ac:dyDescent="0.25">
      <c r="A266" s="13" t="str">
        <f t="shared" si="8"/>
        <v>50714275750</v>
      </c>
      <c r="B266" s="10">
        <v>1004052379</v>
      </c>
      <c r="C266" s="10">
        <v>507142757</v>
      </c>
      <c r="D266" s="10">
        <v>50</v>
      </c>
      <c r="E266" s="10" t="s">
        <v>10</v>
      </c>
      <c r="F266" s="10">
        <v>1411703</v>
      </c>
      <c r="G266" s="10" t="s">
        <v>190</v>
      </c>
      <c r="H266" s="11">
        <v>61664</v>
      </c>
      <c r="I266" s="10">
        <v>0</v>
      </c>
      <c r="J266" s="11">
        <f t="shared" si="9"/>
        <v>61664</v>
      </c>
      <c r="K266" s="12">
        <f>VLOOKUP(A266,[1]VA05!$A:$K,11,FALSE)</f>
        <v>45587</v>
      </c>
      <c r="L266" s="10" t="s">
        <v>12</v>
      </c>
      <c r="M266" s="10" t="s">
        <v>156</v>
      </c>
    </row>
    <row r="267" spans="1:13" x14ac:dyDescent="0.25">
      <c r="A267" s="13" t="str">
        <f t="shared" si="8"/>
        <v>50714275770</v>
      </c>
      <c r="B267" s="10">
        <v>1004052380</v>
      </c>
      <c r="C267" s="10">
        <v>507142757</v>
      </c>
      <c r="D267" s="10">
        <v>70</v>
      </c>
      <c r="E267" s="10" t="s">
        <v>10</v>
      </c>
      <c r="F267" s="10">
        <v>1411703</v>
      </c>
      <c r="G267" s="10" t="s">
        <v>190</v>
      </c>
      <c r="H267" s="11">
        <v>22042</v>
      </c>
      <c r="I267" s="10">
        <v>0</v>
      </c>
      <c r="J267" s="11">
        <f t="shared" si="9"/>
        <v>22042</v>
      </c>
      <c r="K267" s="12">
        <f>VLOOKUP(A267,[1]VA05!$A:$K,11,FALSE)</f>
        <v>45594</v>
      </c>
      <c r="L267" s="10" t="s">
        <v>12</v>
      </c>
      <c r="M267" s="10" t="s">
        <v>176</v>
      </c>
    </row>
    <row r="268" spans="1:13" x14ac:dyDescent="0.25">
      <c r="A268" s="13" t="str">
        <f t="shared" si="8"/>
        <v>50714275650</v>
      </c>
      <c r="B268" s="10">
        <v>1004048063</v>
      </c>
      <c r="C268" s="10">
        <v>507142756</v>
      </c>
      <c r="D268" s="10">
        <v>50</v>
      </c>
      <c r="E268" s="10" t="s">
        <v>10</v>
      </c>
      <c r="F268" s="10">
        <v>1411901</v>
      </c>
      <c r="G268" s="10" t="s">
        <v>153</v>
      </c>
      <c r="H268" s="11">
        <v>20730</v>
      </c>
      <c r="I268" s="11">
        <v>7817</v>
      </c>
      <c r="J268" s="11">
        <f t="shared" si="9"/>
        <v>12913</v>
      </c>
      <c r="K268" s="12">
        <f>VLOOKUP(A268,[1]VA05!$A:$K,11,FALSE)</f>
        <v>45566</v>
      </c>
      <c r="L268" s="10" t="s">
        <v>18</v>
      </c>
      <c r="M268" s="10" t="s">
        <v>180</v>
      </c>
    </row>
    <row r="269" spans="1:13" x14ac:dyDescent="0.25">
      <c r="A269" s="13" t="str">
        <f t="shared" si="8"/>
        <v>50714275670</v>
      </c>
      <c r="B269" s="10">
        <v>1004052381</v>
      </c>
      <c r="C269" s="10">
        <v>507142756</v>
      </c>
      <c r="D269" s="10">
        <v>70</v>
      </c>
      <c r="E269" s="10" t="s">
        <v>10</v>
      </c>
      <c r="F269" s="10">
        <v>1411901</v>
      </c>
      <c r="G269" s="10" t="s">
        <v>153</v>
      </c>
      <c r="H269" s="11">
        <v>123066</v>
      </c>
      <c r="I269" s="10">
        <v>0</v>
      </c>
      <c r="J269" s="11">
        <f t="shared" si="9"/>
        <v>123066</v>
      </c>
      <c r="K269" s="12">
        <f>VLOOKUP(A269,[1]VA05!$A:$K,11,FALSE)</f>
        <v>45582</v>
      </c>
      <c r="L269" s="10" t="s">
        <v>12</v>
      </c>
      <c r="M269" s="10" t="s">
        <v>97</v>
      </c>
    </row>
    <row r="270" spans="1:13" x14ac:dyDescent="0.25">
      <c r="A270" s="13" t="str">
        <f t="shared" si="8"/>
        <v>50714275690</v>
      </c>
      <c r="B270" s="10">
        <v>1004052382</v>
      </c>
      <c r="C270" s="10">
        <v>507142756</v>
      </c>
      <c r="D270" s="10">
        <v>90</v>
      </c>
      <c r="E270" s="10" t="s">
        <v>10</v>
      </c>
      <c r="F270" s="10">
        <v>1411901</v>
      </c>
      <c r="G270" s="10" t="s">
        <v>153</v>
      </c>
      <c r="H270" s="11">
        <v>66912</v>
      </c>
      <c r="I270" s="10">
        <v>0</v>
      </c>
      <c r="J270" s="11">
        <f t="shared" si="9"/>
        <v>66912</v>
      </c>
      <c r="K270" s="12">
        <f>VLOOKUP(A270,[1]VA05!$A:$K,11,FALSE)</f>
        <v>45588</v>
      </c>
      <c r="L270" s="10" t="s">
        <v>12</v>
      </c>
      <c r="M270" s="10" t="s">
        <v>156</v>
      </c>
    </row>
    <row r="271" spans="1:13" x14ac:dyDescent="0.25">
      <c r="A271" s="13" t="str">
        <f t="shared" si="8"/>
        <v>50714241650</v>
      </c>
      <c r="B271" s="10">
        <v>1004053565</v>
      </c>
      <c r="C271" s="10">
        <v>507142416</v>
      </c>
      <c r="D271" s="10">
        <v>50</v>
      </c>
      <c r="E271" s="10" t="s">
        <v>10</v>
      </c>
      <c r="F271" s="10">
        <v>1172059</v>
      </c>
      <c r="G271" s="10" t="s">
        <v>59</v>
      </c>
      <c r="H271" s="11">
        <v>10195</v>
      </c>
      <c r="I271" s="11">
        <v>7544</v>
      </c>
      <c r="J271" s="11">
        <f t="shared" si="9"/>
        <v>2651</v>
      </c>
      <c r="K271" s="12">
        <f>VLOOKUP(A271,[1]VA05!$A:$K,11,FALSE)</f>
        <v>45573</v>
      </c>
      <c r="L271" s="10" t="s">
        <v>18</v>
      </c>
      <c r="M271" s="10" t="s">
        <v>154</v>
      </c>
    </row>
    <row r="272" spans="1:13" x14ac:dyDescent="0.25">
      <c r="A272" s="13" t="str">
        <f t="shared" si="8"/>
        <v>50714241680</v>
      </c>
      <c r="B272" s="10">
        <v>1004053566</v>
      </c>
      <c r="C272" s="10">
        <v>507142416</v>
      </c>
      <c r="D272" s="10">
        <v>80</v>
      </c>
      <c r="E272" s="10" t="s">
        <v>10</v>
      </c>
      <c r="F272" s="10">
        <v>1172059</v>
      </c>
      <c r="G272" s="10" t="s">
        <v>59</v>
      </c>
      <c r="H272" s="11">
        <v>10195</v>
      </c>
      <c r="I272" s="10">
        <v>0</v>
      </c>
      <c r="J272" s="11">
        <f t="shared" si="9"/>
        <v>10195</v>
      </c>
      <c r="K272" s="12">
        <f>VLOOKUP(A272,[1]VA05!$A:$K,11,FALSE)</f>
        <v>45576</v>
      </c>
      <c r="L272" s="10" t="s">
        <v>12</v>
      </c>
      <c r="M272" s="10" t="s">
        <v>197</v>
      </c>
    </row>
    <row r="273" spans="1:23" x14ac:dyDescent="0.25">
      <c r="A273" s="13" t="str">
        <f t="shared" si="8"/>
        <v>507142416110</v>
      </c>
      <c r="B273" s="10">
        <v>1004053567</v>
      </c>
      <c r="C273" s="10">
        <v>507142416</v>
      </c>
      <c r="D273" s="10">
        <v>110</v>
      </c>
      <c r="E273" s="10" t="s">
        <v>10</v>
      </c>
      <c r="F273" s="10">
        <v>1172059</v>
      </c>
      <c r="G273" s="10" t="s">
        <v>59</v>
      </c>
      <c r="H273" s="11">
        <v>10195</v>
      </c>
      <c r="I273" s="10">
        <v>0</v>
      </c>
      <c r="J273" s="11">
        <f t="shared" si="9"/>
        <v>10195</v>
      </c>
      <c r="K273" s="12">
        <f>VLOOKUP(A273,[1]VA05!$A:$K,11,FALSE)</f>
        <v>45580</v>
      </c>
      <c r="L273" s="10" t="s">
        <v>12</v>
      </c>
      <c r="M273" s="10" t="s">
        <v>202</v>
      </c>
    </row>
    <row r="274" spans="1:23" x14ac:dyDescent="0.25">
      <c r="A274" s="13" t="str">
        <f t="shared" si="8"/>
        <v>507142416200</v>
      </c>
      <c r="B274" s="10">
        <v>1004053568</v>
      </c>
      <c r="C274" s="10">
        <v>507142416</v>
      </c>
      <c r="D274" s="10">
        <v>200</v>
      </c>
      <c r="E274" s="10" t="s">
        <v>10</v>
      </c>
      <c r="F274" s="10">
        <v>1172059</v>
      </c>
      <c r="G274" s="10" t="s">
        <v>59</v>
      </c>
      <c r="H274" s="11">
        <v>10195</v>
      </c>
      <c r="I274" s="10">
        <v>0</v>
      </c>
      <c r="J274" s="11">
        <f t="shared" si="9"/>
        <v>10195</v>
      </c>
      <c r="K274" s="12">
        <f>VLOOKUP(A274,[1]VA05!$A:$K,11,FALSE)</f>
        <v>45582</v>
      </c>
      <c r="L274" s="10" t="s">
        <v>12</v>
      </c>
      <c r="M274" s="10" t="s">
        <v>179</v>
      </c>
    </row>
    <row r="275" spans="1:23" x14ac:dyDescent="0.25">
      <c r="A275" s="13" t="str">
        <f t="shared" si="8"/>
        <v>507142416230</v>
      </c>
      <c r="B275" s="10">
        <v>1004053609</v>
      </c>
      <c r="C275" s="10">
        <v>507142416</v>
      </c>
      <c r="D275" s="10">
        <v>230</v>
      </c>
      <c r="E275" s="10" t="s">
        <v>10</v>
      </c>
      <c r="F275" s="10">
        <v>1172059</v>
      </c>
      <c r="G275" s="10" t="s">
        <v>59</v>
      </c>
      <c r="H275" s="11">
        <v>10195</v>
      </c>
      <c r="I275" s="10">
        <v>0</v>
      </c>
      <c r="J275" s="11">
        <f t="shared" si="9"/>
        <v>10195</v>
      </c>
      <c r="K275" s="12">
        <f>VLOOKUP(A275,[1]VA05!$A:$K,11,FALSE)</f>
        <v>45587</v>
      </c>
      <c r="L275" s="10" t="s">
        <v>12</v>
      </c>
      <c r="M275" s="10" t="s">
        <v>191</v>
      </c>
    </row>
    <row r="276" spans="1:23" x14ac:dyDescent="0.25">
      <c r="A276" s="13" t="str">
        <f t="shared" si="8"/>
        <v>50714267950</v>
      </c>
      <c r="B276" s="10">
        <v>1004053549</v>
      </c>
      <c r="C276" s="10">
        <v>507142679</v>
      </c>
      <c r="D276" s="10">
        <v>50</v>
      </c>
      <c r="E276" s="10" t="s">
        <v>10</v>
      </c>
      <c r="F276" s="10">
        <v>1167435</v>
      </c>
      <c r="G276" s="10" t="s">
        <v>26</v>
      </c>
      <c r="H276" s="11">
        <v>10277</v>
      </c>
      <c r="I276" s="10">
        <v>0</v>
      </c>
      <c r="J276" s="11">
        <f t="shared" si="9"/>
        <v>10277</v>
      </c>
      <c r="K276" s="12" t="e">
        <f>VLOOKUP(A276,[1]VA05!$A:$K,11,FALSE)</f>
        <v>#N/A</v>
      </c>
      <c r="L276" s="10" t="s">
        <v>27</v>
      </c>
      <c r="M276" s="10" t="s">
        <v>201</v>
      </c>
    </row>
    <row r="277" spans="1:23" x14ac:dyDescent="0.25">
      <c r="A277" s="13" t="str">
        <f t="shared" si="8"/>
        <v>50714267980</v>
      </c>
      <c r="B277" s="10">
        <v>1004053550</v>
      </c>
      <c r="C277" s="10">
        <v>507142679</v>
      </c>
      <c r="D277" s="10">
        <v>80</v>
      </c>
      <c r="E277" s="10" t="s">
        <v>10</v>
      </c>
      <c r="F277" s="10">
        <v>1167435</v>
      </c>
      <c r="G277" s="10" t="s">
        <v>26</v>
      </c>
      <c r="H277" s="11">
        <v>20260</v>
      </c>
      <c r="I277" s="10">
        <v>0</v>
      </c>
      <c r="J277" s="11">
        <f t="shared" si="9"/>
        <v>20260</v>
      </c>
      <c r="K277" s="12">
        <f>VLOOKUP(A277,[1]VA05!$A:$K,11,FALSE)</f>
        <v>45569</v>
      </c>
      <c r="L277" s="10" t="s">
        <v>27</v>
      </c>
      <c r="M277" s="10" t="s">
        <v>201</v>
      </c>
    </row>
    <row r="278" spans="1:23" x14ac:dyDescent="0.25">
      <c r="A278" s="13" t="str">
        <f t="shared" si="8"/>
        <v>50714268040</v>
      </c>
      <c r="B278" s="10">
        <v>1004053551</v>
      </c>
      <c r="C278" s="10">
        <v>507142680</v>
      </c>
      <c r="D278" s="10">
        <v>40</v>
      </c>
      <c r="E278" s="10" t="s">
        <v>10</v>
      </c>
      <c r="F278" s="10">
        <v>1167435</v>
      </c>
      <c r="G278" s="10" t="s">
        <v>26</v>
      </c>
      <c r="H278" s="11">
        <v>25287</v>
      </c>
      <c r="I278" s="10">
        <v>0</v>
      </c>
      <c r="J278" s="11">
        <f t="shared" si="9"/>
        <v>25287</v>
      </c>
      <c r="K278" s="12">
        <f>VLOOKUP(A278,[1]VA05!$A:$K,11,FALSE)</f>
        <v>45569</v>
      </c>
      <c r="L278" s="10" t="s">
        <v>12</v>
      </c>
      <c r="M278" s="10" t="s">
        <v>180</v>
      </c>
    </row>
    <row r="279" spans="1:23" x14ac:dyDescent="0.25">
      <c r="A279" s="13" t="str">
        <f t="shared" si="8"/>
        <v>50714268530</v>
      </c>
      <c r="B279" s="10">
        <v>1004053560</v>
      </c>
      <c r="C279" s="10">
        <v>507142685</v>
      </c>
      <c r="D279" s="10">
        <v>30</v>
      </c>
      <c r="E279" s="10" t="s">
        <v>10</v>
      </c>
      <c r="F279" s="10">
        <v>1167435</v>
      </c>
      <c r="G279" s="10" t="s">
        <v>26</v>
      </c>
      <c r="H279" s="11">
        <v>30830</v>
      </c>
      <c r="I279" s="11">
        <v>22671</v>
      </c>
      <c r="J279" s="11">
        <f t="shared" si="9"/>
        <v>8159</v>
      </c>
      <c r="K279" s="12">
        <f>VLOOKUP(A279,[1]VA05!$A:$K,11,FALSE)</f>
        <v>45560</v>
      </c>
      <c r="L279" s="10" t="s">
        <v>18</v>
      </c>
      <c r="M279" s="10" t="s">
        <v>142</v>
      </c>
    </row>
    <row r="280" spans="1:23" x14ac:dyDescent="0.25">
      <c r="A280" s="13" t="str">
        <f t="shared" si="8"/>
        <v>50714275420</v>
      </c>
      <c r="B280" s="10">
        <v>1004053562</v>
      </c>
      <c r="C280" s="10">
        <v>507142754</v>
      </c>
      <c r="D280" s="10">
        <v>20</v>
      </c>
      <c r="E280" s="10" t="s">
        <v>10</v>
      </c>
      <c r="F280" s="10">
        <v>1167435</v>
      </c>
      <c r="G280" s="10" t="s">
        <v>26</v>
      </c>
      <c r="H280" s="11">
        <v>20390</v>
      </c>
      <c r="I280" s="10">
        <v>0</v>
      </c>
      <c r="J280" s="11">
        <f t="shared" si="9"/>
        <v>20390</v>
      </c>
      <c r="K280" s="12">
        <f>VLOOKUP(A280,[1]VA05!$A:$K,11,FALSE)</f>
        <v>45611</v>
      </c>
      <c r="L280" s="10" t="s">
        <v>12</v>
      </c>
      <c r="M280" s="10" t="s">
        <v>217</v>
      </c>
    </row>
    <row r="281" spans="1:23" x14ac:dyDescent="0.25">
      <c r="A281" s="13" t="str">
        <f t="shared" si="8"/>
        <v>50714276930</v>
      </c>
      <c r="B281" s="10">
        <v>1004053564</v>
      </c>
      <c r="C281" s="10">
        <v>507142769</v>
      </c>
      <c r="D281" s="10">
        <v>30</v>
      </c>
      <c r="E281" s="10" t="s">
        <v>10</v>
      </c>
      <c r="F281" s="10">
        <v>1167435</v>
      </c>
      <c r="G281" s="10" t="s">
        <v>26</v>
      </c>
      <c r="H281" s="11">
        <v>30683</v>
      </c>
      <c r="I281" s="10">
        <v>0</v>
      </c>
      <c r="J281" s="11">
        <f t="shared" si="9"/>
        <v>30683</v>
      </c>
      <c r="K281" s="12">
        <f>VLOOKUP(A281,[1]VA05!$A:$K,11,FALSE)</f>
        <v>45575</v>
      </c>
      <c r="L281" s="10" t="s">
        <v>12</v>
      </c>
      <c r="M281" s="10" t="s">
        <v>155</v>
      </c>
    </row>
    <row r="282" spans="1:23" x14ac:dyDescent="0.25">
      <c r="U282" s="15"/>
      <c r="V282" s="15"/>
      <c r="W28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25C0-5E6A-40C3-9AD2-067FE4EFC3BE}">
  <dimension ref="A1:M285"/>
  <sheetViews>
    <sheetView topLeftCell="A138" workbookViewId="0">
      <selection activeCell="F141" sqref="F141"/>
    </sheetView>
  </sheetViews>
  <sheetFormatPr defaultRowHeight="15" x14ac:dyDescent="0.25"/>
  <cols>
    <col min="2" max="2" width="12.42578125" bestFit="1" customWidth="1"/>
    <col min="3" max="3" width="11.28515625" bestFit="1" customWidth="1"/>
    <col min="4" max="4" width="4.42578125" bestFit="1" customWidth="1"/>
    <col min="5" max="5" width="6.42578125" bestFit="1" customWidth="1"/>
    <col min="6" max="6" width="9" bestFit="1" customWidth="1"/>
    <col min="7" max="7" width="40" customWidth="1"/>
    <col min="8" max="8" width="10.140625" bestFit="1" customWidth="1"/>
    <col min="9" max="10" width="8.5703125" customWidth="1"/>
    <col min="11" max="11" width="8.140625" customWidth="1"/>
    <col min="12" max="12" width="4.85546875" customWidth="1"/>
    <col min="13" max="13" width="11.28515625" bestFit="1" customWidth="1"/>
  </cols>
  <sheetData>
    <row r="1" spans="1:13" s="13" customFormat="1" ht="23.25" x14ac:dyDescent="0.35">
      <c r="B1" s="1" t="s">
        <v>226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50714262810</v>
      </c>
      <c r="B3" s="10">
        <v>1004054665</v>
      </c>
      <c r="C3" s="10">
        <v>507142628</v>
      </c>
      <c r="D3" s="10">
        <v>10</v>
      </c>
      <c r="E3" s="10" t="s">
        <v>10</v>
      </c>
      <c r="F3" s="10">
        <v>1187695</v>
      </c>
      <c r="G3" s="10" t="s">
        <v>218</v>
      </c>
      <c r="H3" s="11">
        <v>10131</v>
      </c>
      <c r="I3" s="10">
        <v>0</v>
      </c>
      <c r="J3" s="11">
        <f>H3-I3</f>
        <v>10131</v>
      </c>
      <c r="K3" s="12">
        <f>VLOOKUP(A3,[2]VA05!$A:$K,11,FALSE)</f>
        <v>45623</v>
      </c>
      <c r="L3" s="10" t="s">
        <v>12</v>
      </c>
      <c r="M3" s="10" t="s">
        <v>219</v>
      </c>
    </row>
    <row r="4" spans="1:13" x14ac:dyDescent="0.25">
      <c r="A4" s="13" t="str">
        <f t="shared" ref="A4:A67" si="0">C4&amp;D4</f>
        <v>50714270310</v>
      </c>
      <c r="B4" s="10">
        <v>1004054666</v>
      </c>
      <c r="C4" s="10">
        <v>507142703</v>
      </c>
      <c r="D4" s="10">
        <v>10</v>
      </c>
      <c r="E4" s="10" t="s">
        <v>10</v>
      </c>
      <c r="F4" s="10">
        <v>1187695</v>
      </c>
      <c r="G4" s="10" t="s">
        <v>218</v>
      </c>
      <c r="H4" s="11">
        <v>10217</v>
      </c>
      <c r="I4" s="10">
        <v>0</v>
      </c>
      <c r="J4" s="11">
        <f t="shared" ref="J4:J67" si="1">H4-I4</f>
        <v>10217</v>
      </c>
      <c r="K4" s="12">
        <f>VLOOKUP(A4,[2]VA05!$A:$K,11,FALSE)</f>
        <v>45594</v>
      </c>
      <c r="L4" s="10" t="s">
        <v>12</v>
      </c>
      <c r="M4" s="10" t="s">
        <v>204</v>
      </c>
    </row>
    <row r="5" spans="1:13" x14ac:dyDescent="0.25">
      <c r="A5" s="13" t="str">
        <f t="shared" si="0"/>
        <v>50714271810</v>
      </c>
      <c r="B5" s="10">
        <v>1004051716</v>
      </c>
      <c r="C5" s="10">
        <v>507142718</v>
      </c>
      <c r="D5" s="10">
        <v>10</v>
      </c>
      <c r="E5" s="10" t="s">
        <v>10</v>
      </c>
      <c r="F5" s="10">
        <v>1175676</v>
      </c>
      <c r="G5" s="10" t="s">
        <v>163</v>
      </c>
      <c r="H5" s="11">
        <v>10773</v>
      </c>
      <c r="I5" s="10">
        <v>0</v>
      </c>
      <c r="J5" s="11">
        <f t="shared" si="1"/>
        <v>10773</v>
      </c>
      <c r="K5" s="12">
        <f>VLOOKUP(A5,[2]VA05!$A:$K,11,FALSE)</f>
        <v>45593</v>
      </c>
      <c r="L5" s="10" t="s">
        <v>56</v>
      </c>
      <c r="M5" s="10" t="s">
        <v>142</v>
      </c>
    </row>
    <row r="6" spans="1:13" x14ac:dyDescent="0.25">
      <c r="A6" s="13" t="str">
        <f t="shared" si="0"/>
        <v>50714271810</v>
      </c>
      <c r="B6" s="10">
        <v>1004051717</v>
      </c>
      <c r="C6" s="10">
        <v>507142718</v>
      </c>
      <c r="D6" s="10">
        <v>10</v>
      </c>
      <c r="E6" s="10" t="s">
        <v>10</v>
      </c>
      <c r="F6" s="10">
        <v>1175673</v>
      </c>
      <c r="G6" s="10" t="s">
        <v>164</v>
      </c>
      <c r="H6" s="11">
        <v>11111</v>
      </c>
      <c r="I6" s="10">
        <v>0</v>
      </c>
      <c r="J6" s="11">
        <f t="shared" si="1"/>
        <v>11111</v>
      </c>
      <c r="K6" s="12">
        <f>VLOOKUP(A6,[2]VA05!$A:$K,11,FALSE)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1004051718</v>
      </c>
      <c r="C7" s="10">
        <v>507142718</v>
      </c>
      <c r="D7" s="10">
        <v>10</v>
      </c>
      <c r="E7" s="10" t="s">
        <v>10</v>
      </c>
      <c r="F7" s="10">
        <v>1175672</v>
      </c>
      <c r="G7" s="10" t="s">
        <v>165</v>
      </c>
      <c r="H7" s="11">
        <v>11111</v>
      </c>
      <c r="I7" s="10">
        <v>0</v>
      </c>
      <c r="J7" s="11">
        <f t="shared" si="1"/>
        <v>11111</v>
      </c>
      <c r="K7" s="12">
        <f>VLOOKUP(A7,[2]VA05!$A:$K,11,FALSE)</f>
        <v>45593</v>
      </c>
      <c r="L7" s="10" t="s">
        <v>12</v>
      </c>
      <c r="M7" s="10" t="s">
        <v>175</v>
      </c>
    </row>
    <row r="8" spans="1:13" x14ac:dyDescent="0.25">
      <c r="A8" s="13" t="str">
        <f t="shared" si="0"/>
        <v>50714271810</v>
      </c>
      <c r="B8" s="10">
        <v>1004051719</v>
      </c>
      <c r="C8" s="10">
        <v>507142718</v>
      </c>
      <c r="D8" s="10">
        <v>10</v>
      </c>
      <c r="E8" s="10" t="s">
        <v>10</v>
      </c>
      <c r="F8" s="10">
        <v>1175608</v>
      </c>
      <c r="G8" s="10" t="s">
        <v>166</v>
      </c>
      <c r="H8" s="11">
        <v>10394</v>
      </c>
      <c r="I8" s="10">
        <v>0</v>
      </c>
      <c r="J8" s="11">
        <f t="shared" si="1"/>
        <v>10394</v>
      </c>
      <c r="K8" s="12">
        <f>VLOOKUP(A8,[2]VA05!$A:$K,11,FALSE)</f>
        <v>45593</v>
      </c>
      <c r="L8" s="10" t="s">
        <v>12</v>
      </c>
      <c r="M8" s="10" t="s">
        <v>175</v>
      </c>
    </row>
    <row r="9" spans="1:13" x14ac:dyDescent="0.25">
      <c r="A9" s="13" t="str">
        <f t="shared" si="0"/>
        <v>50714271810</v>
      </c>
      <c r="B9" s="10">
        <v>1004051720</v>
      </c>
      <c r="C9" s="10">
        <v>507142718</v>
      </c>
      <c r="D9" s="10">
        <v>10</v>
      </c>
      <c r="E9" s="10" t="s">
        <v>10</v>
      </c>
      <c r="F9" s="10">
        <v>1175605</v>
      </c>
      <c r="G9" s="10" t="s">
        <v>167</v>
      </c>
      <c r="H9" s="11">
        <v>10454</v>
      </c>
      <c r="I9" s="10">
        <v>0</v>
      </c>
      <c r="J9" s="11">
        <f t="shared" si="1"/>
        <v>10454</v>
      </c>
      <c r="K9" s="12">
        <f>VLOOKUP(A9,[2]VA05!$A:$K,11,FALSE)</f>
        <v>45593</v>
      </c>
      <c r="L9" s="10" t="s">
        <v>12</v>
      </c>
      <c r="M9" s="10" t="s">
        <v>140</v>
      </c>
    </row>
    <row r="10" spans="1:13" x14ac:dyDescent="0.25">
      <c r="A10" s="13" t="str">
        <f t="shared" si="0"/>
        <v>50714272610</v>
      </c>
      <c r="B10" s="10">
        <v>1004052385</v>
      </c>
      <c r="C10" s="10">
        <v>507142726</v>
      </c>
      <c r="D10" s="10">
        <v>10</v>
      </c>
      <c r="E10" s="10" t="s">
        <v>10</v>
      </c>
      <c r="F10" s="10">
        <v>1412577</v>
      </c>
      <c r="G10" s="10" t="s">
        <v>181</v>
      </c>
      <c r="H10" s="11">
        <v>12094</v>
      </c>
      <c r="I10" s="10">
        <v>0</v>
      </c>
      <c r="J10" s="11">
        <f t="shared" si="1"/>
        <v>12094</v>
      </c>
      <c r="K10" s="12">
        <f>VLOOKUP(A10,[2]VA05!$A:$K,11,FALSE)</f>
        <v>45567</v>
      </c>
      <c r="L10" s="10" t="s">
        <v>12</v>
      </c>
      <c r="M10" s="10" t="s">
        <v>142</v>
      </c>
    </row>
    <row r="11" spans="1:13" x14ac:dyDescent="0.25">
      <c r="A11" s="13" t="str">
        <f t="shared" si="0"/>
        <v>50800513010</v>
      </c>
      <c r="B11" s="10">
        <v>1004054829</v>
      </c>
      <c r="C11" s="10">
        <v>508005130</v>
      </c>
      <c r="D11" s="10">
        <v>10</v>
      </c>
      <c r="E11" s="10" t="s">
        <v>10</v>
      </c>
      <c r="F11" s="10">
        <v>1200941</v>
      </c>
      <c r="G11" s="10" t="s">
        <v>48</v>
      </c>
      <c r="H11" s="11">
        <v>20400</v>
      </c>
      <c r="I11" s="10">
        <v>0</v>
      </c>
      <c r="J11" s="11">
        <f t="shared" si="1"/>
        <v>20400</v>
      </c>
      <c r="K11" s="12" t="e">
        <f>VLOOKUP(A11,[2]VA05!$A:$K,11,FALSE)</f>
        <v>#N/A</v>
      </c>
      <c r="L11" s="10" t="s">
        <v>12</v>
      </c>
      <c r="M11" s="10" t="s">
        <v>61</v>
      </c>
    </row>
    <row r="12" spans="1:13" x14ac:dyDescent="0.25">
      <c r="A12" s="13" t="str">
        <f t="shared" si="0"/>
        <v>50714156910</v>
      </c>
      <c r="B12" s="10">
        <v>1004003998</v>
      </c>
      <c r="C12" s="10">
        <v>507141569</v>
      </c>
      <c r="D12" s="10">
        <v>10</v>
      </c>
      <c r="E12" s="10" t="s">
        <v>10</v>
      </c>
      <c r="F12" s="10">
        <v>1175312</v>
      </c>
      <c r="G12" s="10" t="s">
        <v>51</v>
      </c>
      <c r="H12" s="11">
        <v>25845</v>
      </c>
      <c r="I12" s="10">
        <v>0</v>
      </c>
      <c r="J12" s="11">
        <f t="shared" si="1"/>
        <v>25845</v>
      </c>
      <c r="K12" s="12">
        <f>VLOOKUP(A12,[2]VA05!$A:$K,11,FALSE)</f>
        <v>45611</v>
      </c>
      <c r="L12" s="10" t="s">
        <v>117</v>
      </c>
      <c r="M12" s="10" t="s">
        <v>78</v>
      </c>
    </row>
    <row r="13" spans="1:13" x14ac:dyDescent="0.25">
      <c r="A13" s="13" t="str">
        <f t="shared" si="0"/>
        <v>50714156910</v>
      </c>
      <c r="B13" s="10">
        <v>1004017074</v>
      </c>
      <c r="C13" s="10">
        <v>507141569</v>
      </c>
      <c r="D13" s="10">
        <v>10</v>
      </c>
      <c r="E13" s="10" t="s">
        <v>10</v>
      </c>
      <c r="F13" s="10">
        <v>1175311</v>
      </c>
      <c r="G13" s="10" t="s">
        <v>67</v>
      </c>
      <c r="H13" s="11">
        <v>25845</v>
      </c>
      <c r="I13" s="10">
        <v>0</v>
      </c>
      <c r="J13" s="11">
        <f t="shared" si="1"/>
        <v>25845</v>
      </c>
      <c r="K13" s="12">
        <f>VLOOKUP(A13,[2]VA05!$A:$K,11,FALSE)</f>
        <v>45611</v>
      </c>
      <c r="L13" s="10" t="s">
        <v>12</v>
      </c>
      <c r="M13" s="10" t="s">
        <v>50</v>
      </c>
    </row>
    <row r="14" spans="1:13" x14ac:dyDescent="0.25">
      <c r="A14" s="13" t="str">
        <f t="shared" si="0"/>
        <v>50714270810</v>
      </c>
      <c r="B14" s="10">
        <v>1004052045</v>
      </c>
      <c r="C14" s="10">
        <v>507142708</v>
      </c>
      <c r="D14" s="10">
        <v>10</v>
      </c>
      <c r="E14" s="10" t="s">
        <v>10</v>
      </c>
      <c r="F14" s="10">
        <v>1215664</v>
      </c>
      <c r="G14" s="10" t="s">
        <v>90</v>
      </c>
      <c r="H14" s="11">
        <v>11159</v>
      </c>
      <c r="I14" s="10">
        <v>0</v>
      </c>
      <c r="J14" s="11">
        <f t="shared" si="1"/>
        <v>11159</v>
      </c>
      <c r="K14" s="12">
        <f>VLOOKUP(A14,[2]VA05!$A:$K,11,FALSE)</f>
        <v>45588</v>
      </c>
      <c r="L14" s="10" t="s">
        <v>12</v>
      </c>
      <c r="M14" s="10" t="s">
        <v>191</v>
      </c>
    </row>
    <row r="15" spans="1:13" x14ac:dyDescent="0.25">
      <c r="A15" s="13" t="str">
        <f t="shared" si="0"/>
        <v>50714273210</v>
      </c>
      <c r="B15" s="10">
        <v>1004052164</v>
      </c>
      <c r="C15" s="10">
        <v>507142732</v>
      </c>
      <c r="D15" s="10">
        <v>10</v>
      </c>
      <c r="E15" s="10" t="s">
        <v>10</v>
      </c>
      <c r="F15" s="10">
        <v>1411198</v>
      </c>
      <c r="G15" s="10" t="s">
        <v>41</v>
      </c>
      <c r="H15" s="11">
        <v>28402</v>
      </c>
      <c r="I15" s="11">
        <v>14046</v>
      </c>
      <c r="J15" s="11">
        <f t="shared" si="1"/>
        <v>14356</v>
      </c>
      <c r="K15" s="12">
        <f>VLOOKUP(A15,[2]VA05!$A:$K,11,FALSE)</f>
        <v>45572</v>
      </c>
      <c r="L15" s="10" t="s">
        <v>18</v>
      </c>
      <c r="M15" s="10" t="s">
        <v>140</v>
      </c>
    </row>
    <row r="16" spans="1:13" x14ac:dyDescent="0.25">
      <c r="A16" s="13" t="str">
        <f t="shared" si="0"/>
        <v>50714278910</v>
      </c>
      <c r="B16" s="10">
        <v>1004052165</v>
      </c>
      <c r="C16" s="10">
        <v>507142789</v>
      </c>
      <c r="D16" s="10">
        <v>10</v>
      </c>
      <c r="E16" s="10" t="s">
        <v>10</v>
      </c>
      <c r="F16" s="10">
        <v>1411198</v>
      </c>
      <c r="G16" s="10" t="s">
        <v>41</v>
      </c>
      <c r="H16" s="11">
        <v>14201</v>
      </c>
      <c r="I16" s="10">
        <v>0</v>
      </c>
      <c r="J16" s="11">
        <f t="shared" si="1"/>
        <v>14201</v>
      </c>
      <c r="K16" s="12">
        <f>VLOOKUP(A16,[2]VA05!$A:$K,11,FALSE)</f>
        <v>45583</v>
      </c>
      <c r="L16" s="10" t="s">
        <v>12</v>
      </c>
      <c r="M16" s="10" t="s">
        <v>156</v>
      </c>
    </row>
    <row r="17" spans="1:13" x14ac:dyDescent="0.25">
      <c r="A17" s="13" t="str">
        <f t="shared" si="0"/>
        <v>50714270810</v>
      </c>
      <c r="B17" s="10">
        <v>1004052046</v>
      </c>
      <c r="C17" s="10">
        <v>507142708</v>
      </c>
      <c r="D17" s="10">
        <v>10</v>
      </c>
      <c r="E17" s="10" t="s">
        <v>10</v>
      </c>
      <c r="F17" s="10">
        <v>1215668</v>
      </c>
      <c r="G17" s="10" t="s">
        <v>108</v>
      </c>
      <c r="H17" s="11">
        <v>11349</v>
      </c>
      <c r="I17" s="10">
        <v>0</v>
      </c>
      <c r="J17" s="11">
        <f t="shared" si="1"/>
        <v>11349</v>
      </c>
      <c r="K17" s="12">
        <f>VLOOKUP(A17,[2]VA05!$A:$K,11,FALSE)</f>
        <v>45588</v>
      </c>
      <c r="L17" s="10" t="s">
        <v>12</v>
      </c>
      <c r="M17" s="10" t="s">
        <v>192</v>
      </c>
    </row>
    <row r="18" spans="1:13" hidden="1" x14ac:dyDescent="0.25">
      <c r="A18" s="13" t="str">
        <f t="shared" si="0"/>
        <v>50714227020</v>
      </c>
      <c r="B18" s="10">
        <v>1004037311</v>
      </c>
      <c r="C18" s="10">
        <v>507142270</v>
      </c>
      <c r="D18" s="10">
        <v>20</v>
      </c>
      <c r="E18" s="10" t="s">
        <v>10</v>
      </c>
      <c r="F18" s="10">
        <v>1187766</v>
      </c>
      <c r="G18" s="10" t="s">
        <v>53</v>
      </c>
      <c r="H18" s="11">
        <v>17620</v>
      </c>
      <c r="I18" s="11">
        <v>17620</v>
      </c>
      <c r="J18" s="11">
        <f t="shared" si="1"/>
        <v>0</v>
      </c>
      <c r="K18" s="12">
        <f>VLOOKUP(A18,[2]VA05!$A:$K,11,FALSE)</f>
        <v>45565</v>
      </c>
      <c r="L18" s="10" t="s">
        <v>232</v>
      </c>
      <c r="M18" s="10" t="s">
        <v>180</v>
      </c>
    </row>
    <row r="19" spans="1:13" x14ac:dyDescent="0.25">
      <c r="A19" s="13" t="str">
        <f t="shared" si="0"/>
        <v>50714250620</v>
      </c>
      <c r="B19" s="10">
        <v>1004052047</v>
      </c>
      <c r="C19" s="10">
        <v>507142506</v>
      </c>
      <c r="D19" s="10">
        <v>20</v>
      </c>
      <c r="E19" s="10" t="s">
        <v>10</v>
      </c>
      <c r="F19" s="10">
        <v>1187766</v>
      </c>
      <c r="G19" s="10" t="s">
        <v>53</v>
      </c>
      <c r="H19" s="11">
        <v>5333</v>
      </c>
      <c r="I19" s="11">
        <v>4000</v>
      </c>
      <c r="J19" s="11">
        <f t="shared" si="1"/>
        <v>1333</v>
      </c>
      <c r="K19" s="12">
        <f>VLOOKUP(A19,[2]VA05!$A:$K,11,FALSE)</f>
        <v>45574</v>
      </c>
      <c r="L19" s="10" t="s">
        <v>18</v>
      </c>
      <c r="M19" s="10" t="s">
        <v>195</v>
      </c>
    </row>
    <row r="20" spans="1:13" x14ac:dyDescent="0.25">
      <c r="A20" s="13" t="str">
        <f t="shared" si="0"/>
        <v>50714270810</v>
      </c>
      <c r="B20" s="10">
        <v>1004052048</v>
      </c>
      <c r="C20" s="10">
        <v>507142708</v>
      </c>
      <c r="D20" s="10">
        <v>10</v>
      </c>
      <c r="E20" s="10" t="s">
        <v>10</v>
      </c>
      <c r="F20" s="10">
        <v>1215666</v>
      </c>
      <c r="G20" s="10" t="s">
        <v>182</v>
      </c>
      <c r="H20" s="11">
        <v>11159</v>
      </c>
      <c r="I20" s="10">
        <v>0</v>
      </c>
      <c r="J20" s="11">
        <f t="shared" si="1"/>
        <v>11159</v>
      </c>
      <c r="K20" s="12">
        <f>VLOOKUP(A20,[2]VA05!$A:$K,11,FALSE)</f>
        <v>45588</v>
      </c>
      <c r="L20" s="10" t="s">
        <v>12</v>
      </c>
      <c r="M20" s="10" t="s">
        <v>191</v>
      </c>
    </row>
    <row r="21" spans="1:13" hidden="1" x14ac:dyDescent="0.25">
      <c r="A21" s="13" t="str">
        <f t="shared" si="0"/>
        <v>50714234710</v>
      </c>
      <c r="B21" s="10">
        <v>1004057903</v>
      </c>
      <c r="C21" s="10">
        <v>507142347</v>
      </c>
      <c r="D21" s="10">
        <v>10</v>
      </c>
      <c r="E21" s="10" t="s">
        <v>24</v>
      </c>
      <c r="F21" s="10">
        <v>1175351</v>
      </c>
      <c r="G21" s="10" t="s">
        <v>227</v>
      </c>
      <c r="H21" s="11">
        <v>5000</v>
      </c>
      <c r="I21" s="10">
        <v>0</v>
      </c>
      <c r="J21" s="11">
        <f t="shared" si="1"/>
        <v>5000</v>
      </c>
      <c r="K21" s="12">
        <f>VLOOKUP(A21,[2]VA05!$A:$K,11,FALSE)</f>
        <v>45559</v>
      </c>
      <c r="L21" s="10" t="s">
        <v>25</v>
      </c>
      <c r="M21" s="10" t="s">
        <v>155</v>
      </c>
    </row>
    <row r="22" spans="1:13" x14ac:dyDescent="0.25">
      <c r="A22" s="13" t="str">
        <f t="shared" si="0"/>
        <v>50714270310</v>
      </c>
      <c r="B22" s="10">
        <v>1004053440</v>
      </c>
      <c r="C22" s="10">
        <v>507142703</v>
      </c>
      <c r="D22" s="10">
        <v>10</v>
      </c>
      <c r="E22" s="10" t="s">
        <v>10</v>
      </c>
      <c r="F22" s="10">
        <v>1187694</v>
      </c>
      <c r="G22" s="10" t="s">
        <v>206</v>
      </c>
      <c r="H22" s="11">
        <v>10217</v>
      </c>
      <c r="I22" s="10">
        <v>0</v>
      </c>
      <c r="J22" s="11">
        <f t="shared" si="1"/>
        <v>10217</v>
      </c>
      <c r="K22" s="12">
        <f>VLOOKUP(A22,[2]VA05!$A:$K,11,FALSE)</f>
        <v>45594</v>
      </c>
      <c r="L22" s="10" t="s">
        <v>12</v>
      </c>
      <c r="M22" s="10" t="s">
        <v>207</v>
      </c>
    </row>
    <row r="23" spans="1:13" x14ac:dyDescent="0.25">
      <c r="A23" s="13" t="str">
        <f t="shared" si="0"/>
        <v>50714270310</v>
      </c>
      <c r="B23" s="10">
        <v>1004053441</v>
      </c>
      <c r="C23" s="10">
        <v>507142703</v>
      </c>
      <c r="D23" s="10">
        <v>10</v>
      </c>
      <c r="E23" s="10" t="s">
        <v>10</v>
      </c>
      <c r="F23" s="10">
        <v>1268051</v>
      </c>
      <c r="G23" s="10" t="s">
        <v>208</v>
      </c>
      <c r="H23" s="11">
        <v>10524</v>
      </c>
      <c r="I23" s="10">
        <v>0</v>
      </c>
      <c r="J23" s="11">
        <f t="shared" si="1"/>
        <v>10524</v>
      </c>
      <c r="K23" s="12">
        <f>VLOOKUP(A23,[2]VA05!$A:$K,11,FALSE)</f>
        <v>45594</v>
      </c>
      <c r="L23" s="10" t="s">
        <v>12</v>
      </c>
      <c r="M23" s="10" t="s">
        <v>209</v>
      </c>
    </row>
    <row r="24" spans="1:13" x14ac:dyDescent="0.25">
      <c r="A24" s="13" t="str">
        <f t="shared" si="0"/>
        <v>50714262810</v>
      </c>
      <c r="B24" s="10">
        <v>1004053442</v>
      </c>
      <c r="C24" s="10">
        <v>507142628</v>
      </c>
      <c r="D24" s="10">
        <v>10</v>
      </c>
      <c r="E24" s="10" t="s">
        <v>10</v>
      </c>
      <c r="F24" s="10">
        <v>1263102</v>
      </c>
      <c r="G24" s="10" t="s">
        <v>210</v>
      </c>
      <c r="H24" s="11">
        <v>10131</v>
      </c>
      <c r="I24" s="10">
        <v>0</v>
      </c>
      <c r="J24" s="11">
        <f t="shared" si="1"/>
        <v>10131</v>
      </c>
      <c r="K24" s="12">
        <f>VLOOKUP(A24,[2]VA05!$A:$K,11,FALSE)</f>
        <v>45623</v>
      </c>
      <c r="L24" s="10" t="s">
        <v>12</v>
      </c>
      <c r="M24" s="10" t="s">
        <v>211</v>
      </c>
    </row>
    <row r="25" spans="1:13" x14ac:dyDescent="0.25">
      <c r="A25" s="13" t="str">
        <f t="shared" si="0"/>
        <v>50714273210</v>
      </c>
      <c r="B25" s="10">
        <v>1004052167</v>
      </c>
      <c r="C25" s="10">
        <v>507142732</v>
      </c>
      <c r="D25" s="10">
        <v>10</v>
      </c>
      <c r="E25" s="10" t="s">
        <v>10</v>
      </c>
      <c r="F25" s="10">
        <v>1411194</v>
      </c>
      <c r="G25" s="10" t="s">
        <v>46</v>
      </c>
      <c r="H25" s="11">
        <v>20598</v>
      </c>
      <c r="I25" s="10">
        <v>0</v>
      </c>
      <c r="J25" s="11">
        <f t="shared" si="1"/>
        <v>20598</v>
      </c>
      <c r="K25" s="12">
        <f>VLOOKUP(A25,[2]VA05!$A:$K,11,FALSE)</f>
        <v>45572</v>
      </c>
      <c r="L25" s="10" t="s">
        <v>27</v>
      </c>
      <c r="M25" s="10" t="s">
        <v>155</v>
      </c>
    </row>
    <row r="26" spans="1:13" x14ac:dyDescent="0.25">
      <c r="A26" s="13" t="str">
        <f t="shared" si="0"/>
        <v>50714278910</v>
      </c>
      <c r="B26" s="10">
        <v>1004052168</v>
      </c>
      <c r="C26" s="10">
        <v>507142789</v>
      </c>
      <c r="D26" s="10">
        <v>10</v>
      </c>
      <c r="E26" s="10" t="s">
        <v>10</v>
      </c>
      <c r="F26" s="10">
        <v>1411194</v>
      </c>
      <c r="G26" s="10" t="s">
        <v>46</v>
      </c>
      <c r="H26" s="11">
        <v>10299</v>
      </c>
      <c r="I26" s="10">
        <v>0</v>
      </c>
      <c r="J26" s="11">
        <f t="shared" si="1"/>
        <v>10299</v>
      </c>
      <c r="K26" s="12">
        <f>VLOOKUP(A26,[2]VA05!$A:$K,11,FALSE)</f>
        <v>45583</v>
      </c>
      <c r="L26" s="10" t="s">
        <v>12</v>
      </c>
      <c r="M26" s="10" t="s">
        <v>193</v>
      </c>
    </row>
    <row r="27" spans="1:13" x14ac:dyDescent="0.25">
      <c r="A27" s="13" t="str">
        <f t="shared" si="0"/>
        <v>50714268720</v>
      </c>
      <c r="B27" s="10">
        <v>1004057948</v>
      </c>
      <c r="C27" s="10">
        <v>507142687</v>
      </c>
      <c r="D27" s="10">
        <v>20</v>
      </c>
      <c r="E27" s="10" t="s">
        <v>10</v>
      </c>
      <c r="F27" s="10">
        <v>1411194</v>
      </c>
      <c r="G27" s="10" t="s">
        <v>46</v>
      </c>
      <c r="H27" s="11">
        <v>13019</v>
      </c>
      <c r="I27" s="11">
        <v>2090</v>
      </c>
      <c r="J27" s="11">
        <f t="shared" si="1"/>
        <v>10929</v>
      </c>
      <c r="K27" s="12">
        <f>VLOOKUP(A27,[2]VA05!$A:$K,11,FALSE)</f>
        <v>45567</v>
      </c>
      <c r="L27" s="10" t="s">
        <v>18</v>
      </c>
      <c r="M27" s="10" t="s">
        <v>155</v>
      </c>
    </row>
    <row r="28" spans="1:13" x14ac:dyDescent="0.25">
      <c r="A28" s="13" t="str">
        <f t="shared" si="0"/>
        <v>50714234710</v>
      </c>
      <c r="B28" s="10">
        <v>1004043798</v>
      </c>
      <c r="C28" s="10">
        <v>507142347</v>
      </c>
      <c r="D28" s="10">
        <v>10</v>
      </c>
      <c r="E28" s="10" t="s">
        <v>10</v>
      </c>
      <c r="F28" s="10">
        <v>1175349</v>
      </c>
      <c r="G28" s="10" t="s">
        <v>144</v>
      </c>
      <c r="H28" s="11">
        <v>10131</v>
      </c>
      <c r="I28" s="11">
        <v>5112</v>
      </c>
      <c r="J28" s="11">
        <f t="shared" si="1"/>
        <v>5019</v>
      </c>
      <c r="K28" s="12">
        <f>VLOOKUP(A28,[2]VA05!$A:$K,11,FALSE)</f>
        <v>45559</v>
      </c>
      <c r="L28" s="10" t="s">
        <v>11</v>
      </c>
      <c r="M28" s="10" t="s">
        <v>155</v>
      </c>
    </row>
    <row r="29" spans="1:13" x14ac:dyDescent="0.25">
      <c r="A29" s="13" t="str">
        <f t="shared" si="0"/>
        <v>50714277910</v>
      </c>
      <c r="B29" s="10">
        <v>1004053444</v>
      </c>
      <c r="C29" s="10">
        <v>507142779</v>
      </c>
      <c r="D29" s="10">
        <v>10</v>
      </c>
      <c r="E29" s="10" t="s">
        <v>10</v>
      </c>
      <c r="F29" s="10">
        <v>1173944</v>
      </c>
      <c r="G29" s="10" t="s">
        <v>91</v>
      </c>
      <c r="H29" s="11">
        <v>10928</v>
      </c>
      <c r="I29" s="11">
        <v>2090</v>
      </c>
      <c r="J29" s="11">
        <f t="shared" si="1"/>
        <v>8838</v>
      </c>
      <c r="K29" s="12">
        <f>VLOOKUP(A29,[2]VA05!$A:$K,11,FALSE)</f>
        <v>45580</v>
      </c>
      <c r="L29" s="10" t="s">
        <v>18</v>
      </c>
      <c r="M29" s="10" t="s">
        <v>162</v>
      </c>
    </row>
    <row r="30" spans="1:13" x14ac:dyDescent="0.25">
      <c r="A30" s="13" t="str">
        <f t="shared" si="0"/>
        <v>50714278410</v>
      </c>
      <c r="B30" s="10">
        <v>1004053445</v>
      </c>
      <c r="C30" s="10">
        <v>507142784</v>
      </c>
      <c r="D30" s="10">
        <v>10</v>
      </c>
      <c r="E30" s="10" t="s">
        <v>10</v>
      </c>
      <c r="F30" s="10">
        <v>1173944</v>
      </c>
      <c r="G30" s="10" t="s">
        <v>91</v>
      </c>
      <c r="H30" s="11">
        <v>11020</v>
      </c>
      <c r="I30" s="10">
        <v>0</v>
      </c>
      <c r="J30" s="11">
        <f t="shared" si="1"/>
        <v>11020</v>
      </c>
      <c r="K30" s="12">
        <f>VLOOKUP(A30,[2]VA05!$A:$K,11,FALSE)</f>
        <v>45580</v>
      </c>
      <c r="L30" s="10" t="s">
        <v>12</v>
      </c>
      <c r="M30" s="10" t="s">
        <v>162</v>
      </c>
    </row>
    <row r="31" spans="1:13" x14ac:dyDescent="0.25">
      <c r="A31" s="13" t="str">
        <f t="shared" si="0"/>
        <v>50714227020</v>
      </c>
      <c r="B31" s="10">
        <v>1004034399</v>
      </c>
      <c r="C31" s="10">
        <v>507142270</v>
      </c>
      <c r="D31" s="10">
        <v>20</v>
      </c>
      <c r="E31" s="10" t="s">
        <v>10</v>
      </c>
      <c r="F31" s="10">
        <v>1187764</v>
      </c>
      <c r="G31" s="10" t="s">
        <v>92</v>
      </c>
      <c r="H31" s="11">
        <v>17325</v>
      </c>
      <c r="I31" s="10">
        <v>0</v>
      </c>
      <c r="J31" s="11">
        <f t="shared" si="1"/>
        <v>17325</v>
      </c>
      <c r="K31" s="12">
        <f>VLOOKUP(A31,[2]VA05!$A:$K,11,FALSE)</f>
        <v>45565</v>
      </c>
      <c r="L31" s="10" t="s">
        <v>56</v>
      </c>
      <c r="M31" s="10" t="s">
        <v>97</v>
      </c>
    </row>
    <row r="32" spans="1:13" x14ac:dyDescent="0.25">
      <c r="A32" s="13" t="str">
        <f t="shared" si="0"/>
        <v>50714227010</v>
      </c>
      <c r="B32" s="10">
        <v>1004057062</v>
      </c>
      <c r="C32" s="10">
        <v>507142270</v>
      </c>
      <c r="D32" s="10">
        <v>10</v>
      </c>
      <c r="E32" s="10" t="s">
        <v>10</v>
      </c>
      <c r="F32" s="10">
        <v>1187764</v>
      </c>
      <c r="G32" s="10" t="s">
        <v>92</v>
      </c>
      <c r="H32" s="11">
        <v>5776</v>
      </c>
      <c r="I32" s="10">
        <v>0</v>
      </c>
      <c r="J32" s="11">
        <f t="shared" si="1"/>
        <v>5776</v>
      </c>
      <c r="K32" s="12">
        <f>VLOOKUP(A32,[2]VA05!$A:$K,11,FALSE)</f>
        <v>45565</v>
      </c>
      <c r="L32" s="10" t="s">
        <v>12</v>
      </c>
      <c r="M32" s="10" t="s">
        <v>180</v>
      </c>
    </row>
    <row r="33" spans="1:13" x14ac:dyDescent="0.25">
      <c r="A33" s="13" t="str">
        <f t="shared" si="0"/>
        <v>50714269620</v>
      </c>
      <c r="B33" s="10">
        <v>1004042037</v>
      </c>
      <c r="C33" s="10">
        <v>507142696</v>
      </c>
      <c r="D33" s="10">
        <v>20</v>
      </c>
      <c r="E33" s="10" t="s">
        <v>10</v>
      </c>
      <c r="F33" s="10">
        <v>1173947</v>
      </c>
      <c r="G33" s="10" t="s">
        <v>36</v>
      </c>
      <c r="H33" s="11">
        <v>12384</v>
      </c>
      <c r="I33" s="11">
        <v>3839</v>
      </c>
      <c r="J33" s="11">
        <f t="shared" si="1"/>
        <v>8545</v>
      </c>
      <c r="K33" s="12">
        <f>VLOOKUP(A33,[2]VA05!$A:$K,11,FALSE)</f>
        <v>45566</v>
      </c>
      <c r="L33" s="10" t="s">
        <v>18</v>
      </c>
      <c r="M33" s="10" t="s">
        <v>84</v>
      </c>
    </row>
    <row r="34" spans="1:13" x14ac:dyDescent="0.25">
      <c r="A34" s="13" t="str">
        <f t="shared" si="0"/>
        <v>50714274010</v>
      </c>
      <c r="B34" s="10">
        <v>1004052269</v>
      </c>
      <c r="C34" s="10">
        <v>507142740</v>
      </c>
      <c r="D34" s="10">
        <v>10</v>
      </c>
      <c r="E34" s="10" t="s">
        <v>10</v>
      </c>
      <c r="F34" s="10">
        <v>1173947</v>
      </c>
      <c r="G34" s="10" t="s">
        <v>36</v>
      </c>
      <c r="H34" s="11">
        <v>12384</v>
      </c>
      <c r="I34" s="10">
        <v>0</v>
      </c>
      <c r="J34" s="11">
        <f t="shared" si="1"/>
        <v>12384</v>
      </c>
      <c r="K34" s="12">
        <f>VLOOKUP(A34,[2]VA05!$A:$K,11,FALSE)</f>
        <v>45573</v>
      </c>
      <c r="L34" s="10" t="s">
        <v>12</v>
      </c>
      <c r="M34" s="10" t="s">
        <v>97</v>
      </c>
    </row>
    <row r="35" spans="1:13" x14ac:dyDescent="0.25">
      <c r="A35" s="13" t="str">
        <f t="shared" si="0"/>
        <v>50714277910</v>
      </c>
      <c r="B35" s="10">
        <v>1004052270</v>
      </c>
      <c r="C35" s="10">
        <v>507142779</v>
      </c>
      <c r="D35" s="10">
        <v>10</v>
      </c>
      <c r="E35" s="10" t="s">
        <v>10</v>
      </c>
      <c r="F35" s="10">
        <v>1173947</v>
      </c>
      <c r="G35" s="10" t="s">
        <v>36</v>
      </c>
      <c r="H35" s="11">
        <v>11922</v>
      </c>
      <c r="I35" s="10">
        <v>0</v>
      </c>
      <c r="J35" s="11">
        <f t="shared" si="1"/>
        <v>11922</v>
      </c>
      <c r="K35" s="12">
        <f>VLOOKUP(A35,[2]VA05!$A:$K,11,FALSE)</f>
        <v>45580</v>
      </c>
      <c r="L35" s="10" t="s">
        <v>12</v>
      </c>
      <c r="M35" s="10" t="s">
        <v>194</v>
      </c>
    </row>
    <row r="36" spans="1:13" x14ac:dyDescent="0.25">
      <c r="A36" s="13" t="str">
        <f t="shared" si="0"/>
        <v>50714278410</v>
      </c>
      <c r="B36" s="10">
        <v>1004052271</v>
      </c>
      <c r="C36" s="10">
        <v>507142784</v>
      </c>
      <c r="D36" s="10">
        <v>10</v>
      </c>
      <c r="E36" s="10" t="s">
        <v>10</v>
      </c>
      <c r="F36" s="10">
        <v>1173947</v>
      </c>
      <c r="G36" s="10" t="s">
        <v>36</v>
      </c>
      <c r="H36" s="11">
        <v>12384</v>
      </c>
      <c r="I36" s="10">
        <v>0</v>
      </c>
      <c r="J36" s="11">
        <f t="shared" si="1"/>
        <v>12384</v>
      </c>
      <c r="K36" s="12">
        <f>VLOOKUP(A36,[2]VA05!$A:$K,11,FALSE)</f>
        <v>45580</v>
      </c>
      <c r="L36" s="10" t="s">
        <v>12</v>
      </c>
      <c r="M36" s="10" t="s">
        <v>97</v>
      </c>
    </row>
    <row r="37" spans="1:13" hidden="1" x14ac:dyDescent="0.25">
      <c r="A37" s="13" t="str">
        <f t="shared" si="0"/>
        <v>50714268720</v>
      </c>
      <c r="B37" s="10">
        <v>1004057973</v>
      </c>
      <c r="C37" s="10">
        <v>507142687</v>
      </c>
      <c r="D37" s="10">
        <v>20</v>
      </c>
      <c r="E37" s="10" t="s">
        <v>10</v>
      </c>
      <c r="F37" s="10">
        <v>1411193</v>
      </c>
      <c r="G37" s="10" t="s">
        <v>47</v>
      </c>
      <c r="H37" s="11">
        <v>2165</v>
      </c>
      <c r="I37" s="11">
        <v>2165</v>
      </c>
      <c r="J37" s="11">
        <f t="shared" si="1"/>
        <v>0</v>
      </c>
      <c r="K37" s="12">
        <f>VLOOKUP(A37,[2]VA05!$A:$K,11,FALSE)</f>
        <v>45567</v>
      </c>
      <c r="L37" s="10" t="s">
        <v>113</v>
      </c>
      <c r="M37" s="10" t="s">
        <v>195</v>
      </c>
    </row>
    <row r="38" spans="1:13" x14ac:dyDescent="0.25">
      <c r="A38" s="13" t="str">
        <f t="shared" si="0"/>
        <v>50714251020</v>
      </c>
      <c r="B38" s="10">
        <v>1004045114</v>
      </c>
      <c r="C38" s="10">
        <v>507142510</v>
      </c>
      <c r="D38" s="10">
        <v>20</v>
      </c>
      <c r="E38" s="10" t="s">
        <v>10</v>
      </c>
      <c r="F38" s="10">
        <v>1171793</v>
      </c>
      <c r="G38" s="10" t="s">
        <v>33</v>
      </c>
      <c r="H38" s="11">
        <v>10792</v>
      </c>
      <c r="I38" s="11">
        <v>1863</v>
      </c>
      <c r="J38" s="11">
        <f t="shared" si="1"/>
        <v>8929</v>
      </c>
      <c r="K38" s="12" t="e">
        <f>VLOOKUP(A38,[2]VA05!$A:$K,11,FALSE)</f>
        <v>#N/A</v>
      </c>
      <c r="L38" s="10" t="s">
        <v>18</v>
      </c>
      <c r="M38" s="10" t="s">
        <v>107</v>
      </c>
    </row>
    <row r="39" spans="1:13" x14ac:dyDescent="0.25">
      <c r="A39" s="13" t="str">
        <f t="shared" si="0"/>
        <v>50800514030</v>
      </c>
      <c r="B39" s="10">
        <v>1004050510</v>
      </c>
      <c r="C39" s="10">
        <v>508005140</v>
      </c>
      <c r="D39" s="10">
        <v>30</v>
      </c>
      <c r="E39" s="10" t="s">
        <v>10</v>
      </c>
      <c r="F39" s="10">
        <v>1171793</v>
      </c>
      <c r="G39" s="10" t="s">
        <v>33</v>
      </c>
      <c r="H39" s="11">
        <v>43162</v>
      </c>
      <c r="I39" s="10">
        <v>0</v>
      </c>
      <c r="J39" s="11">
        <f t="shared" si="1"/>
        <v>43162</v>
      </c>
      <c r="K39" s="12">
        <f>VLOOKUP(A39,[2]VA05!$A:$K,11,FALSE)</f>
        <v>45609</v>
      </c>
      <c r="L39" s="10" t="s">
        <v>119</v>
      </c>
      <c r="M39" s="10" t="s">
        <v>161</v>
      </c>
    </row>
    <row r="40" spans="1:13" hidden="1" x14ac:dyDescent="0.25">
      <c r="A40" s="13" t="str">
        <f t="shared" si="0"/>
        <v>50714269620</v>
      </c>
      <c r="B40" s="10">
        <v>1004051710</v>
      </c>
      <c r="C40" s="10">
        <v>507142696</v>
      </c>
      <c r="D40" s="10">
        <v>20</v>
      </c>
      <c r="E40" s="10" t="s">
        <v>10</v>
      </c>
      <c r="F40" s="10">
        <v>1171793</v>
      </c>
      <c r="G40" s="10" t="s">
        <v>33</v>
      </c>
      <c r="H40" s="11">
        <v>10882</v>
      </c>
      <c r="I40" s="11">
        <v>10882</v>
      </c>
      <c r="J40" s="11">
        <f t="shared" si="1"/>
        <v>0</v>
      </c>
      <c r="K40" s="12">
        <f>VLOOKUP(A40,[2]VA05!$A:$K,11,FALSE)</f>
        <v>45566</v>
      </c>
      <c r="L40" s="10" t="s">
        <v>113</v>
      </c>
      <c r="M40" s="10" t="s">
        <v>140</v>
      </c>
    </row>
    <row r="41" spans="1:13" x14ac:dyDescent="0.25">
      <c r="A41" s="13" t="str">
        <f t="shared" si="0"/>
        <v>50714277910</v>
      </c>
      <c r="B41" s="10">
        <v>1004053448</v>
      </c>
      <c r="C41" s="10">
        <v>507142779</v>
      </c>
      <c r="D41" s="10">
        <v>10</v>
      </c>
      <c r="E41" s="10" t="s">
        <v>10</v>
      </c>
      <c r="F41" s="10">
        <v>1171793</v>
      </c>
      <c r="G41" s="10" t="s">
        <v>33</v>
      </c>
      <c r="H41" s="11">
        <v>10792</v>
      </c>
      <c r="I41" s="10">
        <v>0</v>
      </c>
      <c r="J41" s="11">
        <f t="shared" si="1"/>
        <v>10792</v>
      </c>
      <c r="K41" s="12">
        <f>VLOOKUP(A41,[2]VA05!$A:$K,11,FALSE)</f>
        <v>45580</v>
      </c>
      <c r="L41" s="10" t="s">
        <v>12</v>
      </c>
      <c r="M41" s="10" t="s">
        <v>162</v>
      </c>
    </row>
    <row r="42" spans="1:13" x14ac:dyDescent="0.25">
      <c r="A42" s="13" t="str">
        <f t="shared" si="0"/>
        <v>50714227010</v>
      </c>
      <c r="B42" s="10">
        <v>1004045113</v>
      </c>
      <c r="C42" s="10">
        <v>507142270</v>
      </c>
      <c r="D42" s="10">
        <v>10</v>
      </c>
      <c r="E42" s="10" t="s">
        <v>10</v>
      </c>
      <c r="F42" s="10">
        <v>1187765</v>
      </c>
      <c r="G42" s="10" t="s">
        <v>147</v>
      </c>
      <c r="H42" s="11">
        <v>5776</v>
      </c>
      <c r="I42" s="10">
        <v>0</v>
      </c>
      <c r="J42" s="11">
        <f t="shared" si="1"/>
        <v>5776</v>
      </c>
      <c r="K42" s="12">
        <f>VLOOKUP(A42,[2]VA05!$A:$K,11,FALSE)</f>
        <v>45565</v>
      </c>
      <c r="L42" s="10" t="s">
        <v>25</v>
      </c>
      <c r="M42" s="10" t="s">
        <v>155</v>
      </c>
    </row>
    <row r="43" spans="1:13" x14ac:dyDescent="0.25">
      <c r="A43" s="13" t="str">
        <f t="shared" si="0"/>
        <v>50714227020</v>
      </c>
      <c r="B43" s="10">
        <v>1004057063</v>
      </c>
      <c r="C43" s="10">
        <v>507142270</v>
      </c>
      <c r="D43" s="10">
        <v>20</v>
      </c>
      <c r="E43" s="10" t="s">
        <v>10</v>
      </c>
      <c r="F43" s="10">
        <v>1187765</v>
      </c>
      <c r="G43" s="10" t="s">
        <v>147</v>
      </c>
      <c r="H43" s="11">
        <v>17325</v>
      </c>
      <c r="I43" s="10">
        <v>0</v>
      </c>
      <c r="J43" s="11">
        <f t="shared" si="1"/>
        <v>17325</v>
      </c>
      <c r="K43" s="12">
        <f>VLOOKUP(A43,[2]VA05!$A:$K,11,FALSE)</f>
        <v>45565</v>
      </c>
      <c r="L43" s="10" t="s">
        <v>13</v>
      </c>
      <c r="M43" s="10" t="s">
        <v>195</v>
      </c>
    </row>
    <row r="44" spans="1:13" x14ac:dyDescent="0.25">
      <c r="A44" s="13" t="str">
        <f t="shared" si="0"/>
        <v>50714265410</v>
      </c>
      <c r="B44" s="10">
        <v>1004036495</v>
      </c>
      <c r="C44" s="10">
        <v>507142654</v>
      </c>
      <c r="D44" s="10">
        <v>10</v>
      </c>
      <c r="E44" s="10" t="s">
        <v>10</v>
      </c>
      <c r="F44" s="10">
        <v>1420608</v>
      </c>
      <c r="G44" s="10" t="s">
        <v>110</v>
      </c>
      <c r="H44" s="11">
        <v>16376</v>
      </c>
      <c r="I44" s="10">
        <v>0</v>
      </c>
      <c r="J44" s="11">
        <f t="shared" si="1"/>
        <v>16376</v>
      </c>
      <c r="K44" s="12">
        <f>VLOOKUP(A44,[2]VA05!$A:$K,11,FALSE)</f>
        <v>45573</v>
      </c>
      <c r="L44" s="10" t="s">
        <v>12</v>
      </c>
      <c r="M44" s="10" t="s">
        <v>111</v>
      </c>
    </row>
    <row r="45" spans="1:13" x14ac:dyDescent="0.25">
      <c r="A45" s="13" t="str">
        <f t="shared" si="0"/>
        <v>50714265120</v>
      </c>
      <c r="B45" s="10">
        <v>1004036496</v>
      </c>
      <c r="C45" s="10">
        <v>507142651</v>
      </c>
      <c r="D45" s="10">
        <v>20</v>
      </c>
      <c r="E45" s="10" t="s">
        <v>10</v>
      </c>
      <c r="F45" s="10">
        <v>1149455</v>
      </c>
      <c r="G45" s="10" t="s">
        <v>44</v>
      </c>
      <c r="H45" s="11">
        <v>28966</v>
      </c>
      <c r="I45" s="10">
        <v>0</v>
      </c>
      <c r="J45" s="11">
        <f t="shared" si="1"/>
        <v>28966</v>
      </c>
      <c r="K45" s="12">
        <f>VLOOKUP(A45,[2]VA05!$A:$K,11,FALSE)</f>
        <v>45567</v>
      </c>
      <c r="L45" s="10" t="s">
        <v>27</v>
      </c>
      <c r="M45" s="10" t="s">
        <v>106</v>
      </c>
    </row>
    <row r="46" spans="1:13" hidden="1" x14ac:dyDescent="0.25">
      <c r="A46" s="13" t="str">
        <f t="shared" si="0"/>
        <v>50714248510</v>
      </c>
      <c r="B46" s="10">
        <v>1004052273</v>
      </c>
      <c r="C46" s="10">
        <v>507142485</v>
      </c>
      <c r="D46" s="10">
        <v>10</v>
      </c>
      <c r="E46" s="10" t="s">
        <v>24</v>
      </c>
      <c r="F46" s="10">
        <v>1193509</v>
      </c>
      <c r="G46" s="10" t="s">
        <v>31</v>
      </c>
      <c r="H46" s="11">
        <v>10000</v>
      </c>
      <c r="I46" s="10">
        <v>0</v>
      </c>
      <c r="J46" s="11">
        <f t="shared" si="1"/>
        <v>10000</v>
      </c>
      <c r="K46" s="12" t="e">
        <f>VLOOKUP(A46,[2]VA05!$A:$K,11,FALSE)</f>
        <v>#N/A</v>
      </c>
      <c r="L46" s="10" t="s">
        <v>13</v>
      </c>
      <c r="M46" s="10" t="s">
        <v>97</v>
      </c>
    </row>
    <row r="47" spans="1:13" x14ac:dyDescent="0.25">
      <c r="A47" s="13" t="str">
        <f t="shared" si="0"/>
        <v>50714274310</v>
      </c>
      <c r="B47" s="10">
        <v>1004052275</v>
      </c>
      <c r="C47" s="10">
        <v>507142743</v>
      </c>
      <c r="D47" s="10">
        <v>10</v>
      </c>
      <c r="E47" s="10" t="s">
        <v>10</v>
      </c>
      <c r="F47" s="10">
        <v>1193509</v>
      </c>
      <c r="G47" s="10" t="s">
        <v>31</v>
      </c>
      <c r="H47" s="11">
        <v>16753</v>
      </c>
      <c r="I47" s="11">
        <v>16019</v>
      </c>
      <c r="J47" s="11">
        <f t="shared" si="1"/>
        <v>734</v>
      </c>
      <c r="K47" s="12">
        <f>VLOOKUP(A47,[2]VA05!$A:$K,11,FALSE)</f>
        <v>45575</v>
      </c>
      <c r="L47" s="10" t="s">
        <v>18</v>
      </c>
      <c r="M47" s="10" t="s">
        <v>195</v>
      </c>
    </row>
    <row r="48" spans="1:13" x14ac:dyDescent="0.25">
      <c r="A48" s="13" t="str">
        <f t="shared" si="0"/>
        <v>50714235110</v>
      </c>
      <c r="B48" s="10">
        <v>1004042803</v>
      </c>
      <c r="C48" s="10">
        <v>507142351</v>
      </c>
      <c r="D48" s="10">
        <v>10</v>
      </c>
      <c r="E48" s="10" t="s">
        <v>10</v>
      </c>
      <c r="F48" s="10">
        <v>1192909</v>
      </c>
      <c r="G48" s="10" t="s">
        <v>35</v>
      </c>
      <c r="H48" s="11">
        <v>16753</v>
      </c>
      <c r="I48" s="11">
        <v>9187</v>
      </c>
      <c r="J48" s="11">
        <f t="shared" si="1"/>
        <v>7566</v>
      </c>
      <c r="K48" s="12">
        <f>VLOOKUP(A48,[2]VA05!$A:$K,11,FALSE)</f>
        <v>45545</v>
      </c>
      <c r="L48" s="10" t="s">
        <v>18</v>
      </c>
      <c r="M48" s="10" t="s">
        <v>111</v>
      </c>
    </row>
    <row r="49" spans="1:13" x14ac:dyDescent="0.25">
      <c r="A49" s="13" t="str">
        <f t="shared" si="0"/>
        <v>50714258410</v>
      </c>
      <c r="B49" s="10">
        <v>1004024383</v>
      </c>
      <c r="C49" s="10">
        <v>507142584</v>
      </c>
      <c r="D49" s="10">
        <v>10</v>
      </c>
      <c r="E49" s="10" t="s">
        <v>10</v>
      </c>
      <c r="F49" s="10">
        <v>1192706</v>
      </c>
      <c r="G49" s="10" t="s">
        <v>14</v>
      </c>
      <c r="H49" s="11">
        <v>29915</v>
      </c>
      <c r="I49" s="11">
        <v>22680</v>
      </c>
      <c r="J49" s="11">
        <f t="shared" si="1"/>
        <v>7235</v>
      </c>
      <c r="K49" s="12">
        <f>VLOOKUP(A49,[2]VA05!$A:$K,11,FALSE)</f>
        <v>45565</v>
      </c>
      <c r="L49" s="10" t="s">
        <v>18</v>
      </c>
      <c r="M49" s="10" t="s">
        <v>82</v>
      </c>
    </row>
    <row r="50" spans="1:13" x14ac:dyDescent="0.25">
      <c r="A50" s="13" t="str">
        <f t="shared" si="0"/>
        <v>50714265410</v>
      </c>
      <c r="B50" s="10">
        <v>1004042744</v>
      </c>
      <c r="C50" s="10">
        <v>507142654</v>
      </c>
      <c r="D50" s="10">
        <v>10</v>
      </c>
      <c r="E50" s="10" t="s">
        <v>10</v>
      </c>
      <c r="F50" s="10">
        <v>1420609</v>
      </c>
      <c r="G50" s="10" t="s">
        <v>133</v>
      </c>
      <c r="H50" s="11">
        <v>16868</v>
      </c>
      <c r="I50" s="10">
        <v>0</v>
      </c>
      <c r="J50" s="11">
        <f t="shared" si="1"/>
        <v>16868</v>
      </c>
      <c r="K50" s="12">
        <f>VLOOKUP(A50,[2]VA05!$A:$K,11,FALSE)</f>
        <v>45573</v>
      </c>
      <c r="L50" s="10" t="s">
        <v>25</v>
      </c>
      <c r="M50" s="10" t="s">
        <v>84</v>
      </c>
    </row>
    <row r="51" spans="1:13" x14ac:dyDescent="0.25">
      <c r="A51" s="13" t="str">
        <f t="shared" si="0"/>
        <v>50714265120</v>
      </c>
      <c r="B51" s="10">
        <v>1004056891</v>
      </c>
      <c r="C51" s="10">
        <v>507142651</v>
      </c>
      <c r="D51" s="10">
        <v>20</v>
      </c>
      <c r="E51" s="10" t="s">
        <v>10</v>
      </c>
      <c r="F51" s="10">
        <v>1304095</v>
      </c>
      <c r="G51" s="10" t="s">
        <v>76</v>
      </c>
      <c r="H51" s="11">
        <v>28414</v>
      </c>
      <c r="I51" s="11">
        <v>12826</v>
      </c>
      <c r="J51" s="11">
        <f t="shared" si="1"/>
        <v>15588</v>
      </c>
      <c r="K51" s="12">
        <f>VLOOKUP(A51,[2]VA05!$A:$K,11,FALSE)</f>
        <v>45567</v>
      </c>
      <c r="L51" s="10" t="s">
        <v>11</v>
      </c>
      <c r="M51" s="10" t="s">
        <v>180</v>
      </c>
    </row>
    <row r="52" spans="1:13" x14ac:dyDescent="0.25">
      <c r="A52" s="13" t="str">
        <f t="shared" si="0"/>
        <v>50714278610</v>
      </c>
      <c r="B52" s="10">
        <v>1004056892</v>
      </c>
      <c r="C52" s="10">
        <v>507142786</v>
      </c>
      <c r="D52" s="10">
        <v>10</v>
      </c>
      <c r="E52" s="10" t="s">
        <v>10</v>
      </c>
      <c r="F52" s="10">
        <v>1304095</v>
      </c>
      <c r="G52" s="10" t="s">
        <v>76</v>
      </c>
      <c r="H52" s="11">
        <v>26709</v>
      </c>
      <c r="I52" s="10">
        <v>0</v>
      </c>
      <c r="J52" s="11">
        <f t="shared" si="1"/>
        <v>26709</v>
      </c>
      <c r="K52" s="12">
        <f>VLOOKUP(A52,[2]VA05!$A:$K,11,FALSE)</f>
        <v>45581</v>
      </c>
      <c r="L52" s="10" t="s">
        <v>12</v>
      </c>
      <c r="M52" s="10" t="s">
        <v>154</v>
      </c>
    </row>
    <row r="53" spans="1:13" x14ac:dyDescent="0.25">
      <c r="A53" s="13" t="str">
        <f t="shared" si="0"/>
        <v>50714265410</v>
      </c>
      <c r="B53" s="10">
        <v>1004045686</v>
      </c>
      <c r="C53" s="10">
        <v>507142654</v>
      </c>
      <c r="D53" s="10">
        <v>10</v>
      </c>
      <c r="E53" s="10" t="s">
        <v>10</v>
      </c>
      <c r="F53" s="10">
        <v>1420607</v>
      </c>
      <c r="G53" s="10" t="s">
        <v>149</v>
      </c>
      <c r="H53" s="11">
        <v>16376</v>
      </c>
      <c r="I53" s="10">
        <v>0</v>
      </c>
      <c r="J53" s="11">
        <f t="shared" si="1"/>
        <v>16376</v>
      </c>
      <c r="K53" s="12">
        <f>VLOOKUP(A53,[2]VA05!$A:$K,11,FALSE)</f>
        <v>45573</v>
      </c>
      <c r="L53" s="10" t="s">
        <v>56</v>
      </c>
      <c r="M53" s="10" t="s">
        <v>85</v>
      </c>
    </row>
    <row r="54" spans="1:13" x14ac:dyDescent="0.25">
      <c r="A54" s="13" t="str">
        <f t="shared" si="0"/>
        <v>50714273410</v>
      </c>
      <c r="B54" s="10">
        <v>1004054830</v>
      </c>
      <c r="C54" s="10">
        <v>507142734</v>
      </c>
      <c r="D54" s="10">
        <v>10</v>
      </c>
      <c r="E54" s="10" t="s">
        <v>10</v>
      </c>
      <c r="F54" s="10">
        <v>1193508</v>
      </c>
      <c r="G54" s="10" t="s">
        <v>134</v>
      </c>
      <c r="H54" s="11">
        <v>16753</v>
      </c>
      <c r="I54" s="10">
        <v>0</v>
      </c>
      <c r="J54" s="11">
        <f t="shared" si="1"/>
        <v>16753</v>
      </c>
      <c r="K54" s="12">
        <f>VLOOKUP(A54,[2]VA05!$A:$K,11,FALSE)</f>
        <v>45572</v>
      </c>
      <c r="L54" s="10" t="s">
        <v>27</v>
      </c>
      <c r="M54" s="10" t="s">
        <v>180</v>
      </c>
    </row>
    <row r="55" spans="1:13" x14ac:dyDescent="0.25">
      <c r="A55" s="13" t="str">
        <f t="shared" si="0"/>
        <v>50714274310</v>
      </c>
      <c r="B55" s="10">
        <v>1004054831</v>
      </c>
      <c r="C55" s="10">
        <v>507142743</v>
      </c>
      <c r="D55" s="10">
        <v>10</v>
      </c>
      <c r="E55" s="10" t="s">
        <v>10</v>
      </c>
      <c r="F55" s="10">
        <v>1193508</v>
      </c>
      <c r="G55" s="10" t="s">
        <v>134</v>
      </c>
      <c r="H55" s="11">
        <v>16753</v>
      </c>
      <c r="I55" s="10">
        <v>0</v>
      </c>
      <c r="J55" s="11">
        <f t="shared" si="1"/>
        <v>16753</v>
      </c>
      <c r="K55" s="12">
        <f>VLOOKUP(A55,[2]VA05!$A:$K,11,FALSE)</f>
        <v>45575</v>
      </c>
      <c r="L55" s="10" t="s">
        <v>25</v>
      </c>
      <c r="M55" s="10" t="s">
        <v>195</v>
      </c>
    </row>
    <row r="56" spans="1:13" x14ac:dyDescent="0.25">
      <c r="A56" s="13" t="str">
        <f t="shared" si="0"/>
        <v>50714258410</v>
      </c>
      <c r="B56" s="10">
        <v>1004025718</v>
      </c>
      <c r="C56" s="10">
        <v>507142584</v>
      </c>
      <c r="D56" s="10">
        <v>10</v>
      </c>
      <c r="E56" s="10" t="s">
        <v>10</v>
      </c>
      <c r="F56" s="10">
        <v>1192705</v>
      </c>
      <c r="G56" s="10" t="s">
        <v>45</v>
      </c>
      <c r="H56" s="11">
        <v>29915</v>
      </c>
      <c r="I56" s="11">
        <v>15280</v>
      </c>
      <c r="J56" s="11">
        <f t="shared" si="1"/>
        <v>14635</v>
      </c>
      <c r="K56" s="12">
        <f>VLOOKUP(A56,[2]VA05!$A:$K,11,FALSE)</f>
        <v>45565</v>
      </c>
      <c r="L56" s="10" t="s">
        <v>18</v>
      </c>
      <c r="M56" s="10" t="s">
        <v>66</v>
      </c>
    </row>
    <row r="57" spans="1:13" x14ac:dyDescent="0.25">
      <c r="A57" s="13" t="str">
        <f t="shared" si="0"/>
        <v>50714259810</v>
      </c>
      <c r="B57" s="10">
        <v>1004042031</v>
      </c>
      <c r="C57" s="10">
        <v>507142598</v>
      </c>
      <c r="D57" s="10">
        <v>10</v>
      </c>
      <c r="E57" s="10" t="s">
        <v>10</v>
      </c>
      <c r="F57" s="10">
        <v>1233459</v>
      </c>
      <c r="G57" s="10" t="s">
        <v>121</v>
      </c>
      <c r="H57" s="11">
        <v>15449</v>
      </c>
      <c r="I57" s="11">
        <v>4540</v>
      </c>
      <c r="J57" s="11">
        <f t="shared" si="1"/>
        <v>10909</v>
      </c>
      <c r="K57" s="12">
        <f>VLOOKUP(A57,[2]VA05!$A:$K,11,FALSE)</f>
        <v>45560</v>
      </c>
      <c r="L57" s="10" t="s">
        <v>11</v>
      </c>
      <c r="M57" s="10" t="s">
        <v>106</v>
      </c>
    </row>
    <row r="58" spans="1:13" x14ac:dyDescent="0.25">
      <c r="A58" s="13" t="str">
        <f t="shared" si="0"/>
        <v>50714272410</v>
      </c>
      <c r="B58" s="10">
        <v>1004051405</v>
      </c>
      <c r="C58" s="10">
        <v>507142724</v>
      </c>
      <c r="D58" s="10">
        <v>10</v>
      </c>
      <c r="E58" s="10" t="s">
        <v>10</v>
      </c>
      <c r="F58" s="10">
        <v>1233459</v>
      </c>
      <c r="G58" s="10" t="s">
        <v>121</v>
      </c>
      <c r="H58" s="11">
        <v>10299</v>
      </c>
      <c r="I58" s="10">
        <v>0</v>
      </c>
      <c r="J58" s="11">
        <f t="shared" si="1"/>
        <v>10299</v>
      </c>
      <c r="K58" s="12">
        <f>VLOOKUP(A58,[2]VA05!$A:$K,11,FALSE)</f>
        <v>45594</v>
      </c>
      <c r="L58" s="10" t="s">
        <v>12</v>
      </c>
      <c r="M58" s="10" t="s">
        <v>176</v>
      </c>
    </row>
    <row r="59" spans="1:13" x14ac:dyDescent="0.25">
      <c r="A59" s="13" t="str">
        <f t="shared" si="0"/>
        <v>50714272410</v>
      </c>
      <c r="B59" s="10">
        <v>1004052526</v>
      </c>
      <c r="C59" s="10">
        <v>507142724</v>
      </c>
      <c r="D59" s="10">
        <v>10</v>
      </c>
      <c r="E59" s="10" t="s">
        <v>10</v>
      </c>
      <c r="F59" s="10">
        <v>1233471</v>
      </c>
      <c r="G59" s="10" t="s">
        <v>122</v>
      </c>
      <c r="H59" s="11">
        <v>20598</v>
      </c>
      <c r="I59" s="11">
        <v>13590</v>
      </c>
      <c r="J59" s="11">
        <f t="shared" si="1"/>
        <v>7008</v>
      </c>
      <c r="K59" s="12">
        <f>VLOOKUP(A59,[2]VA05!$A:$K,11,FALSE)</f>
        <v>45594</v>
      </c>
      <c r="L59" s="10" t="s">
        <v>18</v>
      </c>
      <c r="M59" s="10" t="s">
        <v>176</v>
      </c>
    </row>
    <row r="60" spans="1:13" x14ac:dyDescent="0.25">
      <c r="A60" s="13" t="str">
        <f t="shared" si="0"/>
        <v>507142721100</v>
      </c>
      <c r="B60" s="10">
        <v>1004052515</v>
      </c>
      <c r="C60" s="10">
        <v>507142721</v>
      </c>
      <c r="D60" s="10">
        <v>100</v>
      </c>
      <c r="E60" s="10" t="s">
        <v>10</v>
      </c>
      <c r="F60" s="10">
        <v>1209335</v>
      </c>
      <c r="G60" s="10" t="s">
        <v>150</v>
      </c>
      <c r="H60" s="11">
        <v>35874</v>
      </c>
      <c r="I60" s="11">
        <v>21836</v>
      </c>
      <c r="J60" s="11">
        <f t="shared" si="1"/>
        <v>14038</v>
      </c>
      <c r="K60" s="12">
        <f>VLOOKUP(A60,[2]VA05!$A:$K,11,FALSE)</f>
        <v>45569</v>
      </c>
      <c r="L60" s="10" t="s">
        <v>11</v>
      </c>
      <c r="M60" s="10" t="s">
        <v>143</v>
      </c>
    </row>
    <row r="61" spans="1:13" x14ac:dyDescent="0.25">
      <c r="A61" s="13" t="str">
        <f t="shared" si="0"/>
        <v>507142721110</v>
      </c>
      <c r="B61" s="10">
        <v>1004052516</v>
      </c>
      <c r="C61" s="10">
        <v>507142721</v>
      </c>
      <c r="D61" s="10">
        <v>110</v>
      </c>
      <c r="E61" s="10" t="s">
        <v>10</v>
      </c>
      <c r="F61" s="10">
        <v>1209335</v>
      </c>
      <c r="G61" s="10" t="s">
        <v>150</v>
      </c>
      <c r="H61" s="11">
        <v>6695</v>
      </c>
      <c r="I61" s="10">
        <v>0</v>
      </c>
      <c r="J61" s="11">
        <f t="shared" si="1"/>
        <v>6695</v>
      </c>
      <c r="K61" s="12">
        <f>VLOOKUP(A61,[2]VA05!$A:$K,11,FALSE)</f>
        <v>45576</v>
      </c>
      <c r="L61" s="10" t="s">
        <v>12</v>
      </c>
      <c r="M61" s="10" t="s">
        <v>141</v>
      </c>
    </row>
    <row r="62" spans="1:13" x14ac:dyDescent="0.25">
      <c r="A62" s="13" t="str">
        <f t="shared" si="0"/>
        <v>50714274210</v>
      </c>
      <c r="B62" s="10">
        <v>1004052517</v>
      </c>
      <c r="C62" s="10">
        <v>507142742</v>
      </c>
      <c r="D62" s="10">
        <v>10</v>
      </c>
      <c r="E62" s="10" t="s">
        <v>10</v>
      </c>
      <c r="F62" s="10">
        <v>1209335</v>
      </c>
      <c r="G62" s="10" t="s">
        <v>150</v>
      </c>
      <c r="H62" s="11">
        <v>25576</v>
      </c>
      <c r="I62" s="10">
        <v>0</v>
      </c>
      <c r="J62" s="11">
        <f t="shared" si="1"/>
        <v>25576</v>
      </c>
      <c r="K62" s="12">
        <f>VLOOKUP(A62,[2]VA05!$A:$K,11,FALSE)</f>
        <v>45580</v>
      </c>
      <c r="L62" s="10" t="s">
        <v>12</v>
      </c>
      <c r="M62" s="10" t="s">
        <v>194</v>
      </c>
    </row>
    <row r="63" spans="1:13" x14ac:dyDescent="0.25">
      <c r="A63" s="13" t="str">
        <f t="shared" si="0"/>
        <v>50714274240</v>
      </c>
      <c r="B63" s="10">
        <v>1004052518</v>
      </c>
      <c r="C63" s="10">
        <v>507142742</v>
      </c>
      <c r="D63" s="10">
        <v>40</v>
      </c>
      <c r="E63" s="10" t="s">
        <v>10</v>
      </c>
      <c r="F63" s="10">
        <v>1209335</v>
      </c>
      <c r="G63" s="10" t="s">
        <v>150</v>
      </c>
      <c r="H63" s="11">
        <v>25576</v>
      </c>
      <c r="I63" s="10">
        <v>0</v>
      </c>
      <c r="J63" s="11">
        <f t="shared" si="1"/>
        <v>25576</v>
      </c>
      <c r="K63" s="12">
        <f>VLOOKUP(A63,[2]VA05!$A:$K,11,FALSE)</f>
        <v>45587</v>
      </c>
      <c r="L63" s="10" t="s">
        <v>12</v>
      </c>
      <c r="M63" s="10" t="s">
        <v>179</v>
      </c>
    </row>
    <row r="64" spans="1:13" x14ac:dyDescent="0.25">
      <c r="A64" s="13" t="str">
        <f t="shared" si="0"/>
        <v>50714274270</v>
      </c>
      <c r="B64" s="10">
        <v>1004052519</v>
      </c>
      <c r="C64" s="10">
        <v>507142742</v>
      </c>
      <c r="D64" s="10">
        <v>70</v>
      </c>
      <c r="E64" s="10" t="s">
        <v>10</v>
      </c>
      <c r="F64" s="10">
        <v>1209335</v>
      </c>
      <c r="G64" s="10" t="s">
        <v>150</v>
      </c>
      <c r="H64" s="11">
        <v>25576</v>
      </c>
      <c r="I64" s="10">
        <v>0</v>
      </c>
      <c r="J64" s="11">
        <f t="shared" si="1"/>
        <v>25576</v>
      </c>
      <c r="K64" s="12">
        <f>VLOOKUP(A64,[2]VA05!$A:$K,11,FALSE)</f>
        <v>45594</v>
      </c>
      <c r="L64" s="10" t="s">
        <v>12</v>
      </c>
      <c r="M64" s="10" t="s">
        <v>109</v>
      </c>
    </row>
    <row r="65" spans="1:13" x14ac:dyDescent="0.25">
      <c r="A65" s="13" t="str">
        <f t="shared" si="0"/>
        <v>507142742100</v>
      </c>
      <c r="B65" s="10">
        <v>1004052522</v>
      </c>
      <c r="C65" s="10">
        <v>507142742</v>
      </c>
      <c r="D65" s="10">
        <v>100</v>
      </c>
      <c r="E65" s="10" t="s">
        <v>10</v>
      </c>
      <c r="F65" s="10">
        <v>1209335</v>
      </c>
      <c r="G65" s="10" t="s">
        <v>150</v>
      </c>
      <c r="H65" s="11">
        <v>25576</v>
      </c>
      <c r="I65" s="10">
        <v>0</v>
      </c>
      <c r="J65" s="11">
        <f t="shared" si="1"/>
        <v>25576</v>
      </c>
      <c r="K65" s="12">
        <f>VLOOKUP(A65,[2]VA05!$A:$K,11,FALSE)</f>
        <v>45601</v>
      </c>
      <c r="L65" s="10" t="s">
        <v>12</v>
      </c>
      <c r="M65" s="10" t="s">
        <v>196</v>
      </c>
    </row>
    <row r="66" spans="1:13" x14ac:dyDescent="0.25">
      <c r="A66" s="13" t="str">
        <f t="shared" si="0"/>
        <v>507142721100</v>
      </c>
      <c r="B66" s="10">
        <v>1004050512</v>
      </c>
      <c r="C66" s="10">
        <v>507142721</v>
      </c>
      <c r="D66" s="10">
        <v>100</v>
      </c>
      <c r="E66" s="10" t="s">
        <v>10</v>
      </c>
      <c r="F66" s="10">
        <v>1437142</v>
      </c>
      <c r="G66" s="10" t="s">
        <v>145</v>
      </c>
      <c r="H66" s="11">
        <v>38799</v>
      </c>
      <c r="I66" s="11">
        <v>29592</v>
      </c>
      <c r="J66" s="11">
        <f t="shared" si="1"/>
        <v>9207</v>
      </c>
      <c r="K66" s="12">
        <f>VLOOKUP(A66,[2]VA05!$A:$K,11,FALSE)</f>
        <v>45569</v>
      </c>
      <c r="L66" s="10" t="s">
        <v>11</v>
      </c>
      <c r="M66" s="10" t="s">
        <v>130</v>
      </c>
    </row>
    <row r="67" spans="1:13" x14ac:dyDescent="0.25">
      <c r="A67" s="13" t="str">
        <f t="shared" si="0"/>
        <v>50714274240</v>
      </c>
      <c r="B67" s="10">
        <v>1004052625</v>
      </c>
      <c r="C67" s="10">
        <v>507142742</v>
      </c>
      <c r="D67" s="10">
        <v>40</v>
      </c>
      <c r="E67" s="10" t="s">
        <v>10</v>
      </c>
      <c r="F67" s="10">
        <v>1437142</v>
      </c>
      <c r="G67" s="10" t="s">
        <v>145</v>
      </c>
      <c r="H67" s="11">
        <v>27661</v>
      </c>
      <c r="I67" s="10">
        <v>0</v>
      </c>
      <c r="J67" s="11">
        <f t="shared" si="1"/>
        <v>27661</v>
      </c>
      <c r="K67" s="12">
        <f>VLOOKUP(A67,[2]VA05!$A:$K,11,FALSE)</f>
        <v>45587</v>
      </c>
      <c r="L67" s="10" t="s">
        <v>12</v>
      </c>
      <c r="M67" s="10" t="s">
        <v>194</v>
      </c>
    </row>
    <row r="68" spans="1:13" x14ac:dyDescent="0.25">
      <c r="A68" s="13" t="str">
        <f t="shared" ref="A68:A131" si="2">C68&amp;D68</f>
        <v>50714274270</v>
      </c>
      <c r="B68" s="10">
        <v>1004052626</v>
      </c>
      <c r="C68" s="10">
        <v>507142742</v>
      </c>
      <c r="D68" s="10">
        <v>70</v>
      </c>
      <c r="E68" s="10" t="s">
        <v>10</v>
      </c>
      <c r="F68" s="10">
        <v>1437142</v>
      </c>
      <c r="G68" s="10" t="s">
        <v>145</v>
      </c>
      <c r="H68" s="11">
        <v>27661</v>
      </c>
      <c r="I68" s="10">
        <v>0</v>
      </c>
      <c r="J68" s="11">
        <f t="shared" ref="J68:J131" si="3">H68-I68</f>
        <v>27661</v>
      </c>
      <c r="K68" s="12">
        <f>VLOOKUP(A68,[2]VA05!$A:$K,11,FALSE)</f>
        <v>45594</v>
      </c>
      <c r="L68" s="10" t="s">
        <v>12</v>
      </c>
      <c r="M68" s="10" t="s">
        <v>179</v>
      </c>
    </row>
    <row r="69" spans="1:13" x14ac:dyDescent="0.25">
      <c r="A69" s="13" t="str">
        <f t="shared" si="2"/>
        <v>507142742100</v>
      </c>
      <c r="B69" s="10">
        <v>1004052627</v>
      </c>
      <c r="C69" s="10">
        <v>507142742</v>
      </c>
      <c r="D69" s="10">
        <v>100</v>
      </c>
      <c r="E69" s="10" t="s">
        <v>10</v>
      </c>
      <c r="F69" s="10">
        <v>1437142</v>
      </c>
      <c r="G69" s="10" t="s">
        <v>145</v>
      </c>
      <c r="H69" s="11">
        <v>27661</v>
      </c>
      <c r="I69" s="10">
        <v>0</v>
      </c>
      <c r="J69" s="11">
        <f t="shared" si="3"/>
        <v>27661</v>
      </c>
      <c r="K69" s="12">
        <f>VLOOKUP(A69,[2]VA05!$A:$K,11,FALSE)</f>
        <v>45601</v>
      </c>
      <c r="L69" s="10" t="s">
        <v>12</v>
      </c>
      <c r="M69" s="10" t="s">
        <v>109</v>
      </c>
    </row>
    <row r="70" spans="1:13" x14ac:dyDescent="0.25">
      <c r="A70" s="13" t="str">
        <f t="shared" si="2"/>
        <v>50714274210</v>
      </c>
      <c r="B70" s="10">
        <v>1004054341</v>
      </c>
      <c r="C70" s="10">
        <v>507142742</v>
      </c>
      <c r="D70" s="10">
        <v>10</v>
      </c>
      <c r="E70" s="10" t="s">
        <v>10</v>
      </c>
      <c r="F70" s="10">
        <v>1437142</v>
      </c>
      <c r="G70" s="10" t="s">
        <v>145</v>
      </c>
      <c r="H70" s="11">
        <v>27661</v>
      </c>
      <c r="I70" s="10">
        <v>0</v>
      </c>
      <c r="J70" s="11">
        <f t="shared" si="3"/>
        <v>27661</v>
      </c>
      <c r="K70" s="12">
        <f>VLOOKUP(A70,[2]VA05!$A:$K,11,FALSE)</f>
        <v>45580</v>
      </c>
      <c r="L70" s="10" t="s">
        <v>13</v>
      </c>
      <c r="M70" s="10" t="s">
        <v>155</v>
      </c>
    </row>
    <row r="71" spans="1:13" x14ac:dyDescent="0.25">
      <c r="A71" s="13" t="str">
        <f t="shared" si="2"/>
        <v>50714240840</v>
      </c>
      <c r="B71" s="10">
        <v>1004016988</v>
      </c>
      <c r="C71" s="10">
        <v>507142408</v>
      </c>
      <c r="D71" s="10">
        <v>40</v>
      </c>
      <c r="E71" s="10" t="s">
        <v>10</v>
      </c>
      <c r="F71" s="10">
        <v>1239879</v>
      </c>
      <c r="G71" s="10" t="s">
        <v>15</v>
      </c>
      <c r="H71" s="11">
        <v>32116</v>
      </c>
      <c r="I71" s="11">
        <v>8138</v>
      </c>
      <c r="J71" s="11">
        <f t="shared" si="3"/>
        <v>23978</v>
      </c>
      <c r="K71" s="12" t="e">
        <f>VLOOKUP(A71,[2]VA05!$A:$K,11,FALSE)</f>
        <v>#N/A</v>
      </c>
      <c r="L71" s="10" t="s">
        <v>18</v>
      </c>
      <c r="M71" s="10" t="s">
        <v>58</v>
      </c>
    </row>
    <row r="72" spans="1:13" x14ac:dyDescent="0.25">
      <c r="A72" s="13" t="str">
        <f t="shared" si="2"/>
        <v>50714242450</v>
      </c>
      <c r="B72" s="10">
        <v>1004019633</v>
      </c>
      <c r="C72" s="10">
        <v>507142424</v>
      </c>
      <c r="D72" s="10">
        <v>50</v>
      </c>
      <c r="E72" s="10" t="s">
        <v>10</v>
      </c>
      <c r="F72" s="10">
        <v>1212309</v>
      </c>
      <c r="G72" s="10" t="s">
        <v>16</v>
      </c>
      <c r="H72" s="11">
        <v>30725</v>
      </c>
      <c r="I72" s="10">
        <v>0</v>
      </c>
      <c r="J72" s="11">
        <f t="shared" si="3"/>
        <v>30725</v>
      </c>
      <c r="K72" s="12" t="e">
        <f>VLOOKUP(A72,[2]VA05!$A:$K,11,FALSE)</f>
        <v>#N/A</v>
      </c>
      <c r="L72" s="10" t="s">
        <v>12</v>
      </c>
      <c r="M72" s="10" t="s">
        <v>82</v>
      </c>
    </row>
    <row r="73" spans="1:13" x14ac:dyDescent="0.25">
      <c r="A73" s="13" t="str">
        <f t="shared" si="2"/>
        <v>50714274220</v>
      </c>
      <c r="B73" s="10">
        <v>1004052511</v>
      </c>
      <c r="C73" s="10">
        <v>507142742</v>
      </c>
      <c r="D73" s="10">
        <v>20</v>
      </c>
      <c r="E73" s="10" t="s">
        <v>10</v>
      </c>
      <c r="F73" s="10">
        <v>1209351</v>
      </c>
      <c r="G73" s="10" t="s">
        <v>135</v>
      </c>
      <c r="H73" s="11">
        <v>25576</v>
      </c>
      <c r="I73" s="11">
        <v>2837</v>
      </c>
      <c r="J73" s="11">
        <f t="shared" si="3"/>
        <v>22739</v>
      </c>
      <c r="K73" s="12">
        <f>VLOOKUP(A73,[2]VA05!$A:$K,11,FALSE)</f>
        <v>45580</v>
      </c>
      <c r="L73" s="10" t="s">
        <v>18</v>
      </c>
      <c r="M73" s="10" t="s">
        <v>197</v>
      </c>
    </row>
    <row r="74" spans="1:13" x14ac:dyDescent="0.25">
      <c r="A74" s="13" t="str">
        <f t="shared" si="2"/>
        <v>50714274250</v>
      </c>
      <c r="B74" s="10">
        <v>1004052512</v>
      </c>
      <c r="C74" s="10">
        <v>507142742</v>
      </c>
      <c r="D74" s="10">
        <v>50</v>
      </c>
      <c r="E74" s="10" t="s">
        <v>10</v>
      </c>
      <c r="F74" s="10">
        <v>1209351</v>
      </c>
      <c r="G74" s="10" t="s">
        <v>135</v>
      </c>
      <c r="H74" s="11">
        <v>25576</v>
      </c>
      <c r="I74" s="10">
        <v>0</v>
      </c>
      <c r="J74" s="11">
        <f t="shared" si="3"/>
        <v>25576</v>
      </c>
      <c r="K74" s="12">
        <f>VLOOKUP(A74,[2]VA05!$A:$K,11,FALSE)</f>
        <v>45587</v>
      </c>
      <c r="L74" s="10" t="s">
        <v>12</v>
      </c>
      <c r="M74" s="10" t="s">
        <v>192</v>
      </c>
    </row>
    <row r="75" spans="1:13" x14ac:dyDescent="0.25">
      <c r="A75" s="13" t="str">
        <f t="shared" si="2"/>
        <v>50714274280</v>
      </c>
      <c r="B75" s="10">
        <v>1004052513</v>
      </c>
      <c r="C75" s="10">
        <v>507142742</v>
      </c>
      <c r="D75" s="10">
        <v>80</v>
      </c>
      <c r="E75" s="10" t="s">
        <v>10</v>
      </c>
      <c r="F75" s="10">
        <v>1209351</v>
      </c>
      <c r="G75" s="10" t="s">
        <v>135</v>
      </c>
      <c r="H75" s="11">
        <v>25576</v>
      </c>
      <c r="I75" s="10">
        <v>0</v>
      </c>
      <c r="J75" s="11">
        <f t="shared" si="3"/>
        <v>25576</v>
      </c>
      <c r="K75" s="12">
        <f>VLOOKUP(A75,[2]VA05!$A:$K,11,FALSE)</f>
        <v>45594</v>
      </c>
      <c r="L75" s="10" t="s">
        <v>12</v>
      </c>
      <c r="M75" s="10" t="s">
        <v>176</v>
      </c>
    </row>
    <row r="76" spans="1:13" x14ac:dyDescent="0.25">
      <c r="A76" s="13" t="str">
        <f t="shared" si="2"/>
        <v>507142742110</v>
      </c>
      <c r="B76" s="10">
        <v>1004052514</v>
      </c>
      <c r="C76" s="10">
        <v>507142742</v>
      </c>
      <c r="D76" s="10">
        <v>110</v>
      </c>
      <c r="E76" s="10" t="s">
        <v>10</v>
      </c>
      <c r="F76" s="10">
        <v>1209351</v>
      </c>
      <c r="G76" s="10" t="s">
        <v>135</v>
      </c>
      <c r="H76" s="11">
        <v>25576</v>
      </c>
      <c r="I76" s="10">
        <v>0</v>
      </c>
      <c r="J76" s="11">
        <f t="shared" si="3"/>
        <v>25576</v>
      </c>
      <c r="K76" s="12">
        <f>VLOOKUP(A76,[2]VA05!$A:$K,11,FALSE)</f>
        <v>45601</v>
      </c>
      <c r="L76" s="10" t="s">
        <v>12</v>
      </c>
      <c r="M76" s="10" t="s">
        <v>198</v>
      </c>
    </row>
    <row r="77" spans="1:13" x14ac:dyDescent="0.25">
      <c r="A77" s="13" t="str">
        <f t="shared" si="2"/>
        <v>50900099220</v>
      </c>
      <c r="B77" s="10">
        <v>1004021332</v>
      </c>
      <c r="C77" s="10">
        <v>509000992</v>
      </c>
      <c r="D77" s="10">
        <v>20</v>
      </c>
      <c r="E77" s="10" t="s">
        <v>10</v>
      </c>
      <c r="F77" s="10">
        <v>1279716</v>
      </c>
      <c r="G77" s="10" t="s">
        <v>54</v>
      </c>
      <c r="H77" s="11">
        <v>10299</v>
      </c>
      <c r="I77" s="10">
        <v>0</v>
      </c>
      <c r="J77" s="11">
        <f t="shared" si="3"/>
        <v>10299</v>
      </c>
      <c r="K77" s="12" t="e">
        <f>VLOOKUP(A77,[2]VA05!$A:$K,11,FALSE)</f>
        <v>#N/A</v>
      </c>
      <c r="L77" s="10" t="s">
        <v>25</v>
      </c>
      <c r="M77" s="10" t="s">
        <v>66</v>
      </c>
    </row>
    <row r="78" spans="1:13" x14ac:dyDescent="0.25">
      <c r="A78" s="13" t="str">
        <f t="shared" si="2"/>
        <v>50714242410</v>
      </c>
      <c r="B78" s="10">
        <v>1004019563</v>
      </c>
      <c r="C78" s="10">
        <v>507142424</v>
      </c>
      <c r="D78" s="10">
        <v>10</v>
      </c>
      <c r="E78" s="10" t="s">
        <v>10</v>
      </c>
      <c r="F78" s="10">
        <v>1212320</v>
      </c>
      <c r="G78" s="10" t="s">
        <v>17</v>
      </c>
      <c r="H78" s="11">
        <v>19568</v>
      </c>
      <c r="I78" s="10">
        <v>0</v>
      </c>
      <c r="J78" s="11">
        <f t="shared" si="3"/>
        <v>19568</v>
      </c>
      <c r="K78" s="12" t="e">
        <f>VLOOKUP(A78,[2]VA05!$A:$K,11,FALSE)</f>
        <v>#N/A</v>
      </c>
      <c r="L78" s="10" t="s">
        <v>27</v>
      </c>
      <c r="M78" s="10" t="s">
        <v>72</v>
      </c>
    </row>
    <row r="79" spans="1:13" x14ac:dyDescent="0.25">
      <c r="A79" s="13" t="str">
        <f t="shared" si="2"/>
        <v>50714242430</v>
      </c>
      <c r="B79" s="10">
        <v>1004019564</v>
      </c>
      <c r="C79" s="10">
        <v>507142424</v>
      </c>
      <c r="D79" s="10">
        <v>30</v>
      </c>
      <c r="E79" s="10" t="s">
        <v>10</v>
      </c>
      <c r="F79" s="10">
        <v>1212320</v>
      </c>
      <c r="G79" s="10" t="s">
        <v>17</v>
      </c>
      <c r="H79" s="11">
        <v>19568</v>
      </c>
      <c r="I79" s="10">
        <v>0</v>
      </c>
      <c r="J79" s="11">
        <f t="shared" si="3"/>
        <v>19568</v>
      </c>
      <c r="K79" s="12" t="e">
        <f>VLOOKUP(A79,[2]VA05!$A:$K,11,FALSE)</f>
        <v>#N/A</v>
      </c>
      <c r="L79" s="10" t="s">
        <v>13</v>
      </c>
      <c r="M79" s="10" t="s">
        <v>69</v>
      </c>
    </row>
    <row r="80" spans="1:13" x14ac:dyDescent="0.25">
      <c r="A80" s="13" t="str">
        <f t="shared" si="2"/>
        <v>50714242450</v>
      </c>
      <c r="B80" s="10">
        <v>1004019566</v>
      </c>
      <c r="C80" s="10">
        <v>507142424</v>
      </c>
      <c r="D80" s="10">
        <v>50</v>
      </c>
      <c r="E80" s="10" t="s">
        <v>10</v>
      </c>
      <c r="F80" s="10">
        <v>1212320</v>
      </c>
      <c r="G80" s="10" t="s">
        <v>17</v>
      </c>
      <c r="H80" s="11">
        <v>30725</v>
      </c>
      <c r="I80" s="10">
        <v>0</v>
      </c>
      <c r="J80" s="11">
        <f t="shared" si="3"/>
        <v>30725</v>
      </c>
      <c r="K80" s="12" t="e">
        <f>VLOOKUP(A80,[2]VA05!$A:$K,11,FALSE)</f>
        <v>#N/A</v>
      </c>
      <c r="L80" s="10" t="s">
        <v>13</v>
      </c>
      <c r="M80" s="10" t="s">
        <v>73</v>
      </c>
    </row>
    <row r="81" spans="1:13" x14ac:dyDescent="0.25">
      <c r="A81" s="13" t="str">
        <f t="shared" si="2"/>
        <v>50714274220</v>
      </c>
      <c r="B81" s="10">
        <v>1004052428</v>
      </c>
      <c r="C81" s="10">
        <v>507142742</v>
      </c>
      <c r="D81" s="10">
        <v>20</v>
      </c>
      <c r="E81" s="10" t="s">
        <v>10</v>
      </c>
      <c r="F81" s="10">
        <v>1437172</v>
      </c>
      <c r="G81" s="10" t="s">
        <v>123</v>
      </c>
      <c r="H81" s="11">
        <v>25576</v>
      </c>
      <c r="I81" s="11">
        <v>7183</v>
      </c>
      <c r="J81" s="11">
        <f t="shared" si="3"/>
        <v>18393</v>
      </c>
      <c r="K81" s="12">
        <f>VLOOKUP(A81,[2]VA05!$A:$K,11,FALSE)</f>
        <v>45580</v>
      </c>
      <c r="L81" s="10" t="s">
        <v>18</v>
      </c>
      <c r="M81" s="10" t="s">
        <v>197</v>
      </c>
    </row>
    <row r="82" spans="1:13" x14ac:dyDescent="0.25">
      <c r="A82" s="13" t="str">
        <f t="shared" si="2"/>
        <v>50714274280</v>
      </c>
      <c r="B82" s="10">
        <v>1004052509</v>
      </c>
      <c r="C82" s="10">
        <v>507142742</v>
      </c>
      <c r="D82" s="10">
        <v>80</v>
      </c>
      <c r="E82" s="10" t="s">
        <v>10</v>
      </c>
      <c r="F82" s="10">
        <v>1437172</v>
      </c>
      <c r="G82" s="10" t="s">
        <v>123</v>
      </c>
      <c r="H82" s="11">
        <v>25576</v>
      </c>
      <c r="I82" s="10">
        <v>0</v>
      </c>
      <c r="J82" s="11">
        <f t="shared" si="3"/>
        <v>25576</v>
      </c>
      <c r="K82" s="12">
        <f>VLOOKUP(A82,[2]VA05!$A:$K,11,FALSE)</f>
        <v>45594</v>
      </c>
      <c r="L82" s="10" t="s">
        <v>12</v>
      </c>
      <c r="M82" s="10" t="s">
        <v>176</v>
      </c>
    </row>
    <row r="83" spans="1:13" x14ac:dyDescent="0.25">
      <c r="A83" s="13" t="str">
        <f t="shared" si="2"/>
        <v>507142742110</v>
      </c>
      <c r="B83" s="10">
        <v>1004052510</v>
      </c>
      <c r="C83" s="10">
        <v>507142742</v>
      </c>
      <c r="D83" s="10">
        <v>110</v>
      </c>
      <c r="E83" s="10" t="s">
        <v>10</v>
      </c>
      <c r="F83" s="10">
        <v>1437172</v>
      </c>
      <c r="G83" s="10" t="s">
        <v>123</v>
      </c>
      <c r="H83" s="11">
        <v>25576</v>
      </c>
      <c r="I83" s="10">
        <v>0</v>
      </c>
      <c r="J83" s="11">
        <f t="shared" si="3"/>
        <v>25576</v>
      </c>
      <c r="K83" s="12">
        <f>VLOOKUP(A83,[2]VA05!$A:$K,11,FALSE)</f>
        <v>45601</v>
      </c>
      <c r="L83" s="10" t="s">
        <v>12</v>
      </c>
      <c r="M83" s="10" t="s">
        <v>198</v>
      </c>
    </row>
    <row r="84" spans="1:13" x14ac:dyDescent="0.25">
      <c r="A84" s="13" t="str">
        <f t="shared" si="2"/>
        <v>50900099220</v>
      </c>
      <c r="B84" s="10">
        <v>1004016985</v>
      </c>
      <c r="C84" s="10">
        <v>509000992</v>
      </c>
      <c r="D84" s="10">
        <v>20</v>
      </c>
      <c r="E84" s="10" t="s">
        <v>10</v>
      </c>
      <c r="F84" s="10">
        <v>1279713</v>
      </c>
      <c r="G84" s="10" t="s">
        <v>55</v>
      </c>
      <c r="H84" s="11">
        <v>10299</v>
      </c>
      <c r="I84" s="10">
        <v>0</v>
      </c>
      <c r="J84" s="11">
        <f t="shared" si="3"/>
        <v>10299</v>
      </c>
      <c r="K84" s="12" t="e">
        <f>VLOOKUP(A84,[2]VA05!$A:$K,11,FALSE)</f>
        <v>#N/A</v>
      </c>
      <c r="L84" s="10" t="s">
        <v>13</v>
      </c>
      <c r="M84" s="10" t="s">
        <v>58</v>
      </c>
    </row>
    <row r="85" spans="1:13" x14ac:dyDescent="0.25">
      <c r="A85" s="13" t="str">
        <f t="shared" si="2"/>
        <v>50900099320</v>
      </c>
      <c r="B85" s="10">
        <v>1004016986</v>
      </c>
      <c r="C85" s="10">
        <v>509000993</v>
      </c>
      <c r="D85" s="10">
        <v>20</v>
      </c>
      <c r="E85" s="10" t="s">
        <v>10</v>
      </c>
      <c r="F85" s="10">
        <v>1279713</v>
      </c>
      <c r="G85" s="10" t="s">
        <v>55</v>
      </c>
      <c r="H85" s="11">
        <v>3262</v>
      </c>
      <c r="I85" s="10">
        <v>0</v>
      </c>
      <c r="J85" s="11">
        <f t="shared" si="3"/>
        <v>3262</v>
      </c>
      <c r="K85" s="12" t="e">
        <f>VLOOKUP(A85,[2]VA05!$A:$K,11,FALSE)</f>
        <v>#N/A</v>
      </c>
      <c r="L85" s="10" t="s">
        <v>12</v>
      </c>
      <c r="M85" s="10" t="s">
        <v>50</v>
      </c>
    </row>
    <row r="86" spans="1:13" x14ac:dyDescent="0.25">
      <c r="A86" s="13" t="str">
        <f t="shared" si="2"/>
        <v>50714274240</v>
      </c>
      <c r="B86" s="10">
        <v>1004049969</v>
      </c>
      <c r="C86" s="10">
        <v>507142742</v>
      </c>
      <c r="D86" s="10">
        <v>40</v>
      </c>
      <c r="E86" s="10" t="s">
        <v>10</v>
      </c>
      <c r="F86" s="10">
        <v>1209336</v>
      </c>
      <c r="G86" s="10" t="s">
        <v>124</v>
      </c>
      <c r="H86" s="11">
        <v>25576</v>
      </c>
      <c r="I86" s="11">
        <v>1312</v>
      </c>
      <c r="J86" s="11">
        <f t="shared" si="3"/>
        <v>24264</v>
      </c>
      <c r="K86" s="12">
        <f>VLOOKUP(A86,[2]VA05!$A:$K,11,FALSE)</f>
        <v>45587</v>
      </c>
      <c r="L86" s="10" t="s">
        <v>18</v>
      </c>
      <c r="M86" s="10" t="s">
        <v>157</v>
      </c>
    </row>
    <row r="87" spans="1:13" x14ac:dyDescent="0.25">
      <c r="A87" s="13" t="str">
        <f t="shared" si="2"/>
        <v>50714274270</v>
      </c>
      <c r="B87" s="10">
        <v>1004052425</v>
      </c>
      <c r="C87" s="10">
        <v>507142742</v>
      </c>
      <c r="D87" s="10">
        <v>70</v>
      </c>
      <c r="E87" s="10" t="s">
        <v>10</v>
      </c>
      <c r="F87" s="10">
        <v>1209336</v>
      </c>
      <c r="G87" s="10" t="s">
        <v>124</v>
      </c>
      <c r="H87" s="11">
        <v>25576</v>
      </c>
      <c r="I87" s="10">
        <v>0</v>
      </c>
      <c r="J87" s="11">
        <f t="shared" si="3"/>
        <v>25576</v>
      </c>
      <c r="K87" s="12">
        <f>VLOOKUP(A87,[2]VA05!$A:$K,11,FALSE)</f>
        <v>45594</v>
      </c>
      <c r="L87" s="10" t="s">
        <v>12</v>
      </c>
      <c r="M87" s="10" t="s">
        <v>199</v>
      </c>
    </row>
    <row r="88" spans="1:13" x14ac:dyDescent="0.25">
      <c r="A88" s="13" t="str">
        <f t="shared" si="2"/>
        <v>507142742100</v>
      </c>
      <c r="B88" s="10">
        <v>1004052426</v>
      </c>
      <c r="C88" s="10">
        <v>507142742</v>
      </c>
      <c r="D88" s="10">
        <v>100</v>
      </c>
      <c r="E88" s="10" t="s">
        <v>10</v>
      </c>
      <c r="F88" s="10">
        <v>1209336</v>
      </c>
      <c r="G88" s="10" t="s">
        <v>124</v>
      </c>
      <c r="H88" s="11">
        <v>25576</v>
      </c>
      <c r="I88" s="10">
        <v>0</v>
      </c>
      <c r="J88" s="11">
        <f t="shared" si="3"/>
        <v>25576</v>
      </c>
      <c r="K88" s="12">
        <f>VLOOKUP(A88,[2]VA05!$A:$K,11,FALSE)</f>
        <v>45601</v>
      </c>
      <c r="L88" s="10" t="s">
        <v>12</v>
      </c>
      <c r="M88" s="10" t="s">
        <v>200</v>
      </c>
    </row>
    <row r="89" spans="1:13" x14ac:dyDescent="0.25">
      <c r="A89" s="13" t="str">
        <f t="shared" si="2"/>
        <v>50714246960</v>
      </c>
      <c r="B89" s="10">
        <v>1004016982</v>
      </c>
      <c r="C89" s="10">
        <v>507142469</v>
      </c>
      <c r="D89" s="10">
        <v>60</v>
      </c>
      <c r="E89" s="10" t="s">
        <v>10</v>
      </c>
      <c r="F89" s="10">
        <v>1212321</v>
      </c>
      <c r="G89" s="10" t="s">
        <v>30</v>
      </c>
      <c r="H89" s="11">
        <v>71577</v>
      </c>
      <c r="I89" s="11">
        <v>8540</v>
      </c>
      <c r="J89" s="11">
        <f t="shared" si="3"/>
        <v>63037</v>
      </c>
      <c r="K89" s="12" t="e">
        <f>VLOOKUP(A89,[2]VA05!$A:$K,11,FALSE)</f>
        <v>#N/A</v>
      </c>
      <c r="L89" s="10" t="s">
        <v>18</v>
      </c>
      <c r="M89" s="10" t="s">
        <v>49</v>
      </c>
    </row>
    <row r="90" spans="1:13" x14ac:dyDescent="0.25">
      <c r="A90" s="13" t="str">
        <f t="shared" si="2"/>
        <v>50714274230</v>
      </c>
      <c r="B90" s="10">
        <v>1004052421</v>
      </c>
      <c r="C90" s="10">
        <v>507142742</v>
      </c>
      <c r="D90" s="10">
        <v>30</v>
      </c>
      <c r="E90" s="10" t="s">
        <v>10</v>
      </c>
      <c r="F90" s="10">
        <v>1209347</v>
      </c>
      <c r="G90" s="10" t="s">
        <v>136</v>
      </c>
      <c r="H90" s="11">
        <v>25576</v>
      </c>
      <c r="I90" s="10">
        <v>0</v>
      </c>
      <c r="J90" s="11">
        <f t="shared" si="3"/>
        <v>25576</v>
      </c>
      <c r="K90" s="12">
        <f>VLOOKUP(A90,[2]VA05!$A:$K,11,FALSE)</f>
        <v>45580</v>
      </c>
      <c r="L90" s="10" t="s">
        <v>12</v>
      </c>
      <c r="M90" s="10" t="s">
        <v>197</v>
      </c>
    </row>
    <row r="91" spans="1:13" x14ac:dyDescent="0.25">
      <c r="A91" s="13" t="str">
        <f t="shared" si="2"/>
        <v>50714274260</v>
      </c>
      <c r="B91" s="10">
        <v>1004052422</v>
      </c>
      <c r="C91" s="10">
        <v>507142742</v>
      </c>
      <c r="D91" s="10">
        <v>60</v>
      </c>
      <c r="E91" s="10" t="s">
        <v>10</v>
      </c>
      <c r="F91" s="10">
        <v>1209347</v>
      </c>
      <c r="G91" s="10" t="s">
        <v>136</v>
      </c>
      <c r="H91" s="11">
        <v>25576</v>
      </c>
      <c r="I91" s="10">
        <v>0</v>
      </c>
      <c r="J91" s="11">
        <f t="shared" si="3"/>
        <v>25576</v>
      </c>
      <c r="K91" s="12">
        <f>VLOOKUP(A91,[2]VA05!$A:$K,11,FALSE)</f>
        <v>45587</v>
      </c>
      <c r="L91" s="10" t="s">
        <v>12</v>
      </c>
      <c r="M91" s="10" t="s">
        <v>192</v>
      </c>
    </row>
    <row r="92" spans="1:13" x14ac:dyDescent="0.25">
      <c r="A92" s="13" t="str">
        <f t="shared" si="2"/>
        <v>50714274290</v>
      </c>
      <c r="B92" s="10">
        <v>1004052423</v>
      </c>
      <c r="C92" s="10">
        <v>507142742</v>
      </c>
      <c r="D92" s="10">
        <v>90</v>
      </c>
      <c r="E92" s="10" t="s">
        <v>10</v>
      </c>
      <c r="F92" s="10">
        <v>1209347</v>
      </c>
      <c r="G92" s="10" t="s">
        <v>136</v>
      </c>
      <c r="H92" s="11">
        <v>25576</v>
      </c>
      <c r="I92" s="10">
        <v>0</v>
      </c>
      <c r="J92" s="11">
        <f t="shared" si="3"/>
        <v>25576</v>
      </c>
      <c r="K92" s="12">
        <f>VLOOKUP(A92,[2]VA05!$A:$K,11,FALSE)</f>
        <v>45594</v>
      </c>
      <c r="L92" s="10" t="s">
        <v>12</v>
      </c>
      <c r="M92" s="10" t="s">
        <v>176</v>
      </c>
    </row>
    <row r="93" spans="1:13" x14ac:dyDescent="0.25">
      <c r="A93" s="13" t="str">
        <f t="shared" si="2"/>
        <v>507142742120</v>
      </c>
      <c r="B93" s="10">
        <v>1004052424</v>
      </c>
      <c r="C93" s="10">
        <v>507142742</v>
      </c>
      <c r="D93" s="10">
        <v>120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>
        <f>VLOOKUP(A93,[2]VA05!$A:$K,11,FALSE)</f>
        <v>45601</v>
      </c>
      <c r="L93" s="10" t="s">
        <v>12</v>
      </c>
      <c r="M93" s="10" t="s">
        <v>198</v>
      </c>
    </row>
    <row r="94" spans="1:13" x14ac:dyDescent="0.25">
      <c r="A94" s="13" t="str">
        <f t="shared" si="2"/>
        <v>50714273910</v>
      </c>
      <c r="B94" s="10">
        <v>1004051713</v>
      </c>
      <c r="C94" s="10">
        <v>507142739</v>
      </c>
      <c r="D94" s="10">
        <v>10</v>
      </c>
      <c r="E94" s="10" t="s">
        <v>10</v>
      </c>
      <c r="F94" s="10">
        <v>1409882</v>
      </c>
      <c r="G94" s="10" t="s">
        <v>39</v>
      </c>
      <c r="H94" s="11">
        <v>22415</v>
      </c>
      <c r="I94" s="11">
        <v>8029</v>
      </c>
      <c r="J94" s="11">
        <f t="shared" si="3"/>
        <v>14386</v>
      </c>
      <c r="K94" s="12">
        <f>VLOOKUP(A94,[2]VA05!$A:$K,11,FALSE)</f>
        <v>45568</v>
      </c>
      <c r="L94" s="10" t="s">
        <v>18</v>
      </c>
      <c r="M94" s="10" t="s">
        <v>61</v>
      </c>
    </row>
    <row r="95" spans="1:13" x14ac:dyDescent="0.25">
      <c r="A95" s="13" t="str">
        <f t="shared" si="2"/>
        <v>50714273920</v>
      </c>
      <c r="B95" s="10">
        <v>1004051714</v>
      </c>
      <c r="C95" s="10">
        <v>507142739</v>
      </c>
      <c r="D95" s="10">
        <v>20</v>
      </c>
      <c r="E95" s="10" t="s">
        <v>10</v>
      </c>
      <c r="F95" s="10">
        <v>1409882</v>
      </c>
      <c r="G95" s="10" t="s">
        <v>39</v>
      </c>
      <c r="H95" s="11">
        <v>51460</v>
      </c>
      <c r="I95" s="10">
        <v>0</v>
      </c>
      <c r="J95" s="11">
        <f t="shared" si="3"/>
        <v>51460</v>
      </c>
      <c r="K95" s="12">
        <f>VLOOKUP(A95,[2]VA05!$A:$K,11,FALSE)</f>
        <v>45573</v>
      </c>
      <c r="L95" s="10" t="s">
        <v>12</v>
      </c>
      <c r="M95" s="10" t="s">
        <v>97</v>
      </c>
    </row>
    <row r="96" spans="1:13" x14ac:dyDescent="0.25">
      <c r="A96" s="13" t="str">
        <f t="shared" si="2"/>
        <v>50714273910</v>
      </c>
      <c r="B96" s="10">
        <v>1004056940</v>
      </c>
      <c r="C96" s="10">
        <v>507142739</v>
      </c>
      <c r="D96" s="10">
        <v>10</v>
      </c>
      <c r="E96" s="10" t="s">
        <v>10</v>
      </c>
      <c r="F96" s="10">
        <v>1409883</v>
      </c>
      <c r="G96" s="10" t="s">
        <v>40</v>
      </c>
      <c r="H96" s="11">
        <v>23551</v>
      </c>
      <c r="I96" s="11">
        <v>4416</v>
      </c>
      <c r="J96" s="11">
        <f t="shared" si="3"/>
        <v>19135</v>
      </c>
      <c r="K96" s="12">
        <f>VLOOKUP(A96,[2]VA05!$A:$K,11,FALSE)</f>
        <v>45568</v>
      </c>
      <c r="L96" s="10" t="s">
        <v>11</v>
      </c>
      <c r="M96" s="10" t="s">
        <v>195</v>
      </c>
    </row>
    <row r="97" spans="1:13" x14ac:dyDescent="0.25">
      <c r="A97" s="13" t="str">
        <f t="shared" si="2"/>
        <v>50714273920</v>
      </c>
      <c r="B97" s="10">
        <v>1004056941</v>
      </c>
      <c r="C97" s="10">
        <v>507142739</v>
      </c>
      <c r="D97" s="10">
        <v>20</v>
      </c>
      <c r="E97" s="10" t="s">
        <v>10</v>
      </c>
      <c r="F97" s="10">
        <v>1409883</v>
      </c>
      <c r="G97" s="10" t="s">
        <v>40</v>
      </c>
      <c r="H97" s="11">
        <v>54066</v>
      </c>
      <c r="I97" s="10">
        <v>0</v>
      </c>
      <c r="J97" s="11">
        <f t="shared" si="3"/>
        <v>54066</v>
      </c>
      <c r="K97" s="12">
        <f>VLOOKUP(A97,[2]VA05!$A:$K,11,FALSE)</f>
        <v>45573</v>
      </c>
      <c r="L97" s="10" t="s">
        <v>12</v>
      </c>
      <c r="M97" s="10" t="s">
        <v>180</v>
      </c>
    </row>
    <row r="98" spans="1:13" x14ac:dyDescent="0.25">
      <c r="A98" s="13" t="str">
        <f t="shared" si="2"/>
        <v>50714273930</v>
      </c>
      <c r="B98" s="10">
        <v>1004057977</v>
      </c>
      <c r="C98" s="10">
        <v>507142739</v>
      </c>
      <c r="D98" s="10">
        <v>30</v>
      </c>
      <c r="E98" s="10" t="s">
        <v>10</v>
      </c>
      <c r="F98" s="10">
        <v>1409883</v>
      </c>
      <c r="G98" s="10" t="s">
        <v>40</v>
      </c>
      <c r="H98" s="11">
        <v>30185</v>
      </c>
      <c r="I98" s="10">
        <v>0</v>
      </c>
      <c r="J98" s="11">
        <f t="shared" si="3"/>
        <v>30185</v>
      </c>
      <c r="K98" s="12">
        <f>VLOOKUP(A98,[2]VA05!$A:$K,11,FALSE)</f>
        <v>45580</v>
      </c>
      <c r="L98" s="10" t="s">
        <v>119</v>
      </c>
      <c r="M98" s="10" t="s">
        <v>155</v>
      </c>
    </row>
    <row r="99" spans="1:13" x14ac:dyDescent="0.25">
      <c r="A99" s="13" t="str">
        <f t="shared" si="2"/>
        <v>50714276510</v>
      </c>
      <c r="B99" s="10">
        <v>1004051406</v>
      </c>
      <c r="C99" s="10">
        <v>507142765</v>
      </c>
      <c r="D99" s="10">
        <v>10</v>
      </c>
      <c r="E99" s="10" t="s">
        <v>10</v>
      </c>
      <c r="F99" s="10">
        <v>1398384</v>
      </c>
      <c r="G99" s="10" t="s">
        <v>168</v>
      </c>
      <c r="H99" s="11">
        <v>11422</v>
      </c>
      <c r="I99" s="10">
        <v>0</v>
      </c>
      <c r="J99" s="11">
        <f t="shared" si="3"/>
        <v>11422</v>
      </c>
      <c r="K99" s="12">
        <f>VLOOKUP(A99,[2]VA05!$A:$K,11,FALSE)</f>
        <v>45560</v>
      </c>
      <c r="L99" s="10" t="s">
        <v>13</v>
      </c>
      <c r="M99" s="10" t="s">
        <v>180</v>
      </c>
    </row>
    <row r="100" spans="1:13" x14ac:dyDescent="0.25">
      <c r="A100" s="13" t="str">
        <f t="shared" si="2"/>
        <v>50714276520</v>
      </c>
      <c r="B100" s="10">
        <v>1004051407</v>
      </c>
      <c r="C100" s="10">
        <v>507142765</v>
      </c>
      <c r="D100" s="10">
        <v>20</v>
      </c>
      <c r="E100" s="10" t="s">
        <v>10</v>
      </c>
      <c r="F100" s="10">
        <v>1398384</v>
      </c>
      <c r="G100" s="10" t="s">
        <v>168</v>
      </c>
      <c r="H100" s="11">
        <v>22842</v>
      </c>
      <c r="I100" s="10">
        <v>0</v>
      </c>
      <c r="J100" s="11">
        <f t="shared" si="3"/>
        <v>22842</v>
      </c>
      <c r="K100" s="12" t="e">
        <f>VLOOKUP(A100,[2]VA05!$A:$K,11,FALSE)</f>
        <v>#N/A</v>
      </c>
      <c r="L100" s="10" t="s">
        <v>12</v>
      </c>
      <c r="M100" s="10" t="s">
        <v>97</v>
      </c>
    </row>
    <row r="101" spans="1:13" x14ac:dyDescent="0.25">
      <c r="A101" s="13" t="str">
        <f t="shared" si="2"/>
        <v>50714276530</v>
      </c>
      <c r="B101" s="10">
        <v>1004051408</v>
      </c>
      <c r="C101" s="10">
        <v>507142765</v>
      </c>
      <c r="D101" s="10">
        <v>30</v>
      </c>
      <c r="E101" s="10" t="s">
        <v>10</v>
      </c>
      <c r="F101" s="10">
        <v>1398384</v>
      </c>
      <c r="G101" s="10" t="s">
        <v>168</v>
      </c>
      <c r="H101" s="11">
        <v>34807</v>
      </c>
      <c r="I101" s="10">
        <v>0</v>
      </c>
      <c r="J101" s="11">
        <f t="shared" si="3"/>
        <v>34807</v>
      </c>
      <c r="K101" s="12">
        <f>VLOOKUP(A101,[2]VA05!$A:$K,11,FALSE)</f>
        <v>45569</v>
      </c>
      <c r="L101" s="10" t="s">
        <v>12</v>
      </c>
      <c r="M101" s="10" t="s">
        <v>143</v>
      </c>
    </row>
    <row r="102" spans="1:13" x14ac:dyDescent="0.25">
      <c r="A102" s="13" t="str">
        <f t="shared" si="2"/>
        <v>50714276540</v>
      </c>
      <c r="B102" s="10">
        <v>1004052528</v>
      </c>
      <c r="C102" s="10">
        <v>507142765</v>
      </c>
      <c r="D102" s="10">
        <v>40</v>
      </c>
      <c r="E102" s="10" t="s">
        <v>10</v>
      </c>
      <c r="F102" s="10">
        <v>1398384</v>
      </c>
      <c r="G102" s="10" t="s">
        <v>168</v>
      </c>
      <c r="H102" s="11">
        <v>35078</v>
      </c>
      <c r="I102" s="10">
        <v>0</v>
      </c>
      <c r="J102" s="11">
        <f t="shared" si="3"/>
        <v>35078</v>
      </c>
      <c r="K102" s="12">
        <f>VLOOKUP(A102,[2]VA05!$A:$K,11,FALSE)</f>
        <v>45576</v>
      </c>
      <c r="L102" s="10" t="s">
        <v>12</v>
      </c>
      <c r="M102" s="10" t="s">
        <v>195</v>
      </c>
    </row>
    <row r="103" spans="1:13" x14ac:dyDescent="0.25">
      <c r="A103" s="13" t="str">
        <f t="shared" si="2"/>
        <v>50714276550</v>
      </c>
      <c r="B103" s="10">
        <v>1004052529</v>
      </c>
      <c r="C103" s="10">
        <v>507142765</v>
      </c>
      <c r="D103" s="10">
        <v>50</v>
      </c>
      <c r="E103" s="10" t="s">
        <v>10</v>
      </c>
      <c r="F103" s="10">
        <v>1398384</v>
      </c>
      <c r="G103" s="10" t="s">
        <v>168</v>
      </c>
      <c r="H103" s="11">
        <v>45412</v>
      </c>
      <c r="I103" s="10">
        <v>0</v>
      </c>
      <c r="J103" s="11">
        <f t="shared" si="3"/>
        <v>45412</v>
      </c>
      <c r="K103" s="12">
        <f>VLOOKUP(A103,[2]VA05!$A:$K,11,FALSE)</f>
        <v>45583</v>
      </c>
      <c r="L103" s="10" t="s">
        <v>12</v>
      </c>
      <c r="M103" s="10" t="s">
        <v>194</v>
      </c>
    </row>
    <row r="104" spans="1:13" x14ac:dyDescent="0.25">
      <c r="A104" s="13" t="str">
        <f t="shared" si="2"/>
        <v>50714276560</v>
      </c>
      <c r="B104" s="10">
        <v>1004052530</v>
      </c>
      <c r="C104" s="10">
        <v>507142765</v>
      </c>
      <c r="D104" s="10">
        <v>60</v>
      </c>
      <c r="E104" s="10" t="s">
        <v>10</v>
      </c>
      <c r="F104" s="10">
        <v>1398384</v>
      </c>
      <c r="G104" s="10" t="s">
        <v>168</v>
      </c>
      <c r="H104" s="11">
        <v>45412</v>
      </c>
      <c r="I104" s="10">
        <v>0</v>
      </c>
      <c r="J104" s="11">
        <f t="shared" si="3"/>
        <v>45412</v>
      </c>
      <c r="K104" s="12">
        <f>VLOOKUP(A104,[2]VA05!$A:$K,11,FALSE)</f>
        <v>45590</v>
      </c>
      <c r="L104" s="10" t="s">
        <v>12</v>
      </c>
      <c r="M104" s="10" t="s">
        <v>179</v>
      </c>
    </row>
    <row r="105" spans="1:13" x14ac:dyDescent="0.25">
      <c r="A105" s="13" t="str">
        <f t="shared" si="2"/>
        <v>50714276510</v>
      </c>
      <c r="B105" s="10">
        <v>1004052532</v>
      </c>
      <c r="C105" s="10">
        <v>507142765</v>
      </c>
      <c r="D105" s="10">
        <v>10</v>
      </c>
      <c r="E105" s="10" t="s">
        <v>10</v>
      </c>
      <c r="F105" s="10">
        <v>1398385</v>
      </c>
      <c r="G105" s="10" t="s">
        <v>183</v>
      </c>
      <c r="H105" s="11">
        <v>11765</v>
      </c>
      <c r="I105" s="10">
        <v>0</v>
      </c>
      <c r="J105" s="11">
        <f t="shared" si="3"/>
        <v>11765</v>
      </c>
      <c r="K105" s="12">
        <f>VLOOKUP(A105,[2]VA05!$A:$K,11,FALSE)</f>
        <v>45560</v>
      </c>
      <c r="L105" s="10" t="s">
        <v>25</v>
      </c>
      <c r="M105" s="10" t="s">
        <v>180</v>
      </c>
    </row>
    <row r="106" spans="1:13" x14ac:dyDescent="0.25">
      <c r="A106" s="13" t="str">
        <f t="shared" si="2"/>
        <v>50714276520</v>
      </c>
      <c r="B106" s="10">
        <v>1004052533</v>
      </c>
      <c r="C106" s="10">
        <v>507142765</v>
      </c>
      <c r="D106" s="10">
        <v>20</v>
      </c>
      <c r="E106" s="10" t="s">
        <v>10</v>
      </c>
      <c r="F106" s="10">
        <v>1398385</v>
      </c>
      <c r="G106" s="10" t="s">
        <v>183</v>
      </c>
      <c r="H106" s="11">
        <v>23528</v>
      </c>
      <c r="I106" s="10">
        <v>0</v>
      </c>
      <c r="J106" s="11">
        <f t="shared" si="3"/>
        <v>23528</v>
      </c>
      <c r="K106" s="12" t="e">
        <f>VLOOKUP(A106,[2]VA05!$A:$K,11,FALSE)</f>
        <v>#N/A</v>
      </c>
      <c r="L106" s="10" t="s">
        <v>12</v>
      </c>
      <c r="M106" s="10" t="s">
        <v>97</v>
      </c>
    </row>
    <row r="107" spans="1:13" x14ac:dyDescent="0.25">
      <c r="A107" s="13" t="str">
        <f t="shared" si="2"/>
        <v>50714276530</v>
      </c>
      <c r="B107" s="10">
        <v>1004052534</v>
      </c>
      <c r="C107" s="10">
        <v>507142765</v>
      </c>
      <c r="D107" s="10">
        <v>30</v>
      </c>
      <c r="E107" s="10" t="s">
        <v>10</v>
      </c>
      <c r="F107" s="10">
        <v>1398385</v>
      </c>
      <c r="G107" s="10" t="s">
        <v>183</v>
      </c>
      <c r="H107" s="11">
        <v>35852</v>
      </c>
      <c r="I107" s="10">
        <v>0</v>
      </c>
      <c r="J107" s="11">
        <f t="shared" si="3"/>
        <v>35852</v>
      </c>
      <c r="K107" s="12">
        <f>VLOOKUP(A107,[2]VA05!$A:$K,11,FALSE)</f>
        <v>45569</v>
      </c>
      <c r="L107" s="10" t="s">
        <v>12</v>
      </c>
      <c r="M107" s="10" t="s">
        <v>97</v>
      </c>
    </row>
    <row r="108" spans="1:13" x14ac:dyDescent="0.25">
      <c r="A108" s="13" t="str">
        <f t="shared" si="2"/>
        <v>50714276540</v>
      </c>
      <c r="B108" s="10">
        <v>1004052535</v>
      </c>
      <c r="C108" s="10">
        <v>507142765</v>
      </c>
      <c r="D108" s="10">
        <v>40</v>
      </c>
      <c r="E108" s="10" t="s">
        <v>10</v>
      </c>
      <c r="F108" s="10">
        <v>1398385</v>
      </c>
      <c r="G108" s="10" t="s">
        <v>183</v>
      </c>
      <c r="H108" s="11">
        <v>36131</v>
      </c>
      <c r="I108" s="10">
        <v>0</v>
      </c>
      <c r="J108" s="11">
        <f t="shared" si="3"/>
        <v>36131</v>
      </c>
      <c r="K108" s="12">
        <f>VLOOKUP(A108,[2]VA05!$A:$K,11,FALSE)</f>
        <v>45576</v>
      </c>
      <c r="L108" s="10" t="s">
        <v>12</v>
      </c>
      <c r="M108" s="10" t="s">
        <v>180</v>
      </c>
    </row>
    <row r="109" spans="1:13" x14ac:dyDescent="0.25">
      <c r="A109" s="13" t="str">
        <f t="shared" si="2"/>
        <v>50714276550</v>
      </c>
      <c r="B109" s="10">
        <v>1004052536</v>
      </c>
      <c r="C109" s="10">
        <v>507142765</v>
      </c>
      <c r="D109" s="10">
        <v>50</v>
      </c>
      <c r="E109" s="10" t="s">
        <v>10</v>
      </c>
      <c r="F109" s="10">
        <v>1398385</v>
      </c>
      <c r="G109" s="10" t="s">
        <v>183</v>
      </c>
      <c r="H109" s="11">
        <v>46775</v>
      </c>
      <c r="I109" s="10">
        <v>0</v>
      </c>
      <c r="J109" s="11">
        <f t="shared" si="3"/>
        <v>46775</v>
      </c>
      <c r="K109" s="12">
        <f>VLOOKUP(A109,[2]VA05!$A:$K,11,FALSE)</f>
        <v>45583</v>
      </c>
      <c r="L109" s="10" t="s">
        <v>12</v>
      </c>
      <c r="M109" s="10" t="s">
        <v>201</v>
      </c>
    </row>
    <row r="110" spans="1:13" x14ac:dyDescent="0.25">
      <c r="A110" s="13" t="str">
        <f t="shared" si="2"/>
        <v>50714276560</v>
      </c>
      <c r="B110" s="10">
        <v>1004052537</v>
      </c>
      <c r="C110" s="10">
        <v>507142765</v>
      </c>
      <c r="D110" s="10">
        <v>60</v>
      </c>
      <c r="E110" s="10" t="s">
        <v>10</v>
      </c>
      <c r="F110" s="10">
        <v>1398385</v>
      </c>
      <c r="G110" s="10" t="s">
        <v>183</v>
      </c>
      <c r="H110" s="11">
        <v>46775</v>
      </c>
      <c r="I110" s="10">
        <v>0</v>
      </c>
      <c r="J110" s="11">
        <f t="shared" si="3"/>
        <v>46775</v>
      </c>
      <c r="K110" s="12">
        <f>VLOOKUP(A110,[2]VA05!$A:$K,11,FALSE)</f>
        <v>45590</v>
      </c>
      <c r="L110" s="10" t="s">
        <v>12</v>
      </c>
      <c r="M110" s="10" t="s">
        <v>178</v>
      </c>
    </row>
    <row r="111" spans="1:13" x14ac:dyDescent="0.25">
      <c r="A111" s="13" t="str">
        <f t="shared" si="2"/>
        <v>50714276510</v>
      </c>
      <c r="B111" s="10">
        <v>1004052538</v>
      </c>
      <c r="C111" s="10">
        <v>507142765</v>
      </c>
      <c r="D111" s="10">
        <v>10</v>
      </c>
      <c r="E111" s="10" t="s">
        <v>10</v>
      </c>
      <c r="F111" s="10">
        <v>1398386</v>
      </c>
      <c r="G111" s="10" t="s">
        <v>184</v>
      </c>
      <c r="H111" s="11">
        <v>10383</v>
      </c>
      <c r="I111" s="10">
        <v>0</v>
      </c>
      <c r="J111" s="11">
        <f t="shared" si="3"/>
        <v>10383</v>
      </c>
      <c r="K111" s="12">
        <f>VLOOKUP(A111,[2]VA05!$A:$K,11,FALSE)</f>
        <v>45560</v>
      </c>
      <c r="L111" s="10" t="s">
        <v>12</v>
      </c>
      <c r="M111" s="10" t="s">
        <v>97</v>
      </c>
    </row>
    <row r="112" spans="1:13" x14ac:dyDescent="0.25">
      <c r="A112" s="13" t="str">
        <f t="shared" si="2"/>
        <v>50714276520</v>
      </c>
      <c r="B112" s="10">
        <v>1004052539</v>
      </c>
      <c r="C112" s="10">
        <v>507142765</v>
      </c>
      <c r="D112" s="10">
        <v>20</v>
      </c>
      <c r="E112" s="10" t="s">
        <v>10</v>
      </c>
      <c r="F112" s="10">
        <v>1398386</v>
      </c>
      <c r="G112" s="10" t="s">
        <v>184</v>
      </c>
      <c r="H112" s="11">
        <v>20765</v>
      </c>
      <c r="I112" s="10">
        <v>0</v>
      </c>
      <c r="J112" s="11">
        <f t="shared" si="3"/>
        <v>20765</v>
      </c>
      <c r="K112" s="12" t="e">
        <f>VLOOKUP(A112,[2]VA05!$A:$K,11,FALSE)</f>
        <v>#N/A</v>
      </c>
      <c r="L112" s="10" t="s">
        <v>12</v>
      </c>
      <c r="M112" s="10" t="s">
        <v>130</v>
      </c>
    </row>
    <row r="113" spans="1:13" x14ac:dyDescent="0.25">
      <c r="A113" s="13" t="str">
        <f t="shared" si="2"/>
        <v>50714276530</v>
      </c>
      <c r="B113" s="10">
        <v>1004052540</v>
      </c>
      <c r="C113" s="10">
        <v>507142765</v>
      </c>
      <c r="D113" s="10">
        <v>30</v>
      </c>
      <c r="E113" s="10" t="s">
        <v>10</v>
      </c>
      <c r="F113" s="10">
        <v>1398386</v>
      </c>
      <c r="G113" s="10" t="s">
        <v>184</v>
      </c>
      <c r="H113" s="11">
        <v>31642</v>
      </c>
      <c r="I113" s="10">
        <v>0</v>
      </c>
      <c r="J113" s="11">
        <f t="shared" si="3"/>
        <v>31642</v>
      </c>
      <c r="K113" s="12">
        <f>VLOOKUP(A113,[2]VA05!$A:$K,11,FALSE)</f>
        <v>45569</v>
      </c>
      <c r="L113" s="10" t="s">
        <v>12</v>
      </c>
      <c r="M113" s="10" t="s">
        <v>180</v>
      </c>
    </row>
    <row r="114" spans="1:13" x14ac:dyDescent="0.25">
      <c r="A114" s="13" t="str">
        <f t="shared" si="2"/>
        <v>50714276540</v>
      </c>
      <c r="B114" s="10">
        <v>1004052541</v>
      </c>
      <c r="C114" s="10">
        <v>507142765</v>
      </c>
      <c r="D114" s="10">
        <v>40</v>
      </c>
      <c r="E114" s="10" t="s">
        <v>10</v>
      </c>
      <c r="F114" s="10">
        <v>1398386</v>
      </c>
      <c r="G114" s="10" t="s">
        <v>184</v>
      </c>
      <c r="H114" s="11">
        <v>31889</v>
      </c>
      <c r="I114" s="10">
        <v>0</v>
      </c>
      <c r="J114" s="11">
        <f t="shared" si="3"/>
        <v>31889</v>
      </c>
      <c r="K114" s="12">
        <f>VLOOKUP(A114,[2]VA05!$A:$K,11,FALSE)</f>
        <v>45576</v>
      </c>
      <c r="L114" s="10" t="s">
        <v>12</v>
      </c>
      <c r="M114" s="10" t="s">
        <v>156</v>
      </c>
    </row>
    <row r="115" spans="1:13" x14ac:dyDescent="0.25">
      <c r="A115" s="13" t="str">
        <f t="shared" si="2"/>
        <v>50714276550</v>
      </c>
      <c r="B115" s="10">
        <v>1004052543</v>
      </c>
      <c r="C115" s="10">
        <v>507142765</v>
      </c>
      <c r="D115" s="10">
        <v>50</v>
      </c>
      <c r="E115" s="10" t="s">
        <v>10</v>
      </c>
      <c r="F115" s="10">
        <v>1398386</v>
      </c>
      <c r="G115" s="10" t="s">
        <v>184</v>
      </c>
      <c r="H115" s="11">
        <v>41283</v>
      </c>
      <c r="I115" s="10">
        <v>0</v>
      </c>
      <c r="J115" s="11">
        <f t="shared" si="3"/>
        <v>41283</v>
      </c>
      <c r="K115" s="12">
        <f>VLOOKUP(A115,[2]VA05!$A:$K,11,FALSE)</f>
        <v>45583</v>
      </c>
      <c r="L115" s="10" t="s">
        <v>12</v>
      </c>
      <c r="M115" s="10" t="s">
        <v>202</v>
      </c>
    </row>
    <row r="116" spans="1:13" x14ac:dyDescent="0.25">
      <c r="A116" s="13" t="str">
        <f t="shared" si="2"/>
        <v>50714276560</v>
      </c>
      <c r="B116" s="10">
        <v>1004052544</v>
      </c>
      <c r="C116" s="10">
        <v>507142765</v>
      </c>
      <c r="D116" s="10">
        <v>60</v>
      </c>
      <c r="E116" s="10" t="s">
        <v>10</v>
      </c>
      <c r="F116" s="10">
        <v>1398386</v>
      </c>
      <c r="G116" s="10" t="s">
        <v>184</v>
      </c>
      <c r="H116" s="11">
        <v>41283</v>
      </c>
      <c r="I116" s="10">
        <v>0</v>
      </c>
      <c r="J116" s="11">
        <f t="shared" si="3"/>
        <v>41283</v>
      </c>
      <c r="K116" s="12">
        <f>VLOOKUP(A116,[2]VA05!$A:$K,11,FALSE)</f>
        <v>45590</v>
      </c>
      <c r="L116" s="10" t="s">
        <v>12</v>
      </c>
      <c r="M116" s="10" t="s">
        <v>191</v>
      </c>
    </row>
    <row r="117" spans="1:13" x14ac:dyDescent="0.25">
      <c r="A117" s="13" t="str">
        <f t="shared" si="2"/>
        <v>50714276630</v>
      </c>
      <c r="B117" s="10">
        <v>1004053432</v>
      </c>
      <c r="C117" s="10">
        <v>507142766</v>
      </c>
      <c r="D117" s="10">
        <v>30</v>
      </c>
      <c r="E117" s="10" t="s">
        <v>10</v>
      </c>
      <c r="F117" s="10">
        <v>1398745</v>
      </c>
      <c r="G117" s="10" t="s">
        <v>212</v>
      </c>
      <c r="H117" s="11">
        <v>33640</v>
      </c>
      <c r="I117" s="11">
        <v>1005</v>
      </c>
      <c r="J117" s="11">
        <f t="shared" si="3"/>
        <v>32635</v>
      </c>
      <c r="K117" s="12">
        <f>VLOOKUP(A117,[2]VA05!$A:$K,11,FALSE)</f>
        <v>45597</v>
      </c>
      <c r="L117" s="10" t="s">
        <v>18</v>
      </c>
      <c r="M117" s="10" t="s">
        <v>195</v>
      </c>
    </row>
    <row r="118" spans="1:13" hidden="1" x14ac:dyDescent="0.25">
      <c r="A118" s="13" t="str">
        <f t="shared" si="2"/>
        <v>50714276610</v>
      </c>
      <c r="B118" s="10">
        <v>1004053437</v>
      </c>
      <c r="C118" s="10">
        <v>507142766</v>
      </c>
      <c r="D118" s="10">
        <v>10</v>
      </c>
      <c r="E118" s="10" t="s">
        <v>10</v>
      </c>
      <c r="F118" s="10">
        <v>1398746</v>
      </c>
      <c r="G118" s="10" t="s">
        <v>213</v>
      </c>
      <c r="H118" s="11">
        <v>11757</v>
      </c>
      <c r="I118" s="11">
        <v>11757</v>
      </c>
      <c r="J118" s="11">
        <f t="shared" si="3"/>
        <v>0</v>
      </c>
      <c r="K118" s="12">
        <f>VLOOKUP(A118,[2]VA05!$A:$K,11,FALSE)</f>
        <v>45560</v>
      </c>
      <c r="L118" s="10" t="s">
        <v>232</v>
      </c>
      <c r="M118" s="10" t="s">
        <v>180</v>
      </c>
    </row>
    <row r="119" spans="1:13" x14ac:dyDescent="0.25">
      <c r="A119" s="13" t="str">
        <f t="shared" si="2"/>
        <v>50714276620</v>
      </c>
      <c r="B119" s="10">
        <v>1004053438</v>
      </c>
      <c r="C119" s="10">
        <v>507142766</v>
      </c>
      <c r="D119" s="10">
        <v>20</v>
      </c>
      <c r="E119" s="10" t="s">
        <v>10</v>
      </c>
      <c r="F119" s="10">
        <v>1398746</v>
      </c>
      <c r="G119" s="10" t="s">
        <v>213</v>
      </c>
      <c r="H119" s="11">
        <v>23512</v>
      </c>
      <c r="I119" s="11">
        <v>6780</v>
      </c>
      <c r="J119" s="11">
        <f t="shared" si="3"/>
        <v>16732</v>
      </c>
      <c r="K119" s="12">
        <f>VLOOKUP(A119,[2]VA05!$A:$K,11,FALSE)</f>
        <v>45562</v>
      </c>
      <c r="L119" s="10" t="s">
        <v>11</v>
      </c>
      <c r="M119" s="10" t="s">
        <v>195</v>
      </c>
    </row>
    <row r="120" spans="1:13" x14ac:dyDescent="0.25">
      <c r="A120" s="13" t="str">
        <f t="shared" si="2"/>
        <v>50714276630</v>
      </c>
      <c r="B120" s="10">
        <v>1004053439</v>
      </c>
      <c r="C120" s="10">
        <v>507142766</v>
      </c>
      <c r="D120" s="10">
        <v>30</v>
      </c>
      <c r="E120" s="10" t="s">
        <v>10</v>
      </c>
      <c r="F120" s="10">
        <v>1398746</v>
      </c>
      <c r="G120" s="10" t="s">
        <v>213</v>
      </c>
      <c r="H120" s="11">
        <v>34650</v>
      </c>
      <c r="I120" s="10">
        <v>0</v>
      </c>
      <c r="J120" s="11">
        <f t="shared" si="3"/>
        <v>34650</v>
      </c>
      <c r="K120" s="12">
        <f>VLOOKUP(A120,[2]VA05!$A:$K,11,FALSE)</f>
        <v>45597</v>
      </c>
      <c r="L120" s="10" t="s">
        <v>12</v>
      </c>
      <c r="M120" s="10" t="s">
        <v>140</v>
      </c>
    </row>
    <row r="121" spans="1:13" x14ac:dyDescent="0.25">
      <c r="A121" s="13" t="str">
        <f t="shared" si="2"/>
        <v>50714276610</v>
      </c>
      <c r="B121" s="10">
        <v>1004053433</v>
      </c>
      <c r="C121" s="10">
        <v>507142766</v>
      </c>
      <c r="D121" s="10">
        <v>10</v>
      </c>
      <c r="E121" s="10" t="s">
        <v>10</v>
      </c>
      <c r="F121" s="10">
        <v>1398747</v>
      </c>
      <c r="G121" s="10" t="s">
        <v>214</v>
      </c>
      <c r="H121" s="11">
        <v>10568</v>
      </c>
      <c r="I121" s="11">
        <v>2976</v>
      </c>
      <c r="J121" s="11">
        <f t="shared" si="3"/>
        <v>7592</v>
      </c>
      <c r="K121" s="12">
        <f>VLOOKUP(A121,[2]VA05!$A:$K,11,FALSE)</f>
        <v>45560</v>
      </c>
      <c r="L121" s="10" t="s">
        <v>18</v>
      </c>
      <c r="M121" s="10" t="s">
        <v>195</v>
      </c>
    </row>
    <row r="122" spans="1:13" x14ac:dyDescent="0.25">
      <c r="A122" s="13" t="str">
        <f t="shared" si="2"/>
        <v>50714276620</v>
      </c>
      <c r="B122" s="10">
        <v>1004053434</v>
      </c>
      <c r="C122" s="10">
        <v>507142766</v>
      </c>
      <c r="D122" s="10">
        <v>20</v>
      </c>
      <c r="E122" s="10" t="s">
        <v>10</v>
      </c>
      <c r="F122" s="10">
        <v>1398747</v>
      </c>
      <c r="G122" s="10" t="s">
        <v>214</v>
      </c>
      <c r="H122" s="11">
        <v>21136</v>
      </c>
      <c r="I122" s="10">
        <v>0</v>
      </c>
      <c r="J122" s="11">
        <f t="shared" si="3"/>
        <v>21136</v>
      </c>
      <c r="K122" s="12">
        <f>VLOOKUP(A122,[2]VA05!$A:$K,11,FALSE)</f>
        <v>45562</v>
      </c>
      <c r="L122" s="10" t="s">
        <v>12</v>
      </c>
      <c r="M122" s="10" t="s">
        <v>140</v>
      </c>
    </row>
    <row r="123" spans="1:13" x14ac:dyDescent="0.25">
      <c r="A123" s="13" t="str">
        <f t="shared" si="2"/>
        <v>50714276630</v>
      </c>
      <c r="B123" s="10">
        <v>1004053435</v>
      </c>
      <c r="C123" s="10">
        <v>507142766</v>
      </c>
      <c r="D123" s="10">
        <v>30</v>
      </c>
      <c r="E123" s="10" t="s">
        <v>10</v>
      </c>
      <c r="F123" s="10">
        <v>1398747</v>
      </c>
      <c r="G123" s="10" t="s">
        <v>214</v>
      </c>
      <c r="H123" s="11">
        <v>31148</v>
      </c>
      <c r="I123" s="10">
        <v>0</v>
      </c>
      <c r="J123" s="11">
        <f t="shared" si="3"/>
        <v>31148</v>
      </c>
      <c r="K123" s="12">
        <f>VLOOKUP(A123,[2]VA05!$A:$K,11,FALSE)</f>
        <v>45597</v>
      </c>
      <c r="L123" s="10" t="s">
        <v>12</v>
      </c>
      <c r="M123" s="10" t="s">
        <v>154</v>
      </c>
    </row>
    <row r="124" spans="1:13" x14ac:dyDescent="0.25">
      <c r="A124" s="13" t="str">
        <f t="shared" si="2"/>
        <v>50714270610</v>
      </c>
      <c r="B124" s="10">
        <v>1004052545</v>
      </c>
      <c r="C124" s="10">
        <v>507142706</v>
      </c>
      <c r="D124" s="10">
        <v>10</v>
      </c>
      <c r="E124" s="10" t="s">
        <v>10</v>
      </c>
      <c r="F124" s="10">
        <v>1152845</v>
      </c>
      <c r="G124" s="10" t="s">
        <v>185</v>
      </c>
      <c r="H124" s="11">
        <v>10262</v>
      </c>
      <c r="I124" s="10">
        <v>0</v>
      </c>
      <c r="J124" s="11">
        <f t="shared" si="3"/>
        <v>10262</v>
      </c>
      <c r="K124" s="12">
        <f>VLOOKUP(A124,[2]VA05!$A:$K,11,FALSE)</f>
        <v>45567</v>
      </c>
      <c r="L124" s="10" t="s">
        <v>25</v>
      </c>
      <c r="M124" s="10" t="s">
        <v>180</v>
      </c>
    </row>
    <row r="125" spans="1:13" x14ac:dyDescent="0.25">
      <c r="A125" s="13" t="str">
        <f t="shared" si="2"/>
        <v>50714270610</v>
      </c>
      <c r="B125" s="10">
        <v>1004052546</v>
      </c>
      <c r="C125" s="10">
        <v>507142706</v>
      </c>
      <c r="D125" s="10">
        <v>10</v>
      </c>
      <c r="E125" s="10" t="s">
        <v>10</v>
      </c>
      <c r="F125" s="10">
        <v>1207631</v>
      </c>
      <c r="G125" s="10" t="s">
        <v>186</v>
      </c>
      <c r="H125" s="11">
        <v>10776</v>
      </c>
      <c r="I125" s="10">
        <v>0</v>
      </c>
      <c r="J125" s="11">
        <f t="shared" si="3"/>
        <v>10776</v>
      </c>
      <c r="K125" s="12">
        <f>VLOOKUP(A125,[2]VA05!$A:$K,11,FALSE)</f>
        <v>45567</v>
      </c>
      <c r="L125" s="10" t="s">
        <v>12</v>
      </c>
      <c r="M125" s="10" t="s">
        <v>130</v>
      </c>
    </row>
    <row r="126" spans="1:13" x14ac:dyDescent="0.25">
      <c r="A126" s="13" t="str">
        <f t="shared" si="2"/>
        <v>50714271310</v>
      </c>
      <c r="B126" s="10">
        <v>1004052555</v>
      </c>
      <c r="C126" s="10">
        <v>507142713</v>
      </c>
      <c r="D126" s="10">
        <v>10</v>
      </c>
      <c r="E126" s="10" t="s">
        <v>10</v>
      </c>
      <c r="F126" s="10">
        <v>1172472</v>
      </c>
      <c r="G126" s="10" t="s">
        <v>86</v>
      </c>
      <c r="H126" s="11">
        <v>10524</v>
      </c>
      <c r="I126" s="10">
        <v>246</v>
      </c>
      <c r="J126" s="11">
        <f t="shared" si="3"/>
        <v>10278</v>
      </c>
      <c r="K126" s="12">
        <f>VLOOKUP(A126,[2]VA05!$A:$K,11,FALSE)</f>
        <v>45591</v>
      </c>
      <c r="L126" s="10" t="s">
        <v>18</v>
      </c>
      <c r="M126" s="10" t="s">
        <v>203</v>
      </c>
    </row>
    <row r="127" spans="1:13" x14ac:dyDescent="0.25">
      <c r="A127" s="13" t="str">
        <f t="shared" si="2"/>
        <v>50714271340</v>
      </c>
      <c r="B127" s="10">
        <v>1004052556</v>
      </c>
      <c r="C127" s="10">
        <v>507142713</v>
      </c>
      <c r="D127" s="10">
        <v>40</v>
      </c>
      <c r="E127" s="10" t="s">
        <v>10</v>
      </c>
      <c r="F127" s="10">
        <v>1172472</v>
      </c>
      <c r="G127" s="10" t="s">
        <v>86</v>
      </c>
      <c r="H127" s="11">
        <v>10524</v>
      </c>
      <c r="I127" s="10">
        <v>0</v>
      </c>
      <c r="J127" s="11">
        <f t="shared" si="3"/>
        <v>10524</v>
      </c>
      <c r="K127" s="12">
        <f>VLOOKUP(A127,[2]VA05!$A:$K,11,FALSE)</f>
        <v>45591</v>
      </c>
      <c r="L127" s="10" t="s">
        <v>12</v>
      </c>
      <c r="M127" s="10" t="s">
        <v>203</v>
      </c>
    </row>
    <row r="128" spans="1:13" hidden="1" x14ac:dyDescent="0.25">
      <c r="A128" s="13" t="str">
        <f t="shared" si="2"/>
        <v>50714241670</v>
      </c>
      <c r="B128" s="10">
        <v>1004052559</v>
      </c>
      <c r="C128" s="10">
        <v>507142416</v>
      </c>
      <c r="D128" s="10">
        <v>70</v>
      </c>
      <c r="E128" s="10" t="s">
        <v>10</v>
      </c>
      <c r="F128" s="10">
        <v>1171177</v>
      </c>
      <c r="G128" s="10" t="s">
        <v>88</v>
      </c>
      <c r="H128" s="11">
        <v>10170</v>
      </c>
      <c r="I128" s="11">
        <v>10170</v>
      </c>
      <c r="J128" s="11">
        <f t="shared" si="3"/>
        <v>0</v>
      </c>
      <c r="K128" s="12">
        <f>VLOOKUP(A128,[2]VA05!$A:$K,11,FALSE)</f>
        <v>45576</v>
      </c>
      <c r="L128" s="10" t="s">
        <v>113</v>
      </c>
      <c r="M128" s="10" t="s">
        <v>162</v>
      </c>
    </row>
    <row r="129" spans="1:13" x14ac:dyDescent="0.25">
      <c r="A129" s="13" t="str">
        <f t="shared" si="2"/>
        <v>507142416100</v>
      </c>
      <c r="B129" s="10">
        <v>1004052560</v>
      </c>
      <c r="C129" s="10">
        <v>507142416</v>
      </c>
      <c r="D129" s="10">
        <v>100</v>
      </c>
      <c r="E129" s="10" t="s">
        <v>10</v>
      </c>
      <c r="F129" s="10">
        <v>1171177</v>
      </c>
      <c r="G129" s="10" t="s">
        <v>88</v>
      </c>
      <c r="H129" s="11">
        <v>10170</v>
      </c>
      <c r="I129" s="11">
        <v>1654</v>
      </c>
      <c r="J129" s="11">
        <f t="shared" si="3"/>
        <v>8516</v>
      </c>
      <c r="K129" s="12">
        <f>VLOOKUP(A129,[2]VA05!$A:$K,11,FALSE)</f>
        <v>45580</v>
      </c>
      <c r="L129" s="10" t="s">
        <v>18</v>
      </c>
      <c r="M129" s="10" t="s">
        <v>179</v>
      </c>
    </row>
    <row r="130" spans="1:13" x14ac:dyDescent="0.25">
      <c r="A130" s="13" t="str">
        <f t="shared" si="2"/>
        <v>507142416190</v>
      </c>
      <c r="B130" s="10">
        <v>1004052561</v>
      </c>
      <c r="C130" s="10">
        <v>507142416</v>
      </c>
      <c r="D130" s="10">
        <v>190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VLOOKUP(A130,[2]VA05!$A:$K,11,FALSE)</f>
        <v>45583</v>
      </c>
      <c r="L130" s="10" t="s">
        <v>12</v>
      </c>
      <c r="M130" s="10" t="s">
        <v>177</v>
      </c>
    </row>
    <row r="131" spans="1:13" x14ac:dyDescent="0.25">
      <c r="A131" s="13" t="str">
        <f t="shared" si="2"/>
        <v>507142416220</v>
      </c>
      <c r="B131" s="10">
        <v>1004052563</v>
      </c>
      <c r="C131" s="10">
        <v>507142416</v>
      </c>
      <c r="D131" s="10">
        <v>220</v>
      </c>
      <c r="E131" s="10" t="s">
        <v>10</v>
      </c>
      <c r="F131" s="10">
        <v>1171177</v>
      </c>
      <c r="G131" s="10" t="s">
        <v>88</v>
      </c>
      <c r="H131" s="11">
        <v>10170</v>
      </c>
      <c r="I131" s="10">
        <v>0</v>
      </c>
      <c r="J131" s="11">
        <f t="shared" si="3"/>
        <v>10170</v>
      </c>
      <c r="K131" s="12">
        <f>VLOOKUP(A131,[2]VA05!$A:$K,11,FALSE)</f>
        <v>45587</v>
      </c>
      <c r="L131" s="10" t="s">
        <v>12</v>
      </c>
      <c r="M131" s="10" t="s">
        <v>109</v>
      </c>
    </row>
    <row r="132" spans="1:13" x14ac:dyDescent="0.25">
      <c r="A132" s="13" t="str">
        <f t="shared" ref="A132:A195" si="4">C132&amp;D132</f>
        <v>50714271320</v>
      </c>
      <c r="B132" s="10">
        <v>1004052564</v>
      </c>
      <c r="C132" s="10">
        <v>507142713</v>
      </c>
      <c r="D132" s="10">
        <v>20</v>
      </c>
      <c r="E132" s="10" t="s">
        <v>10</v>
      </c>
      <c r="F132" s="10">
        <v>1171177</v>
      </c>
      <c r="G132" s="10" t="s">
        <v>88</v>
      </c>
      <c r="H132" s="11">
        <v>10170</v>
      </c>
      <c r="I132" s="10">
        <v>0</v>
      </c>
      <c r="J132" s="11">
        <f t="shared" ref="J132:J195" si="5">H132-I132</f>
        <v>10170</v>
      </c>
      <c r="K132" s="12">
        <f>VLOOKUP(A132,[2]VA05!$A:$K,11,FALSE)</f>
        <v>45591</v>
      </c>
      <c r="L132" s="10" t="s">
        <v>12</v>
      </c>
      <c r="M132" s="10" t="s">
        <v>204</v>
      </c>
    </row>
    <row r="133" spans="1:13" x14ac:dyDescent="0.25">
      <c r="A133" s="13" t="str">
        <f t="shared" si="4"/>
        <v>50714271350</v>
      </c>
      <c r="B133" s="10">
        <v>1004052565</v>
      </c>
      <c r="C133" s="10">
        <v>507142713</v>
      </c>
      <c r="D133" s="10">
        <v>50</v>
      </c>
      <c r="E133" s="10" t="s">
        <v>10</v>
      </c>
      <c r="F133" s="10">
        <v>1171177</v>
      </c>
      <c r="G133" s="10" t="s">
        <v>88</v>
      </c>
      <c r="H133" s="11">
        <v>10170</v>
      </c>
      <c r="I133" s="10">
        <v>0</v>
      </c>
      <c r="J133" s="11">
        <f t="shared" si="5"/>
        <v>10170</v>
      </c>
      <c r="K133" s="12">
        <f>VLOOKUP(A133,[2]VA05!$A:$K,11,FALSE)</f>
        <v>45591</v>
      </c>
      <c r="L133" s="10" t="s">
        <v>12</v>
      </c>
      <c r="M133" s="10" t="s">
        <v>204</v>
      </c>
    </row>
    <row r="134" spans="1:13" x14ac:dyDescent="0.25">
      <c r="A134" s="13" t="str">
        <f t="shared" si="4"/>
        <v>50714241640</v>
      </c>
      <c r="B134" s="10">
        <v>1004052566</v>
      </c>
      <c r="C134" s="10">
        <v>507142416</v>
      </c>
      <c r="D134" s="10">
        <v>40</v>
      </c>
      <c r="E134" s="10" t="s">
        <v>10</v>
      </c>
      <c r="F134" s="10">
        <v>1171178</v>
      </c>
      <c r="G134" s="10" t="s">
        <v>87</v>
      </c>
      <c r="H134" s="11">
        <v>10170</v>
      </c>
      <c r="I134" s="10">
        <v>0</v>
      </c>
      <c r="J134" s="11">
        <f t="shared" si="5"/>
        <v>10170</v>
      </c>
      <c r="K134" s="12">
        <f>VLOOKUP(A134,[2]VA05!$A:$K,11,FALSE)</f>
        <v>45573</v>
      </c>
      <c r="L134" s="10" t="s">
        <v>25</v>
      </c>
      <c r="M134" s="10" t="s">
        <v>194</v>
      </c>
    </row>
    <row r="135" spans="1:13" x14ac:dyDescent="0.25">
      <c r="A135" s="13" t="str">
        <f t="shared" si="4"/>
        <v>50714241670</v>
      </c>
      <c r="B135" s="10">
        <v>1004052567</v>
      </c>
      <c r="C135" s="10">
        <v>507142416</v>
      </c>
      <c r="D135" s="10">
        <v>70</v>
      </c>
      <c r="E135" s="10" t="s">
        <v>10</v>
      </c>
      <c r="F135" s="10">
        <v>1171178</v>
      </c>
      <c r="G135" s="10" t="s">
        <v>87</v>
      </c>
      <c r="H135" s="11">
        <v>10170</v>
      </c>
      <c r="I135" s="10">
        <v>0</v>
      </c>
      <c r="J135" s="11">
        <f t="shared" si="5"/>
        <v>10170</v>
      </c>
      <c r="K135" s="12">
        <f>VLOOKUP(A135,[2]VA05!$A:$K,11,FALSE)</f>
        <v>45576</v>
      </c>
      <c r="L135" s="10" t="s">
        <v>12</v>
      </c>
      <c r="M135" s="10" t="s">
        <v>162</v>
      </c>
    </row>
    <row r="136" spans="1:13" x14ac:dyDescent="0.25">
      <c r="A136" s="13" t="str">
        <f t="shared" si="4"/>
        <v>507142416100</v>
      </c>
      <c r="B136" s="10">
        <v>1004052568</v>
      </c>
      <c r="C136" s="10">
        <v>507142416</v>
      </c>
      <c r="D136" s="10">
        <v>100</v>
      </c>
      <c r="E136" s="10" t="s">
        <v>10</v>
      </c>
      <c r="F136" s="10">
        <v>1171178</v>
      </c>
      <c r="G136" s="10" t="s">
        <v>87</v>
      </c>
      <c r="H136" s="11">
        <v>10170</v>
      </c>
      <c r="I136" s="10">
        <v>0</v>
      </c>
      <c r="J136" s="11">
        <f t="shared" si="5"/>
        <v>10170</v>
      </c>
      <c r="K136" s="12">
        <f>VLOOKUP(A136,[2]VA05!$A:$K,11,FALSE)</f>
        <v>45580</v>
      </c>
      <c r="L136" s="10" t="s">
        <v>12</v>
      </c>
      <c r="M136" s="10" t="s">
        <v>179</v>
      </c>
    </row>
    <row r="137" spans="1:13" x14ac:dyDescent="0.25">
      <c r="A137" s="13" t="str">
        <f t="shared" si="4"/>
        <v>507142416190</v>
      </c>
      <c r="B137" s="10">
        <v>1004052609</v>
      </c>
      <c r="C137" s="10">
        <v>507142416</v>
      </c>
      <c r="D137" s="10">
        <v>190</v>
      </c>
      <c r="E137" s="10" t="s">
        <v>10</v>
      </c>
      <c r="F137" s="10">
        <v>1171178</v>
      </c>
      <c r="G137" s="10" t="s">
        <v>87</v>
      </c>
      <c r="H137" s="11">
        <v>10170</v>
      </c>
      <c r="I137" s="10">
        <v>0</v>
      </c>
      <c r="J137" s="11">
        <f t="shared" si="5"/>
        <v>10170</v>
      </c>
      <c r="K137" s="12">
        <f>VLOOKUP(A137,[2]VA05!$A:$K,11,FALSE)</f>
        <v>45583</v>
      </c>
      <c r="L137" s="10" t="s">
        <v>12</v>
      </c>
      <c r="M137" s="10" t="s">
        <v>177</v>
      </c>
    </row>
    <row r="138" spans="1:13" x14ac:dyDescent="0.25">
      <c r="A138" s="13" t="str">
        <f t="shared" si="4"/>
        <v>507142416220</v>
      </c>
      <c r="B138" s="10">
        <v>1004052611</v>
      </c>
      <c r="C138" s="10">
        <v>507142416</v>
      </c>
      <c r="D138" s="10">
        <v>220</v>
      </c>
      <c r="E138" s="10" t="s">
        <v>10</v>
      </c>
      <c r="F138" s="10">
        <v>1171178</v>
      </c>
      <c r="G138" s="10" t="s">
        <v>87</v>
      </c>
      <c r="H138" s="11">
        <v>10170</v>
      </c>
      <c r="I138" s="10">
        <v>0</v>
      </c>
      <c r="J138" s="11">
        <f t="shared" si="5"/>
        <v>10170</v>
      </c>
      <c r="K138" s="12">
        <f>VLOOKUP(A138,[2]VA05!$A:$K,11,FALSE)</f>
        <v>45587</v>
      </c>
      <c r="L138" s="10" t="s">
        <v>12</v>
      </c>
      <c r="M138" s="10" t="s">
        <v>109</v>
      </c>
    </row>
    <row r="139" spans="1:13" x14ac:dyDescent="0.25">
      <c r="A139" s="13" t="str">
        <f t="shared" si="4"/>
        <v>50714271320</v>
      </c>
      <c r="B139" s="10">
        <v>1004052612</v>
      </c>
      <c r="C139" s="10">
        <v>507142713</v>
      </c>
      <c r="D139" s="10">
        <v>20</v>
      </c>
      <c r="E139" s="10" t="s">
        <v>10</v>
      </c>
      <c r="F139" s="10">
        <v>1171178</v>
      </c>
      <c r="G139" s="10" t="s">
        <v>87</v>
      </c>
      <c r="H139" s="11">
        <v>10170</v>
      </c>
      <c r="I139" s="10">
        <v>0</v>
      </c>
      <c r="J139" s="11">
        <f t="shared" si="5"/>
        <v>10170</v>
      </c>
      <c r="K139" s="12">
        <f>VLOOKUP(A139,[2]VA05!$A:$K,11,FALSE)</f>
        <v>45591</v>
      </c>
      <c r="L139" s="10" t="s">
        <v>12</v>
      </c>
      <c r="M139" s="10" t="s">
        <v>204</v>
      </c>
    </row>
    <row r="140" spans="1:13" x14ac:dyDescent="0.25">
      <c r="A140" s="13" t="str">
        <f t="shared" si="4"/>
        <v>50714271350</v>
      </c>
      <c r="B140" s="10">
        <v>1004052613</v>
      </c>
      <c r="C140" s="10">
        <v>507142713</v>
      </c>
      <c r="D140" s="10">
        <v>50</v>
      </c>
      <c r="E140" s="10" t="s">
        <v>10</v>
      </c>
      <c r="F140" s="10">
        <v>1171178</v>
      </c>
      <c r="G140" s="10" t="s">
        <v>87</v>
      </c>
      <c r="H140" s="11">
        <v>10170</v>
      </c>
      <c r="I140" s="10">
        <v>0</v>
      </c>
      <c r="J140" s="11">
        <f t="shared" si="5"/>
        <v>10170</v>
      </c>
      <c r="K140" s="12">
        <f>VLOOKUP(A140,[2]VA05!$A:$K,11,FALSE)</f>
        <v>45591</v>
      </c>
      <c r="L140" s="10" t="s">
        <v>12</v>
      </c>
      <c r="M140" s="10" t="s">
        <v>204</v>
      </c>
    </row>
    <row r="141" spans="1:13" x14ac:dyDescent="0.25">
      <c r="A141" s="13" t="str">
        <f t="shared" si="4"/>
        <v>50714268030</v>
      </c>
      <c r="B141" s="10">
        <v>1004050520</v>
      </c>
      <c r="C141" s="10">
        <v>507142680</v>
      </c>
      <c r="D141" s="10">
        <v>30</v>
      </c>
      <c r="E141" s="10" t="s">
        <v>10</v>
      </c>
      <c r="F141" s="10">
        <v>1192468</v>
      </c>
      <c r="G141" s="10" t="s">
        <v>114</v>
      </c>
      <c r="H141" s="11">
        <v>25930</v>
      </c>
      <c r="I141" s="11">
        <v>22560</v>
      </c>
      <c r="J141" s="11">
        <f t="shared" si="5"/>
        <v>3370</v>
      </c>
      <c r="K141" s="12">
        <f>VLOOKUP(A141,[2]VA05!$A:$K,11,FALSE)</f>
        <v>45569</v>
      </c>
      <c r="L141" s="10" t="s">
        <v>18</v>
      </c>
      <c r="M141" s="10" t="s">
        <v>97</v>
      </c>
    </row>
    <row r="142" spans="1:13" x14ac:dyDescent="0.25">
      <c r="A142" s="13" t="str">
        <f t="shared" si="4"/>
        <v>50714262630</v>
      </c>
      <c r="B142" s="10">
        <v>1004052617</v>
      </c>
      <c r="C142" s="10">
        <v>507142626</v>
      </c>
      <c r="D142" s="10">
        <v>30</v>
      </c>
      <c r="E142" s="10" t="s">
        <v>10</v>
      </c>
      <c r="F142" s="10">
        <v>1172030</v>
      </c>
      <c r="G142" s="10" t="s">
        <v>112</v>
      </c>
      <c r="H142" s="11">
        <v>29055</v>
      </c>
      <c r="I142" s="10">
        <v>0</v>
      </c>
      <c r="J142" s="11">
        <f t="shared" si="5"/>
        <v>29055</v>
      </c>
      <c r="K142" s="12">
        <f>VLOOKUP(A142,[2]VA05!$A:$K,11,FALSE)</f>
        <v>45590</v>
      </c>
      <c r="L142" s="10" t="s">
        <v>12</v>
      </c>
      <c r="M142" s="10" t="s">
        <v>154</v>
      </c>
    </row>
    <row r="143" spans="1:13" x14ac:dyDescent="0.25">
      <c r="A143" s="13" t="str">
        <f t="shared" si="4"/>
        <v>50714267970</v>
      </c>
      <c r="B143" s="10">
        <v>1004052615</v>
      </c>
      <c r="C143" s="10">
        <v>507142679</v>
      </c>
      <c r="D143" s="10">
        <v>70</v>
      </c>
      <c r="E143" s="10" t="s">
        <v>10</v>
      </c>
      <c r="F143" s="10">
        <v>1167579</v>
      </c>
      <c r="G143" s="10" t="s">
        <v>19</v>
      </c>
      <c r="H143" s="11">
        <v>20260</v>
      </c>
      <c r="I143" s="11">
        <v>15067</v>
      </c>
      <c r="J143" s="11">
        <f t="shared" si="5"/>
        <v>5193</v>
      </c>
      <c r="K143" s="12" t="e">
        <f>VLOOKUP(A143,[2]VA05!$A:$K,11,FALSE)</f>
        <v>#N/A</v>
      </c>
      <c r="L143" s="10" t="s">
        <v>18</v>
      </c>
      <c r="M143" s="10" t="s">
        <v>61</v>
      </c>
    </row>
    <row r="144" spans="1:13" x14ac:dyDescent="0.25">
      <c r="A144" s="13" t="str">
        <f t="shared" si="4"/>
        <v>50714276910</v>
      </c>
      <c r="B144" s="10">
        <v>1004052616</v>
      </c>
      <c r="C144" s="10">
        <v>507142769</v>
      </c>
      <c r="D144" s="10">
        <v>10</v>
      </c>
      <c r="E144" s="10" t="s">
        <v>10</v>
      </c>
      <c r="F144" s="10">
        <v>1167579</v>
      </c>
      <c r="G144" s="10" t="s">
        <v>19</v>
      </c>
      <c r="H144" s="11">
        <v>30683</v>
      </c>
      <c r="I144" s="10">
        <v>0</v>
      </c>
      <c r="J144" s="11">
        <f t="shared" si="5"/>
        <v>30683</v>
      </c>
      <c r="K144" s="12">
        <f>VLOOKUP(A144,[2]VA05!$A:$K,11,FALSE)</f>
        <v>45575</v>
      </c>
      <c r="L144" s="10" t="s">
        <v>25</v>
      </c>
      <c r="M144" s="10" t="s">
        <v>155</v>
      </c>
    </row>
    <row r="145" spans="1:13" x14ac:dyDescent="0.25">
      <c r="A145" s="13" t="str">
        <f t="shared" si="4"/>
        <v>50714276920</v>
      </c>
      <c r="B145" s="10">
        <v>1004054833</v>
      </c>
      <c r="C145" s="10">
        <v>507142769</v>
      </c>
      <c r="D145" s="10">
        <v>20</v>
      </c>
      <c r="E145" s="10" t="s">
        <v>10</v>
      </c>
      <c r="F145" s="10">
        <v>1173995</v>
      </c>
      <c r="G145" s="10" t="s">
        <v>20</v>
      </c>
      <c r="H145" s="11">
        <v>34793</v>
      </c>
      <c r="I145" s="11">
        <v>4400</v>
      </c>
      <c r="J145" s="11">
        <f t="shared" si="5"/>
        <v>30393</v>
      </c>
      <c r="K145" s="12">
        <f>VLOOKUP(A145,[2]VA05!$A:$K,11,FALSE)</f>
        <v>45575</v>
      </c>
      <c r="L145" s="10" t="s">
        <v>18</v>
      </c>
      <c r="M145" s="10" t="s">
        <v>201</v>
      </c>
    </row>
    <row r="146" spans="1:13" x14ac:dyDescent="0.25">
      <c r="A146" s="13" t="str">
        <f t="shared" si="4"/>
        <v>50714262610</v>
      </c>
      <c r="B146" s="10">
        <v>1004050514</v>
      </c>
      <c r="C146" s="10">
        <v>507142626</v>
      </c>
      <c r="D146" s="10">
        <v>10</v>
      </c>
      <c r="E146" s="10" t="s">
        <v>10</v>
      </c>
      <c r="F146" s="10">
        <v>1212641</v>
      </c>
      <c r="G146" s="10" t="s">
        <v>99</v>
      </c>
      <c r="H146" s="11">
        <v>25858</v>
      </c>
      <c r="I146" s="10">
        <v>0</v>
      </c>
      <c r="J146" s="11">
        <f t="shared" si="5"/>
        <v>25858</v>
      </c>
      <c r="K146" s="12">
        <f>VLOOKUP(A146,[2]VA05!$A:$K,11,FALSE)</f>
        <v>45590</v>
      </c>
      <c r="L146" s="10" t="s">
        <v>27</v>
      </c>
      <c r="M146" s="10" t="s">
        <v>162</v>
      </c>
    </row>
    <row r="147" spans="1:13" x14ac:dyDescent="0.25">
      <c r="A147" s="13" t="str">
        <f t="shared" si="4"/>
        <v>50714226510</v>
      </c>
      <c r="B147" s="10">
        <v>1004050518</v>
      </c>
      <c r="C147" s="10">
        <v>507142265</v>
      </c>
      <c r="D147" s="10">
        <v>10</v>
      </c>
      <c r="E147" s="10" t="s">
        <v>10</v>
      </c>
      <c r="F147" s="10">
        <v>1172346</v>
      </c>
      <c r="G147" s="10" t="s">
        <v>158</v>
      </c>
      <c r="H147" s="11">
        <v>46376</v>
      </c>
      <c r="I147" s="11">
        <v>18628</v>
      </c>
      <c r="J147" s="11">
        <f t="shared" si="5"/>
        <v>27748</v>
      </c>
      <c r="K147" s="12">
        <f>VLOOKUP(A147,[2]VA05!$A:$K,11,FALSE)</f>
        <v>45576</v>
      </c>
      <c r="L147" s="10" t="s">
        <v>18</v>
      </c>
      <c r="M147" s="10" t="s">
        <v>155</v>
      </c>
    </row>
    <row r="148" spans="1:13" x14ac:dyDescent="0.25">
      <c r="A148" s="13" t="str">
        <f t="shared" si="4"/>
        <v>50714239710</v>
      </c>
      <c r="B148" s="10">
        <v>1004054834</v>
      </c>
      <c r="C148" s="10">
        <v>507142397</v>
      </c>
      <c r="D148" s="10">
        <v>10</v>
      </c>
      <c r="E148" s="10" t="s">
        <v>10</v>
      </c>
      <c r="F148" s="10">
        <v>1195537</v>
      </c>
      <c r="G148" s="10" t="s">
        <v>220</v>
      </c>
      <c r="H148" s="11">
        <v>62346</v>
      </c>
      <c r="I148" s="10">
        <v>0</v>
      </c>
      <c r="J148" s="11">
        <f t="shared" si="5"/>
        <v>62346</v>
      </c>
      <c r="K148" s="12">
        <f>VLOOKUP(A148,[2]VA05!$A:$K,11,FALSE)</f>
        <v>45579</v>
      </c>
      <c r="L148" s="10" t="s">
        <v>12</v>
      </c>
      <c r="M148" s="10" t="s">
        <v>61</v>
      </c>
    </row>
    <row r="149" spans="1:13" x14ac:dyDescent="0.25">
      <c r="A149" s="13" t="str">
        <f t="shared" si="4"/>
        <v>50714247910</v>
      </c>
      <c r="B149" s="10">
        <v>1004054835</v>
      </c>
      <c r="C149" s="10">
        <v>507142479</v>
      </c>
      <c r="D149" s="10">
        <v>10</v>
      </c>
      <c r="E149" s="10" t="s">
        <v>10</v>
      </c>
      <c r="F149" s="10">
        <v>1195537</v>
      </c>
      <c r="G149" s="10" t="s">
        <v>220</v>
      </c>
      <c r="H149" s="11">
        <v>52994</v>
      </c>
      <c r="I149" s="10">
        <v>0</v>
      </c>
      <c r="J149" s="11">
        <f t="shared" si="5"/>
        <v>52994</v>
      </c>
      <c r="K149" s="12">
        <f>VLOOKUP(A149,[2]VA05!$A:$K,11,FALSE)</f>
        <v>45587</v>
      </c>
      <c r="L149" s="10" t="s">
        <v>12</v>
      </c>
      <c r="M149" s="10" t="s">
        <v>155</v>
      </c>
    </row>
    <row r="150" spans="1:13" x14ac:dyDescent="0.25">
      <c r="A150" s="13" t="str">
        <f t="shared" si="4"/>
        <v>50714248010</v>
      </c>
      <c r="B150" s="10">
        <v>1004052386</v>
      </c>
      <c r="C150" s="10">
        <v>507142480</v>
      </c>
      <c r="D150" s="10">
        <v>10</v>
      </c>
      <c r="E150" s="10" t="s">
        <v>10</v>
      </c>
      <c r="F150" s="10">
        <v>1191883</v>
      </c>
      <c r="G150" s="10" t="s">
        <v>125</v>
      </c>
      <c r="H150" s="11">
        <v>57584</v>
      </c>
      <c r="I150" s="11">
        <v>42089</v>
      </c>
      <c r="J150" s="11">
        <f t="shared" si="5"/>
        <v>15495</v>
      </c>
      <c r="K150" s="12">
        <f>VLOOKUP(A150,[2]VA05!$A:$K,11,FALSE)</f>
        <v>45587</v>
      </c>
      <c r="L150" s="10" t="s">
        <v>18</v>
      </c>
      <c r="M150" s="10" t="s">
        <v>195</v>
      </c>
    </row>
    <row r="151" spans="1:13" x14ac:dyDescent="0.25">
      <c r="A151" s="13" t="str">
        <f t="shared" si="4"/>
        <v>50714239810</v>
      </c>
      <c r="B151" s="10">
        <v>1004042839</v>
      </c>
      <c r="C151" s="10">
        <v>507142398</v>
      </c>
      <c r="D151" s="10">
        <v>10</v>
      </c>
      <c r="E151" s="10" t="s">
        <v>10</v>
      </c>
      <c r="F151" s="10">
        <v>1191882</v>
      </c>
      <c r="G151" s="10" t="s">
        <v>137</v>
      </c>
      <c r="H151" s="11">
        <v>62639</v>
      </c>
      <c r="I151" s="10">
        <v>0</v>
      </c>
      <c r="J151" s="11">
        <f t="shared" si="5"/>
        <v>62639</v>
      </c>
      <c r="K151" s="12">
        <f>VLOOKUP(A151,[2]VA05!$A:$K,11,FALSE)</f>
        <v>45579</v>
      </c>
      <c r="L151" s="10" t="s">
        <v>12</v>
      </c>
      <c r="M151" s="10" t="s">
        <v>140</v>
      </c>
    </row>
    <row r="152" spans="1:13" x14ac:dyDescent="0.25">
      <c r="A152" s="13" t="str">
        <f t="shared" si="4"/>
        <v>50714248010</v>
      </c>
      <c r="B152" s="10">
        <v>1004042840</v>
      </c>
      <c r="C152" s="10">
        <v>507142480</v>
      </c>
      <c r="D152" s="10">
        <v>10</v>
      </c>
      <c r="E152" s="10" t="s">
        <v>10</v>
      </c>
      <c r="F152" s="10">
        <v>1191882</v>
      </c>
      <c r="G152" s="10" t="s">
        <v>137</v>
      </c>
      <c r="H152" s="11">
        <v>51677</v>
      </c>
      <c r="I152" s="10">
        <v>0</v>
      </c>
      <c r="J152" s="11">
        <f t="shared" si="5"/>
        <v>51677</v>
      </c>
      <c r="K152" s="12">
        <f>VLOOKUP(A152,[2]VA05!$A:$K,11,FALSE)</f>
        <v>45587</v>
      </c>
      <c r="L152" s="10" t="s">
        <v>12</v>
      </c>
      <c r="M152" s="10" t="s">
        <v>141</v>
      </c>
    </row>
    <row r="153" spans="1:13" hidden="1" x14ac:dyDescent="0.25">
      <c r="A153" s="13" t="str">
        <f t="shared" si="4"/>
        <v>50714239810</v>
      </c>
      <c r="B153" s="10">
        <v>1004041747</v>
      </c>
      <c r="C153" s="10">
        <v>507142398</v>
      </c>
      <c r="D153" s="10">
        <v>10</v>
      </c>
      <c r="E153" s="10" t="s">
        <v>10</v>
      </c>
      <c r="F153" s="10">
        <v>1191889</v>
      </c>
      <c r="G153" s="10" t="s">
        <v>126</v>
      </c>
      <c r="H153" s="11">
        <v>67867</v>
      </c>
      <c r="I153" s="11">
        <v>70584</v>
      </c>
      <c r="J153" s="11">
        <f t="shared" si="5"/>
        <v>-2717</v>
      </c>
      <c r="K153" s="12">
        <f>VLOOKUP(A153,[2]VA05!$A:$K,11,FALSE)</f>
        <v>45579</v>
      </c>
      <c r="L153" s="10" t="s">
        <v>34</v>
      </c>
      <c r="M153" s="10" t="s">
        <v>107</v>
      </c>
    </row>
    <row r="154" spans="1:13" x14ac:dyDescent="0.25">
      <c r="A154" s="13" t="str">
        <f t="shared" si="4"/>
        <v>50714248010</v>
      </c>
      <c r="B154" s="10">
        <v>1004056890</v>
      </c>
      <c r="C154" s="10">
        <v>507142480</v>
      </c>
      <c r="D154" s="10">
        <v>10</v>
      </c>
      <c r="E154" s="10" t="s">
        <v>10</v>
      </c>
      <c r="F154" s="10">
        <v>1191889</v>
      </c>
      <c r="G154" s="10" t="s">
        <v>126</v>
      </c>
      <c r="H154" s="11">
        <v>55990</v>
      </c>
      <c r="I154" s="10">
        <v>2717</v>
      </c>
      <c r="J154" s="11">
        <f t="shared" si="5"/>
        <v>53273</v>
      </c>
      <c r="K154" s="12">
        <f>VLOOKUP(A154,[2]VA05!$A:$K,11,FALSE)</f>
        <v>45587</v>
      </c>
      <c r="L154" s="10" t="s">
        <v>13</v>
      </c>
      <c r="M154" s="10" t="s">
        <v>201</v>
      </c>
    </row>
    <row r="155" spans="1:13" hidden="1" x14ac:dyDescent="0.25">
      <c r="A155" s="13" t="str">
        <f t="shared" si="4"/>
        <v>50714278320</v>
      </c>
      <c r="B155" s="10">
        <v>1004056039</v>
      </c>
      <c r="C155" s="10">
        <v>507142783</v>
      </c>
      <c r="D155" s="10">
        <v>20</v>
      </c>
      <c r="E155" s="10" t="s">
        <v>10</v>
      </c>
      <c r="F155" s="10">
        <v>1161035</v>
      </c>
      <c r="G155" s="10" t="s">
        <v>222</v>
      </c>
      <c r="H155" s="11">
        <v>25747</v>
      </c>
      <c r="I155" s="10">
        <v>0</v>
      </c>
      <c r="J155" s="11">
        <f t="shared" si="5"/>
        <v>25747</v>
      </c>
      <c r="K155" s="12">
        <f>VLOOKUP(A155,[2]VA05!$A:$K,11,FALSE)</f>
        <v>45582</v>
      </c>
      <c r="L155" s="10" t="s">
        <v>13</v>
      </c>
      <c r="M155" s="10" t="s">
        <v>202</v>
      </c>
    </row>
    <row r="156" spans="1:13" hidden="1" x14ac:dyDescent="0.25">
      <c r="A156" s="13" t="str">
        <f t="shared" si="4"/>
        <v>50714271610</v>
      </c>
      <c r="B156" s="10">
        <v>1004056047</v>
      </c>
      <c r="C156" s="10">
        <v>507142716</v>
      </c>
      <c r="D156" s="10">
        <v>10</v>
      </c>
      <c r="E156" s="10" t="s">
        <v>10</v>
      </c>
      <c r="F156" s="10">
        <v>1159340</v>
      </c>
      <c r="G156" s="10" t="s">
        <v>223</v>
      </c>
      <c r="H156" s="11">
        <v>18391</v>
      </c>
      <c r="I156" s="10">
        <v>0</v>
      </c>
      <c r="J156" s="11">
        <f t="shared" si="5"/>
        <v>18391</v>
      </c>
      <c r="K156" s="12">
        <f>VLOOKUP(A156,[2]VA05!$A:$K,11,FALSE)</f>
        <v>45569</v>
      </c>
      <c r="L156" s="10" t="s">
        <v>13</v>
      </c>
      <c r="M156" s="10" t="s">
        <v>180</v>
      </c>
    </row>
    <row r="157" spans="1:13" hidden="1" x14ac:dyDescent="0.25">
      <c r="A157" s="13" t="str">
        <f t="shared" si="4"/>
        <v>50714279710</v>
      </c>
      <c r="B157" s="10">
        <v>1004058006</v>
      </c>
      <c r="C157" s="10">
        <v>507142797</v>
      </c>
      <c r="D157" s="10">
        <v>10</v>
      </c>
      <c r="E157" s="10" t="s">
        <v>10</v>
      </c>
      <c r="F157" s="10">
        <v>1161417</v>
      </c>
      <c r="G157" s="10" t="s">
        <v>228</v>
      </c>
      <c r="H157" s="11">
        <v>25543</v>
      </c>
      <c r="I157" s="10">
        <v>0</v>
      </c>
      <c r="J157" s="11">
        <f t="shared" si="5"/>
        <v>25543</v>
      </c>
      <c r="K157" s="12">
        <f>VLOOKUP(A157,[2]VA05!$A:$K,11,FALSE)</f>
        <v>45588</v>
      </c>
      <c r="L157" s="10" t="s">
        <v>12</v>
      </c>
      <c r="M157" s="10" t="s">
        <v>177</v>
      </c>
    </row>
    <row r="158" spans="1:13" hidden="1" x14ac:dyDescent="0.25">
      <c r="A158" s="13" t="str">
        <f t="shared" si="4"/>
        <v>50714278110</v>
      </c>
      <c r="B158" s="10">
        <v>1004058007</v>
      </c>
      <c r="C158" s="10">
        <v>507142781</v>
      </c>
      <c r="D158" s="10">
        <v>10</v>
      </c>
      <c r="E158" s="10" t="s">
        <v>10</v>
      </c>
      <c r="F158" s="10">
        <v>1161417</v>
      </c>
      <c r="G158" s="10" t="s">
        <v>228</v>
      </c>
      <c r="H158" s="11">
        <v>5109</v>
      </c>
      <c r="I158" s="10">
        <v>0</v>
      </c>
      <c r="J158" s="11">
        <f t="shared" si="5"/>
        <v>5109</v>
      </c>
      <c r="K158" s="12">
        <f>VLOOKUP(A158,[2]VA05!$A:$K,11,FALSE)</f>
        <v>45595</v>
      </c>
      <c r="L158" s="10" t="s">
        <v>12</v>
      </c>
      <c r="M158" s="10" t="s">
        <v>196</v>
      </c>
    </row>
    <row r="159" spans="1:13" hidden="1" x14ac:dyDescent="0.25">
      <c r="A159" s="13" t="str">
        <f t="shared" si="4"/>
        <v>50714271120</v>
      </c>
      <c r="B159" s="10">
        <v>1004058008</v>
      </c>
      <c r="C159" s="10">
        <v>507142711</v>
      </c>
      <c r="D159" s="10">
        <v>20</v>
      </c>
      <c r="E159" s="10" t="s">
        <v>10</v>
      </c>
      <c r="F159" s="10">
        <v>1161417</v>
      </c>
      <c r="G159" s="10" t="s">
        <v>228</v>
      </c>
      <c r="H159" s="11">
        <v>6845</v>
      </c>
      <c r="I159" s="10">
        <v>0</v>
      </c>
      <c r="J159" s="11">
        <f t="shared" si="5"/>
        <v>6845</v>
      </c>
      <c r="K159" s="12">
        <f>VLOOKUP(A159,[2]VA05!$A:$K,11,FALSE)</f>
        <v>45565</v>
      </c>
      <c r="L159" s="10" t="s">
        <v>12</v>
      </c>
      <c r="M159" s="10" t="s">
        <v>155</v>
      </c>
    </row>
    <row r="160" spans="1:13" x14ac:dyDescent="0.25">
      <c r="A160" s="13" t="str">
        <f t="shared" si="4"/>
        <v>50714259410</v>
      </c>
      <c r="B160" s="10">
        <v>1004042029</v>
      </c>
      <c r="C160" s="10">
        <v>507142594</v>
      </c>
      <c r="D160" s="10">
        <v>10</v>
      </c>
      <c r="E160" s="10" t="s">
        <v>10</v>
      </c>
      <c r="F160" s="10">
        <v>1307502</v>
      </c>
      <c r="G160" s="10" t="s">
        <v>127</v>
      </c>
      <c r="H160" s="11">
        <v>5220</v>
      </c>
      <c r="I160" s="10">
        <v>0</v>
      </c>
      <c r="J160" s="11">
        <f t="shared" si="5"/>
        <v>5220</v>
      </c>
      <c r="K160" s="12">
        <f>VLOOKUP(A160,[2]VA05!$A:$K,11,FALSE)</f>
        <v>45552</v>
      </c>
      <c r="L160" s="10" t="s">
        <v>13</v>
      </c>
      <c r="M160" s="10" t="s">
        <v>95</v>
      </c>
    </row>
    <row r="161" spans="1:13" x14ac:dyDescent="0.25">
      <c r="A161" s="13" t="str">
        <f t="shared" si="4"/>
        <v>50714259420</v>
      </c>
      <c r="B161" s="10">
        <v>1004042030</v>
      </c>
      <c r="C161" s="10">
        <v>507142594</v>
      </c>
      <c r="D161" s="10">
        <v>20</v>
      </c>
      <c r="E161" s="10" t="s">
        <v>10</v>
      </c>
      <c r="F161" s="10">
        <v>1307502</v>
      </c>
      <c r="G161" s="10" t="s">
        <v>127</v>
      </c>
      <c r="H161" s="11">
        <v>5220</v>
      </c>
      <c r="I161" s="10">
        <v>0</v>
      </c>
      <c r="J161" s="11">
        <f t="shared" si="5"/>
        <v>5220</v>
      </c>
      <c r="K161" s="12">
        <f>VLOOKUP(A161,[2]VA05!$A:$K,11,FALSE)</f>
        <v>45552</v>
      </c>
      <c r="L161" s="10" t="s">
        <v>13</v>
      </c>
      <c r="M161" s="10" t="s">
        <v>95</v>
      </c>
    </row>
    <row r="162" spans="1:13" x14ac:dyDescent="0.25">
      <c r="A162" s="13" t="str">
        <f t="shared" si="4"/>
        <v>50714259410</v>
      </c>
      <c r="B162" s="10">
        <v>1004050305</v>
      </c>
      <c r="C162" s="10">
        <v>507142594</v>
      </c>
      <c r="D162" s="10">
        <v>10</v>
      </c>
      <c r="E162" s="10" t="s">
        <v>10</v>
      </c>
      <c r="F162" s="10">
        <v>1307503</v>
      </c>
      <c r="G162" s="10" t="s">
        <v>159</v>
      </c>
      <c r="H162" s="11">
        <v>5109</v>
      </c>
      <c r="I162" s="10">
        <v>0</v>
      </c>
      <c r="J162" s="11">
        <f t="shared" si="5"/>
        <v>5109</v>
      </c>
      <c r="K162" s="12">
        <f>VLOOKUP(A162,[2]VA05!$A:$K,11,FALSE)</f>
        <v>45552</v>
      </c>
      <c r="L162" s="10" t="s">
        <v>119</v>
      </c>
      <c r="M162" s="10" t="s">
        <v>95</v>
      </c>
    </row>
    <row r="163" spans="1:13" x14ac:dyDescent="0.25">
      <c r="A163" s="13" t="str">
        <f t="shared" si="4"/>
        <v>50714259420</v>
      </c>
      <c r="B163" s="10">
        <v>1004050306</v>
      </c>
      <c r="C163" s="10">
        <v>507142594</v>
      </c>
      <c r="D163" s="10">
        <v>20</v>
      </c>
      <c r="E163" s="10" t="s">
        <v>10</v>
      </c>
      <c r="F163" s="10">
        <v>1307503</v>
      </c>
      <c r="G163" s="10" t="s">
        <v>159</v>
      </c>
      <c r="H163" s="11">
        <v>5109</v>
      </c>
      <c r="I163" s="10">
        <v>0</v>
      </c>
      <c r="J163" s="11">
        <f t="shared" si="5"/>
        <v>5109</v>
      </c>
      <c r="K163" s="12">
        <f>VLOOKUP(A163,[2]VA05!$A:$K,11,FALSE)</f>
        <v>45552</v>
      </c>
      <c r="L163" s="10" t="s">
        <v>12</v>
      </c>
      <c r="M163" s="10" t="s">
        <v>95</v>
      </c>
    </row>
    <row r="164" spans="1:13" x14ac:dyDescent="0.25">
      <c r="A164" s="13" t="str">
        <f t="shared" si="4"/>
        <v>50714259410</v>
      </c>
      <c r="B164" s="10">
        <v>1004050308</v>
      </c>
      <c r="C164" s="10">
        <v>507142594</v>
      </c>
      <c r="D164" s="10">
        <v>10</v>
      </c>
      <c r="E164" s="10" t="s">
        <v>10</v>
      </c>
      <c r="F164" s="10">
        <v>1307501</v>
      </c>
      <c r="G164" s="10" t="s">
        <v>160</v>
      </c>
      <c r="H164" s="11">
        <v>5220</v>
      </c>
      <c r="I164" s="10">
        <v>0</v>
      </c>
      <c r="J164" s="11">
        <f t="shared" si="5"/>
        <v>5220</v>
      </c>
      <c r="K164" s="12">
        <f>VLOOKUP(A164,[2]VA05!$A:$K,11,FALSE)</f>
        <v>45552</v>
      </c>
      <c r="L164" s="10" t="s">
        <v>12</v>
      </c>
      <c r="M164" s="10" t="s">
        <v>95</v>
      </c>
    </row>
    <row r="165" spans="1:13" x14ac:dyDescent="0.25">
      <c r="A165" s="13" t="str">
        <f t="shared" si="4"/>
        <v>50714259420</v>
      </c>
      <c r="B165" s="10">
        <v>1004050509</v>
      </c>
      <c r="C165" s="10">
        <v>507142594</v>
      </c>
      <c r="D165" s="10">
        <v>20</v>
      </c>
      <c r="E165" s="10" t="s">
        <v>10</v>
      </c>
      <c r="F165" s="10">
        <v>1307501</v>
      </c>
      <c r="G165" s="10" t="s">
        <v>160</v>
      </c>
      <c r="H165" s="11">
        <v>5220</v>
      </c>
      <c r="I165" s="10">
        <v>0</v>
      </c>
      <c r="J165" s="11">
        <f t="shared" si="5"/>
        <v>5220</v>
      </c>
      <c r="K165" s="12">
        <f>VLOOKUP(A165,[2]VA05!$A:$K,11,FALSE)</f>
        <v>45552</v>
      </c>
      <c r="L165" s="10" t="s">
        <v>12</v>
      </c>
      <c r="M165" s="10" t="s">
        <v>95</v>
      </c>
    </row>
    <row r="166" spans="1:13" x14ac:dyDescent="0.25">
      <c r="A166" s="13" t="str">
        <f t="shared" si="4"/>
        <v>50714255810</v>
      </c>
      <c r="B166" s="10">
        <v>1004042232</v>
      </c>
      <c r="C166" s="10">
        <v>507142558</v>
      </c>
      <c r="D166" s="10">
        <v>10</v>
      </c>
      <c r="E166" s="10" t="s">
        <v>10</v>
      </c>
      <c r="F166" s="10">
        <v>1209582</v>
      </c>
      <c r="G166" s="10" t="s">
        <v>128</v>
      </c>
      <c r="H166" s="11">
        <v>61302</v>
      </c>
      <c r="I166" s="10">
        <v>0</v>
      </c>
      <c r="J166" s="11">
        <f t="shared" si="5"/>
        <v>61302</v>
      </c>
      <c r="K166" s="12">
        <f>VLOOKUP(A166,[2]VA05!$A:$K,11,FALSE)</f>
        <v>45562</v>
      </c>
      <c r="L166" s="10" t="s">
        <v>25</v>
      </c>
      <c r="M166" s="10" t="s">
        <v>201</v>
      </c>
    </row>
    <row r="167" spans="1:13" x14ac:dyDescent="0.25">
      <c r="A167" s="13" t="str">
        <f t="shared" si="4"/>
        <v>50714255810</v>
      </c>
      <c r="B167" s="10">
        <v>1004035205</v>
      </c>
      <c r="C167" s="10">
        <v>507142558</v>
      </c>
      <c r="D167" s="10">
        <v>10</v>
      </c>
      <c r="E167" s="10" t="s">
        <v>10</v>
      </c>
      <c r="F167" s="10">
        <v>1209580</v>
      </c>
      <c r="G167" s="10" t="s">
        <v>100</v>
      </c>
      <c r="H167" s="11">
        <v>61302</v>
      </c>
      <c r="I167" s="10">
        <v>0</v>
      </c>
      <c r="J167" s="11">
        <f t="shared" si="5"/>
        <v>61302</v>
      </c>
      <c r="K167" s="12">
        <f>VLOOKUP(A167,[2]VA05!$A:$K,11,FALSE)</f>
        <v>45562</v>
      </c>
      <c r="L167" s="10" t="s">
        <v>25</v>
      </c>
      <c r="M167" s="10" t="s">
        <v>201</v>
      </c>
    </row>
    <row r="168" spans="1:13" x14ac:dyDescent="0.25">
      <c r="A168" s="13" t="str">
        <f t="shared" si="4"/>
        <v>50714255810</v>
      </c>
      <c r="B168" s="10">
        <v>1004042231</v>
      </c>
      <c r="C168" s="10">
        <v>507142558</v>
      </c>
      <c r="D168" s="10">
        <v>10</v>
      </c>
      <c r="E168" s="10" t="s">
        <v>10</v>
      </c>
      <c r="F168" s="10">
        <v>1209581</v>
      </c>
      <c r="G168" s="10" t="s">
        <v>129</v>
      </c>
      <c r="H168" s="11">
        <v>61302</v>
      </c>
      <c r="I168" s="11">
        <v>14800</v>
      </c>
      <c r="J168" s="11">
        <f t="shared" si="5"/>
        <v>46502</v>
      </c>
      <c r="K168" s="12">
        <f>VLOOKUP(A168,[2]VA05!$A:$K,11,FALSE)</f>
        <v>45562</v>
      </c>
      <c r="L168" s="10" t="s">
        <v>18</v>
      </c>
      <c r="M168" s="10" t="s">
        <v>195</v>
      </c>
    </row>
    <row r="169" spans="1:13" x14ac:dyDescent="0.25">
      <c r="A169" s="13" t="str">
        <f t="shared" si="4"/>
        <v>50714244520</v>
      </c>
      <c r="B169" s="10">
        <v>1004053208</v>
      </c>
      <c r="C169" s="10">
        <v>507142445</v>
      </c>
      <c r="D169" s="10">
        <v>20</v>
      </c>
      <c r="E169" s="10" t="s">
        <v>10</v>
      </c>
      <c r="F169" s="10">
        <v>1210955</v>
      </c>
      <c r="G169" s="10" t="s">
        <v>215</v>
      </c>
      <c r="H169" s="11">
        <v>53210</v>
      </c>
      <c r="I169" s="10">
        <v>0</v>
      </c>
      <c r="J169" s="11">
        <f t="shared" si="5"/>
        <v>53210</v>
      </c>
      <c r="K169" s="12">
        <f>VLOOKUP(A169,[2]VA05!$A:$K,11,FALSE)</f>
        <v>45595</v>
      </c>
      <c r="L169" s="10" t="s">
        <v>27</v>
      </c>
      <c r="M169" s="10" t="s">
        <v>216</v>
      </c>
    </row>
    <row r="170" spans="1:13" x14ac:dyDescent="0.25">
      <c r="A170" s="13" t="str">
        <f t="shared" si="4"/>
        <v>50714244520</v>
      </c>
      <c r="B170" s="10">
        <v>1004052416</v>
      </c>
      <c r="C170" s="10">
        <v>507142445</v>
      </c>
      <c r="D170" s="10">
        <v>20</v>
      </c>
      <c r="E170" s="10" t="s">
        <v>10</v>
      </c>
      <c r="F170" s="10">
        <v>1259266</v>
      </c>
      <c r="G170" s="10" t="s">
        <v>64</v>
      </c>
      <c r="H170" s="11">
        <v>51912</v>
      </c>
      <c r="I170" s="10">
        <v>0</v>
      </c>
      <c r="J170" s="11">
        <f t="shared" si="5"/>
        <v>51912</v>
      </c>
      <c r="K170" s="12">
        <f>VLOOKUP(A170,[2]VA05!$A:$K,11,FALSE)</f>
        <v>45595</v>
      </c>
      <c r="L170" s="10" t="s">
        <v>27</v>
      </c>
      <c r="M170" s="10" t="s">
        <v>199</v>
      </c>
    </row>
    <row r="171" spans="1:13" x14ac:dyDescent="0.25">
      <c r="A171" s="13" t="str">
        <f t="shared" si="4"/>
        <v>50714244520</v>
      </c>
      <c r="B171" s="10">
        <v>1004052417</v>
      </c>
      <c r="C171" s="10">
        <v>507142445</v>
      </c>
      <c r="D171" s="10">
        <v>20</v>
      </c>
      <c r="E171" s="10" t="s">
        <v>10</v>
      </c>
      <c r="F171" s="10">
        <v>1259265</v>
      </c>
      <c r="G171" s="10" t="s">
        <v>187</v>
      </c>
      <c r="H171" s="11">
        <v>53210</v>
      </c>
      <c r="I171" s="10">
        <v>0</v>
      </c>
      <c r="J171" s="11">
        <f t="shared" si="5"/>
        <v>53210</v>
      </c>
      <c r="K171" s="12">
        <f>VLOOKUP(A171,[2]VA05!$A:$K,11,FALSE)</f>
        <v>45595</v>
      </c>
      <c r="L171" s="10" t="s">
        <v>12</v>
      </c>
      <c r="M171" s="10" t="s">
        <v>202</v>
      </c>
    </row>
    <row r="172" spans="1:13" x14ac:dyDescent="0.25">
      <c r="A172" s="13" t="str">
        <f t="shared" si="4"/>
        <v>50714264910</v>
      </c>
      <c r="B172" s="10">
        <v>1004034992</v>
      </c>
      <c r="C172" s="10">
        <v>507142649</v>
      </c>
      <c r="D172" s="10">
        <v>10</v>
      </c>
      <c r="E172" s="10" t="s">
        <v>10</v>
      </c>
      <c r="F172" s="10">
        <v>1168128</v>
      </c>
      <c r="G172" s="10" t="s">
        <v>77</v>
      </c>
      <c r="H172" s="11">
        <v>51094</v>
      </c>
      <c r="I172" s="11">
        <v>41287</v>
      </c>
      <c r="J172" s="11">
        <f t="shared" si="5"/>
        <v>9807</v>
      </c>
      <c r="K172" s="12" t="e">
        <f>VLOOKUP(A172,[2]VA05!$A:$K,11,FALSE)</f>
        <v>#N/A</v>
      </c>
      <c r="L172" s="10" t="s">
        <v>18</v>
      </c>
      <c r="M172" s="10" t="s">
        <v>180</v>
      </c>
    </row>
    <row r="173" spans="1:13" x14ac:dyDescent="0.25">
      <c r="A173" s="13" t="str">
        <f t="shared" si="4"/>
        <v>50714264710</v>
      </c>
      <c r="B173" s="10">
        <v>1004045115</v>
      </c>
      <c r="C173" s="10">
        <v>507142647</v>
      </c>
      <c r="D173" s="10">
        <v>10</v>
      </c>
      <c r="E173" s="10" t="s">
        <v>10</v>
      </c>
      <c r="F173" s="10">
        <v>1168128</v>
      </c>
      <c r="G173" s="10" t="s">
        <v>77</v>
      </c>
      <c r="H173" s="11">
        <v>54355</v>
      </c>
      <c r="I173" s="10">
        <v>0</v>
      </c>
      <c r="J173" s="11">
        <f t="shared" si="5"/>
        <v>54355</v>
      </c>
      <c r="K173" s="12">
        <f>VLOOKUP(A173,[2]VA05!$A:$K,11,FALSE)</f>
        <v>45565</v>
      </c>
      <c r="L173" s="10" t="s">
        <v>12</v>
      </c>
      <c r="M173" s="10" t="s">
        <v>85</v>
      </c>
    </row>
    <row r="174" spans="1:13" x14ac:dyDescent="0.25">
      <c r="A174" s="13" t="str">
        <f t="shared" si="4"/>
        <v>50714278810</v>
      </c>
      <c r="B174" s="10">
        <v>1004053488</v>
      </c>
      <c r="C174" s="10">
        <v>507142788</v>
      </c>
      <c r="D174" s="10">
        <v>10</v>
      </c>
      <c r="E174" s="10" t="s">
        <v>10</v>
      </c>
      <c r="F174" s="10">
        <v>1168128</v>
      </c>
      <c r="G174" s="10" t="s">
        <v>77</v>
      </c>
      <c r="H174" s="11">
        <v>56529</v>
      </c>
      <c r="I174" s="10">
        <v>0</v>
      </c>
      <c r="J174" s="11">
        <f t="shared" si="5"/>
        <v>56529</v>
      </c>
      <c r="K174" s="12">
        <f>VLOOKUP(A174,[2]VA05!$A:$K,11,FALSE)</f>
        <v>45582</v>
      </c>
      <c r="L174" s="10" t="s">
        <v>12</v>
      </c>
      <c r="M174" s="10" t="s">
        <v>162</v>
      </c>
    </row>
    <row r="175" spans="1:13" x14ac:dyDescent="0.25">
      <c r="A175" s="13" t="str">
        <f t="shared" si="4"/>
        <v>50714264710</v>
      </c>
      <c r="B175" s="10">
        <v>1004038443</v>
      </c>
      <c r="C175" s="10">
        <v>507142647</v>
      </c>
      <c r="D175" s="10">
        <v>10</v>
      </c>
      <c r="E175" s="10" t="s">
        <v>10</v>
      </c>
      <c r="F175" s="10">
        <v>1168125</v>
      </c>
      <c r="G175" s="10" t="s">
        <v>32</v>
      </c>
      <c r="H175" s="11">
        <v>54355</v>
      </c>
      <c r="I175" s="11">
        <v>40672</v>
      </c>
      <c r="J175" s="11">
        <f t="shared" si="5"/>
        <v>13683</v>
      </c>
      <c r="K175" s="12">
        <f>VLOOKUP(A175,[2]VA05!$A:$K,11,FALSE)</f>
        <v>45565</v>
      </c>
      <c r="L175" s="10" t="s">
        <v>18</v>
      </c>
      <c r="M175" s="10" t="s">
        <v>180</v>
      </c>
    </row>
    <row r="176" spans="1:13" x14ac:dyDescent="0.25">
      <c r="A176" s="13" t="str">
        <f t="shared" si="4"/>
        <v>50714264910</v>
      </c>
      <c r="B176" s="10">
        <v>1004038445</v>
      </c>
      <c r="C176" s="10">
        <v>507142649</v>
      </c>
      <c r="D176" s="10">
        <v>10</v>
      </c>
      <c r="E176" s="10" t="s">
        <v>10</v>
      </c>
      <c r="F176" s="10">
        <v>1168125</v>
      </c>
      <c r="G176" s="10" t="s">
        <v>32</v>
      </c>
      <c r="H176" s="11">
        <v>51094</v>
      </c>
      <c r="I176" s="10">
        <v>0</v>
      </c>
      <c r="J176" s="11">
        <f t="shared" si="5"/>
        <v>51094</v>
      </c>
      <c r="K176" s="12" t="e">
        <f>VLOOKUP(A176,[2]VA05!$A:$K,11,FALSE)</f>
        <v>#N/A</v>
      </c>
      <c r="L176" s="10" t="s">
        <v>12</v>
      </c>
      <c r="M176" s="10" t="s">
        <v>84</v>
      </c>
    </row>
    <row r="177" spans="1:13" x14ac:dyDescent="0.25">
      <c r="A177" s="13" t="str">
        <f t="shared" si="4"/>
        <v>50714268810</v>
      </c>
      <c r="B177" s="10">
        <v>1004051400</v>
      </c>
      <c r="C177" s="10">
        <v>507142688</v>
      </c>
      <c r="D177" s="10">
        <v>10</v>
      </c>
      <c r="E177" s="10" t="s">
        <v>10</v>
      </c>
      <c r="F177" s="10">
        <v>1430111</v>
      </c>
      <c r="G177" s="10" t="s">
        <v>101</v>
      </c>
      <c r="H177" s="11">
        <v>122842</v>
      </c>
      <c r="I177" s="10">
        <v>0</v>
      </c>
      <c r="J177" s="11">
        <f t="shared" si="5"/>
        <v>122842</v>
      </c>
      <c r="K177" s="12">
        <f>VLOOKUP(A177,[2]VA05!$A:$K,11,FALSE)</f>
        <v>45567</v>
      </c>
      <c r="L177" s="10" t="s">
        <v>25</v>
      </c>
      <c r="M177" s="10" t="s">
        <v>107</v>
      </c>
    </row>
    <row r="178" spans="1:13" x14ac:dyDescent="0.25">
      <c r="A178" s="13" t="str">
        <f t="shared" si="4"/>
        <v>50714239390</v>
      </c>
      <c r="B178" s="10">
        <v>1004032826</v>
      </c>
      <c r="C178" s="10">
        <v>507142393</v>
      </c>
      <c r="D178" s="10">
        <v>90</v>
      </c>
      <c r="E178" s="10" t="s">
        <v>10</v>
      </c>
      <c r="F178" s="10">
        <v>1416752</v>
      </c>
      <c r="G178" s="10" t="s">
        <v>52</v>
      </c>
      <c r="H178" s="11">
        <v>47012</v>
      </c>
      <c r="I178" s="11">
        <v>38740</v>
      </c>
      <c r="J178" s="11">
        <f t="shared" si="5"/>
        <v>8272</v>
      </c>
      <c r="K178" s="12" t="e">
        <f>VLOOKUP(A178,[2]VA05!$A:$K,11,FALSE)</f>
        <v>#N/A</v>
      </c>
      <c r="L178" s="10" t="s">
        <v>11</v>
      </c>
      <c r="M178" s="10" t="s">
        <v>73</v>
      </c>
    </row>
    <row r="179" spans="1:13" x14ac:dyDescent="0.25">
      <c r="A179" s="13" t="str">
        <f t="shared" si="4"/>
        <v>507142416150</v>
      </c>
      <c r="B179" s="10">
        <v>1004052419</v>
      </c>
      <c r="C179" s="10">
        <v>507142416</v>
      </c>
      <c r="D179" s="10">
        <v>150</v>
      </c>
      <c r="E179" s="10" t="s">
        <v>10</v>
      </c>
      <c r="F179" s="10">
        <v>1269350</v>
      </c>
      <c r="G179" s="10" t="s">
        <v>188</v>
      </c>
      <c r="H179" s="11">
        <v>10439</v>
      </c>
      <c r="I179" s="10">
        <v>0</v>
      </c>
      <c r="J179" s="11">
        <f t="shared" si="5"/>
        <v>10439</v>
      </c>
      <c r="K179" s="12">
        <f>VLOOKUP(A179,[2]VA05!$A:$K,11,FALSE)</f>
        <v>45576</v>
      </c>
      <c r="L179" s="10" t="s">
        <v>12</v>
      </c>
      <c r="M179" s="10" t="s">
        <v>156</v>
      </c>
    </row>
    <row r="180" spans="1:13" hidden="1" x14ac:dyDescent="0.25">
      <c r="A180" s="13" t="str">
        <f t="shared" si="4"/>
        <v>507142416170</v>
      </c>
      <c r="B180" s="10">
        <v>1004051401</v>
      </c>
      <c r="C180" s="10">
        <v>507142416</v>
      </c>
      <c r="D180" s="10">
        <v>170</v>
      </c>
      <c r="E180" s="10" t="s">
        <v>10</v>
      </c>
      <c r="F180" s="10">
        <v>1267335</v>
      </c>
      <c r="G180" s="10" t="s">
        <v>138</v>
      </c>
      <c r="H180" s="11">
        <v>10439</v>
      </c>
      <c r="I180" s="11">
        <v>10439</v>
      </c>
      <c r="J180" s="11">
        <f t="shared" si="5"/>
        <v>0</v>
      </c>
      <c r="K180" s="12">
        <f>VLOOKUP(A180,[2]VA05!$A:$K,11,FALSE)</f>
        <v>45580</v>
      </c>
      <c r="L180" s="10" t="s">
        <v>113</v>
      </c>
      <c r="M180" s="10" t="s">
        <v>162</v>
      </c>
    </row>
    <row r="181" spans="1:13" x14ac:dyDescent="0.25">
      <c r="A181" s="13" t="str">
        <f t="shared" si="4"/>
        <v>50714268820</v>
      </c>
      <c r="B181" s="10">
        <v>1004052420</v>
      </c>
      <c r="C181" s="10">
        <v>507142688</v>
      </c>
      <c r="D181" s="10">
        <v>20</v>
      </c>
      <c r="E181" s="10" t="s">
        <v>10</v>
      </c>
      <c r="F181" s="10">
        <v>1430096</v>
      </c>
      <c r="G181" s="10" t="s">
        <v>93</v>
      </c>
      <c r="H181" s="11">
        <v>134120</v>
      </c>
      <c r="I181" s="10">
        <v>0</v>
      </c>
      <c r="J181" s="11">
        <f t="shared" si="5"/>
        <v>134120</v>
      </c>
      <c r="K181" s="12">
        <f>VLOOKUP(A181,[2]VA05!$A:$K,11,FALSE)</f>
        <v>45567</v>
      </c>
      <c r="L181" s="10" t="s">
        <v>12</v>
      </c>
      <c r="M181" s="10" t="s">
        <v>143</v>
      </c>
    </row>
    <row r="182" spans="1:13" x14ac:dyDescent="0.25">
      <c r="A182" s="13" t="str">
        <f t="shared" si="4"/>
        <v>50714264820</v>
      </c>
      <c r="B182" s="10">
        <v>1004034229</v>
      </c>
      <c r="C182" s="10">
        <v>507142648</v>
      </c>
      <c r="D182" s="10">
        <v>20</v>
      </c>
      <c r="E182" s="10" t="s">
        <v>10</v>
      </c>
      <c r="F182" s="10">
        <v>1421506</v>
      </c>
      <c r="G182" s="10" t="s">
        <v>75</v>
      </c>
      <c r="H182" s="11">
        <v>106418</v>
      </c>
      <c r="I182" s="11">
        <v>87176</v>
      </c>
      <c r="J182" s="11">
        <f t="shared" si="5"/>
        <v>19242</v>
      </c>
      <c r="K182" s="12" t="e">
        <f>VLOOKUP(A182,[2]VA05!$A:$K,11,FALSE)</f>
        <v>#N/A</v>
      </c>
      <c r="L182" s="10" t="s">
        <v>18</v>
      </c>
      <c r="M182" s="10" t="s">
        <v>96</v>
      </c>
    </row>
    <row r="183" spans="1:13" x14ac:dyDescent="0.25">
      <c r="A183" s="13" t="str">
        <f t="shared" si="4"/>
        <v>50714268920</v>
      </c>
      <c r="B183" s="10">
        <v>1004041355</v>
      </c>
      <c r="C183" s="10">
        <v>507142689</v>
      </c>
      <c r="D183" s="10">
        <v>20</v>
      </c>
      <c r="E183" s="10" t="s">
        <v>10</v>
      </c>
      <c r="F183" s="10">
        <v>1187156</v>
      </c>
      <c r="G183" s="10" t="s">
        <v>80</v>
      </c>
      <c r="H183" s="11">
        <v>85860</v>
      </c>
      <c r="I183" s="11">
        <v>28066</v>
      </c>
      <c r="J183" s="11">
        <f t="shared" si="5"/>
        <v>57794</v>
      </c>
      <c r="K183" s="12">
        <f>VLOOKUP(A183,[2]VA05!$A:$K,11,FALSE)</f>
        <v>45558</v>
      </c>
      <c r="L183" s="10" t="s">
        <v>18</v>
      </c>
      <c r="M183" s="10" t="s">
        <v>131</v>
      </c>
    </row>
    <row r="184" spans="1:13" x14ac:dyDescent="0.25">
      <c r="A184" s="13" t="str">
        <f t="shared" si="4"/>
        <v>507142416140</v>
      </c>
      <c r="B184" s="10">
        <v>1004051396</v>
      </c>
      <c r="C184" s="10">
        <v>507142416</v>
      </c>
      <c r="D184" s="10">
        <v>140</v>
      </c>
      <c r="E184" s="10" t="s">
        <v>10</v>
      </c>
      <c r="F184" s="10">
        <v>1269354</v>
      </c>
      <c r="G184" s="10" t="s">
        <v>169</v>
      </c>
      <c r="H184" s="11">
        <v>10217</v>
      </c>
      <c r="I184" s="10">
        <v>0</v>
      </c>
      <c r="J184" s="11">
        <f t="shared" si="5"/>
        <v>10217</v>
      </c>
      <c r="K184" s="12">
        <f>VLOOKUP(A184,[2]VA05!$A:$K,11,FALSE)</f>
        <v>45576</v>
      </c>
      <c r="L184" s="10" t="s">
        <v>25</v>
      </c>
      <c r="M184" s="10" t="s">
        <v>162</v>
      </c>
    </row>
    <row r="185" spans="1:13" x14ac:dyDescent="0.25">
      <c r="A185" s="13" t="str">
        <f t="shared" si="4"/>
        <v>50714271370</v>
      </c>
      <c r="B185" s="10">
        <v>1004042923</v>
      </c>
      <c r="C185" s="10">
        <v>507142713</v>
      </c>
      <c r="D185" s="10">
        <v>70</v>
      </c>
      <c r="E185" s="10" t="s">
        <v>10</v>
      </c>
      <c r="F185" s="10">
        <v>1256197</v>
      </c>
      <c r="G185" s="10" t="s">
        <v>139</v>
      </c>
      <c r="H185" s="11">
        <v>10217</v>
      </c>
      <c r="I185" s="10">
        <v>0</v>
      </c>
      <c r="J185" s="11">
        <f t="shared" si="5"/>
        <v>10217</v>
      </c>
      <c r="K185" s="12">
        <f>VLOOKUP(A185,[2]VA05!$A:$K,11,FALSE)</f>
        <v>45591</v>
      </c>
      <c r="L185" s="10" t="s">
        <v>13</v>
      </c>
      <c r="M185" s="10" t="s">
        <v>142</v>
      </c>
    </row>
    <row r="186" spans="1:13" x14ac:dyDescent="0.25">
      <c r="A186" s="13" t="str">
        <f t="shared" si="4"/>
        <v>50714264910</v>
      </c>
      <c r="B186" s="10">
        <v>1004037614</v>
      </c>
      <c r="C186" s="10">
        <v>507142649</v>
      </c>
      <c r="D186" s="10">
        <v>10</v>
      </c>
      <c r="E186" s="10" t="s">
        <v>10</v>
      </c>
      <c r="F186" s="10">
        <v>1168127</v>
      </c>
      <c r="G186" s="10" t="s">
        <v>21</v>
      </c>
      <c r="H186" s="11">
        <v>51094</v>
      </c>
      <c r="I186" s="10">
        <v>0</v>
      </c>
      <c r="J186" s="11">
        <f t="shared" si="5"/>
        <v>51094</v>
      </c>
      <c r="K186" s="12" t="e">
        <f>VLOOKUP(A186,[2]VA05!$A:$K,11,FALSE)</f>
        <v>#N/A</v>
      </c>
      <c r="L186" s="10" t="s">
        <v>12</v>
      </c>
      <c r="M186" s="10" t="s">
        <v>84</v>
      </c>
    </row>
    <row r="187" spans="1:13" x14ac:dyDescent="0.25">
      <c r="A187" s="13" t="str">
        <f t="shared" si="4"/>
        <v>50714269110</v>
      </c>
      <c r="B187" s="10">
        <v>1004042917</v>
      </c>
      <c r="C187" s="10">
        <v>507142691</v>
      </c>
      <c r="D187" s="10">
        <v>10</v>
      </c>
      <c r="E187" s="10" t="s">
        <v>10</v>
      </c>
      <c r="F187" s="10">
        <v>1168127</v>
      </c>
      <c r="G187" s="10" t="s">
        <v>21</v>
      </c>
      <c r="H187" s="11">
        <v>51094</v>
      </c>
      <c r="I187" s="11">
        <v>38800</v>
      </c>
      <c r="J187" s="11">
        <f t="shared" si="5"/>
        <v>12294</v>
      </c>
      <c r="K187" s="12">
        <f>VLOOKUP(A187,[2]VA05!$A:$K,11,FALSE)</f>
        <v>45567</v>
      </c>
      <c r="L187" s="10" t="s">
        <v>18</v>
      </c>
      <c r="M187" s="10" t="s">
        <v>180</v>
      </c>
    </row>
    <row r="188" spans="1:13" x14ac:dyDescent="0.25">
      <c r="A188" s="13" t="str">
        <f t="shared" si="4"/>
        <v>50714268810</v>
      </c>
      <c r="B188" s="10">
        <v>1004052619</v>
      </c>
      <c r="C188" s="10">
        <v>507142688</v>
      </c>
      <c r="D188" s="10">
        <v>10</v>
      </c>
      <c r="E188" s="10" t="s">
        <v>10</v>
      </c>
      <c r="F188" s="10">
        <v>1168127</v>
      </c>
      <c r="G188" s="10" t="s">
        <v>21</v>
      </c>
      <c r="H188" s="11">
        <v>122842</v>
      </c>
      <c r="I188" s="10">
        <v>0</v>
      </c>
      <c r="J188" s="11">
        <f t="shared" si="5"/>
        <v>122842</v>
      </c>
      <c r="K188" s="12">
        <f>VLOOKUP(A188,[2]VA05!$A:$K,11,FALSE)</f>
        <v>45567</v>
      </c>
      <c r="L188" s="10" t="s">
        <v>12</v>
      </c>
      <c r="M188" s="10" t="s">
        <v>97</v>
      </c>
    </row>
    <row r="189" spans="1:13" x14ac:dyDescent="0.25">
      <c r="A189" s="13" t="str">
        <f t="shared" si="4"/>
        <v>507142416130</v>
      </c>
      <c r="B189" s="10">
        <v>1004052620</v>
      </c>
      <c r="C189" s="10">
        <v>507142416</v>
      </c>
      <c r="D189" s="10">
        <v>130</v>
      </c>
      <c r="E189" s="10" t="s">
        <v>10</v>
      </c>
      <c r="F189" s="10">
        <v>1168127</v>
      </c>
      <c r="G189" s="10" t="s">
        <v>21</v>
      </c>
      <c r="H189" s="11">
        <v>10217</v>
      </c>
      <c r="I189" s="10">
        <v>0</v>
      </c>
      <c r="J189" s="11">
        <f t="shared" si="5"/>
        <v>10217</v>
      </c>
      <c r="K189" s="12">
        <f>VLOOKUP(A189,[2]VA05!$A:$K,11,FALSE)</f>
        <v>45573</v>
      </c>
      <c r="L189" s="10" t="s">
        <v>12</v>
      </c>
      <c r="M189" s="10" t="s">
        <v>194</v>
      </c>
    </row>
    <row r="190" spans="1:13" x14ac:dyDescent="0.25">
      <c r="A190" s="13" t="str">
        <f t="shared" si="4"/>
        <v>50714264830</v>
      </c>
      <c r="B190" s="10">
        <v>1004052621</v>
      </c>
      <c r="C190" s="10">
        <v>507142648</v>
      </c>
      <c r="D190" s="10">
        <v>30</v>
      </c>
      <c r="E190" s="10" t="s">
        <v>10</v>
      </c>
      <c r="F190" s="10">
        <v>1168127</v>
      </c>
      <c r="G190" s="10" t="s">
        <v>21</v>
      </c>
      <c r="H190" s="11">
        <v>71748</v>
      </c>
      <c r="I190" s="10">
        <v>0</v>
      </c>
      <c r="J190" s="11">
        <f t="shared" si="5"/>
        <v>71748</v>
      </c>
      <c r="K190" s="12">
        <f>VLOOKUP(A190,[2]VA05!$A:$K,11,FALSE)</f>
        <v>45581</v>
      </c>
      <c r="L190" s="10" t="s">
        <v>12</v>
      </c>
      <c r="M190" s="10" t="s">
        <v>194</v>
      </c>
    </row>
    <row r="191" spans="1:13" x14ac:dyDescent="0.25">
      <c r="A191" s="13" t="str">
        <f t="shared" si="4"/>
        <v>507142416150</v>
      </c>
      <c r="B191" s="10">
        <v>1004052622</v>
      </c>
      <c r="C191" s="10">
        <v>507142416</v>
      </c>
      <c r="D191" s="10">
        <v>150</v>
      </c>
      <c r="E191" s="10" t="s">
        <v>10</v>
      </c>
      <c r="F191" s="10">
        <v>1168127</v>
      </c>
      <c r="G191" s="10" t="s">
        <v>21</v>
      </c>
      <c r="H191" s="11">
        <v>10217</v>
      </c>
      <c r="I191" s="10">
        <v>0</v>
      </c>
      <c r="J191" s="11">
        <f t="shared" si="5"/>
        <v>10217</v>
      </c>
      <c r="K191" s="12">
        <f>VLOOKUP(A191,[2]VA05!$A:$K,11,FALSE)</f>
        <v>45576</v>
      </c>
      <c r="L191" s="10" t="s">
        <v>12</v>
      </c>
      <c r="M191" s="10" t="s">
        <v>162</v>
      </c>
    </row>
    <row r="192" spans="1:13" x14ac:dyDescent="0.25">
      <c r="A192" s="13" t="str">
        <f t="shared" si="4"/>
        <v>50714278810</v>
      </c>
      <c r="B192" s="10">
        <v>1004052623</v>
      </c>
      <c r="C192" s="10">
        <v>507142788</v>
      </c>
      <c r="D192" s="10">
        <v>10</v>
      </c>
      <c r="E192" s="10" t="s">
        <v>10</v>
      </c>
      <c r="F192" s="10">
        <v>1168127</v>
      </c>
      <c r="G192" s="10" t="s">
        <v>21</v>
      </c>
      <c r="H192" s="11">
        <v>56529</v>
      </c>
      <c r="I192" s="10">
        <v>0</v>
      </c>
      <c r="J192" s="11">
        <f t="shared" si="5"/>
        <v>56529</v>
      </c>
      <c r="K192" s="12">
        <f>VLOOKUP(A192,[2]VA05!$A:$K,11,FALSE)</f>
        <v>45582</v>
      </c>
      <c r="L192" s="10" t="s">
        <v>12</v>
      </c>
      <c r="M192" s="10" t="s">
        <v>162</v>
      </c>
    </row>
    <row r="193" spans="1:13" x14ac:dyDescent="0.25">
      <c r="A193" s="13" t="str">
        <f t="shared" si="4"/>
        <v>50714271380</v>
      </c>
      <c r="B193" s="10">
        <v>1004052624</v>
      </c>
      <c r="C193" s="10">
        <v>507142713</v>
      </c>
      <c r="D193" s="10">
        <v>80</v>
      </c>
      <c r="E193" s="10" t="s">
        <v>10</v>
      </c>
      <c r="F193" s="10">
        <v>1168127</v>
      </c>
      <c r="G193" s="10" t="s">
        <v>21</v>
      </c>
      <c r="H193" s="11">
        <v>10217</v>
      </c>
      <c r="I193" s="10">
        <v>0</v>
      </c>
      <c r="J193" s="11">
        <f t="shared" si="5"/>
        <v>10217</v>
      </c>
      <c r="K193" s="12">
        <f>VLOOKUP(A193,[2]VA05!$A:$K,11,FALSE)</f>
        <v>45591</v>
      </c>
      <c r="L193" s="10" t="s">
        <v>12</v>
      </c>
      <c r="M193" s="10" t="s">
        <v>204</v>
      </c>
    </row>
    <row r="194" spans="1:13" x14ac:dyDescent="0.25">
      <c r="A194" s="13" t="str">
        <f t="shared" si="4"/>
        <v>507142416150</v>
      </c>
      <c r="B194" s="10">
        <v>1004051561</v>
      </c>
      <c r="C194" s="10">
        <v>507142416</v>
      </c>
      <c r="D194" s="10">
        <v>150</v>
      </c>
      <c r="E194" s="10" t="s">
        <v>10</v>
      </c>
      <c r="F194" s="10">
        <v>1269318</v>
      </c>
      <c r="G194" s="10" t="s">
        <v>170</v>
      </c>
      <c r="H194" s="11">
        <v>10217</v>
      </c>
      <c r="I194" s="10">
        <v>0</v>
      </c>
      <c r="J194" s="11">
        <f t="shared" si="5"/>
        <v>10217</v>
      </c>
      <c r="K194" s="12">
        <f>VLOOKUP(A194,[2]VA05!$A:$K,11,FALSE)</f>
        <v>45576</v>
      </c>
      <c r="L194" s="10" t="s">
        <v>12</v>
      </c>
      <c r="M194" s="10" t="s">
        <v>162</v>
      </c>
    </row>
    <row r="195" spans="1:13" x14ac:dyDescent="0.25">
      <c r="A195" s="13" t="str">
        <f t="shared" si="4"/>
        <v>507142416130</v>
      </c>
      <c r="B195" s="10">
        <v>1004058014</v>
      </c>
      <c r="C195" s="10">
        <v>507142416</v>
      </c>
      <c r="D195" s="10">
        <v>130</v>
      </c>
      <c r="E195" s="10" t="s">
        <v>10</v>
      </c>
      <c r="F195" s="10">
        <v>1255976</v>
      </c>
      <c r="G195" s="10" t="s">
        <v>229</v>
      </c>
      <c r="H195" s="11">
        <v>10217</v>
      </c>
      <c r="I195" s="10">
        <v>0</v>
      </c>
      <c r="J195" s="11">
        <f t="shared" si="5"/>
        <v>10217</v>
      </c>
      <c r="K195" s="12">
        <f>VLOOKUP(A195,[2]VA05!$A:$K,11,FALSE)</f>
        <v>45573</v>
      </c>
      <c r="L195" s="10" t="s">
        <v>12</v>
      </c>
      <c r="M195" s="10" t="s">
        <v>194</v>
      </c>
    </row>
    <row r="196" spans="1:13" x14ac:dyDescent="0.25">
      <c r="A196" s="13" t="str">
        <f t="shared" ref="A196:A259" si="6">C196&amp;D196</f>
        <v>50714271380</v>
      </c>
      <c r="B196" s="10">
        <v>1004058015</v>
      </c>
      <c r="C196" s="10">
        <v>507142713</v>
      </c>
      <c r="D196" s="10">
        <v>80</v>
      </c>
      <c r="E196" s="10" t="s">
        <v>10</v>
      </c>
      <c r="F196" s="10">
        <v>1256193</v>
      </c>
      <c r="G196" s="10" t="s">
        <v>230</v>
      </c>
      <c r="H196" s="11">
        <v>10217</v>
      </c>
      <c r="I196" s="10">
        <v>0</v>
      </c>
      <c r="J196" s="11">
        <f t="shared" ref="J196:J259" si="7">H196-I196</f>
        <v>10217</v>
      </c>
      <c r="K196" s="12">
        <f>VLOOKUP(A196,[2]VA05!$A:$K,11,FALSE)</f>
        <v>45591</v>
      </c>
      <c r="L196" s="10" t="s">
        <v>12</v>
      </c>
      <c r="M196" s="10" t="s">
        <v>204</v>
      </c>
    </row>
    <row r="197" spans="1:13" x14ac:dyDescent="0.25">
      <c r="A197" s="13" t="str">
        <f t="shared" si="6"/>
        <v>50714268810</v>
      </c>
      <c r="B197" s="10">
        <v>1004058016</v>
      </c>
      <c r="C197" s="10">
        <v>507142688</v>
      </c>
      <c r="D197" s="10">
        <v>10</v>
      </c>
      <c r="E197" s="10" t="s">
        <v>10</v>
      </c>
      <c r="F197" s="10">
        <v>1430110</v>
      </c>
      <c r="G197" s="10" t="s">
        <v>231</v>
      </c>
      <c r="H197" s="11">
        <v>81532</v>
      </c>
      <c r="I197" s="10">
        <v>0</v>
      </c>
      <c r="J197" s="11">
        <f t="shared" si="7"/>
        <v>81532</v>
      </c>
      <c r="K197" s="12">
        <f>VLOOKUP(A197,[2]VA05!$A:$K,11,FALSE)</f>
        <v>45567</v>
      </c>
      <c r="L197" s="10" t="s">
        <v>13</v>
      </c>
      <c r="M197" s="10" t="s">
        <v>155</v>
      </c>
    </row>
    <row r="198" spans="1:13" x14ac:dyDescent="0.25">
      <c r="A198" s="13" t="str">
        <f t="shared" si="6"/>
        <v>50714245510</v>
      </c>
      <c r="B198" s="10">
        <v>1004010713</v>
      </c>
      <c r="C198" s="10">
        <v>507142455</v>
      </c>
      <c r="D198" s="10">
        <v>10</v>
      </c>
      <c r="E198" s="10" t="s">
        <v>10</v>
      </c>
      <c r="F198" s="10">
        <v>1153314</v>
      </c>
      <c r="G198" s="10" t="s">
        <v>60</v>
      </c>
      <c r="H198" s="11">
        <v>26091</v>
      </c>
      <c r="I198" s="11">
        <v>22631</v>
      </c>
      <c r="J198" s="11">
        <f t="shared" si="7"/>
        <v>3460</v>
      </c>
      <c r="K198" s="12" t="e">
        <f>VLOOKUP(A198,[2]VA05!$A:$K,11,FALSE)</f>
        <v>#N/A</v>
      </c>
      <c r="L198" s="10" t="s">
        <v>18</v>
      </c>
      <c r="M198" s="10" t="s">
        <v>61</v>
      </c>
    </row>
    <row r="199" spans="1:13" x14ac:dyDescent="0.25">
      <c r="A199" s="13" t="str">
        <f t="shared" si="6"/>
        <v>50714239390</v>
      </c>
      <c r="B199" s="10">
        <v>1004032825</v>
      </c>
      <c r="C199" s="10">
        <v>507142393</v>
      </c>
      <c r="D199" s="10">
        <v>90</v>
      </c>
      <c r="E199" s="10" t="s">
        <v>10</v>
      </c>
      <c r="F199" s="10">
        <v>1416751</v>
      </c>
      <c r="G199" s="10" t="s">
        <v>57</v>
      </c>
      <c r="H199" s="11">
        <v>45642</v>
      </c>
      <c r="I199" s="10">
        <v>0</v>
      </c>
      <c r="J199" s="11">
        <f t="shared" si="7"/>
        <v>45642</v>
      </c>
      <c r="K199" s="12" t="e">
        <f>VLOOKUP(A199,[2]VA05!$A:$K,11,FALSE)</f>
        <v>#N/A</v>
      </c>
      <c r="L199" s="10" t="s">
        <v>12</v>
      </c>
      <c r="M199" s="10" t="s">
        <v>73</v>
      </c>
    </row>
    <row r="200" spans="1:13" x14ac:dyDescent="0.25">
      <c r="A200" s="13" t="str">
        <f t="shared" si="6"/>
        <v>50714256520</v>
      </c>
      <c r="B200" s="10">
        <v>1004041364</v>
      </c>
      <c r="C200" s="10">
        <v>507142565</v>
      </c>
      <c r="D200" s="10">
        <v>20</v>
      </c>
      <c r="E200" s="10" t="s">
        <v>10</v>
      </c>
      <c r="F200" s="10">
        <v>1170136</v>
      </c>
      <c r="G200" s="10" t="s">
        <v>81</v>
      </c>
      <c r="H200" s="11">
        <v>87480</v>
      </c>
      <c r="I200" s="11">
        <v>67749</v>
      </c>
      <c r="J200" s="11">
        <f t="shared" si="7"/>
        <v>19731</v>
      </c>
      <c r="K200" s="12">
        <f>VLOOKUP(A200,[2]VA05!$A:$K,11,FALSE)</f>
        <v>45561</v>
      </c>
      <c r="L200" s="10" t="s">
        <v>11</v>
      </c>
      <c r="M200" s="10" t="s">
        <v>74</v>
      </c>
    </row>
    <row r="201" spans="1:13" x14ac:dyDescent="0.25">
      <c r="A201" s="13" t="str">
        <f t="shared" si="6"/>
        <v>50714256610</v>
      </c>
      <c r="B201" s="10">
        <v>1004041365</v>
      </c>
      <c r="C201" s="10">
        <v>507142566</v>
      </c>
      <c r="D201" s="10">
        <v>10</v>
      </c>
      <c r="E201" s="10" t="s">
        <v>10</v>
      </c>
      <c r="F201" s="10">
        <v>1170136</v>
      </c>
      <c r="G201" s="10" t="s">
        <v>81</v>
      </c>
      <c r="H201" s="11">
        <v>23298</v>
      </c>
      <c r="I201" s="10">
        <v>0</v>
      </c>
      <c r="J201" s="11">
        <f t="shared" si="7"/>
        <v>23298</v>
      </c>
      <c r="K201" s="12">
        <f>VLOOKUP(A201,[2]VA05!$A:$K,11,FALSE)</f>
        <v>45561</v>
      </c>
      <c r="L201" s="10" t="s">
        <v>12</v>
      </c>
      <c r="M201" s="10" t="s">
        <v>116</v>
      </c>
    </row>
    <row r="202" spans="1:13" x14ac:dyDescent="0.25">
      <c r="A202" s="13" t="str">
        <f t="shared" si="6"/>
        <v>50714256730</v>
      </c>
      <c r="B202" s="10">
        <v>1004041366</v>
      </c>
      <c r="C202" s="10">
        <v>507142567</v>
      </c>
      <c r="D202" s="10">
        <v>30</v>
      </c>
      <c r="E202" s="10" t="s">
        <v>10</v>
      </c>
      <c r="F202" s="10">
        <v>1170136</v>
      </c>
      <c r="G202" s="10" t="s">
        <v>81</v>
      </c>
      <c r="H202" s="11">
        <v>17589</v>
      </c>
      <c r="I202" s="10">
        <v>0</v>
      </c>
      <c r="J202" s="11">
        <f t="shared" si="7"/>
        <v>17589</v>
      </c>
      <c r="K202" s="12">
        <f>VLOOKUP(A202,[2]VA05!$A:$K,11,FALSE)</f>
        <v>45561</v>
      </c>
      <c r="L202" s="10" t="s">
        <v>12</v>
      </c>
      <c r="M202" s="10" t="s">
        <v>85</v>
      </c>
    </row>
    <row r="203" spans="1:13" hidden="1" x14ac:dyDescent="0.25">
      <c r="A203" s="13" t="str">
        <f t="shared" si="6"/>
        <v>50714255610</v>
      </c>
      <c r="B203" s="10">
        <v>1004051403</v>
      </c>
      <c r="C203" s="10">
        <v>507142556</v>
      </c>
      <c r="D203" s="10">
        <v>10</v>
      </c>
      <c r="E203" s="10" t="s">
        <v>24</v>
      </c>
      <c r="F203" s="10">
        <v>1436161</v>
      </c>
      <c r="G203" s="10" t="s">
        <v>94</v>
      </c>
      <c r="H203" s="11">
        <v>1900</v>
      </c>
      <c r="I203" s="10">
        <v>0</v>
      </c>
      <c r="J203" s="11">
        <f t="shared" si="7"/>
        <v>1900</v>
      </c>
      <c r="K203" s="12">
        <f>VLOOKUP(A203,[2]VA05!$A:$K,11,FALSE)</f>
        <v>45538</v>
      </c>
      <c r="L203" s="10" t="s">
        <v>25</v>
      </c>
      <c r="M203" s="10" t="s">
        <v>97</v>
      </c>
    </row>
    <row r="204" spans="1:13" x14ac:dyDescent="0.25">
      <c r="A204" s="13" t="str">
        <f t="shared" si="6"/>
        <v>50714256230</v>
      </c>
      <c r="B204" s="10">
        <v>1004042741</v>
      </c>
      <c r="C204" s="10">
        <v>507142562</v>
      </c>
      <c r="D204" s="10">
        <v>30</v>
      </c>
      <c r="E204" s="10" t="s">
        <v>10</v>
      </c>
      <c r="F204" s="10">
        <v>1165028</v>
      </c>
      <c r="G204" s="10" t="s">
        <v>68</v>
      </c>
      <c r="H204" s="11">
        <v>85259</v>
      </c>
      <c r="I204" s="11">
        <v>35654</v>
      </c>
      <c r="J204" s="11">
        <f t="shared" si="7"/>
        <v>49605</v>
      </c>
      <c r="K204" s="12">
        <f>VLOOKUP(A204,[2]VA05!$A:$K,11,FALSE)</f>
        <v>45573</v>
      </c>
      <c r="L204" s="10" t="s">
        <v>18</v>
      </c>
      <c r="M204" s="10" t="s">
        <v>201</v>
      </c>
    </row>
    <row r="205" spans="1:13" x14ac:dyDescent="0.25">
      <c r="A205" s="13" t="str">
        <f t="shared" si="6"/>
        <v>50714256230</v>
      </c>
      <c r="B205" s="10">
        <v>1004035819</v>
      </c>
      <c r="C205" s="10">
        <v>507142562</v>
      </c>
      <c r="D205" s="10">
        <v>30</v>
      </c>
      <c r="E205" s="10" t="s">
        <v>10</v>
      </c>
      <c r="F205" s="10">
        <v>1176008</v>
      </c>
      <c r="G205" s="10" t="s">
        <v>65</v>
      </c>
      <c r="H205" s="11">
        <v>85259</v>
      </c>
      <c r="I205" s="11">
        <v>29283</v>
      </c>
      <c r="J205" s="11">
        <f t="shared" si="7"/>
        <v>55976</v>
      </c>
      <c r="K205" s="12">
        <f>VLOOKUP(A205,[2]VA05!$A:$K,11,FALSE)</f>
        <v>45573</v>
      </c>
      <c r="L205" s="10" t="s">
        <v>18</v>
      </c>
      <c r="M205" s="10" t="s">
        <v>201</v>
      </c>
    </row>
    <row r="206" spans="1:13" x14ac:dyDescent="0.25">
      <c r="A206" s="13" t="str">
        <f t="shared" si="6"/>
        <v>50714256230</v>
      </c>
      <c r="B206" s="10">
        <v>1004042025</v>
      </c>
      <c r="C206" s="10">
        <v>507142562</v>
      </c>
      <c r="D206" s="10">
        <v>30</v>
      </c>
      <c r="E206" s="10" t="s">
        <v>10</v>
      </c>
      <c r="F206" s="10">
        <v>1170133</v>
      </c>
      <c r="G206" s="10" t="s">
        <v>70</v>
      </c>
      <c r="H206" s="11">
        <v>85259</v>
      </c>
      <c r="I206" s="11">
        <v>54399</v>
      </c>
      <c r="J206" s="11">
        <f t="shared" si="7"/>
        <v>30860</v>
      </c>
      <c r="K206" s="12">
        <f>VLOOKUP(A206,[2]VA05!$A:$K,11,FALSE)</f>
        <v>45573</v>
      </c>
      <c r="L206" s="10" t="s">
        <v>18</v>
      </c>
      <c r="M206" s="10" t="s">
        <v>130</v>
      </c>
    </row>
    <row r="207" spans="1:13" x14ac:dyDescent="0.25">
      <c r="A207" s="13" t="str">
        <f t="shared" si="6"/>
        <v>50714256530</v>
      </c>
      <c r="B207" s="10">
        <v>1004044947</v>
      </c>
      <c r="C207" s="10">
        <v>507142565</v>
      </c>
      <c r="D207" s="10">
        <v>30</v>
      </c>
      <c r="E207" s="10" t="s">
        <v>10</v>
      </c>
      <c r="F207" s="10">
        <v>1169065</v>
      </c>
      <c r="G207" s="10" t="s">
        <v>83</v>
      </c>
      <c r="H207" s="11">
        <v>85895</v>
      </c>
      <c r="I207" s="11">
        <v>44293</v>
      </c>
      <c r="J207" s="11">
        <f t="shared" si="7"/>
        <v>41602</v>
      </c>
      <c r="K207" s="12">
        <f>VLOOKUP(A207,[2]VA05!$A:$K,11,FALSE)</f>
        <v>45561</v>
      </c>
      <c r="L207" s="10" t="s">
        <v>18</v>
      </c>
      <c r="M207" s="10" t="s">
        <v>142</v>
      </c>
    </row>
    <row r="208" spans="1:13" x14ac:dyDescent="0.25">
      <c r="A208" s="13" t="str">
        <f t="shared" si="6"/>
        <v>50714256720</v>
      </c>
      <c r="B208" s="10">
        <v>1004044948</v>
      </c>
      <c r="C208" s="10">
        <v>507142567</v>
      </c>
      <c r="D208" s="10">
        <v>20</v>
      </c>
      <c r="E208" s="10" t="s">
        <v>10</v>
      </c>
      <c r="F208" s="10">
        <v>1169065</v>
      </c>
      <c r="G208" s="10" t="s">
        <v>83</v>
      </c>
      <c r="H208" s="11">
        <v>17711</v>
      </c>
      <c r="I208" s="10">
        <v>0</v>
      </c>
      <c r="J208" s="11">
        <f t="shared" si="7"/>
        <v>17711</v>
      </c>
      <c r="K208" s="12">
        <f>VLOOKUP(A208,[2]VA05!$A:$K,11,FALSE)</f>
        <v>45561</v>
      </c>
      <c r="L208" s="10" t="s">
        <v>12</v>
      </c>
      <c r="M208" s="10" t="s">
        <v>98</v>
      </c>
    </row>
    <row r="209" spans="1:13" hidden="1" x14ac:dyDescent="0.25">
      <c r="A209" s="13" t="str">
        <f t="shared" si="6"/>
        <v>50714256610</v>
      </c>
      <c r="B209" s="10">
        <v>1004044990</v>
      </c>
      <c r="C209" s="10">
        <v>507142566</v>
      </c>
      <c r="D209" s="10">
        <v>10</v>
      </c>
      <c r="E209" s="10" t="s">
        <v>10</v>
      </c>
      <c r="F209" s="10">
        <v>1171801</v>
      </c>
      <c r="G209" s="10" t="s">
        <v>71</v>
      </c>
      <c r="H209" s="11">
        <v>21280</v>
      </c>
      <c r="I209" s="11">
        <v>21280</v>
      </c>
      <c r="J209" s="11">
        <f t="shared" si="7"/>
        <v>0</v>
      </c>
      <c r="K209" s="12">
        <f>VLOOKUP(A209,[2]VA05!$A:$K,11,FALSE)</f>
        <v>45561</v>
      </c>
      <c r="L209" s="10" t="s">
        <v>113</v>
      </c>
      <c r="M209" s="10" t="s">
        <v>155</v>
      </c>
    </row>
    <row r="210" spans="1:13" x14ac:dyDescent="0.25">
      <c r="A210" s="13" t="str">
        <f t="shared" si="6"/>
        <v>50714256730</v>
      </c>
      <c r="B210" s="10">
        <v>1004052387</v>
      </c>
      <c r="C210" s="10">
        <v>507142567</v>
      </c>
      <c r="D210" s="10">
        <v>30</v>
      </c>
      <c r="E210" s="10" t="s">
        <v>10</v>
      </c>
      <c r="F210" s="10">
        <v>1171801</v>
      </c>
      <c r="G210" s="10" t="s">
        <v>71</v>
      </c>
      <c r="H210" s="11">
        <v>16066</v>
      </c>
      <c r="I210" s="11">
        <v>8250</v>
      </c>
      <c r="J210" s="11">
        <f t="shared" si="7"/>
        <v>7816</v>
      </c>
      <c r="K210" s="12">
        <f>VLOOKUP(A210,[2]VA05!$A:$K,11,FALSE)</f>
        <v>45561</v>
      </c>
      <c r="L210" s="10" t="s">
        <v>18</v>
      </c>
      <c r="M210" s="10" t="s">
        <v>155</v>
      </c>
    </row>
    <row r="211" spans="1:13" x14ac:dyDescent="0.25">
      <c r="A211" s="13" t="str">
        <f t="shared" si="6"/>
        <v>50714256520</v>
      </c>
      <c r="B211" s="10">
        <v>1004052388</v>
      </c>
      <c r="C211" s="10">
        <v>507142565</v>
      </c>
      <c r="D211" s="10">
        <v>20</v>
      </c>
      <c r="E211" s="10" t="s">
        <v>10</v>
      </c>
      <c r="F211" s="10">
        <v>1171801</v>
      </c>
      <c r="G211" s="10" t="s">
        <v>71</v>
      </c>
      <c r="H211" s="11">
        <v>79905</v>
      </c>
      <c r="I211" s="10">
        <v>0</v>
      </c>
      <c r="J211" s="11">
        <f t="shared" si="7"/>
        <v>79905</v>
      </c>
      <c r="K211" s="12">
        <f>VLOOKUP(A211,[2]VA05!$A:$K,11,FALSE)</f>
        <v>45561</v>
      </c>
      <c r="L211" s="10" t="s">
        <v>13</v>
      </c>
      <c r="M211" s="10" t="s">
        <v>180</v>
      </c>
    </row>
    <row r="212" spans="1:13" x14ac:dyDescent="0.25">
      <c r="A212" s="13" t="str">
        <f t="shared" si="6"/>
        <v>50714276210</v>
      </c>
      <c r="B212" s="10">
        <v>1004051397</v>
      </c>
      <c r="C212" s="10">
        <v>507142762</v>
      </c>
      <c r="D212" s="10">
        <v>10</v>
      </c>
      <c r="E212" s="10" t="s">
        <v>10</v>
      </c>
      <c r="F212" s="10">
        <v>1162016</v>
      </c>
      <c r="G212" s="10" t="s">
        <v>172</v>
      </c>
      <c r="H212" s="11">
        <v>40900</v>
      </c>
      <c r="I212" s="11">
        <v>4373</v>
      </c>
      <c r="J212" s="11">
        <f t="shared" si="7"/>
        <v>36527</v>
      </c>
      <c r="K212" s="12">
        <f>VLOOKUP(A212,[2]VA05!$A:$K,11,FALSE)</f>
        <v>45570</v>
      </c>
      <c r="L212" s="10" t="s">
        <v>11</v>
      </c>
      <c r="M212" s="10" t="s">
        <v>143</v>
      </c>
    </row>
    <row r="213" spans="1:13" x14ac:dyDescent="0.25">
      <c r="A213" s="13" t="str">
        <f t="shared" si="6"/>
        <v>50714263610</v>
      </c>
      <c r="B213" s="10">
        <v>1004040222</v>
      </c>
      <c r="C213" s="10">
        <v>507142636</v>
      </c>
      <c r="D213" s="10">
        <v>10</v>
      </c>
      <c r="E213" s="10" t="s">
        <v>10</v>
      </c>
      <c r="F213" s="10">
        <v>1437043</v>
      </c>
      <c r="G213" s="10" t="s">
        <v>115</v>
      </c>
      <c r="H213" s="11">
        <v>51125</v>
      </c>
      <c r="I213" s="11">
        <v>43670</v>
      </c>
      <c r="J213" s="11">
        <f t="shared" si="7"/>
        <v>7455</v>
      </c>
      <c r="K213" s="12">
        <f>VLOOKUP(A213,[2]VA05!$A:$K,11,FALSE)</f>
        <v>45566</v>
      </c>
      <c r="L213" s="10" t="s">
        <v>11</v>
      </c>
      <c r="M213" s="10" t="s">
        <v>116</v>
      </c>
    </row>
    <row r="214" spans="1:13" x14ac:dyDescent="0.25">
      <c r="A214" s="13" t="str">
        <f t="shared" si="6"/>
        <v>50714276210</v>
      </c>
      <c r="B214" s="10">
        <v>1004051398</v>
      </c>
      <c r="C214" s="10">
        <v>507142762</v>
      </c>
      <c r="D214" s="10">
        <v>10</v>
      </c>
      <c r="E214" s="10" t="s">
        <v>10</v>
      </c>
      <c r="F214" s="10">
        <v>1162012</v>
      </c>
      <c r="G214" s="10" t="s">
        <v>173</v>
      </c>
      <c r="H214" s="11">
        <v>40900</v>
      </c>
      <c r="I214" s="10">
        <v>0</v>
      </c>
      <c r="J214" s="11">
        <f t="shared" si="7"/>
        <v>40900</v>
      </c>
      <c r="K214" s="12">
        <f>VLOOKUP(A214,[2]VA05!$A:$K,11,FALSE)</f>
        <v>45570</v>
      </c>
      <c r="L214" s="10" t="s">
        <v>25</v>
      </c>
      <c r="M214" s="10" t="s">
        <v>201</v>
      </c>
    </row>
    <row r="215" spans="1:13" x14ac:dyDescent="0.25">
      <c r="A215" s="13" t="str">
        <f t="shared" si="6"/>
        <v>50714276210</v>
      </c>
      <c r="B215" s="10">
        <v>1004051399</v>
      </c>
      <c r="C215" s="10">
        <v>507142762</v>
      </c>
      <c r="D215" s="10">
        <v>10</v>
      </c>
      <c r="E215" s="10" t="s">
        <v>10</v>
      </c>
      <c r="F215" s="10">
        <v>1163168</v>
      </c>
      <c r="G215" s="10" t="s">
        <v>174</v>
      </c>
      <c r="H215" s="11">
        <v>40900</v>
      </c>
      <c r="I215" s="10">
        <v>0</v>
      </c>
      <c r="J215" s="11">
        <f t="shared" si="7"/>
        <v>40900</v>
      </c>
      <c r="K215" s="12">
        <f>VLOOKUP(A215,[2]VA05!$A:$K,11,FALSE)</f>
        <v>45570</v>
      </c>
      <c r="L215" s="10" t="s">
        <v>13</v>
      </c>
      <c r="M215" s="10" t="s">
        <v>201</v>
      </c>
    </row>
    <row r="216" spans="1:13" hidden="1" x14ac:dyDescent="0.25">
      <c r="A216" s="13" t="str">
        <f t="shared" si="6"/>
        <v>50714263850</v>
      </c>
      <c r="B216" s="10">
        <v>1004049841</v>
      </c>
      <c r="C216" s="10">
        <v>507142638</v>
      </c>
      <c r="D216" s="10">
        <v>50</v>
      </c>
      <c r="E216" s="10" t="s">
        <v>10</v>
      </c>
      <c r="F216" s="10">
        <v>1361170</v>
      </c>
      <c r="G216" s="10" t="s">
        <v>103</v>
      </c>
      <c r="H216" s="11">
        <v>27540</v>
      </c>
      <c r="I216" s="11">
        <v>27540</v>
      </c>
      <c r="J216" s="11">
        <f t="shared" si="7"/>
        <v>0</v>
      </c>
      <c r="K216" s="12">
        <f>VLOOKUP(A216,[2]VA05!$A:$K,11,FALSE)</f>
        <v>45560</v>
      </c>
      <c r="L216" s="10" t="s">
        <v>224</v>
      </c>
      <c r="M216" s="10" t="s">
        <v>143</v>
      </c>
    </row>
    <row r="217" spans="1:13" x14ac:dyDescent="0.25">
      <c r="A217" s="13" t="str">
        <f t="shared" si="6"/>
        <v>50714263850</v>
      </c>
      <c r="B217" s="10">
        <v>1004049842</v>
      </c>
      <c r="C217" s="10">
        <v>507142638</v>
      </c>
      <c r="D217" s="10">
        <v>50</v>
      </c>
      <c r="E217" s="10" t="s">
        <v>10</v>
      </c>
      <c r="F217" s="10">
        <v>1361170</v>
      </c>
      <c r="G217" s="10" t="s">
        <v>103</v>
      </c>
      <c r="H217" s="11">
        <v>27540</v>
      </c>
      <c r="I217" s="11">
        <v>14050</v>
      </c>
      <c r="J217" s="11">
        <f t="shared" si="7"/>
        <v>13490</v>
      </c>
      <c r="K217" s="12">
        <f>VLOOKUP(A217,[2]VA05!$A:$K,11,FALSE)</f>
        <v>45560</v>
      </c>
      <c r="L217" s="10" t="s">
        <v>11</v>
      </c>
      <c r="M217" s="10" t="s">
        <v>195</v>
      </c>
    </row>
    <row r="218" spans="1:13" x14ac:dyDescent="0.25">
      <c r="A218" s="13" t="str">
        <f t="shared" si="6"/>
        <v>50714263850</v>
      </c>
      <c r="B218" s="10">
        <v>1004049843</v>
      </c>
      <c r="C218" s="10">
        <v>507142638</v>
      </c>
      <c r="D218" s="10">
        <v>50</v>
      </c>
      <c r="E218" s="10" t="s">
        <v>10</v>
      </c>
      <c r="F218" s="10">
        <v>1361170</v>
      </c>
      <c r="G218" s="10" t="s">
        <v>103</v>
      </c>
      <c r="H218" s="11">
        <v>27270</v>
      </c>
      <c r="I218" s="10">
        <v>0</v>
      </c>
      <c r="J218" s="11">
        <f t="shared" si="7"/>
        <v>27270</v>
      </c>
      <c r="K218" s="12">
        <f>VLOOKUP(A218,[2]VA05!$A:$K,11,FALSE)</f>
        <v>45560</v>
      </c>
      <c r="L218" s="10" t="s">
        <v>29</v>
      </c>
      <c r="M218" s="10" t="s">
        <v>143</v>
      </c>
    </row>
    <row r="219" spans="1:13" x14ac:dyDescent="0.25">
      <c r="A219" s="13" t="str">
        <f t="shared" si="6"/>
        <v>50714273810</v>
      </c>
      <c r="B219" s="10">
        <v>1004051551</v>
      </c>
      <c r="C219" s="10">
        <v>507142738</v>
      </c>
      <c r="D219" s="10">
        <v>10</v>
      </c>
      <c r="E219" s="10" t="s">
        <v>10</v>
      </c>
      <c r="F219" s="10">
        <v>1361170</v>
      </c>
      <c r="G219" s="10" t="s">
        <v>103</v>
      </c>
      <c r="H219" s="11">
        <v>27540</v>
      </c>
      <c r="I219" s="10">
        <v>0</v>
      </c>
      <c r="J219" s="11">
        <f t="shared" si="7"/>
        <v>27540</v>
      </c>
      <c r="K219" s="12">
        <f>VLOOKUP(A219,[2]VA05!$A:$K,11,FALSE)</f>
        <v>45567</v>
      </c>
      <c r="L219" s="10" t="s">
        <v>12</v>
      </c>
      <c r="M219" s="10" t="s">
        <v>180</v>
      </c>
    </row>
    <row r="220" spans="1:13" x14ac:dyDescent="0.25">
      <c r="A220" s="13" t="str">
        <f t="shared" si="6"/>
        <v>50714273810</v>
      </c>
      <c r="B220" s="10">
        <v>1004051552</v>
      </c>
      <c r="C220" s="10">
        <v>507142738</v>
      </c>
      <c r="D220" s="10">
        <v>10</v>
      </c>
      <c r="E220" s="10" t="s">
        <v>10</v>
      </c>
      <c r="F220" s="10">
        <v>1361170</v>
      </c>
      <c r="G220" s="10" t="s">
        <v>103</v>
      </c>
      <c r="H220" s="11">
        <v>27540</v>
      </c>
      <c r="I220" s="10">
        <v>0</v>
      </c>
      <c r="J220" s="11">
        <f t="shared" si="7"/>
        <v>27540</v>
      </c>
      <c r="K220" s="12">
        <f>VLOOKUP(A220,[2]VA05!$A:$K,11,FALSE)</f>
        <v>45567</v>
      </c>
      <c r="L220" s="10" t="s">
        <v>12</v>
      </c>
      <c r="M220" s="10" t="s">
        <v>180</v>
      </c>
    </row>
    <row r="221" spans="1:13" x14ac:dyDescent="0.25">
      <c r="A221" s="13" t="str">
        <f t="shared" si="6"/>
        <v>50714273810</v>
      </c>
      <c r="B221" s="10">
        <v>1004051553</v>
      </c>
      <c r="C221" s="10">
        <v>507142738</v>
      </c>
      <c r="D221" s="10">
        <v>10</v>
      </c>
      <c r="E221" s="10" t="s">
        <v>10</v>
      </c>
      <c r="F221" s="10">
        <v>1361170</v>
      </c>
      <c r="G221" s="10" t="s">
        <v>103</v>
      </c>
      <c r="H221" s="11">
        <v>27540</v>
      </c>
      <c r="I221" s="10">
        <v>0</v>
      </c>
      <c r="J221" s="11">
        <f t="shared" si="7"/>
        <v>27540</v>
      </c>
      <c r="K221" s="12">
        <f>VLOOKUP(A221,[2]VA05!$A:$K,11,FALSE)</f>
        <v>45567</v>
      </c>
      <c r="L221" s="10" t="s">
        <v>12</v>
      </c>
      <c r="M221" s="10" t="s">
        <v>180</v>
      </c>
    </row>
    <row r="222" spans="1:13" x14ac:dyDescent="0.25">
      <c r="A222" s="13" t="str">
        <f t="shared" si="6"/>
        <v>50714273810</v>
      </c>
      <c r="B222" s="10">
        <v>1004051554</v>
      </c>
      <c r="C222" s="10">
        <v>507142738</v>
      </c>
      <c r="D222" s="10">
        <v>10</v>
      </c>
      <c r="E222" s="10" t="s">
        <v>10</v>
      </c>
      <c r="F222" s="10">
        <v>1361170</v>
      </c>
      <c r="G222" s="10" t="s">
        <v>103</v>
      </c>
      <c r="H222" s="11">
        <v>27540</v>
      </c>
      <c r="I222" s="10">
        <v>0</v>
      </c>
      <c r="J222" s="11">
        <f t="shared" si="7"/>
        <v>27540</v>
      </c>
      <c r="K222" s="12">
        <f>VLOOKUP(A222,[2]VA05!$A:$K,11,FALSE)</f>
        <v>45567</v>
      </c>
      <c r="L222" s="10" t="s">
        <v>12</v>
      </c>
      <c r="M222" s="10" t="s">
        <v>180</v>
      </c>
    </row>
    <row r="223" spans="1:13" hidden="1" x14ac:dyDescent="0.25">
      <c r="A223" s="13" t="str">
        <f t="shared" si="6"/>
        <v>50714263930</v>
      </c>
      <c r="B223" s="10">
        <v>1004043109</v>
      </c>
      <c r="C223" s="10">
        <v>507142639</v>
      </c>
      <c r="D223" s="10">
        <v>30</v>
      </c>
      <c r="E223" s="10" t="s">
        <v>10</v>
      </c>
      <c r="F223" s="10">
        <v>1367372</v>
      </c>
      <c r="G223" s="10" t="s">
        <v>62</v>
      </c>
      <c r="H223" s="11">
        <v>20250</v>
      </c>
      <c r="I223" s="11">
        <v>20250</v>
      </c>
      <c r="J223" s="11">
        <f t="shared" si="7"/>
        <v>0</v>
      </c>
      <c r="K223" s="12" t="e">
        <f>VLOOKUP(A223,[2]VA05!$A:$K,11,FALSE)</f>
        <v>#N/A</v>
      </c>
      <c r="L223" s="10" t="s">
        <v>34</v>
      </c>
      <c r="M223" s="10" t="s">
        <v>142</v>
      </c>
    </row>
    <row r="224" spans="1:13" hidden="1" x14ac:dyDescent="0.25">
      <c r="A224" s="13" t="str">
        <f t="shared" si="6"/>
        <v>50714269210</v>
      </c>
      <c r="B224" s="10">
        <v>1004057889</v>
      </c>
      <c r="C224" s="10">
        <v>507142692</v>
      </c>
      <c r="D224" s="10">
        <v>10</v>
      </c>
      <c r="E224" s="10" t="s">
        <v>10</v>
      </c>
      <c r="F224" s="10">
        <v>1367372</v>
      </c>
      <c r="G224" s="10" t="s">
        <v>62</v>
      </c>
      <c r="H224" s="11">
        <v>27540</v>
      </c>
      <c r="I224" s="11">
        <v>27540</v>
      </c>
      <c r="J224" s="11">
        <f t="shared" si="7"/>
        <v>0</v>
      </c>
      <c r="K224" s="12">
        <f>VLOOKUP(A224,[2]VA05!$A:$K,11,FALSE)</f>
        <v>45566</v>
      </c>
      <c r="L224" s="10" t="s">
        <v>11</v>
      </c>
      <c r="M224" s="10" t="s">
        <v>155</v>
      </c>
    </row>
    <row r="225" spans="1:13" hidden="1" x14ac:dyDescent="0.25">
      <c r="A225" s="13" t="str">
        <f t="shared" si="6"/>
        <v>50714269210</v>
      </c>
      <c r="B225" s="10">
        <v>1004057890</v>
      </c>
      <c r="C225" s="10">
        <v>507142692</v>
      </c>
      <c r="D225" s="10">
        <v>10</v>
      </c>
      <c r="E225" s="10" t="s">
        <v>10</v>
      </c>
      <c r="F225" s="10">
        <v>1367372</v>
      </c>
      <c r="G225" s="10" t="s">
        <v>62</v>
      </c>
      <c r="H225" s="11">
        <v>27540</v>
      </c>
      <c r="I225" s="11">
        <v>27540</v>
      </c>
      <c r="J225" s="11">
        <f t="shared" si="7"/>
        <v>0</v>
      </c>
      <c r="K225" s="12">
        <f>VLOOKUP(A225,[2]VA05!$A:$K,11,FALSE)</f>
        <v>45566</v>
      </c>
      <c r="L225" s="10" t="s">
        <v>11</v>
      </c>
      <c r="M225" s="10" t="s">
        <v>155</v>
      </c>
    </row>
    <row r="226" spans="1:13" x14ac:dyDescent="0.25">
      <c r="A226" s="13" t="str">
        <f t="shared" si="6"/>
        <v>50714269210</v>
      </c>
      <c r="B226" s="10">
        <v>1004057891</v>
      </c>
      <c r="C226" s="10">
        <v>507142692</v>
      </c>
      <c r="D226" s="10">
        <v>10</v>
      </c>
      <c r="E226" s="10" t="s">
        <v>10</v>
      </c>
      <c r="F226" s="10">
        <v>1367372</v>
      </c>
      <c r="G226" s="10" t="s">
        <v>62</v>
      </c>
      <c r="H226" s="11">
        <v>27540</v>
      </c>
      <c r="I226" s="10">
        <v>0</v>
      </c>
      <c r="J226" s="11">
        <f t="shared" si="7"/>
        <v>27540</v>
      </c>
      <c r="K226" s="12">
        <f>VLOOKUP(A226,[2]VA05!$A:$K,11,FALSE)</f>
        <v>45566</v>
      </c>
      <c r="L226" s="10" t="s">
        <v>12</v>
      </c>
      <c r="M226" s="10" t="s">
        <v>155</v>
      </c>
    </row>
    <row r="227" spans="1:13" x14ac:dyDescent="0.25">
      <c r="A227" s="13" t="str">
        <f t="shared" si="6"/>
        <v>50714269210</v>
      </c>
      <c r="B227" s="10">
        <v>1004057892</v>
      </c>
      <c r="C227" s="10">
        <v>507142692</v>
      </c>
      <c r="D227" s="10">
        <v>10</v>
      </c>
      <c r="E227" s="10" t="s">
        <v>10</v>
      </c>
      <c r="F227" s="10">
        <v>1367372</v>
      </c>
      <c r="G227" s="10" t="s">
        <v>62</v>
      </c>
      <c r="H227" s="11">
        <v>27540</v>
      </c>
      <c r="I227" s="10">
        <v>0</v>
      </c>
      <c r="J227" s="11">
        <f t="shared" si="7"/>
        <v>27540</v>
      </c>
      <c r="K227" s="12">
        <f>VLOOKUP(A227,[2]VA05!$A:$K,11,FALSE)</f>
        <v>45566</v>
      </c>
      <c r="L227" s="10" t="s">
        <v>12</v>
      </c>
      <c r="M227" s="10" t="s">
        <v>155</v>
      </c>
    </row>
    <row r="228" spans="1:13" x14ac:dyDescent="0.25">
      <c r="A228" s="13" t="str">
        <f t="shared" si="6"/>
        <v>50714263860</v>
      </c>
      <c r="B228" s="10">
        <v>1004049845</v>
      </c>
      <c r="C228" s="10">
        <v>507142638</v>
      </c>
      <c r="D228" s="10">
        <v>60</v>
      </c>
      <c r="E228" s="10" t="s">
        <v>10</v>
      </c>
      <c r="F228" s="10">
        <v>1361175</v>
      </c>
      <c r="G228" s="10" t="s">
        <v>22</v>
      </c>
      <c r="H228" s="11">
        <v>36850</v>
      </c>
      <c r="I228" s="11">
        <v>4576</v>
      </c>
      <c r="J228" s="11">
        <f t="shared" si="7"/>
        <v>32274</v>
      </c>
      <c r="K228" s="12">
        <f>VLOOKUP(A228,[2]VA05!$A:$K,11,FALSE)</f>
        <v>45560</v>
      </c>
      <c r="L228" s="10" t="s">
        <v>11</v>
      </c>
      <c r="M228" s="10" t="s">
        <v>143</v>
      </c>
    </row>
    <row r="229" spans="1:13" x14ac:dyDescent="0.25">
      <c r="A229" s="13" t="str">
        <f t="shared" si="6"/>
        <v>50714263860</v>
      </c>
      <c r="B229" s="10">
        <v>1004049846</v>
      </c>
      <c r="C229" s="10">
        <v>507142638</v>
      </c>
      <c r="D229" s="10">
        <v>60</v>
      </c>
      <c r="E229" s="10" t="s">
        <v>10</v>
      </c>
      <c r="F229" s="10">
        <v>1361175</v>
      </c>
      <c r="G229" s="10" t="s">
        <v>22</v>
      </c>
      <c r="H229" s="11">
        <v>36190</v>
      </c>
      <c r="I229" s="10">
        <v>0</v>
      </c>
      <c r="J229" s="11">
        <f t="shared" si="7"/>
        <v>36190</v>
      </c>
      <c r="K229" s="12">
        <f>VLOOKUP(A229,[2]VA05!$A:$K,11,FALSE)</f>
        <v>45560</v>
      </c>
      <c r="L229" s="10" t="s">
        <v>29</v>
      </c>
      <c r="M229" s="10" t="s">
        <v>97</v>
      </c>
    </row>
    <row r="230" spans="1:13" x14ac:dyDescent="0.25">
      <c r="A230" s="13" t="str">
        <f t="shared" si="6"/>
        <v>50714238310</v>
      </c>
      <c r="B230" s="10">
        <v>1004012620</v>
      </c>
      <c r="C230" s="10">
        <v>507142383</v>
      </c>
      <c r="D230" s="10">
        <v>10</v>
      </c>
      <c r="E230" s="10" t="s">
        <v>10</v>
      </c>
      <c r="F230" s="10">
        <v>1367370</v>
      </c>
      <c r="G230" s="10" t="s">
        <v>63</v>
      </c>
      <c r="H230" s="11">
        <v>49950</v>
      </c>
      <c r="I230" s="11">
        <v>28412</v>
      </c>
      <c r="J230" s="11">
        <f t="shared" si="7"/>
        <v>21538</v>
      </c>
      <c r="K230" s="12" t="e">
        <f>VLOOKUP(A230,[2]VA05!$A:$K,11,FALSE)</f>
        <v>#N/A</v>
      </c>
      <c r="L230" s="10" t="s">
        <v>233</v>
      </c>
      <c r="M230" s="10" t="s">
        <v>155</v>
      </c>
    </row>
    <row r="231" spans="1:13" hidden="1" x14ac:dyDescent="0.25">
      <c r="A231" s="13" t="str">
        <f t="shared" si="6"/>
        <v>50714263940</v>
      </c>
      <c r="B231" s="10">
        <v>1004046968</v>
      </c>
      <c r="C231" s="10">
        <v>507142639</v>
      </c>
      <c r="D231" s="10">
        <v>40</v>
      </c>
      <c r="E231" s="10" t="s">
        <v>10</v>
      </c>
      <c r="F231" s="10">
        <v>1367370</v>
      </c>
      <c r="G231" s="10" t="s">
        <v>63</v>
      </c>
      <c r="H231" s="11">
        <v>33048</v>
      </c>
      <c r="I231" s="11">
        <v>33048</v>
      </c>
      <c r="J231" s="11">
        <f t="shared" si="7"/>
        <v>0</v>
      </c>
      <c r="K231" s="12" t="e">
        <f>VLOOKUP(A231,[2]VA05!$A:$K,11,FALSE)</f>
        <v>#N/A</v>
      </c>
      <c r="L231" s="10" t="s">
        <v>34</v>
      </c>
      <c r="M231" s="10" t="s">
        <v>61</v>
      </c>
    </row>
    <row r="232" spans="1:13" x14ac:dyDescent="0.25">
      <c r="A232" s="13" t="str">
        <f t="shared" si="6"/>
        <v>50714269220</v>
      </c>
      <c r="B232" s="10">
        <v>1004057894</v>
      </c>
      <c r="C232" s="10">
        <v>507142692</v>
      </c>
      <c r="D232" s="10">
        <v>20</v>
      </c>
      <c r="E232" s="10" t="s">
        <v>10</v>
      </c>
      <c r="F232" s="10">
        <v>1367370</v>
      </c>
      <c r="G232" s="10" t="s">
        <v>63</v>
      </c>
      <c r="H232" s="11">
        <v>25920</v>
      </c>
      <c r="I232" s="10">
        <v>0</v>
      </c>
      <c r="J232" s="11">
        <f t="shared" si="7"/>
        <v>25920</v>
      </c>
      <c r="K232" s="12">
        <f>VLOOKUP(A232,[2]VA05!$A:$K,11,FALSE)</f>
        <v>45567</v>
      </c>
      <c r="L232" s="10" t="s">
        <v>234</v>
      </c>
      <c r="M232" s="10" t="s">
        <v>155</v>
      </c>
    </row>
    <row r="233" spans="1:13" x14ac:dyDescent="0.25">
      <c r="A233" s="13" t="str">
        <f t="shared" si="6"/>
        <v>50714269220</v>
      </c>
      <c r="B233" s="10">
        <v>1004057895</v>
      </c>
      <c r="C233" s="10">
        <v>507142692</v>
      </c>
      <c r="D233" s="10">
        <v>20</v>
      </c>
      <c r="E233" s="10" t="s">
        <v>10</v>
      </c>
      <c r="F233" s="10">
        <v>1367370</v>
      </c>
      <c r="G233" s="10" t="s">
        <v>63</v>
      </c>
      <c r="H233" s="11">
        <v>25920</v>
      </c>
      <c r="I233" s="10">
        <v>0</v>
      </c>
      <c r="J233" s="11">
        <f t="shared" si="7"/>
        <v>25920</v>
      </c>
      <c r="K233" s="12">
        <f>VLOOKUP(A233,[2]VA05!$A:$K,11,FALSE)</f>
        <v>45567</v>
      </c>
      <c r="L233" s="10" t="s">
        <v>235</v>
      </c>
      <c r="M233" s="10" t="s">
        <v>155</v>
      </c>
    </row>
    <row r="234" spans="1:13" x14ac:dyDescent="0.25">
      <c r="A234" s="13" t="str">
        <f t="shared" si="6"/>
        <v>50714269220</v>
      </c>
      <c r="B234" s="10">
        <v>1004057896</v>
      </c>
      <c r="C234" s="10">
        <v>507142692</v>
      </c>
      <c r="D234" s="10">
        <v>20</v>
      </c>
      <c r="E234" s="10" t="s">
        <v>10</v>
      </c>
      <c r="F234" s="10">
        <v>1367370</v>
      </c>
      <c r="G234" s="10" t="s">
        <v>63</v>
      </c>
      <c r="H234" s="11">
        <v>25920</v>
      </c>
      <c r="I234" s="10">
        <v>0</v>
      </c>
      <c r="J234" s="11">
        <f t="shared" si="7"/>
        <v>25920</v>
      </c>
      <c r="K234" s="12">
        <f>VLOOKUP(A234,[2]VA05!$A:$K,11,FALSE)</f>
        <v>45567</v>
      </c>
      <c r="L234" s="10" t="s">
        <v>12</v>
      </c>
      <c r="M234" s="10" t="s">
        <v>155</v>
      </c>
    </row>
    <row r="235" spans="1:13" x14ac:dyDescent="0.25">
      <c r="A235" s="13" t="str">
        <f t="shared" si="6"/>
        <v>50714269220</v>
      </c>
      <c r="B235" s="10">
        <v>1004057897</v>
      </c>
      <c r="C235" s="10">
        <v>507142692</v>
      </c>
      <c r="D235" s="10">
        <v>20</v>
      </c>
      <c r="E235" s="10" t="s">
        <v>10</v>
      </c>
      <c r="F235" s="10">
        <v>1367370</v>
      </c>
      <c r="G235" s="10" t="s">
        <v>63</v>
      </c>
      <c r="H235" s="11">
        <v>32400</v>
      </c>
      <c r="I235" s="10">
        <v>0</v>
      </c>
      <c r="J235" s="11">
        <f t="shared" si="7"/>
        <v>32400</v>
      </c>
      <c r="K235" s="12">
        <f>VLOOKUP(A235,[2]VA05!$A:$K,11,FALSE)</f>
        <v>45567</v>
      </c>
      <c r="L235" s="10" t="s">
        <v>12</v>
      </c>
      <c r="M235" s="10" t="s">
        <v>155</v>
      </c>
    </row>
    <row r="236" spans="1:13" hidden="1" x14ac:dyDescent="0.25">
      <c r="A236" s="13" t="str">
        <f t="shared" si="6"/>
        <v>50714269210</v>
      </c>
      <c r="B236" s="10">
        <v>1004041362</v>
      </c>
      <c r="C236" s="10">
        <v>507142692</v>
      </c>
      <c r="D236" s="10">
        <v>10</v>
      </c>
      <c r="E236" s="10" t="s">
        <v>10</v>
      </c>
      <c r="F236" s="10">
        <v>1361213</v>
      </c>
      <c r="G236" s="10" t="s">
        <v>23</v>
      </c>
      <c r="H236" s="11">
        <v>113465</v>
      </c>
      <c r="I236" s="11">
        <v>113465</v>
      </c>
      <c r="J236" s="11">
        <f t="shared" si="7"/>
        <v>0</v>
      </c>
      <c r="K236" s="12">
        <f>VLOOKUP(A236,[2]VA05!$A:$K,11,FALSE)</f>
        <v>45566</v>
      </c>
      <c r="L236" s="10" t="s">
        <v>113</v>
      </c>
      <c r="M236" s="10" t="s">
        <v>130</v>
      </c>
    </row>
    <row r="237" spans="1:13" x14ac:dyDescent="0.25">
      <c r="A237" s="13" t="str">
        <f t="shared" si="6"/>
        <v>50714263830</v>
      </c>
      <c r="B237" s="10">
        <v>1004043125</v>
      </c>
      <c r="C237" s="10">
        <v>507142638</v>
      </c>
      <c r="D237" s="10">
        <v>30</v>
      </c>
      <c r="E237" s="10" t="s">
        <v>10</v>
      </c>
      <c r="F237" s="10">
        <v>1361213</v>
      </c>
      <c r="G237" s="10" t="s">
        <v>23</v>
      </c>
      <c r="H237" s="11">
        <v>113465</v>
      </c>
      <c r="I237" s="11">
        <v>11800</v>
      </c>
      <c r="J237" s="11">
        <f t="shared" si="7"/>
        <v>101665</v>
      </c>
      <c r="K237" s="12" t="e">
        <f>VLOOKUP(A237,[2]VA05!$A:$K,11,FALSE)</f>
        <v>#N/A</v>
      </c>
      <c r="L237" s="10" t="s">
        <v>18</v>
      </c>
      <c r="M237" s="10" t="s">
        <v>195</v>
      </c>
    </row>
    <row r="238" spans="1:13" x14ac:dyDescent="0.25">
      <c r="A238" s="13" t="str">
        <f t="shared" si="6"/>
        <v>50714263850</v>
      </c>
      <c r="B238" s="10">
        <v>1004043126</v>
      </c>
      <c r="C238" s="10">
        <v>507142638</v>
      </c>
      <c r="D238" s="10">
        <v>50</v>
      </c>
      <c r="E238" s="10" t="s">
        <v>10</v>
      </c>
      <c r="F238" s="10">
        <v>1361213</v>
      </c>
      <c r="G238" s="10" t="s">
        <v>23</v>
      </c>
      <c r="H238" s="11">
        <v>113187</v>
      </c>
      <c r="I238" s="10">
        <v>0</v>
      </c>
      <c r="J238" s="11">
        <f t="shared" si="7"/>
        <v>113187</v>
      </c>
      <c r="K238" s="12">
        <f>VLOOKUP(A238,[2]VA05!$A:$K,11,FALSE)</f>
        <v>45560</v>
      </c>
      <c r="L238" s="10" t="s">
        <v>12</v>
      </c>
      <c r="M238" s="10" t="s">
        <v>111</v>
      </c>
    </row>
    <row r="239" spans="1:13" x14ac:dyDescent="0.25">
      <c r="A239" s="13" t="str">
        <f t="shared" si="6"/>
        <v>50714273810</v>
      </c>
      <c r="B239" s="10">
        <v>1004053617</v>
      </c>
      <c r="C239" s="10">
        <v>507142738</v>
      </c>
      <c r="D239" s="10">
        <v>10</v>
      </c>
      <c r="E239" s="10" t="s">
        <v>10</v>
      </c>
      <c r="F239" s="10">
        <v>1361213</v>
      </c>
      <c r="G239" s="10" t="s">
        <v>23</v>
      </c>
      <c r="H239" s="11">
        <v>113468</v>
      </c>
      <c r="I239" s="10">
        <v>0</v>
      </c>
      <c r="J239" s="11">
        <f t="shared" si="7"/>
        <v>113468</v>
      </c>
      <c r="K239" s="12">
        <f>VLOOKUP(A239,[2]VA05!$A:$K,11,FALSE)</f>
        <v>45567</v>
      </c>
      <c r="L239" s="10" t="s">
        <v>12</v>
      </c>
      <c r="M239" s="10" t="s">
        <v>130</v>
      </c>
    </row>
    <row r="240" spans="1:13" x14ac:dyDescent="0.25">
      <c r="A240" s="13" t="str">
        <f t="shared" si="6"/>
        <v>50714279010</v>
      </c>
      <c r="B240" s="10">
        <v>1004053618</v>
      </c>
      <c r="C240" s="10">
        <v>507142790</v>
      </c>
      <c r="D240" s="10">
        <v>10</v>
      </c>
      <c r="E240" s="10" t="s">
        <v>10</v>
      </c>
      <c r="F240" s="10">
        <v>1361213</v>
      </c>
      <c r="G240" s="10" t="s">
        <v>23</v>
      </c>
      <c r="H240" s="11">
        <v>113465</v>
      </c>
      <c r="I240" s="10">
        <v>0</v>
      </c>
      <c r="J240" s="11">
        <f t="shared" si="7"/>
        <v>113465</v>
      </c>
      <c r="K240" s="12">
        <f>VLOOKUP(A240,[2]VA05!$A:$K,11,FALSE)</f>
        <v>45583</v>
      </c>
      <c r="L240" s="10" t="s">
        <v>12</v>
      </c>
      <c r="M240" s="10" t="s">
        <v>180</v>
      </c>
    </row>
    <row r="241" spans="1:13" hidden="1" x14ac:dyDescent="0.25">
      <c r="A241" s="13" t="str">
        <f t="shared" si="6"/>
        <v>50714263730</v>
      </c>
      <c r="B241" s="10">
        <v>1004053624</v>
      </c>
      <c r="C241" s="10">
        <v>507142637</v>
      </c>
      <c r="D241" s="10">
        <v>30</v>
      </c>
      <c r="E241" s="10" t="s">
        <v>10</v>
      </c>
      <c r="F241" s="10">
        <v>1408740</v>
      </c>
      <c r="G241" s="10" t="s">
        <v>104</v>
      </c>
      <c r="H241" s="11">
        <v>27540</v>
      </c>
      <c r="I241" s="11">
        <v>27540</v>
      </c>
      <c r="J241" s="11">
        <f t="shared" si="7"/>
        <v>0</v>
      </c>
      <c r="K241" s="12">
        <f>VLOOKUP(A241,[2]VA05!$A:$K,11,FALSE)</f>
        <v>45566</v>
      </c>
      <c r="L241" s="10" t="s">
        <v>132</v>
      </c>
      <c r="M241" s="10" t="s">
        <v>140</v>
      </c>
    </row>
    <row r="242" spans="1:13" x14ac:dyDescent="0.25">
      <c r="A242" s="13" t="str">
        <f t="shared" si="6"/>
        <v>50714263730</v>
      </c>
      <c r="B242" s="10">
        <v>1004053625</v>
      </c>
      <c r="C242" s="10">
        <v>507142637</v>
      </c>
      <c r="D242" s="10">
        <v>30</v>
      </c>
      <c r="E242" s="10" t="s">
        <v>10</v>
      </c>
      <c r="F242" s="10">
        <v>1408740</v>
      </c>
      <c r="G242" s="10" t="s">
        <v>104</v>
      </c>
      <c r="H242" s="11">
        <v>27540</v>
      </c>
      <c r="I242" s="11">
        <v>23170</v>
      </c>
      <c r="J242" s="11">
        <f t="shared" si="7"/>
        <v>4370</v>
      </c>
      <c r="K242" s="12">
        <f>VLOOKUP(A242,[2]VA05!$A:$K,11,FALSE)</f>
        <v>45566</v>
      </c>
      <c r="L242" s="10" t="s">
        <v>132</v>
      </c>
      <c r="M242" s="10" t="s">
        <v>155</v>
      </c>
    </row>
    <row r="243" spans="1:13" x14ac:dyDescent="0.25">
      <c r="A243" s="13" t="str">
        <f t="shared" si="6"/>
        <v>50714263750</v>
      </c>
      <c r="B243" s="10">
        <v>1004053626</v>
      </c>
      <c r="C243" s="10">
        <v>507142637</v>
      </c>
      <c r="D243" s="10">
        <v>50</v>
      </c>
      <c r="E243" s="10" t="s">
        <v>10</v>
      </c>
      <c r="F243" s="10">
        <v>1408740</v>
      </c>
      <c r="G243" s="10" t="s">
        <v>104</v>
      </c>
      <c r="H243" s="11">
        <v>27540</v>
      </c>
      <c r="I243" s="10">
        <v>0</v>
      </c>
      <c r="J243" s="11">
        <f t="shared" si="7"/>
        <v>27540</v>
      </c>
      <c r="K243" s="12">
        <f>VLOOKUP(A243,[2]VA05!$A:$K,11,FALSE)</f>
        <v>45552</v>
      </c>
      <c r="L243" s="10" t="s">
        <v>12</v>
      </c>
      <c r="M243" s="10" t="s">
        <v>142</v>
      </c>
    </row>
    <row r="244" spans="1:13" x14ac:dyDescent="0.25">
      <c r="A244" s="13" t="str">
        <f t="shared" si="6"/>
        <v>50714263750</v>
      </c>
      <c r="B244" s="10">
        <v>1004053627</v>
      </c>
      <c r="C244" s="10">
        <v>507142637</v>
      </c>
      <c r="D244" s="10">
        <v>50</v>
      </c>
      <c r="E244" s="10" t="s">
        <v>10</v>
      </c>
      <c r="F244" s="10">
        <v>1408740</v>
      </c>
      <c r="G244" s="10" t="s">
        <v>104</v>
      </c>
      <c r="H244" s="11">
        <v>27540</v>
      </c>
      <c r="I244" s="10">
        <v>0</v>
      </c>
      <c r="J244" s="11">
        <f t="shared" si="7"/>
        <v>27540</v>
      </c>
      <c r="K244" s="12">
        <f>VLOOKUP(A244,[2]VA05!$A:$K,11,FALSE)</f>
        <v>45552</v>
      </c>
      <c r="L244" s="10" t="s">
        <v>12</v>
      </c>
      <c r="M244" s="10" t="s">
        <v>142</v>
      </c>
    </row>
    <row r="245" spans="1:13" x14ac:dyDescent="0.25">
      <c r="A245" s="13" t="str">
        <f t="shared" si="6"/>
        <v>50714263750</v>
      </c>
      <c r="B245" s="10">
        <v>1004053628</v>
      </c>
      <c r="C245" s="10">
        <v>507142637</v>
      </c>
      <c r="D245" s="10">
        <v>50</v>
      </c>
      <c r="E245" s="10" t="s">
        <v>10</v>
      </c>
      <c r="F245" s="10">
        <v>1408740</v>
      </c>
      <c r="G245" s="10" t="s">
        <v>104</v>
      </c>
      <c r="H245" s="11">
        <v>27540</v>
      </c>
      <c r="I245" s="10">
        <v>0</v>
      </c>
      <c r="J245" s="11">
        <f t="shared" si="7"/>
        <v>27540</v>
      </c>
      <c r="K245" s="12">
        <f>VLOOKUP(A245,[2]VA05!$A:$K,11,FALSE)</f>
        <v>45552</v>
      </c>
      <c r="L245" s="10" t="s">
        <v>12</v>
      </c>
      <c r="M245" s="10" t="s">
        <v>142</v>
      </c>
    </row>
    <row r="246" spans="1:13" x14ac:dyDescent="0.25">
      <c r="A246" s="13" t="str">
        <f t="shared" si="6"/>
        <v>50714263750</v>
      </c>
      <c r="B246" s="10">
        <v>1004053629</v>
      </c>
      <c r="C246" s="10">
        <v>507142637</v>
      </c>
      <c r="D246" s="10">
        <v>50</v>
      </c>
      <c r="E246" s="10" t="s">
        <v>10</v>
      </c>
      <c r="F246" s="10">
        <v>1408740</v>
      </c>
      <c r="G246" s="10" t="s">
        <v>104</v>
      </c>
      <c r="H246" s="11">
        <v>27270</v>
      </c>
      <c r="I246" s="10">
        <v>0</v>
      </c>
      <c r="J246" s="11">
        <f t="shared" si="7"/>
        <v>27270</v>
      </c>
      <c r="K246" s="12">
        <f>VLOOKUP(A246,[2]VA05!$A:$K,11,FALSE)</f>
        <v>45552</v>
      </c>
      <c r="L246" s="10" t="s">
        <v>12</v>
      </c>
      <c r="M246" s="10" t="s">
        <v>142</v>
      </c>
    </row>
    <row r="247" spans="1:13" x14ac:dyDescent="0.25">
      <c r="A247" s="13" t="str">
        <f t="shared" si="6"/>
        <v>50714238440</v>
      </c>
      <c r="B247" s="10">
        <v>1004037417</v>
      </c>
      <c r="C247" s="10">
        <v>507142384</v>
      </c>
      <c r="D247" s="10">
        <v>40</v>
      </c>
      <c r="E247" s="10" t="s">
        <v>10</v>
      </c>
      <c r="F247" s="10">
        <v>1408739</v>
      </c>
      <c r="G247" s="10" t="s">
        <v>37</v>
      </c>
      <c r="H247" s="11">
        <v>25460</v>
      </c>
      <c r="I247" s="11">
        <v>19083</v>
      </c>
      <c r="J247" s="11">
        <f t="shared" si="7"/>
        <v>6377</v>
      </c>
      <c r="K247" s="12" t="e">
        <f>VLOOKUP(A247,[2]VA05!$A:$K,11,FALSE)</f>
        <v>#N/A</v>
      </c>
      <c r="L247" s="10" t="s">
        <v>118</v>
      </c>
      <c r="M247" s="10" t="s">
        <v>74</v>
      </c>
    </row>
    <row r="248" spans="1:13" x14ac:dyDescent="0.25">
      <c r="A248" s="13" t="str">
        <f t="shared" si="6"/>
        <v>50714238440</v>
      </c>
      <c r="B248" s="10">
        <v>1004037418</v>
      </c>
      <c r="C248" s="10">
        <v>507142384</v>
      </c>
      <c r="D248" s="10">
        <v>40</v>
      </c>
      <c r="E248" s="10" t="s">
        <v>10</v>
      </c>
      <c r="F248" s="10">
        <v>1408739</v>
      </c>
      <c r="G248" s="10" t="s">
        <v>37</v>
      </c>
      <c r="H248" s="11">
        <v>25460</v>
      </c>
      <c r="I248" s="11">
        <v>19050</v>
      </c>
      <c r="J248" s="11">
        <f t="shared" si="7"/>
        <v>6410</v>
      </c>
      <c r="K248" s="12" t="e">
        <f>VLOOKUP(A248,[2]VA05!$A:$K,11,FALSE)</f>
        <v>#N/A</v>
      </c>
      <c r="L248" s="10" t="s">
        <v>118</v>
      </c>
      <c r="M248" s="10" t="s">
        <v>79</v>
      </c>
    </row>
    <row r="249" spans="1:13" x14ac:dyDescent="0.25">
      <c r="A249" s="13" t="str">
        <f t="shared" si="6"/>
        <v>50714238440</v>
      </c>
      <c r="B249" s="10">
        <v>1004037419</v>
      </c>
      <c r="C249" s="10">
        <v>507142384</v>
      </c>
      <c r="D249" s="10">
        <v>40</v>
      </c>
      <c r="E249" s="10" t="s">
        <v>10</v>
      </c>
      <c r="F249" s="10">
        <v>1408739</v>
      </c>
      <c r="G249" s="10" t="s">
        <v>37</v>
      </c>
      <c r="H249" s="11">
        <v>25460</v>
      </c>
      <c r="I249" s="11">
        <v>7500</v>
      </c>
      <c r="J249" s="11">
        <f t="shared" si="7"/>
        <v>17960</v>
      </c>
      <c r="K249" s="12" t="e">
        <f>VLOOKUP(A249,[2]VA05!$A:$K,11,FALSE)</f>
        <v>#N/A</v>
      </c>
      <c r="L249" s="10" t="s">
        <v>118</v>
      </c>
      <c r="M249" s="10" t="s">
        <v>79</v>
      </c>
    </row>
    <row r="250" spans="1:13" x14ac:dyDescent="0.25">
      <c r="A250" s="13" t="str">
        <f t="shared" si="6"/>
        <v>50714238440</v>
      </c>
      <c r="B250" s="10">
        <v>1004037420</v>
      </c>
      <c r="C250" s="10">
        <v>507142384</v>
      </c>
      <c r="D250" s="10">
        <v>40</v>
      </c>
      <c r="E250" s="10" t="s">
        <v>10</v>
      </c>
      <c r="F250" s="10">
        <v>1408739</v>
      </c>
      <c r="G250" s="10" t="s">
        <v>37</v>
      </c>
      <c r="H250" s="11">
        <v>33510</v>
      </c>
      <c r="I250" s="11">
        <v>12436</v>
      </c>
      <c r="J250" s="11">
        <f t="shared" si="7"/>
        <v>21074</v>
      </c>
      <c r="K250" s="12" t="e">
        <f>VLOOKUP(A250,[2]VA05!$A:$K,11,FALSE)</f>
        <v>#N/A</v>
      </c>
      <c r="L250" s="10" t="s">
        <v>118</v>
      </c>
      <c r="M250" s="10" t="s">
        <v>79</v>
      </c>
    </row>
    <row r="251" spans="1:13" hidden="1" x14ac:dyDescent="0.25">
      <c r="A251" s="13" t="str">
        <f t="shared" si="6"/>
        <v>50714263760</v>
      </c>
      <c r="B251" s="10">
        <v>1004053630</v>
      </c>
      <c r="C251" s="10">
        <v>507142637</v>
      </c>
      <c r="D251" s="10">
        <v>60</v>
      </c>
      <c r="E251" s="10" t="s">
        <v>10</v>
      </c>
      <c r="F251" s="10">
        <v>1408739</v>
      </c>
      <c r="G251" s="10" t="s">
        <v>37</v>
      </c>
      <c r="H251" s="11">
        <v>27864</v>
      </c>
      <c r="I251" s="11">
        <v>27864</v>
      </c>
      <c r="J251" s="11">
        <f t="shared" si="7"/>
        <v>0</v>
      </c>
      <c r="K251" s="12">
        <f>VLOOKUP(A251,[2]VA05!$A:$K,11,FALSE)</f>
        <v>45553</v>
      </c>
      <c r="L251" s="10" t="s">
        <v>132</v>
      </c>
      <c r="M251" s="10" t="s">
        <v>130</v>
      </c>
    </row>
    <row r="252" spans="1:13" hidden="1" x14ac:dyDescent="0.25">
      <c r="A252" s="13" t="str">
        <f t="shared" si="6"/>
        <v>50714263760</v>
      </c>
      <c r="B252" s="10">
        <v>1004053631</v>
      </c>
      <c r="C252" s="10">
        <v>507142637</v>
      </c>
      <c r="D252" s="10">
        <v>60</v>
      </c>
      <c r="E252" s="10" t="s">
        <v>10</v>
      </c>
      <c r="F252" s="10">
        <v>1408739</v>
      </c>
      <c r="G252" s="10" t="s">
        <v>37</v>
      </c>
      <c r="H252" s="11">
        <v>27864</v>
      </c>
      <c r="I252" s="11">
        <v>27864</v>
      </c>
      <c r="J252" s="11">
        <f t="shared" si="7"/>
        <v>0</v>
      </c>
      <c r="K252" s="12">
        <f>VLOOKUP(A252,[2]VA05!$A:$K,11,FALSE)</f>
        <v>45553</v>
      </c>
      <c r="L252" s="10" t="s">
        <v>132</v>
      </c>
      <c r="M252" s="10" t="s">
        <v>61</v>
      </c>
    </row>
    <row r="253" spans="1:13" hidden="1" x14ac:dyDescent="0.25">
      <c r="A253" s="13" t="str">
        <f t="shared" si="6"/>
        <v>50714263760</v>
      </c>
      <c r="B253" s="10">
        <v>1004053632</v>
      </c>
      <c r="C253" s="10">
        <v>507142637</v>
      </c>
      <c r="D253" s="10">
        <v>60</v>
      </c>
      <c r="E253" s="10" t="s">
        <v>10</v>
      </c>
      <c r="F253" s="10">
        <v>1408739</v>
      </c>
      <c r="G253" s="10" t="s">
        <v>37</v>
      </c>
      <c r="H253" s="11">
        <v>27864</v>
      </c>
      <c r="I253" s="11">
        <v>39500</v>
      </c>
      <c r="J253" s="11">
        <f t="shared" si="7"/>
        <v>-11636</v>
      </c>
      <c r="K253" s="12">
        <f>VLOOKUP(A253,[2]VA05!$A:$K,11,FALSE)</f>
        <v>45553</v>
      </c>
      <c r="L253" s="10" t="s">
        <v>132</v>
      </c>
      <c r="M253" s="10" t="s">
        <v>155</v>
      </c>
    </row>
    <row r="254" spans="1:13" x14ac:dyDescent="0.25">
      <c r="A254" s="13" t="str">
        <f t="shared" si="6"/>
        <v>50714263760</v>
      </c>
      <c r="B254" s="10">
        <v>1004053633</v>
      </c>
      <c r="C254" s="10">
        <v>507142637</v>
      </c>
      <c r="D254" s="10">
        <v>60</v>
      </c>
      <c r="E254" s="10" t="s">
        <v>10</v>
      </c>
      <c r="F254" s="10">
        <v>1408739</v>
      </c>
      <c r="G254" s="10" t="s">
        <v>37</v>
      </c>
      <c r="H254" s="11">
        <v>26298</v>
      </c>
      <c r="I254" s="10">
        <v>11636</v>
      </c>
      <c r="J254" s="11">
        <f t="shared" si="7"/>
        <v>14662</v>
      </c>
      <c r="K254" s="12">
        <f>VLOOKUP(A254,[2]VA05!$A:$K,11,FALSE)</f>
        <v>45553</v>
      </c>
      <c r="L254" s="10" t="s">
        <v>146</v>
      </c>
      <c r="M254" s="10" t="s">
        <v>142</v>
      </c>
    </row>
    <row r="255" spans="1:13" x14ac:dyDescent="0.25">
      <c r="A255" s="13" t="str">
        <f t="shared" si="6"/>
        <v>50714263750</v>
      </c>
      <c r="B255" s="10">
        <v>1004041360</v>
      </c>
      <c r="C255" s="10">
        <v>507142637</v>
      </c>
      <c r="D255" s="10">
        <v>50</v>
      </c>
      <c r="E255" s="10" t="s">
        <v>10</v>
      </c>
      <c r="F255" s="10">
        <v>1408742</v>
      </c>
      <c r="G255" s="10" t="s">
        <v>38</v>
      </c>
      <c r="H255" s="11">
        <v>113187</v>
      </c>
      <c r="I255" s="11">
        <v>101833</v>
      </c>
      <c r="J255" s="11">
        <f t="shared" si="7"/>
        <v>11354</v>
      </c>
      <c r="K255" s="12">
        <f>VLOOKUP(A255,[2]VA05!$A:$K,11,FALSE)</f>
        <v>45552</v>
      </c>
      <c r="L255" s="10" t="s">
        <v>18</v>
      </c>
      <c r="M255" s="10" t="s">
        <v>140</v>
      </c>
    </row>
    <row r="256" spans="1:13" x14ac:dyDescent="0.25">
      <c r="A256" s="13" t="str">
        <f t="shared" si="6"/>
        <v>50714269810</v>
      </c>
      <c r="B256" s="10">
        <v>1004041361</v>
      </c>
      <c r="C256" s="10">
        <v>507142698</v>
      </c>
      <c r="D256" s="10">
        <v>10</v>
      </c>
      <c r="E256" s="10" t="s">
        <v>10</v>
      </c>
      <c r="F256" s="10">
        <v>1408742</v>
      </c>
      <c r="G256" s="10" t="s">
        <v>38</v>
      </c>
      <c r="H256" s="11">
        <v>113465</v>
      </c>
      <c r="I256" s="10">
        <v>0</v>
      </c>
      <c r="J256" s="11">
        <f t="shared" si="7"/>
        <v>113465</v>
      </c>
      <c r="K256" s="12">
        <f>VLOOKUP(A256,[2]VA05!$A:$K,11,FALSE)</f>
        <v>45553</v>
      </c>
      <c r="L256" s="10" t="s">
        <v>12</v>
      </c>
      <c r="M256" s="10" t="s">
        <v>96</v>
      </c>
    </row>
    <row r="257" spans="1:13" x14ac:dyDescent="0.25">
      <c r="A257" s="13" t="str">
        <f t="shared" si="6"/>
        <v>50714275710</v>
      </c>
      <c r="B257" s="10">
        <v>1004054925</v>
      </c>
      <c r="C257" s="10">
        <v>507142757</v>
      </c>
      <c r="D257" s="10">
        <v>10</v>
      </c>
      <c r="E257" s="10" t="s">
        <v>10</v>
      </c>
      <c r="F257" s="10">
        <v>1411702</v>
      </c>
      <c r="G257" s="10" t="s">
        <v>221</v>
      </c>
      <c r="H257" s="11">
        <v>74055</v>
      </c>
      <c r="I257" s="11">
        <v>11400</v>
      </c>
      <c r="J257" s="11">
        <f t="shared" si="7"/>
        <v>62655</v>
      </c>
      <c r="K257" s="12">
        <f>VLOOKUP(A257,[2]VA05!$A:$K,11,FALSE)</f>
        <v>45567</v>
      </c>
      <c r="L257" s="10" t="s">
        <v>11</v>
      </c>
      <c r="M257" s="10" t="s">
        <v>61</v>
      </c>
    </row>
    <row r="258" spans="1:13" x14ac:dyDescent="0.25">
      <c r="A258" s="13" t="str">
        <f t="shared" si="6"/>
        <v>50714275730</v>
      </c>
      <c r="B258" s="10">
        <v>1004054926</v>
      </c>
      <c r="C258" s="10">
        <v>507142757</v>
      </c>
      <c r="D258" s="10">
        <v>30</v>
      </c>
      <c r="E258" s="10" t="s">
        <v>10</v>
      </c>
      <c r="F258" s="10">
        <v>1411702</v>
      </c>
      <c r="G258" s="10" t="s">
        <v>221</v>
      </c>
      <c r="H258" s="11">
        <v>126758</v>
      </c>
      <c r="I258" s="10">
        <v>0</v>
      </c>
      <c r="J258" s="11">
        <f t="shared" si="7"/>
        <v>126758</v>
      </c>
      <c r="K258" s="12">
        <f>VLOOKUP(A258,[2]VA05!$A:$K,11,FALSE)</f>
        <v>45574</v>
      </c>
      <c r="L258" s="10" t="s">
        <v>12</v>
      </c>
      <c r="M258" s="10" t="s">
        <v>61</v>
      </c>
    </row>
    <row r="259" spans="1:13" x14ac:dyDescent="0.25">
      <c r="A259" s="13" t="str">
        <f t="shared" si="6"/>
        <v>50714275750</v>
      </c>
      <c r="B259" s="10">
        <v>1004054927</v>
      </c>
      <c r="C259" s="10">
        <v>507142757</v>
      </c>
      <c r="D259" s="10">
        <v>50</v>
      </c>
      <c r="E259" s="10" t="s">
        <v>10</v>
      </c>
      <c r="F259" s="10">
        <v>1411702</v>
      </c>
      <c r="G259" s="10" t="s">
        <v>221</v>
      </c>
      <c r="H259" s="11">
        <v>63514</v>
      </c>
      <c r="I259" s="10">
        <v>0</v>
      </c>
      <c r="J259" s="11">
        <f t="shared" si="7"/>
        <v>63514</v>
      </c>
      <c r="K259" s="12">
        <f>VLOOKUP(A259,[2]VA05!$A:$K,11,FALSE)</f>
        <v>45587</v>
      </c>
      <c r="L259" s="10" t="s">
        <v>12</v>
      </c>
      <c r="M259" s="10" t="s">
        <v>156</v>
      </c>
    </row>
    <row r="260" spans="1:13" x14ac:dyDescent="0.25">
      <c r="A260" s="13" t="str">
        <f t="shared" ref="A260:A285" si="8">C260&amp;D260</f>
        <v>50714275670</v>
      </c>
      <c r="B260" s="10">
        <v>1004052383</v>
      </c>
      <c r="C260" s="10">
        <v>507142756</v>
      </c>
      <c r="D260" s="10">
        <v>70</v>
      </c>
      <c r="E260" s="10" t="s">
        <v>10</v>
      </c>
      <c r="F260" s="10">
        <v>1411902</v>
      </c>
      <c r="G260" s="10" t="s">
        <v>151</v>
      </c>
      <c r="H260" s="11">
        <v>126758</v>
      </c>
      <c r="I260" s="11">
        <v>51462</v>
      </c>
      <c r="J260" s="11">
        <f t="shared" ref="J260:J285" si="9">H260-I260</f>
        <v>75296</v>
      </c>
      <c r="K260" s="12">
        <f>VLOOKUP(A260,[2]VA05!$A:$K,11,FALSE)</f>
        <v>45582</v>
      </c>
      <c r="L260" s="10" t="s">
        <v>18</v>
      </c>
      <c r="M260" s="10" t="s">
        <v>201</v>
      </c>
    </row>
    <row r="261" spans="1:13" x14ac:dyDescent="0.25">
      <c r="A261" s="13" t="str">
        <f t="shared" si="8"/>
        <v>50714275690</v>
      </c>
      <c r="B261" s="10">
        <v>1004052384</v>
      </c>
      <c r="C261" s="10">
        <v>507142756</v>
      </c>
      <c r="D261" s="10">
        <v>90</v>
      </c>
      <c r="E261" s="10" t="s">
        <v>10</v>
      </c>
      <c r="F261" s="10">
        <v>1411902</v>
      </c>
      <c r="G261" s="10" t="s">
        <v>151</v>
      </c>
      <c r="H261" s="11">
        <v>68920</v>
      </c>
      <c r="I261" s="10">
        <v>0</v>
      </c>
      <c r="J261" s="11">
        <f t="shared" si="9"/>
        <v>68920</v>
      </c>
      <c r="K261" s="12">
        <f>VLOOKUP(A261,[2]VA05!$A:$K,11,FALSE)</f>
        <v>45588</v>
      </c>
      <c r="L261" s="10" t="s">
        <v>12</v>
      </c>
      <c r="M261" s="10" t="s">
        <v>194</v>
      </c>
    </row>
    <row r="262" spans="1:13" x14ac:dyDescent="0.25">
      <c r="A262" s="13" t="str">
        <f t="shared" si="8"/>
        <v>50714275720</v>
      </c>
      <c r="B262" s="10">
        <v>1004052373</v>
      </c>
      <c r="C262" s="10">
        <v>507142757</v>
      </c>
      <c r="D262" s="10">
        <v>20</v>
      </c>
      <c r="E262" s="10" t="s">
        <v>10</v>
      </c>
      <c r="F262" s="10">
        <v>1411705</v>
      </c>
      <c r="G262" s="10" t="s">
        <v>189</v>
      </c>
      <c r="H262" s="11">
        <v>75493</v>
      </c>
      <c r="I262" s="10">
        <v>0</v>
      </c>
      <c r="J262" s="11">
        <f t="shared" si="9"/>
        <v>75493</v>
      </c>
      <c r="K262" s="12">
        <f>VLOOKUP(A262,[2]VA05!$A:$K,11,FALSE)</f>
        <v>45567</v>
      </c>
      <c r="L262" s="10" t="s">
        <v>27</v>
      </c>
      <c r="M262" s="10" t="s">
        <v>143</v>
      </c>
    </row>
    <row r="263" spans="1:13" x14ac:dyDescent="0.25">
      <c r="A263" s="13" t="str">
        <f t="shared" si="8"/>
        <v>50714275740</v>
      </c>
      <c r="B263" s="10">
        <v>1004052374</v>
      </c>
      <c r="C263" s="10">
        <v>507142757</v>
      </c>
      <c r="D263" s="10">
        <v>40</v>
      </c>
      <c r="E263" s="10" t="s">
        <v>10</v>
      </c>
      <c r="F263" s="10">
        <v>1411705</v>
      </c>
      <c r="G263" s="10" t="s">
        <v>189</v>
      </c>
      <c r="H263" s="11">
        <v>129220</v>
      </c>
      <c r="I263" s="10">
        <v>0</v>
      </c>
      <c r="J263" s="11">
        <f t="shared" si="9"/>
        <v>129220</v>
      </c>
      <c r="K263" s="12">
        <f>VLOOKUP(A263,[2]VA05!$A:$K,11,FALSE)</f>
        <v>45574</v>
      </c>
      <c r="L263" s="10" t="s">
        <v>12</v>
      </c>
      <c r="M263" s="10" t="s">
        <v>143</v>
      </c>
    </row>
    <row r="264" spans="1:13" x14ac:dyDescent="0.25">
      <c r="A264" s="13" t="str">
        <f t="shared" si="8"/>
        <v>50714275760</v>
      </c>
      <c r="B264" s="10">
        <v>1004052375</v>
      </c>
      <c r="C264" s="10">
        <v>507142757</v>
      </c>
      <c r="D264" s="10">
        <v>60</v>
      </c>
      <c r="E264" s="10" t="s">
        <v>10</v>
      </c>
      <c r="F264" s="10">
        <v>1411705</v>
      </c>
      <c r="G264" s="10" t="s">
        <v>189</v>
      </c>
      <c r="H264" s="11">
        <v>64748</v>
      </c>
      <c r="I264" s="10">
        <v>0</v>
      </c>
      <c r="J264" s="11">
        <f t="shared" si="9"/>
        <v>64748</v>
      </c>
      <c r="K264" s="12">
        <f>VLOOKUP(A264,[2]VA05!$A:$K,11,FALSE)</f>
        <v>45587</v>
      </c>
      <c r="L264" s="10" t="s">
        <v>12</v>
      </c>
      <c r="M264" s="10" t="s">
        <v>156</v>
      </c>
    </row>
    <row r="265" spans="1:13" x14ac:dyDescent="0.25">
      <c r="A265" s="13" t="str">
        <f t="shared" si="8"/>
        <v>50714275780</v>
      </c>
      <c r="B265" s="10">
        <v>1004052376</v>
      </c>
      <c r="C265" s="10">
        <v>507142757</v>
      </c>
      <c r="D265" s="10">
        <v>80</v>
      </c>
      <c r="E265" s="10" t="s">
        <v>10</v>
      </c>
      <c r="F265" s="10">
        <v>1411705</v>
      </c>
      <c r="G265" s="10" t="s">
        <v>189</v>
      </c>
      <c r="H265" s="11">
        <v>23145</v>
      </c>
      <c r="I265" s="10">
        <v>0</v>
      </c>
      <c r="J265" s="11">
        <f t="shared" si="9"/>
        <v>23145</v>
      </c>
      <c r="K265" s="12">
        <f>VLOOKUP(A265,[2]VA05!$A:$K,11,FALSE)</f>
        <v>45594</v>
      </c>
      <c r="L265" s="10" t="s">
        <v>12</v>
      </c>
      <c r="M265" s="10" t="s">
        <v>176</v>
      </c>
    </row>
    <row r="266" spans="1:13" x14ac:dyDescent="0.25">
      <c r="A266" s="13" t="str">
        <f t="shared" si="8"/>
        <v>50714275680</v>
      </c>
      <c r="B266" s="10">
        <v>1004052371</v>
      </c>
      <c r="C266" s="10">
        <v>507142756</v>
      </c>
      <c r="D266" s="10">
        <v>80</v>
      </c>
      <c r="E266" s="10" t="s">
        <v>10</v>
      </c>
      <c r="F266" s="10">
        <v>1411900</v>
      </c>
      <c r="G266" s="10" t="s">
        <v>152</v>
      </c>
      <c r="H266" s="11">
        <v>129220</v>
      </c>
      <c r="I266" s="11">
        <v>40422</v>
      </c>
      <c r="J266" s="11">
        <f t="shared" si="9"/>
        <v>88798</v>
      </c>
      <c r="K266" s="12">
        <f>VLOOKUP(A266,[2]VA05!$A:$K,11,FALSE)</f>
        <v>45582</v>
      </c>
      <c r="L266" s="10" t="s">
        <v>18</v>
      </c>
      <c r="M266" s="10" t="s">
        <v>180</v>
      </c>
    </row>
    <row r="267" spans="1:13" x14ac:dyDescent="0.25">
      <c r="A267" s="13" t="str">
        <f t="shared" si="8"/>
        <v>507142756100</v>
      </c>
      <c r="B267" s="10">
        <v>1004052372</v>
      </c>
      <c r="C267" s="10">
        <v>507142756</v>
      </c>
      <c r="D267" s="10">
        <v>100</v>
      </c>
      <c r="E267" s="10" t="s">
        <v>10</v>
      </c>
      <c r="F267" s="10">
        <v>1411900</v>
      </c>
      <c r="G267" s="10" t="s">
        <v>152</v>
      </c>
      <c r="H267" s="11">
        <v>70258</v>
      </c>
      <c r="I267" s="10">
        <v>0</v>
      </c>
      <c r="J267" s="11">
        <f t="shared" si="9"/>
        <v>70258</v>
      </c>
      <c r="K267" s="12">
        <f>VLOOKUP(A267,[2]VA05!$A:$K,11,FALSE)</f>
        <v>45588</v>
      </c>
      <c r="L267" s="10" t="s">
        <v>12</v>
      </c>
      <c r="M267" s="10" t="s">
        <v>178</v>
      </c>
    </row>
    <row r="268" spans="1:13" x14ac:dyDescent="0.25">
      <c r="A268" s="13" t="str">
        <f t="shared" si="8"/>
        <v>50714275710</v>
      </c>
      <c r="B268" s="10">
        <v>1004052377</v>
      </c>
      <c r="C268" s="10">
        <v>507142757</v>
      </c>
      <c r="D268" s="10">
        <v>10</v>
      </c>
      <c r="E268" s="10" t="s">
        <v>10</v>
      </c>
      <c r="F268" s="10">
        <v>1411703</v>
      </c>
      <c r="G268" s="10" t="s">
        <v>190</v>
      </c>
      <c r="H268" s="11">
        <v>71898</v>
      </c>
      <c r="I268" s="10">
        <v>0</v>
      </c>
      <c r="J268" s="11">
        <f t="shared" si="9"/>
        <v>71898</v>
      </c>
      <c r="K268" s="12">
        <f>VLOOKUP(A268,[2]VA05!$A:$K,11,FALSE)</f>
        <v>45567</v>
      </c>
      <c r="L268" s="10" t="s">
        <v>27</v>
      </c>
      <c r="M268" s="10" t="s">
        <v>143</v>
      </c>
    </row>
    <row r="269" spans="1:13" x14ac:dyDescent="0.25">
      <c r="A269" s="13" t="str">
        <f t="shared" si="8"/>
        <v>50714275730</v>
      </c>
      <c r="B269" s="10">
        <v>1004052378</v>
      </c>
      <c r="C269" s="10">
        <v>507142757</v>
      </c>
      <c r="D269" s="10">
        <v>30</v>
      </c>
      <c r="E269" s="10" t="s">
        <v>10</v>
      </c>
      <c r="F269" s="10">
        <v>1411703</v>
      </c>
      <c r="G269" s="10" t="s">
        <v>190</v>
      </c>
      <c r="H269" s="11">
        <v>123066</v>
      </c>
      <c r="I269" s="10">
        <v>0</v>
      </c>
      <c r="J269" s="11">
        <f t="shared" si="9"/>
        <v>123066</v>
      </c>
      <c r="K269" s="12">
        <f>VLOOKUP(A269,[2]VA05!$A:$K,11,FALSE)</f>
        <v>45574</v>
      </c>
      <c r="L269" s="10" t="s">
        <v>12</v>
      </c>
      <c r="M269" s="10" t="s">
        <v>97</v>
      </c>
    </row>
    <row r="270" spans="1:13" x14ac:dyDescent="0.25">
      <c r="A270" s="13" t="str">
        <f t="shared" si="8"/>
        <v>50714275750</v>
      </c>
      <c r="B270" s="10">
        <v>1004052379</v>
      </c>
      <c r="C270" s="10">
        <v>507142757</v>
      </c>
      <c r="D270" s="10">
        <v>50</v>
      </c>
      <c r="E270" s="10" t="s">
        <v>10</v>
      </c>
      <c r="F270" s="10">
        <v>1411703</v>
      </c>
      <c r="G270" s="10" t="s">
        <v>190</v>
      </c>
      <c r="H270" s="11">
        <v>61664</v>
      </c>
      <c r="I270" s="10">
        <v>0</v>
      </c>
      <c r="J270" s="11">
        <f t="shared" si="9"/>
        <v>61664</v>
      </c>
      <c r="K270" s="12">
        <f>VLOOKUP(A270,[2]VA05!$A:$K,11,FALSE)</f>
        <v>45587</v>
      </c>
      <c r="L270" s="10" t="s">
        <v>12</v>
      </c>
      <c r="M270" s="10" t="s">
        <v>156</v>
      </c>
    </row>
    <row r="271" spans="1:13" x14ac:dyDescent="0.25">
      <c r="A271" s="13" t="str">
        <f t="shared" si="8"/>
        <v>50714275770</v>
      </c>
      <c r="B271" s="10">
        <v>1004052380</v>
      </c>
      <c r="C271" s="10">
        <v>507142757</v>
      </c>
      <c r="D271" s="10">
        <v>70</v>
      </c>
      <c r="E271" s="10" t="s">
        <v>10</v>
      </c>
      <c r="F271" s="10">
        <v>1411703</v>
      </c>
      <c r="G271" s="10" t="s">
        <v>190</v>
      </c>
      <c r="H271" s="11">
        <v>22042</v>
      </c>
      <c r="I271" s="10">
        <v>0</v>
      </c>
      <c r="J271" s="11">
        <f t="shared" si="9"/>
        <v>22042</v>
      </c>
      <c r="K271" s="12">
        <f>VLOOKUP(A271,[2]VA05!$A:$K,11,FALSE)</f>
        <v>45594</v>
      </c>
      <c r="L271" s="10" t="s">
        <v>12</v>
      </c>
      <c r="M271" s="10" t="s">
        <v>176</v>
      </c>
    </row>
    <row r="272" spans="1:13" x14ac:dyDescent="0.25">
      <c r="A272" s="13" t="str">
        <f t="shared" si="8"/>
        <v>50714275650</v>
      </c>
      <c r="B272" s="10">
        <v>1004048063</v>
      </c>
      <c r="C272" s="10">
        <v>507142756</v>
      </c>
      <c r="D272" s="10">
        <v>50</v>
      </c>
      <c r="E272" s="10" t="s">
        <v>10</v>
      </c>
      <c r="F272" s="10">
        <v>1411901</v>
      </c>
      <c r="G272" s="10" t="s">
        <v>153</v>
      </c>
      <c r="H272" s="11">
        <v>20730</v>
      </c>
      <c r="I272" s="11">
        <v>17257</v>
      </c>
      <c r="J272" s="11">
        <f t="shared" si="9"/>
        <v>3473</v>
      </c>
      <c r="K272" s="12">
        <f>VLOOKUP(A272,[2]VA05!$A:$K,11,FALSE)</f>
        <v>45566</v>
      </c>
      <c r="L272" s="10" t="s">
        <v>18</v>
      </c>
      <c r="M272" s="10" t="s">
        <v>180</v>
      </c>
    </row>
    <row r="273" spans="1:13" x14ac:dyDescent="0.25">
      <c r="A273" s="13" t="str">
        <f t="shared" si="8"/>
        <v>50714275670</v>
      </c>
      <c r="B273" s="10">
        <v>1004052381</v>
      </c>
      <c r="C273" s="10">
        <v>507142756</v>
      </c>
      <c r="D273" s="10">
        <v>70</v>
      </c>
      <c r="E273" s="10" t="s">
        <v>10</v>
      </c>
      <c r="F273" s="10">
        <v>1411901</v>
      </c>
      <c r="G273" s="10" t="s">
        <v>153</v>
      </c>
      <c r="H273" s="11">
        <v>123066</v>
      </c>
      <c r="I273" s="10">
        <v>0</v>
      </c>
      <c r="J273" s="11">
        <f t="shared" si="9"/>
        <v>123066</v>
      </c>
      <c r="K273" s="12">
        <f>VLOOKUP(A273,[2]VA05!$A:$K,11,FALSE)</f>
        <v>45582</v>
      </c>
      <c r="L273" s="10" t="s">
        <v>12</v>
      </c>
      <c r="M273" s="10" t="s">
        <v>97</v>
      </c>
    </row>
    <row r="274" spans="1:13" x14ac:dyDescent="0.25">
      <c r="A274" s="13" t="str">
        <f t="shared" si="8"/>
        <v>50714275690</v>
      </c>
      <c r="B274" s="10">
        <v>1004052382</v>
      </c>
      <c r="C274" s="10">
        <v>507142756</v>
      </c>
      <c r="D274" s="10">
        <v>90</v>
      </c>
      <c r="E274" s="10" t="s">
        <v>10</v>
      </c>
      <c r="F274" s="10">
        <v>1411901</v>
      </c>
      <c r="G274" s="10" t="s">
        <v>153</v>
      </c>
      <c r="H274" s="11">
        <v>66912</v>
      </c>
      <c r="I274" s="10">
        <v>0</v>
      </c>
      <c r="J274" s="11">
        <f t="shared" si="9"/>
        <v>66912</v>
      </c>
      <c r="K274" s="12">
        <f>VLOOKUP(A274,[2]VA05!$A:$K,11,FALSE)</f>
        <v>45588</v>
      </c>
      <c r="L274" s="10" t="s">
        <v>12</v>
      </c>
      <c r="M274" s="10" t="s">
        <v>156</v>
      </c>
    </row>
    <row r="275" spans="1:13" x14ac:dyDescent="0.25">
      <c r="A275" s="13" t="str">
        <f t="shared" si="8"/>
        <v>50714241650</v>
      </c>
      <c r="B275" s="10">
        <v>1004053565</v>
      </c>
      <c r="C275" s="10">
        <v>507142416</v>
      </c>
      <c r="D275" s="10">
        <v>50</v>
      </c>
      <c r="E275" s="10" t="s">
        <v>10</v>
      </c>
      <c r="F275" s="10">
        <v>1172059</v>
      </c>
      <c r="G275" s="10" t="s">
        <v>59</v>
      </c>
      <c r="H275" s="11">
        <v>10195</v>
      </c>
      <c r="I275" s="11">
        <v>7544</v>
      </c>
      <c r="J275" s="11">
        <f t="shared" si="9"/>
        <v>2651</v>
      </c>
      <c r="K275" s="12">
        <f>VLOOKUP(A275,[2]VA05!$A:$K,11,FALSE)</f>
        <v>45573</v>
      </c>
      <c r="L275" s="10" t="s">
        <v>18</v>
      </c>
      <c r="M275" s="10" t="s">
        <v>154</v>
      </c>
    </row>
    <row r="276" spans="1:13" x14ac:dyDescent="0.25">
      <c r="A276" s="13" t="str">
        <f t="shared" si="8"/>
        <v>50714241680</v>
      </c>
      <c r="B276" s="10">
        <v>1004053566</v>
      </c>
      <c r="C276" s="10">
        <v>507142416</v>
      </c>
      <c r="D276" s="10">
        <v>80</v>
      </c>
      <c r="E276" s="10" t="s">
        <v>10</v>
      </c>
      <c r="F276" s="10">
        <v>1172059</v>
      </c>
      <c r="G276" s="10" t="s">
        <v>59</v>
      </c>
      <c r="H276" s="11">
        <v>10195</v>
      </c>
      <c r="I276" s="10">
        <v>0</v>
      </c>
      <c r="J276" s="11">
        <f t="shared" si="9"/>
        <v>10195</v>
      </c>
      <c r="K276" s="12">
        <f>VLOOKUP(A276,[2]VA05!$A:$K,11,FALSE)</f>
        <v>45576</v>
      </c>
      <c r="L276" s="10" t="s">
        <v>12</v>
      </c>
      <c r="M276" s="10" t="s">
        <v>197</v>
      </c>
    </row>
    <row r="277" spans="1:13" x14ac:dyDescent="0.25">
      <c r="A277" s="13" t="str">
        <f t="shared" si="8"/>
        <v>507142416110</v>
      </c>
      <c r="B277" s="10">
        <v>1004053567</v>
      </c>
      <c r="C277" s="10">
        <v>507142416</v>
      </c>
      <c r="D277" s="10">
        <v>110</v>
      </c>
      <c r="E277" s="10" t="s">
        <v>10</v>
      </c>
      <c r="F277" s="10">
        <v>1172059</v>
      </c>
      <c r="G277" s="10" t="s">
        <v>59</v>
      </c>
      <c r="H277" s="11">
        <v>10195</v>
      </c>
      <c r="I277" s="10">
        <v>0</v>
      </c>
      <c r="J277" s="11">
        <f t="shared" si="9"/>
        <v>10195</v>
      </c>
      <c r="K277" s="12">
        <f>VLOOKUP(A277,[2]VA05!$A:$K,11,FALSE)</f>
        <v>45580</v>
      </c>
      <c r="L277" s="10" t="s">
        <v>12</v>
      </c>
      <c r="M277" s="10" t="s">
        <v>202</v>
      </c>
    </row>
    <row r="278" spans="1:13" x14ac:dyDescent="0.25">
      <c r="A278" s="13" t="str">
        <f t="shared" si="8"/>
        <v>507142416200</v>
      </c>
      <c r="B278" s="10">
        <v>1004053568</v>
      </c>
      <c r="C278" s="10">
        <v>507142416</v>
      </c>
      <c r="D278" s="10">
        <v>200</v>
      </c>
      <c r="E278" s="10" t="s">
        <v>10</v>
      </c>
      <c r="F278" s="10">
        <v>1172059</v>
      </c>
      <c r="G278" s="10" t="s">
        <v>59</v>
      </c>
      <c r="H278" s="11">
        <v>10195</v>
      </c>
      <c r="I278" s="10">
        <v>0</v>
      </c>
      <c r="J278" s="11">
        <f t="shared" si="9"/>
        <v>10195</v>
      </c>
      <c r="K278" s="12">
        <f>VLOOKUP(A278,[2]VA05!$A:$K,11,FALSE)</f>
        <v>45582</v>
      </c>
      <c r="L278" s="10" t="s">
        <v>12</v>
      </c>
      <c r="M278" s="10" t="s">
        <v>179</v>
      </c>
    </row>
    <row r="279" spans="1:13" x14ac:dyDescent="0.25">
      <c r="A279" s="13" t="str">
        <f t="shared" si="8"/>
        <v>507142416230</v>
      </c>
      <c r="B279" s="10">
        <v>1004053609</v>
      </c>
      <c r="C279" s="10">
        <v>507142416</v>
      </c>
      <c r="D279" s="10">
        <v>230</v>
      </c>
      <c r="E279" s="10" t="s">
        <v>10</v>
      </c>
      <c r="F279" s="10">
        <v>1172059</v>
      </c>
      <c r="G279" s="10" t="s">
        <v>59</v>
      </c>
      <c r="H279" s="11">
        <v>10195</v>
      </c>
      <c r="I279" s="10">
        <v>0</v>
      </c>
      <c r="J279" s="11">
        <f t="shared" si="9"/>
        <v>10195</v>
      </c>
      <c r="K279" s="12">
        <f>VLOOKUP(A279,[2]VA05!$A:$K,11,FALSE)</f>
        <v>45587</v>
      </c>
      <c r="L279" s="10" t="s">
        <v>12</v>
      </c>
      <c r="M279" s="10" t="s">
        <v>191</v>
      </c>
    </row>
    <row r="280" spans="1:13" x14ac:dyDescent="0.25">
      <c r="A280" s="13" t="str">
        <f t="shared" si="8"/>
        <v>50714267950</v>
      </c>
      <c r="B280" s="10">
        <v>1004053549</v>
      </c>
      <c r="C280" s="10">
        <v>507142679</v>
      </c>
      <c r="D280" s="10">
        <v>50</v>
      </c>
      <c r="E280" s="10" t="s">
        <v>10</v>
      </c>
      <c r="F280" s="10">
        <v>1167435</v>
      </c>
      <c r="G280" s="10" t="s">
        <v>26</v>
      </c>
      <c r="H280" s="11">
        <v>10277</v>
      </c>
      <c r="I280" s="10">
        <v>0</v>
      </c>
      <c r="J280" s="11">
        <f t="shared" si="9"/>
        <v>10277</v>
      </c>
      <c r="K280" s="12" t="e">
        <f>VLOOKUP(A280,[2]VA05!$A:$K,11,FALSE)</f>
        <v>#N/A</v>
      </c>
      <c r="L280" s="10" t="s">
        <v>27</v>
      </c>
      <c r="M280" s="10" t="s">
        <v>201</v>
      </c>
    </row>
    <row r="281" spans="1:13" x14ac:dyDescent="0.25">
      <c r="A281" s="13" t="str">
        <f t="shared" si="8"/>
        <v>50714267980</v>
      </c>
      <c r="B281" s="10">
        <v>1004053550</v>
      </c>
      <c r="C281" s="10">
        <v>507142679</v>
      </c>
      <c r="D281" s="10">
        <v>80</v>
      </c>
      <c r="E281" s="10" t="s">
        <v>10</v>
      </c>
      <c r="F281" s="10">
        <v>1167435</v>
      </c>
      <c r="G281" s="10" t="s">
        <v>26</v>
      </c>
      <c r="H281" s="11">
        <v>20260</v>
      </c>
      <c r="I281" s="10">
        <v>0</v>
      </c>
      <c r="J281" s="11">
        <f t="shared" si="9"/>
        <v>20260</v>
      </c>
      <c r="K281" s="12" t="e">
        <f>VLOOKUP(A281,[2]VA05!$A:$K,11,FALSE)</f>
        <v>#N/A</v>
      </c>
      <c r="L281" s="10" t="s">
        <v>27</v>
      </c>
      <c r="M281" s="10" t="s">
        <v>201</v>
      </c>
    </row>
    <row r="282" spans="1:13" x14ac:dyDescent="0.25">
      <c r="A282" s="13" t="str">
        <f t="shared" si="8"/>
        <v>50714268040</v>
      </c>
      <c r="B282" s="10">
        <v>1004053551</v>
      </c>
      <c r="C282" s="10">
        <v>507142680</v>
      </c>
      <c r="D282" s="10">
        <v>40</v>
      </c>
      <c r="E282" s="10" t="s">
        <v>10</v>
      </c>
      <c r="F282" s="10">
        <v>1167435</v>
      </c>
      <c r="G282" s="10" t="s">
        <v>26</v>
      </c>
      <c r="H282" s="11">
        <v>25287</v>
      </c>
      <c r="I282" s="10">
        <v>0</v>
      </c>
      <c r="J282" s="11">
        <f t="shared" si="9"/>
        <v>25287</v>
      </c>
      <c r="K282" s="12">
        <f>VLOOKUP(A282,[2]VA05!$A:$K,11,FALSE)</f>
        <v>45569</v>
      </c>
      <c r="L282" s="10" t="s">
        <v>12</v>
      </c>
      <c r="M282" s="10" t="s">
        <v>180</v>
      </c>
    </row>
    <row r="283" spans="1:13" x14ac:dyDescent="0.25">
      <c r="A283" s="13" t="str">
        <f t="shared" si="8"/>
        <v>50714275420</v>
      </c>
      <c r="B283" s="10">
        <v>1004053562</v>
      </c>
      <c r="C283" s="10">
        <v>507142754</v>
      </c>
      <c r="D283" s="10">
        <v>20</v>
      </c>
      <c r="E283" s="10" t="s">
        <v>10</v>
      </c>
      <c r="F283" s="10">
        <v>1167435</v>
      </c>
      <c r="G283" s="10" t="s">
        <v>26</v>
      </c>
      <c r="H283" s="11">
        <v>20390</v>
      </c>
      <c r="I283" s="10">
        <v>0</v>
      </c>
      <c r="J283" s="11">
        <f t="shared" si="9"/>
        <v>20390</v>
      </c>
      <c r="K283" s="12">
        <f>VLOOKUP(A283,[2]VA05!$A:$K,11,FALSE)</f>
        <v>45611</v>
      </c>
      <c r="L283" s="10" t="s">
        <v>12</v>
      </c>
      <c r="M283" s="10" t="s">
        <v>217</v>
      </c>
    </row>
    <row r="284" spans="1:13" x14ac:dyDescent="0.25">
      <c r="A284" s="13" t="str">
        <f t="shared" si="8"/>
        <v>50714276930</v>
      </c>
      <c r="B284" s="10">
        <v>1004053564</v>
      </c>
      <c r="C284" s="10">
        <v>507142769</v>
      </c>
      <c r="D284" s="10">
        <v>30</v>
      </c>
      <c r="E284" s="10" t="s">
        <v>10</v>
      </c>
      <c r="F284" s="10">
        <v>1167435</v>
      </c>
      <c r="G284" s="10" t="s">
        <v>26</v>
      </c>
      <c r="H284" s="11">
        <v>30683</v>
      </c>
      <c r="I284" s="10">
        <v>0</v>
      </c>
      <c r="J284" s="11">
        <f t="shared" si="9"/>
        <v>30683</v>
      </c>
      <c r="K284" s="12">
        <f>VLOOKUP(A284,[2]VA05!$A:$K,11,FALSE)</f>
        <v>45575</v>
      </c>
      <c r="L284" s="10" t="s">
        <v>12</v>
      </c>
      <c r="M284" s="10" t="s">
        <v>155</v>
      </c>
    </row>
    <row r="285" spans="1:13" x14ac:dyDescent="0.25">
      <c r="A285" s="13" t="str">
        <f t="shared" si="8"/>
        <v/>
      </c>
      <c r="B285" s="10"/>
      <c r="C285" s="10"/>
      <c r="D285" s="10"/>
      <c r="E285" s="10"/>
      <c r="F285" s="10"/>
      <c r="G285" s="10"/>
      <c r="H285" s="11">
        <v>9434901</v>
      </c>
      <c r="I285" s="11">
        <v>1831336</v>
      </c>
      <c r="J285" s="11">
        <f t="shared" si="9"/>
        <v>7603565</v>
      </c>
      <c r="K285" s="12" t="e">
        <f>VLOOKUP(A285,[2]VA05!$A:$K,11,FALSE)</f>
        <v>#N/A</v>
      </c>
      <c r="L285" s="10"/>
      <c r="M285" s="10"/>
    </row>
  </sheetData>
  <pageMargins left="0.17" right="0.17" top="0.4" bottom="0.75" header="0.3" footer="0.3"/>
  <pageSetup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7514-02B3-4CF9-8DC1-9846AAB0FDE3}">
  <dimension ref="A1:M261"/>
  <sheetViews>
    <sheetView topLeftCell="A191" workbookViewId="0">
      <selection activeCell="B198" sqref="B198"/>
    </sheetView>
  </sheetViews>
  <sheetFormatPr defaultRowHeight="15" x14ac:dyDescent="0.25"/>
  <cols>
    <col min="2" max="2" width="12.42578125" bestFit="1" customWidth="1"/>
    <col min="3" max="3" width="11.28515625" style="13" bestFit="1" customWidth="1"/>
    <col min="4" max="4" width="4.42578125" style="13" bestFit="1" customWidth="1"/>
    <col min="5" max="5" width="6.42578125" bestFit="1" customWidth="1"/>
    <col min="6" max="6" width="9" bestFit="1" customWidth="1"/>
    <col min="7" max="7" width="39.140625" customWidth="1"/>
    <col min="8" max="8" width="10.140625" bestFit="1" customWidth="1"/>
    <col min="9" max="9" width="8.5703125" style="13" customWidth="1"/>
    <col min="10" max="10" width="10.140625" bestFit="1" customWidth="1"/>
    <col min="12" max="12" width="4.85546875" customWidth="1"/>
    <col min="13" max="13" width="10.7109375" customWidth="1"/>
  </cols>
  <sheetData>
    <row r="1" spans="1:13" s="13" customFormat="1" ht="23.25" x14ac:dyDescent="0.35">
      <c r="B1" s="1" t="s">
        <v>244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VLOOKUP(A3,[2]VA05!$A:$K,11,FALSE)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VLOOKUP(A4,[2]VA05!$A:$K,11,FALSE)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VLOOKUP(A5,[2]VA05!$A:$K,11,FALSE)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VLOOKUP(A6,[2]VA05!$A:$K,11,FALSE)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VLOOKUP(A7,[2]VA05!$A:$K,11,FALSE)</f>
        <v>45593</v>
      </c>
      <c r="L7" s="10" t="s">
        <v>12</v>
      </c>
      <c r="M7" s="10" t="s">
        <v>140</v>
      </c>
    </row>
    <row r="8" spans="1:13" x14ac:dyDescent="0.25">
      <c r="A8" s="13" t="str">
        <f t="shared" si="0"/>
        <v>50714272610</v>
      </c>
      <c r="B8" s="10">
        <v>1004052385</v>
      </c>
      <c r="C8" s="10">
        <v>507142726</v>
      </c>
      <c r="D8" s="10">
        <v>10</v>
      </c>
      <c r="E8" s="10" t="s">
        <v>10</v>
      </c>
      <c r="F8" s="10">
        <v>1412577</v>
      </c>
      <c r="G8" s="10" t="s">
        <v>181</v>
      </c>
      <c r="H8" s="11">
        <v>12094</v>
      </c>
      <c r="I8" s="10">
        <v>0</v>
      </c>
      <c r="J8" s="11">
        <f t="shared" si="1"/>
        <v>12094</v>
      </c>
      <c r="K8" s="12">
        <f>VLOOKUP(A8,[2]VA05!$A:$K,11,FALSE)</f>
        <v>45567</v>
      </c>
      <c r="L8" s="10" t="s">
        <v>12</v>
      </c>
      <c r="M8" s="10" t="s">
        <v>142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VLOOKUP(A9,[2]VA05!$A:$K,11,FALSE)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VLOOKUP(A10,[2]VA05!$A:$K,11,FALSE)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VLOOKUP(A11,[2]VA05!$A:$K,11,FALSE)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VLOOKUP(A12,[2]VA05!$A:$K,11,FALSE)</f>
        <v>45588</v>
      </c>
      <c r="L12" s="10" t="s">
        <v>12</v>
      </c>
      <c r="M12" s="10" t="s">
        <v>191</v>
      </c>
    </row>
    <row r="13" spans="1:13" x14ac:dyDescent="0.25">
      <c r="A13" s="13" t="str">
        <f t="shared" si="0"/>
        <v>50714273210</v>
      </c>
      <c r="B13" s="10">
        <v>1004052164</v>
      </c>
      <c r="C13" s="10">
        <v>507142732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28402</v>
      </c>
      <c r="I13" s="11">
        <v>14046</v>
      </c>
      <c r="J13" s="11">
        <f t="shared" si="1"/>
        <v>14356</v>
      </c>
      <c r="K13" s="12">
        <f>VLOOKUP(A13,[2]VA05!$A:$K,11,FALSE)</f>
        <v>45572</v>
      </c>
      <c r="L13" s="10" t="s">
        <v>18</v>
      </c>
      <c r="M13" s="10" t="s">
        <v>140</v>
      </c>
    </row>
    <row r="14" spans="1:13" x14ac:dyDescent="0.25">
      <c r="A14" s="13" t="str">
        <f t="shared" si="0"/>
        <v>50714278910</v>
      </c>
      <c r="B14" s="10">
        <v>1004052165</v>
      </c>
      <c r="C14" s="10">
        <v>507142789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14201</v>
      </c>
      <c r="I14" s="10">
        <v>0</v>
      </c>
      <c r="J14" s="11">
        <f t="shared" si="1"/>
        <v>14201</v>
      </c>
      <c r="K14" s="12">
        <f>VLOOKUP(A14,[2]VA05!$A:$K,11,FALSE)</f>
        <v>45583</v>
      </c>
      <c r="L14" s="10" t="s">
        <v>12</v>
      </c>
      <c r="M14" s="10" t="s">
        <v>156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VLOOKUP(A15,[2]VA05!$A:$K,11,FALSE)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50714270810</v>
      </c>
      <c r="B16" s="10">
        <v>1004052048</v>
      </c>
      <c r="C16" s="10">
        <v>507142708</v>
      </c>
      <c r="D16" s="10">
        <v>10</v>
      </c>
      <c r="E16" s="10" t="s">
        <v>10</v>
      </c>
      <c r="F16" s="10">
        <v>1215666</v>
      </c>
      <c r="G16" s="10" t="s">
        <v>182</v>
      </c>
      <c r="H16" s="11">
        <v>11159</v>
      </c>
      <c r="I16" s="10">
        <v>0</v>
      </c>
      <c r="J16" s="11">
        <f t="shared" si="1"/>
        <v>11159</v>
      </c>
      <c r="K16" s="12">
        <f>VLOOKUP(A16,[2]VA05!$A:$K,11,FALSE)</f>
        <v>45588</v>
      </c>
      <c r="L16" s="10" t="s">
        <v>12</v>
      </c>
      <c r="M16" s="10" t="s">
        <v>191</v>
      </c>
    </row>
    <row r="17" spans="1:13" x14ac:dyDescent="0.25">
      <c r="A17" s="13" t="str">
        <f t="shared" si="0"/>
        <v>50714273210</v>
      </c>
      <c r="B17" s="10">
        <v>1004052167</v>
      </c>
      <c r="C17" s="10">
        <v>507142732</v>
      </c>
      <c r="D17" s="10">
        <v>10</v>
      </c>
      <c r="E17" s="10" t="s">
        <v>10</v>
      </c>
      <c r="F17" s="10">
        <v>1411194</v>
      </c>
      <c r="G17" s="10" t="s">
        <v>46</v>
      </c>
      <c r="H17" s="11">
        <v>20598</v>
      </c>
      <c r="I17" s="10">
        <v>0</v>
      </c>
      <c r="J17" s="11">
        <f t="shared" si="1"/>
        <v>20598</v>
      </c>
      <c r="K17" s="12">
        <f>VLOOKUP(A17,[2]VA05!$A:$K,11,FALSE)</f>
        <v>45572</v>
      </c>
      <c r="L17" s="10" t="s">
        <v>239</v>
      </c>
      <c r="M17" s="10" t="s">
        <v>155</v>
      </c>
    </row>
    <row r="18" spans="1:13" x14ac:dyDescent="0.25">
      <c r="A18" s="13" t="str">
        <f t="shared" si="0"/>
        <v>50714278910</v>
      </c>
      <c r="B18" s="10">
        <v>1004052168</v>
      </c>
      <c r="C18" s="10">
        <v>507142789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10299</v>
      </c>
      <c r="I18" s="10">
        <v>0</v>
      </c>
      <c r="J18" s="11">
        <f t="shared" si="1"/>
        <v>10299</v>
      </c>
      <c r="K18" s="12">
        <f>VLOOKUP(A18,[2]VA05!$A:$K,11,FALSE)</f>
        <v>45583</v>
      </c>
      <c r="L18" s="10" t="s">
        <v>12</v>
      </c>
      <c r="M18" s="10" t="s">
        <v>193</v>
      </c>
    </row>
    <row r="19" spans="1:13" x14ac:dyDescent="0.25">
      <c r="A19" s="13" t="str">
        <f t="shared" si="0"/>
        <v>50714268720</v>
      </c>
      <c r="B19" s="10">
        <v>1004057948</v>
      </c>
      <c r="C19" s="10">
        <v>507142687</v>
      </c>
      <c r="D19" s="10">
        <v>20</v>
      </c>
      <c r="E19" s="10" t="s">
        <v>10</v>
      </c>
      <c r="F19" s="10">
        <v>1411194</v>
      </c>
      <c r="G19" s="10" t="s">
        <v>46</v>
      </c>
      <c r="H19" s="11">
        <v>13019</v>
      </c>
      <c r="I19" s="11">
        <v>9887</v>
      </c>
      <c r="J19" s="11">
        <f t="shared" si="1"/>
        <v>3132</v>
      </c>
      <c r="K19" s="12">
        <f>VLOOKUP(A19,[2]VA05!$A:$K,11,FALSE)</f>
        <v>45567</v>
      </c>
      <c r="L19" s="10" t="s">
        <v>18</v>
      </c>
      <c r="M19" s="10" t="s">
        <v>155</v>
      </c>
    </row>
    <row r="20" spans="1:13" x14ac:dyDescent="0.25">
      <c r="A20" s="13" t="str">
        <f t="shared" si="0"/>
        <v>50714277910</v>
      </c>
      <c r="B20" s="10">
        <v>1004053444</v>
      </c>
      <c r="C20" s="10">
        <v>507142779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10928</v>
      </c>
      <c r="I20" s="11">
        <v>2090</v>
      </c>
      <c r="J20" s="11">
        <f t="shared" si="1"/>
        <v>8838</v>
      </c>
      <c r="K20" s="12">
        <f>VLOOKUP(A20,[2]VA05!$A:$K,11,FALSE)</f>
        <v>45580</v>
      </c>
      <c r="L20" s="10" t="s">
        <v>18</v>
      </c>
      <c r="M20" s="10" t="s">
        <v>162</v>
      </c>
    </row>
    <row r="21" spans="1:13" x14ac:dyDescent="0.25">
      <c r="A21" s="13" t="str">
        <f t="shared" si="0"/>
        <v>50714278410</v>
      </c>
      <c r="B21" s="10">
        <v>1004053445</v>
      </c>
      <c r="C21" s="10">
        <v>507142784</v>
      </c>
      <c r="D21" s="10">
        <v>10</v>
      </c>
      <c r="E21" s="10" t="s">
        <v>10</v>
      </c>
      <c r="F21" s="10">
        <v>1173944</v>
      </c>
      <c r="G21" s="10" t="s">
        <v>91</v>
      </c>
      <c r="H21" s="11">
        <v>11020</v>
      </c>
      <c r="I21" s="10">
        <v>0</v>
      </c>
      <c r="J21" s="11">
        <f t="shared" si="1"/>
        <v>11020</v>
      </c>
      <c r="K21" s="12">
        <f>VLOOKUP(A21,[2]VA05!$A:$K,11,FALSE)</f>
        <v>45580</v>
      </c>
      <c r="L21" s="10" t="s">
        <v>12</v>
      </c>
      <c r="M21" s="10" t="s">
        <v>162</v>
      </c>
    </row>
    <row r="22" spans="1:13" x14ac:dyDescent="0.25">
      <c r="A22" s="13" t="str">
        <f t="shared" si="0"/>
        <v>50714227020</v>
      </c>
      <c r="B22" s="10">
        <v>1004034399</v>
      </c>
      <c r="C22" s="10">
        <v>507142270</v>
      </c>
      <c r="D22" s="10">
        <v>20</v>
      </c>
      <c r="E22" s="10" t="s">
        <v>10</v>
      </c>
      <c r="F22" s="10">
        <v>1187764</v>
      </c>
      <c r="G22" s="10" t="s">
        <v>92</v>
      </c>
      <c r="H22" s="11">
        <v>17325</v>
      </c>
      <c r="I22" s="10">
        <v>0</v>
      </c>
      <c r="J22" s="11">
        <f t="shared" si="1"/>
        <v>17325</v>
      </c>
      <c r="K22" s="12">
        <f>VLOOKUP(A22,[2]VA05!$A:$K,11,FALSE)</f>
        <v>45565</v>
      </c>
      <c r="L22" s="10" t="s">
        <v>56</v>
      </c>
      <c r="M22" s="10" t="s">
        <v>97</v>
      </c>
    </row>
    <row r="23" spans="1:13" x14ac:dyDescent="0.25">
      <c r="A23" s="13" t="str">
        <f t="shared" si="0"/>
        <v>50714227010</v>
      </c>
      <c r="B23" s="10">
        <v>1004057062</v>
      </c>
      <c r="C23" s="10">
        <v>507142270</v>
      </c>
      <c r="D23" s="10">
        <v>10</v>
      </c>
      <c r="E23" s="10" t="s">
        <v>10</v>
      </c>
      <c r="F23" s="10">
        <v>1187764</v>
      </c>
      <c r="G23" s="10" t="s">
        <v>92</v>
      </c>
      <c r="H23" s="11">
        <v>5776</v>
      </c>
      <c r="I23" s="10">
        <v>0</v>
      </c>
      <c r="J23" s="11">
        <f t="shared" si="1"/>
        <v>5776</v>
      </c>
      <c r="K23" s="12">
        <f>VLOOKUP(A23,[2]VA05!$A:$K,11,FALSE)</f>
        <v>45565</v>
      </c>
      <c r="L23" s="10" t="s">
        <v>12</v>
      </c>
      <c r="M23" s="10" t="s">
        <v>180</v>
      </c>
    </row>
    <row r="24" spans="1:13" x14ac:dyDescent="0.25">
      <c r="A24" s="13" t="str">
        <f t="shared" si="0"/>
        <v>50714269620</v>
      </c>
      <c r="B24" s="10">
        <v>1004042037</v>
      </c>
      <c r="C24" s="10">
        <v>507142696</v>
      </c>
      <c r="D24" s="10">
        <v>20</v>
      </c>
      <c r="E24" s="10" t="s">
        <v>10</v>
      </c>
      <c r="F24" s="10">
        <v>1173947</v>
      </c>
      <c r="G24" s="10" t="s">
        <v>36</v>
      </c>
      <c r="H24" s="11">
        <v>12384</v>
      </c>
      <c r="I24" s="11">
        <v>3839</v>
      </c>
      <c r="J24" s="11">
        <f t="shared" si="1"/>
        <v>8545</v>
      </c>
      <c r="K24" s="12">
        <f>VLOOKUP(A24,[2]VA05!$A:$K,11,FALSE)</f>
        <v>45566</v>
      </c>
      <c r="L24" s="10" t="s">
        <v>18</v>
      </c>
      <c r="M24" s="10" t="s">
        <v>84</v>
      </c>
    </row>
    <row r="25" spans="1:13" x14ac:dyDescent="0.25">
      <c r="A25" s="13" t="str">
        <f t="shared" si="0"/>
        <v>50714274010</v>
      </c>
      <c r="B25" s="10">
        <v>1004052269</v>
      </c>
      <c r="C25" s="10">
        <v>507142740</v>
      </c>
      <c r="D25" s="10">
        <v>10</v>
      </c>
      <c r="E25" s="10" t="s">
        <v>10</v>
      </c>
      <c r="F25" s="10">
        <v>1173947</v>
      </c>
      <c r="G25" s="10" t="s">
        <v>36</v>
      </c>
      <c r="H25" s="11">
        <v>12384</v>
      </c>
      <c r="I25" s="10">
        <v>0</v>
      </c>
      <c r="J25" s="11">
        <f t="shared" si="1"/>
        <v>12384</v>
      </c>
      <c r="K25" s="12">
        <f>VLOOKUP(A25,[2]VA05!$A:$K,11,FALSE)</f>
        <v>45573</v>
      </c>
      <c r="L25" s="10" t="s">
        <v>12</v>
      </c>
      <c r="M25" s="10" t="s">
        <v>97</v>
      </c>
    </row>
    <row r="26" spans="1:13" x14ac:dyDescent="0.25">
      <c r="A26" s="13" t="str">
        <f t="shared" si="0"/>
        <v>50714277910</v>
      </c>
      <c r="B26" s="10">
        <v>1004052270</v>
      </c>
      <c r="C26" s="10">
        <v>507142779</v>
      </c>
      <c r="D26" s="10">
        <v>10</v>
      </c>
      <c r="E26" s="10" t="s">
        <v>10</v>
      </c>
      <c r="F26" s="10">
        <v>1173947</v>
      </c>
      <c r="G26" s="10" t="s">
        <v>36</v>
      </c>
      <c r="H26" s="11">
        <v>11922</v>
      </c>
      <c r="I26" s="10">
        <v>0</v>
      </c>
      <c r="J26" s="11">
        <f t="shared" si="1"/>
        <v>11922</v>
      </c>
      <c r="K26" s="12">
        <f>VLOOKUP(A26,[2]VA05!$A:$K,11,FALSE)</f>
        <v>45580</v>
      </c>
      <c r="L26" s="10" t="s">
        <v>12</v>
      </c>
      <c r="M26" s="10" t="s">
        <v>194</v>
      </c>
    </row>
    <row r="27" spans="1:13" x14ac:dyDescent="0.25">
      <c r="A27" s="13" t="str">
        <f t="shared" si="0"/>
        <v>50714278410</v>
      </c>
      <c r="B27" s="10">
        <v>1004052271</v>
      </c>
      <c r="C27" s="10">
        <v>507142784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12384</v>
      </c>
      <c r="I27" s="10">
        <v>0</v>
      </c>
      <c r="J27" s="11">
        <f t="shared" si="1"/>
        <v>12384</v>
      </c>
      <c r="K27" s="12">
        <f>VLOOKUP(A27,[2]VA05!$A:$K,11,FALSE)</f>
        <v>45580</v>
      </c>
      <c r="L27" s="10" t="s">
        <v>12</v>
      </c>
      <c r="M27" s="10" t="s">
        <v>97</v>
      </c>
    </row>
    <row r="28" spans="1:13" x14ac:dyDescent="0.25">
      <c r="A28" s="13" t="str">
        <f t="shared" si="0"/>
        <v>50714251020</v>
      </c>
      <c r="B28" s="10">
        <v>1004045114</v>
      </c>
      <c r="C28" s="10">
        <v>507142510</v>
      </c>
      <c r="D28" s="10">
        <v>20</v>
      </c>
      <c r="E28" s="10" t="s">
        <v>10</v>
      </c>
      <c r="F28" s="10">
        <v>1171793</v>
      </c>
      <c r="G28" s="10" t="s">
        <v>33</v>
      </c>
      <c r="H28" s="11">
        <v>10792</v>
      </c>
      <c r="I28" s="11">
        <v>10792</v>
      </c>
      <c r="J28" s="11">
        <f t="shared" si="1"/>
        <v>0</v>
      </c>
      <c r="K28" s="12" t="e">
        <f>VLOOKUP(A28,[2]VA05!$A:$K,11,FALSE)</f>
        <v>#N/A</v>
      </c>
      <c r="L28" s="10" t="s">
        <v>113</v>
      </c>
      <c r="M28" s="10" t="s">
        <v>107</v>
      </c>
    </row>
    <row r="29" spans="1:13" x14ac:dyDescent="0.25">
      <c r="A29" s="13" t="str">
        <f t="shared" si="0"/>
        <v>50800514030</v>
      </c>
      <c r="B29" s="10">
        <v>1004050510</v>
      </c>
      <c r="C29" s="10">
        <v>508005140</v>
      </c>
      <c r="D29" s="10">
        <v>30</v>
      </c>
      <c r="E29" s="10" t="s">
        <v>10</v>
      </c>
      <c r="F29" s="10">
        <v>1171793</v>
      </c>
      <c r="G29" s="10" t="s">
        <v>33</v>
      </c>
      <c r="H29" s="11">
        <v>43162</v>
      </c>
      <c r="I29" s="10">
        <v>0</v>
      </c>
      <c r="J29" s="11">
        <f t="shared" si="1"/>
        <v>43162</v>
      </c>
      <c r="K29" s="12">
        <f>VLOOKUP(A29,[2]VA05!$A:$K,11,FALSE)</f>
        <v>45609</v>
      </c>
      <c r="L29" s="10" t="s">
        <v>119</v>
      </c>
      <c r="M29" s="10" t="s">
        <v>161</v>
      </c>
    </row>
    <row r="30" spans="1:13" x14ac:dyDescent="0.25">
      <c r="A30" s="13" t="str">
        <f t="shared" si="0"/>
        <v>50714277910</v>
      </c>
      <c r="B30" s="10">
        <v>1004053448</v>
      </c>
      <c r="C30" s="10">
        <v>507142779</v>
      </c>
      <c r="D30" s="10">
        <v>10</v>
      </c>
      <c r="E30" s="10" t="s">
        <v>10</v>
      </c>
      <c r="F30" s="10">
        <v>1171793</v>
      </c>
      <c r="G30" s="10" t="s">
        <v>33</v>
      </c>
      <c r="H30" s="11">
        <v>10792</v>
      </c>
      <c r="I30" s="10">
        <v>0</v>
      </c>
      <c r="J30" s="11">
        <f t="shared" si="1"/>
        <v>10792</v>
      </c>
      <c r="K30" s="12">
        <f>VLOOKUP(A30,[2]VA05!$A:$K,11,FALSE)</f>
        <v>45580</v>
      </c>
      <c r="L30" s="10" t="s">
        <v>12</v>
      </c>
      <c r="M30" s="10" t="s">
        <v>162</v>
      </c>
    </row>
    <row r="31" spans="1:13" x14ac:dyDescent="0.25">
      <c r="A31" s="13" t="str">
        <f t="shared" si="0"/>
        <v>50714227010</v>
      </c>
      <c r="B31" s="10">
        <v>1004045113</v>
      </c>
      <c r="C31" s="10">
        <v>507142270</v>
      </c>
      <c r="D31" s="10">
        <v>10</v>
      </c>
      <c r="E31" s="10" t="s">
        <v>10</v>
      </c>
      <c r="F31" s="10">
        <v>1187765</v>
      </c>
      <c r="G31" s="10" t="s">
        <v>147</v>
      </c>
      <c r="H31" s="11">
        <v>5776</v>
      </c>
      <c r="I31" s="11">
        <v>2390</v>
      </c>
      <c r="J31" s="11">
        <f t="shared" si="1"/>
        <v>3386</v>
      </c>
      <c r="K31" s="12">
        <f>VLOOKUP(A31,[2]VA05!$A:$K,11,FALSE)</f>
        <v>45565</v>
      </c>
      <c r="L31" s="10" t="s">
        <v>18</v>
      </c>
      <c r="M31" s="10" t="s">
        <v>155</v>
      </c>
    </row>
    <row r="32" spans="1:13" x14ac:dyDescent="0.25">
      <c r="A32" s="13" t="str">
        <f t="shared" si="0"/>
        <v>50714227020</v>
      </c>
      <c r="B32" s="10">
        <v>1004057063</v>
      </c>
      <c r="C32" s="10">
        <v>507142270</v>
      </c>
      <c r="D32" s="10">
        <v>20</v>
      </c>
      <c r="E32" s="10" t="s">
        <v>10</v>
      </c>
      <c r="F32" s="10">
        <v>1187765</v>
      </c>
      <c r="G32" s="10" t="s">
        <v>147</v>
      </c>
      <c r="H32" s="11">
        <v>17325</v>
      </c>
      <c r="I32" s="10">
        <v>0</v>
      </c>
      <c r="J32" s="11">
        <f t="shared" si="1"/>
        <v>17325</v>
      </c>
      <c r="K32" s="12">
        <f>VLOOKUP(A32,[2]VA05!$A:$K,11,FALSE)</f>
        <v>45565</v>
      </c>
      <c r="L32" s="10" t="s">
        <v>13</v>
      </c>
      <c r="M32" s="10" t="s">
        <v>195</v>
      </c>
    </row>
    <row r="33" spans="1:13" x14ac:dyDescent="0.25">
      <c r="A33" s="13" t="str">
        <f t="shared" si="0"/>
        <v>50714265410</v>
      </c>
      <c r="B33" s="10">
        <v>1004036495</v>
      </c>
      <c r="C33" s="10">
        <v>507142654</v>
      </c>
      <c r="D33" s="10">
        <v>10</v>
      </c>
      <c r="E33" s="10" t="s">
        <v>10</v>
      </c>
      <c r="F33" s="10">
        <v>1420608</v>
      </c>
      <c r="G33" s="10" t="s">
        <v>110</v>
      </c>
      <c r="H33" s="11">
        <v>16376</v>
      </c>
      <c r="I33" s="10">
        <v>0</v>
      </c>
      <c r="J33" s="11">
        <f t="shared" si="1"/>
        <v>16376</v>
      </c>
      <c r="K33" s="12">
        <f>VLOOKUP(A33,[2]VA05!$A:$K,11,FALSE)</f>
        <v>45573</v>
      </c>
      <c r="L33" s="10" t="s">
        <v>12</v>
      </c>
      <c r="M33" s="10" t="s">
        <v>111</v>
      </c>
    </row>
    <row r="34" spans="1:13" x14ac:dyDescent="0.25">
      <c r="A34" s="13" t="str">
        <f t="shared" si="0"/>
        <v>50714265120</v>
      </c>
      <c r="B34" s="10">
        <v>1004036496</v>
      </c>
      <c r="C34" s="10">
        <v>507142651</v>
      </c>
      <c r="D34" s="10">
        <v>20</v>
      </c>
      <c r="E34" s="10" t="s">
        <v>10</v>
      </c>
      <c r="F34" s="10">
        <v>1149455</v>
      </c>
      <c r="G34" s="10" t="s">
        <v>44</v>
      </c>
      <c r="H34" s="11">
        <v>28966</v>
      </c>
      <c r="I34" s="10">
        <v>0</v>
      </c>
      <c r="J34" s="11">
        <f t="shared" si="1"/>
        <v>28966</v>
      </c>
      <c r="K34" s="12">
        <f>VLOOKUP(A34,[2]VA05!$A:$K,11,FALSE)</f>
        <v>45567</v>
      </c>
      <c r="L34" s="10" t="s">
        <v>239</v>
      </c>
      <c r="M34" s="10" t="s">
        <v>106</v>
      </c>
    </row>
    <row r="35" spans="1:13" x14ac:dyDescent="0.25">
      <c r="A35" s="13" t="str">
        <f t="shared" si="0"/>
        <v>50714248510</v>
      </c>
      <c r="B35" s="10">
        <v>1004052273</v>
      </c>
      <c r="C35" s="10">
        <v>507142485</v>
      </c>
      <c r="D35" s="10">
        <v>10</v>
      </c>
      <c r="E35" s="10" t="s">
        <v>24</v>
      </c>
      <c r="F35" s="10">
        <v>1193509</v>
      </c>
      <c r="G35" s="10" t="s">
        <v>31</v>
      </c>
      <c r="H35" s="11">
        <v>10000</v>
      </c>
      <c r="I35" s="10">
        <v>0</v>
      </c>
      <c r="J35" s="11">
        <f t="shared" si="1"/>
        <v>10000</v>
      </c>
      <c r="K35" s="12" t="e">
        <f>VLOOKUP(A35,[2]VA05!$A:$K,11,FALSE)</f>
        <v>#N/A</v>
      </c>
      <c r="L35" s="10" t="s">
        <v>13</v>
      </c>
      <c r="M35" s="10" t="s">
        <v>97</v>
      </c>
    </row>
    <row r="36" spans="1:13" x14ac:dyDescent="0.25">
      <c r="A36" s="13" t="str">
        <f t="shared" si="0"/>
        <v>50714274310</v>
      </c>
      <c r="B36" s="10">
        <v>1004052275</v>
      </c>
      <c r="C36" s="10">
        <v>507142743</v>
      </c>
      <c r="D36" s="10">
        <v>10</v>
      </c>
      <c r="E36" s="10" t="s">
        <v>10</v>
      </c>
      <c r="F36" s="10">
        <v>1193509</v>
      </c>
      <c r="G36" s="10" t="s">
        <v>31</v>
      </c>
      <c r="H36" s="11">
        <v>16753</v>
      </c>
      <c r="I36" s="11">
        <v>16019</v>
      </c>
      <c r="J36" s="11">
        <f t="shared" si="1"/>
        <v>734</v>
      </c>
      <c r="K36" s="12">
        <f>VLOOKUP(A36,[2]VA05!$A:$K,11,FALSE)</f>
        <v>45575</v>
      </c>
      <c r="L36" s="10" t="s">
        <v>18</v>
      </c>
      <c r="M36" s="10" t="s">
        <v>195</v>
      </c>
    </row>
    <row r="37" spans="1:13" x14ac:dyDescent="0.25">
      <c r="A37" s="13" t="str">
        <f t="shared" si="0"/>
        <v>50714235110</v>
      </c>
      <c r="B37" s="10">
        <v>1004042803</v>
      </c>
      <c r="C37" s="10">
        <v>507142351</v>
      </c>
      <c r="D37" s="10">
        <v>10</v>
      </c>
      <c r="E37" s="10" t="s">
        <v>10</v>
      </c>
      <c r="F37" s="10">
        <v>1192909</v>
      </c>
      <c r="G37" s="10" t="s">
        <v>35</v>
      </c>
      <c r="H37" s="11">
        <v>16753</v>
      </c>
      <c r="I37" s="11">
        <v>9187</v>
      </c>
      <c r="J37" s="11">
        <f t="shared" si="1"/>
        <v>7566</v>
      </c>
      <c r="K37" s="12">
        <f>VLOOKUP(A37,[2]VA05!$A:$K,11,FALSE)</f>
        <v>45545</v>
      </c>
      <c r="L37" s="10" t="s">
        <v>18</v>
      </c>
      <c r="M37" s="10" t="s">
        <v>111</v>
      </c>
    </row>
    <row r="38" spans="1:13" x14ac:dyDescent="0.25">
      <c r="A38" s="13" t="str">
        <f t="shared" si="0"/>
        <v>50714265410</v>
      </c>
      <c r="B38" s="10">
        <v>1004042744</v>
      </c>
      <c r="C38" s="10">
        <v>507142654</v>
      </c>
      <c r="D38" s="10">
        <v>10</v>
      </c>
      <c r="E38" s="10" t="s">
        <v>10</v>
      </c>
      <c r="F38" s="10">
        <v>1420609</v>
      </c>
      <c r="G38" s="10" t="s">
        <v>133</v>
      </c>
      <c r="H38" s="11">
        <v>16868</v>
      </c>
      <c r="I38" s="10">
        <v>0</v>
      </c>
      <c r="J38" s="11">
        <f t="shared" si="1"/>
        <v>16868</v>
      </c>
      <c r="K38" s="12">
        <f>VLOOKUP(A38,[2]VA05!$A:$K,11,FALSE)</f>
        <v>45573</v>
      </c>
      <c r="L38" s="10" t="s">
        <v>25</v>
      </c>
      <c r="M38" s="10" t="s">
        <v>84</v>
      </c>
    </row>
    <row r="39" spans="1:13" x14ac:dyDescent="0.25">
      <c r="A39" s="13" t="str">
        <f t="shared" si="0"/>
        <v>50714265120</v>
      </c>
      <c r="B39" s="10">
        <v>1004056891</v>
      </c>
      <c r="C39" s="10">
        <v>507142651</v>
      </c>
      <c r="D39" s="10">
        <v>20</v>
      </c>
      <c r="E39" s="10" t="s">
        <v>10</v>
      </c>
      <c r="F39" s="10">
        <v>1304095</v>
      </c>
      <c r="G39" s="10" t="s">
        <v>76</v>
      </c>
      <c r="H39" s="11">
        <v>28414</v>
      </c>
      <c r="I39" s="11">
        <v>22586</v>
      </c>
      <c r="J39" s="11">
        <f t="shared" si="1"/>
        <v>5828</v>
      </c>
      <c r="K39" s="12">
        <f>VLOOKUP(A39,[2]VA05!$A:$K,11,FALSE)</f>
        <v>45567</v>
      </c>
      <c r="L39" s="10" t="s">
        <v>11</v>
      </c>
      <c r="M39" s="10" t="s">
        <v>180</v>
      </c>
    </row>
    <row r="40" spans="1:13" x14ac:dyDescent="0.25">
      <c r="A40" s="13" t="str">
        <f t="shared" si="0"/>
        <v>50714278610</v>
      </c>
      <c r="B40" s="10">
        <v>1004056892</v>
      </c>
      <c r="C40" s="10">
        <v>507142786</v>
      </c>
      <c r="D40" s="10">
        <v>10</v>
      </c>
      <c r="E40" s="10" t="s">
        <v>10</v>
      </c>
      <c r="F40" s="10">
        <v>1304095</v>
      </c>
      <c r="G40" s="10" t="s">
        <v>76</v>
      </c>
      <c r="H40" s="11">
        <v>26709</v>
      </c>
      <c r="I40" s="10">
        <v>0</v>
      </c>
      <c r="J40" s="11">
        <f t="shared" si="1"/>
        <v>26709</v>
      </c>
      <c r="K40" s="12">
        <f>VLOOKUP(A40,[2]VA05!$A:$K,11,FALSE)</f>
        <v>45581</v>
      </c>
      <c r="L40" s="10" t="s">
        <v>12</v>
      </c>
      <c r="M40" s="10" t="s">
        <v>154</v>
      </c>
    </row>
    <row r="41" spans="1:13" x14ac:dyDescent="0.25">
      <c r="A41" s="13" t="str">
        <f t="shared" si="0"/>
        <v>50714265410</v>
      </c>
      <c r="B41" s="10">
        <v>1004045686</v>
      </c>
      <c r="C41" s="10">
        <v>507142654</v>
      </c>
      <c r="D41" s="10">
        <v>10</v>
      </c>
      <c r="E41" s="10" t="s">
        <v>10</v>
      </c>
      <c r="F41" s="10">
        <v>1420607</v>
      </c>
      <c r="G41" s="10" t="s">
        <v>149</v>
      </c>
      <c r="H41" s="11">
        <v>16376</v>
      </c>
      <c r="I41" s="10">
        <v>0</v>
      </c>
      <c r="J41" s="11">
        <f t="shared" si="1"/>
        <v>16376</v>
      </c>
      <c r="K41" s="12">
        <f>VLOOKUP(A41,[2]VA05!$A:$K,11,FALSE)</f>
        <v>45573</v>
      </c>
      <c r="L41" s="10" t="s">
        <v>56</v>
      </c>
      <c r="M41" s="10" t="s">
        <v>85</v>
      </c>
    </row>
    <row r="42" spans="1:13" x14ac:dyDescent="0.25">
      <c r="A42" s="13" t="str">
        <f t="shared" si="0"/>
        <v>50714273410</v>
      </c>
      <c r="B42" s="10">
        <v>1004054830</v>
      </c>
      <c r="C42" s="10">
        <v>507142734</v>
      </c>
      <c r="D42" s="10">
        <v>10</v>
      </c>
      <c r="E42" s="10" t="s">
        <v>10</v>
      </c>
      <c r="F42" s="10">
        <v>1193508</v>
      </c>
      <c r="G42" s="10" t="s">
        <v>134</v>
      </c>
      <c r="H42" s="11">
        <v>16753</v>
      </c>
      <c r="I42" s="11">
        <v>6300</v>
      </c>
      <c r="J42" s="11">
        <f t="shared" si="1"/>
        <v>10453</v>
      </c>
      <c r="K42" s="12">
        <f>VLOOKUP(A42,[2]VA05!$A:$K,11,FALSE)</f>
        <v>45572</v>
      </c>
      <c r="L42" s="10" t="s">
        <v>18</v>
      </c>
      <c r="M42" s="10" t="s">
        <v>195</v>
      </c>
    </row>
    <row r="43" spans="1:13" x14ac:dyDescent="0.25">
      <c r="A43" s="13" t="str">
        <f t="shared" si="0"/>
        <v>50714274310</v>
      </c>
      <c r="B43" s="10">
        <v>1004054831</v>
      </c>
      <c r="C43" s="10">
        <v>507142743</v>
      </c>
      <c r="D43" s="10">
        <v>10</v>
      </c>
      <c r="E43" s="10" t="s">
        <v>10</v>
      </c>
      <c r="F43" s="10">
        <v>1193508</v>
      </c>
      <c r="G43" s="10" t="s">
        <v>134</v>
      </c>
      <c r="H43" s="11">
        <v>16753</v>
      </c>
      <c r="I43" s="10">
        <v>0</v>
      </c>
      <c r="J43" s="11">
        <f t="shared" si="1"/>
        <v>16753</v>
      </c>
      <c r="K43" s="12">
        <f>VLOOKUP(A43,[2]VA05!$A:$K,11,FALSE)</f>
        <v>45575</v>
      </c>
      <c r="L43" s="10" t="s">
        <v>25</v>
      </c>
      <c r="M43" s="10" t="s">
        <v>195</v>
      </c>
    </row>
    <row r="44" spans="1:13" x14ac:dyDescent="0.25">
      <c r="A44" s="13" t="str">
        <f t="shared" si="0"/>
        <v>50714258410</v>
      </c>
      <c r="B44" s="10">
        <v>1004025718</v>
      </c>
      <c r="C44" s="10">
        <v>507142584</v>
      </c>
      <c r="D44" s="10">
        <v>10</v>
      </c>
      <c r="E44" s="10" t="s">
        <v>10</v>
      </c>
      <c r="F44" s="10">
        <v>1192705</v>
      </c>
      <c r="G44" s="10" t="s">
        <v>45</v>
      </c>
      <c r="H44" s="11">
        <v>29915</v>
      </c>
      <c r="I44" s="11">
        <v>15280</v>
      </c>
      <c r="J44" s="11">
        <f t="shared" si="1"/>
        <v>14635</v>
      </c>
      <c r="K44" s="12">
        <f>VLOOKUP(A44,[2]VA05!$A:$K,11,FALSE)</f>
        <v>45565</v>
      </c>
      <c r="L44" s="10" t="s">
        <v>18</v>
      </c>
      <c r="M44" s="10" t="s">
        <v>66</v>
      </c>
    </row>
    <row r="45" spans="1:13" x14ac:dyDescent="0.25">
      <c r="A45" s="13" t="str">
        <f t="shared" si="0"/>
        <v>50714259810</v>
      </c>
      <c r="B45" s="10">
        <v>1004042031</v>
      </c>
      <c r="C45" s="10">
        <v>507142598</v>
      </c>
      <c r="D45" s="10">
        <v>10</v>
      </c>
      <c r="E45" s="10" t="s">
        <v>10</v>
      </c>
      <c r="F45" s="10">
        <v>1233459</v>
      </c>
      <c r="G45" s="10" t="s">
        <v>121</v>
      </c>
      <c r="H45" s="11">
        <v>15449</v>
      </c>
      <c r="I45" s="11">
        <v>6640</v>
      </c>
      <c r="J45" s="11">
        <f t="shared" si="1"/>
        <v>8809</v>
      </c>
      <c r="K45" s="12">
        <f>VLOOKUP(A45,[2]VA05!$A:$K,11,FALSE)</f>
        <v>45560</v>
      </c>
      <c r="L45" s="10" t="s">
        <v>11</v>
      </c>
      <c r="M45" s="10" t="s">
        <v>106</v>
      </c>
    </row>
    <row r="46" spans="1:13" x14ac:dyDescent="0.25">
      <c r="A46" s="13" t="str">
        <f t="shared" si="0"/>
        <v>50714272410</v>
      </c>
      <c r="B46" s="10">
        <v>1004051405</v>
      </c>
      <c r="C46" s="10">
        <v>507142724</v>
      </c>
      <c r="D46" s="10">
        <v>10</v>
      </c>
      <c r="E46" s="10" t="s">
        <v>10</v>
      </c>
      <c r="F46" s="10">
        <v>1233459</v>
      </c>
      <c r="G46" s="10" t="s">
        <v>121</v>
      </c>
      <c r="H46" s="11">
        <v>10299</v>
      </c>
      <c r="I46" s="10">
        <v>0</v>
      </c>
      <c r="J46" s="11">
        <f t="shared" si="1"/>
        <v>10299</v>
      </c>
      <c r="K46" s="12">
        <f>VLOOKUP(A46,[2]VA05!$A:$K,11,FALSE)</f>
        <v>45594</v>
      </c>
      <c r="L46" s="10" t="s">
        <v>12</v>
      </c>
      <c r="M46" s="10" t="s">
        <v>176</v>
      </c>
    </row>
    <row r="47" spans="1:13" x14ac:dyDescent="0.25">
      <c r="A47" s="13" t="str">
        <f t="shared" si="0"/>
        <v>50714259810</v>
      </c>
      <c r="B47" s="10">
        <v>1004058765</v>
      </c>
      <c r="C47" s="10">
        <v>507142598</v>
      </c>
      <c r="D47" s="10">
        <v>10</v>
      </c>
      <c r="E47" s="10" t="s">
        <v>24</v>
      </c>
      <c r="F47" s="10">
        <v>1233459</v>
      </c>
      <c r="G47" s="10" t="s">
        <v>121</v>
      </c>
      <c r="H47" s="11">
        <v>5000</v>
      </c>
      <c r="I47" s="10">
        <v>0</v>
      </c>
      <c r="J47" s="11">
        <f t="shared" si="1"/>
        <v>5000</v>
      </c>
      <c r="K47" s="12">
        <f>VLOOKUP(A47,[2]VA05!$A:$K,11,FALSE)</f>
        <v>45560</v>
      </c>
      <c r="L47" s="10" t="s">
        <v>12</v>
      </c>
      <c r="M47" s="10" t="s">
        <v>195</v>
      </c>
    </row>
    <row r="48" spans="1:13" x14ac:dyDescent="0.25">
      <c r="A48" s="13" t="str">
        <f t="shared" si="0"/>
        <v>50714272410</v>
      </c>
      <c r="B48" s="10">
        <v>1004058756</v>
      </c>
      <c r="C48" s="10">
        <v>507142724</v>
      </c>
      <c r="D48" s="10">
        <v>10</v>
      </c>
      <c r="E48" s="10" t="s">
        <v>10</v>
      </c>
      <c r="F48" s="10">
        <v>1233477</v>
      </c>
      <c r="G48" s="10" t="s">
        <v>236</v>
      </c>
      <c r="H48" s="11">
        <v>11006</v>
      </c>
      <c r="I48" s="10">
        <v>0</v>
      </c>
      <c r="J48" s="11">
        <f t="shared" si="1"/>
        <v>11006</v>
      </c>
      <c r="K48" s="12">
        <f>VLOOKUP(A48,[2]VA05!$A:$K,11,FALSE)</f>
        <v>45594</v>
      </c>
      <c r="L48" s="10" t="s">
        <v>12</v>
      </c>
      <c r="M48" s="10" t="s">
        <v>109</v>
      </c>
    </row>
    <row r="49" spans="1:13" x14ac:dyDescent="0.25">
      <c r="A49" s="13" t="str">
        <f t="shared" si="0"/>
        <v>507142721100</v>
      </c>
      <c r="B49" s="10">
        <v>1004052515</v>
      </c>
      <c r="C49" s="10">
        <v>507142721</v>
      </c>
      <c r="D49" s="10">
        <v>100</v>
      </c>
      <c r="E49" s="10" t="s">
        <v>10</v>
      </c>
      <c r="F49" s="10">
        <v>1209335</v>
      </c>
      <c r="G49" s="10" t="s">
        <v>150</v>
      </c>
      <c r="H49" s="11">
        <v>35874</v>
      </c>
      <c r="I49" s="11">
        <v>31336</v>
      </c>
      <c r="J49" s="11">
        <f t="shared" si="1"/>
        <v>4538</v>
      </c>
      <c r="K49" s="12">
        <f>VLOOKUP(A49,[2]VA05!$A:$K,11,FALSE)</f>
        <v>45569</v>
      </c>
      <c r="L49" s="10" t="s">
        <v>11</v>
      </c>
      <c r="M49" s="10" t="s">
        <v>143</v>
      </c>
    </row>
    <row r="50" spans="1:13" x14ac:dyDescent="0.25">
      <c r="A50" s="13" t="str">
        <f t="shared" si="0"/>
        <v>507142721110</v>
      </c>
      <c r="B50" s="10">
        <v>1004052516</v>
      </c>
      <c r="C50" s="10">
        <v>507142721</v>
      </c>
      <c r="D50" s="10">
        <v>110</v>
      </c>
      <c r="E50" s="10" t="s">
        <v>10</v>
      </c>
      <c r="F50" s="10">
        <v>1209335</v>
      </c>
      <c r="G50" s="10" t="s">
        <v>150</v>
      </c>
      <c r="H50" s="11">
        <v>6695</v>
      </c>
      <c r="I50" s="10">
        <v>0</v>
      </c>
      <c r="J50" s="11">
        <f t="shared" si="1"/>
        <v>6695</v>
      </c>
      <c r="K50" s="12">
        <f>VLOOKUP(A50,[2]VA05!$A:$K,11,FALSE)</f>
        <v>45576</v>
      </c>
      <c r="L50" s="10" t="s">
        <v>12</v>
      </c>
      <c r="M50" s="10" t="s">
        <v>141</v>
      </c>
    </row>
    <row r="51" spans="1:13" x14ac:dyDescent="0.25">
      <c r="A51" s="13" t="str">
        <f t="shared" si="0"/>
        <v>50714274210</v>
      </c>
      <c r="B51" s="10">
        <v>1004052517</v>
      </c>
      <c r="C51" s="10">
        <v>507142742</v>
      </c>
      <c r="D51" s="10">
        <v>10</v>
      </c>
      <c r="E51" s="10" t="s">
        <v>10</v>
      </c>
      <c r="F51" s="10">
        <v>1209335</v>
      </c>
      <c r="G51" s="10" t="s">
        <v>150</v>
      </c>
      <c r="H51" s="11">
        <v>25576</v>
      </c>
      <c r="I51" s="10">
        <v>0</v>
      </c>
      <c r="J51" s="11">
        <f t="shared" si="1"/>
        <v>25576</v>
      </c>
      <c r="K51" s="12">
        <f>VLOOKUP(A51,[2]VA05!$A:$K,11,FALSE)</f>
        <v>45580</v>
      </c>
      <c r="L51" s="10" t="s">
        <v>12</v>
      </c>
      <c r="M51" s="10" t="s">
        <v>194</v>
      </c>
    </row>
    <row r="52" spans="1:13" x14ac:dyDescent="0.25">
      <c r="A52" s="13" t="str">
        <f t="shared" si="0"/>
        <v>50714274240</v>
      </c>
      <c r="B52" s="10">
        <v>1004052518</v>
      </c>
      <c r="C52" s="10">
        <v>507142742</v>
      </c>
      <c r="D52" s="10">
        <v>40</v>
      </c>
      <c r="E52" s="10" t="s">
        <v>10</v>
      </c>
      <c r="F52" s="10">
        <v>1209335</v>
      </c>
      <c r="G52" s="10" t="s">
        <v>150</v>
      </c>
      <c r="H52" s="11">
        <v>25576</v>
      </c>
      <c r="I52" s="10">
        <v>0</v>
      </c>
      <c r="J52" s="11">
        <f t="shared" si="1"/>
        <v>25576</v>
      </c>
      <c r="K52" s="12">
        <f>VLOOKUP(A52,[2]VA05!$A:$K,11,FALSE)</f>
        <v>45587</v>
      </c>
      <c r="L52" s="10" t="s">
        <v>12</v>
      </c>
      <c r="M52" s="10" t="s">
        <v>179</v>
      </c>
    </row>
    <row r="53" spans="1:13" x14ac:dyDescent="0.25">
      <c r="A53" s="13" t="str">
        <f t="shared" si="0"/>
        <v>50714274270</v>
      </c>
      <c r="B53" s="10">
        <v>1004052519</v>
      </c>
      <c r="C53" s="10">
        <v>507142742</v>
      </c>
      <c r="D53" s="10">
        <v>70</v>
      </c>
      <c r="E53" s="10" t="s">
        <v>10</v>
      </c>
      <c r="F53" s="10">
        <v>1209335</v>
      </c>
      <c r="G53" s="10" t="s">
        <v>150</v>
      </c>
      <c r="H53" s="11">
        <v>25576</v>
      </c>
      <c r="I53" s="10">
        <v>0</v>
      </c>
      <c r="J53" s="11">
        <f t="shared" si="1"/>
        <v>25576</v>
      </c>
      <c r="K53" s="12">
        <f>VLOOKUP(A53,[2]VA05!$A:$K,11,FALSE)</f>
        <v>45594</v>
      </c>
      <c r="L53" s="10" t="s">
        <v>12</v>
      </c>
      <c r="M53" s="10" t="s">
        <v>109</v>
      </c>
    </row>
    <row r="54" spans="1:13" x14ac:dyDescent="0.25">
      <c r="A54" s="13" t="str">
        <f t="shared" si="0"/>
        <v>507142742100</v>
      </c>
      <c r="B54" s="10">
        <v>1004052522</v>
      </c>
      <c r="C54" s="10">
        <v>507142742</v>
      </c>
      <c r="D54" s="10">
        <v>100</v>
      </c>
      <c r="E54" s="10" t="s">
        <v>10</v>
      </c>
      <c r="F54" s="10">
        <v>1209335</v>
      </c>
      <c r="G54" s="10" t="s">
        <v>150</v>
      </c>
      <c r="H54" s="11">
        <v>25576</v>
      </c>
      <c r="I54" s="10">
        <v>0</v>
      </c>
      <c r="J54" s="11">
        <f t="shared" si="1"/>
        <v>25576</v>
      </c>
      <c r="K54" s="12">
        <f>VLOOKUP(A54,[2]VA05!$A:$K,11,FALSE)</f>
        <v>45601</v>
      </c>
      <c r="L54" s="10" t="s">
        <v>12</v>
      </c>
      <c r="M54" s="10" t="s">
        <v>196</v>
      </c>
    </row>
    <row r="55" spans="1:13" x14ac:dyDescent="0.25">
      <c r="A55" s="13" t="str">
        <f t="shared" si="0"/>
        <v>507142721100</v>
      </c>
      <c r="B55" s="10">
        <v>1004050512</v>
      </c>
      <c r="C55" s="10">
        <v>507142721</v>
      </c>
      <c r="D55" s="10">
        <v>100</v>
      </c>
      <c r="E55" s="10" t="s">
        <v>10</v>
      </c>
      <c r="F55" s="10">
        <v>1437142</v>
      </c>
      <c r="G55" s="10" t="s">
        <v>145</v>
      </c>
      <c r="H55" s="11">
        <v>38799</v>
      </c>
      <c r="I55" s="11">
        <v>33692</v>
      </c>
      <c r="J55" s="11">
        <f t="shared" si="1"/>
        <v>5107</v>
      </c>
      <c r="K55" s="12">
        <f>VLOOKUP(A55,[2]VA05!$A:$K,11,FALSE)</f>
        <v>45569</v>
      </c>
      <c r="L55" s="10" t="s">
        <v>11</v>
      </c>
      <c r="M55" s="10" t="s">
        <v>130</v>
      </c>
    </row>
    <row r="56" spans="1:13" x14ac:dyDescent="0.25">
      <c r="A56" s="13" t="str">
        <f t="shared" si="0"/>
        <v>50714274240</v>
      </c>
      <c r="B56" s="10">
        <v>1004052625</v>
      </c>
      <c r="C56" s="10">
        <v>507142742</v>
      </c>
      <c r="D56" s="10">
        <v>40</v>
      </c>
      <c r="E56" s="10" t="s">
        <v>10</v>
      </c>
      <c r="F56" s="10">
        <v>1437142</v>
      </c>
      <c r="G56" s="10" t="s">
        <v>145</v>
      </c>
      <c r="H56" s="11">
        <v>27661</v>
      </c>
      <c r="I56" s="10">
        <v>0</v>
      </c>
      <c r="J56" s="11">
        <f t="shared" si="1"/>
        <v>27661</v>
      </c>
      <c r="K56" s="12">
        <f>VLOOKUP(A56,[2]VA05!$A:$K,11,FALSE)</f>
        <v>45587</v>
      </c>
      <c r="L56" s="10" t="s">
        <v>12</v>
      </c>
      <c r="M56" s="10" t="s">
        <v>194</v>
      </c>
    </row>
    <row r="57" spans="1:13" x14ac:dyDescent="0.25">
      <c r="A57" s="13" t="str">
        <f t="shared" si="0"/>
        <v>50714274270</v>
      </c>
      <c r="B57" s="10">
        <v>1004052626</v>
      </c>
      <c r="C57" s="10">
        <v>507142742</v>
      </c>
      <c r="D57" s="10">
        <v>70</v>
      </c>
      <c r="E57" s="10" t="s">
        <v>10</v>
      </c>
      <c r="F57" s="10">
        <v>1437142</v>
      </c>
      <c r="G57" s="10" t="s">
        <v>145</v>
      </c>
      <c r="H57" s="11">
        <v>27661</v>
      </c>
      <c r="I57" s="10">
        <v>0</v>
      </c>
      <c r="J57" s="11">
        <f t="shared" si="1"/>
        <v>27661</v>
      </c>
      <c r="K57" s="12">
        <f>VLOOKUP(A57,[2]VA05!$A:$K,11,FALSE)</f>
        <v>45594</v>
      </c>
      <c r="L57" s="10" t="s">
        <v>12</v>
      </c>
      <c r="M57" s="10" t="s">
        <v>179</v>
      </c>
    </row>
    <row r="58" spans="1:13" x14ac:dyDescent="0.25">
      <c r="A58" s="13" t="str">
        <f t="shared" si="0"/>
        <v>507142742100</v>
      </c>
      <c r="B58" s="10">
        <v>1004052627</v>
      </c>
      <c r="C58" s="10">
        <v>507142742</v>
      </c>
      <c r="D58" s="10">
        <v>100</v>
      </c>
      <c r="E58" s="10" t="s">
        <v>10</v>
      </c>
      <c r="F58" s="10">
        <v>1437142</v>
      </c>
      <c r="G58" s="10" t="s">
        <v>145</v>
      </c>
      <c r="H58" s="11">
        <v>27661</v>
      </c>
      <c r="I58" s="10">
        <v>0</v>
      </c>
      <c r="J58" s="11">
        <f t="shared" si="1"/>
        <v>27661</v>
      </c>
      <c r="K58" s="12">
        <f>VLOOKUP(A58,[2]VA05!$A:$K,11,FALSE)</f>
        <v>45601</v>
      </c>
      <c r="L58" s="10" t="s">
        <v>12</v>
      </c>
      <c r="M58" s="10" t="s">
        <v>109</v>
      </c>
    </row>
    <row r="59" spans="1:13" x14ac:dyDescent="0.25">
      <c r="A59" s="13" t="str">
        <f t="shared" si="0"/>
        <v>50714274210</v>
      </c>
      <c r="B59" s="10">
        <v>1004054341</v>
      </c>
      <c r="C59" s="10">
        <v>507142742</v>
      </c>
      <c r="D59" s="10">
        <v>10</v>
      </c>
      <c r="E59" s="10" t="s">
        <v>10</v>
      </c>
      <c r="F59" s="10">
        <v>1437142</v>
      </c>
      <c r="G59" s="10" t="s">
        <v>145</v>
      </c>
      <c r="H59" s="11">
        <v>27661</v>
      </c>
      <c r="I59" s="10">
        <v>0</v>
      </c>
      <c r="J59" s="11">
        <f t="shared" si="1"/>
        <v>27661</v>
      </c>
      <c r="K59" s="12">
        <f>VLOOKUP(A59,[2]VA05!$A:$K,11,FALSE)</f>
        <v>45580</v>
      </c>
      <c r="L59" s="10" t="s">
        <v>13</v>
      </c>
      <c r="M59" s="10" t="s">
        <v>155</v>
      </c>
    </row>
    <row r="60" spans="1:13" x14ac:dyDescent="0.25">
      <c r="A60" s="13" t="str">
        <f t="shared" si="0"/>
        <v>50714242450</v>
      </c>
      <c r="B60" s="10">
        <v>1004019633</v>
      </c>
      <c r="C60" s="10">
        <v>507142424</v>
      </c>
      <c r="D60" s="10">
        <v>50</v>
      </c>
      <c r="E60" s="10" t="s">
        <v>10</v>
      </c>
      <c r="F60" s="10">
        <v>1212309</v>
      </c>
      <c r="G60" s="10" t="s">
        <v>16</v>
      </c>
      <c r="H60" s="11">
        <v>30725</v>
      </c>
      <c r="I60" s="10">
        <v>0</v>
      </c>
      <c r="J60" s="11">
        <f t="shared" si="1"/>
        <v>30725</v>
      </c>
      <c r="K60" s="12" t="e">
        <f>VLOOKUP(A60,[2]VA05!$A:$K,11,FALSE)</f>
        <v>#N/A</v>
      </c>
      <c r="L60" s="10" t="s">
        <v>12</v>
      </c>
      <c r="M60" s="10" t="s">
        <v>82</v>
      </c>
    </row>
    <row r="61" spans="1:13" x14ac:dyDescent="0.25">
      <c r="A61" s="13" t="str">
        <f t="shared" si="0"/>
        <v>50714274220</v>
      </c>
      <c r="B61" s="10">
        <v>1004052511</v>
      </c>
      <c r="C61" s="10">
        <v>507142742</v>
      </c>
      <c r="D61" s="10">
        <v>20</v>
      </c>
      <c r="E61" s="10" t="s">
        <v>10</v>
      </c>
      <c r="F61" s="10">
        <v>1209351</v>
      </c>
      <c r="G61" s="10" t="s">
        <v>135</v>
      </c>
      <c r="H61" s="11">
        <v>25576</v>
      </c>
      <c r="I61" s="11">
        <v>2837</v>
      </c>
      <c r="J61" s="11">
        <f t="shared" si="1"/>
        <v>22739</v>
      </c>
      <c r="K61" s="12">
        <f>VLOOKUP(A61,[2]VA05!$A:$K,11,FALSE)</f>
        <v>45580</v>
      </c>
      <c r="L61" s="10" t="s">
        <v>18</v>
      </c>
      <c r="M61" s="10" t="s">
        <v>197</v>
      </c>
    </row>
    <row r="62" spans="1:13" x14ac:dyDescent="0.25">
      <c r="A62" s="13" t="str">
        <f t="shared" si="0"/>
        <v>50714274250</v>
      </c>
      <c r="B62" s="10">
        <v>1004052512</v>
      </c>
      <c r="C62" s="10">
        <v>507142742</v>
      </c>
      <c r="D62" s="10">
        <v>50</v>
      </c>
      <c r="E62" s="10" t="s">
        <v>10</v>
      </c>
      <c r="F62" s="10">
        <v>1209351</v>
      </c>
      <c r="G62" s="10" t="s">
        <v>135</v>
      </c>
      <c r="H62" s="11">
        <v>25576</v>
      </c>
      <c r="I62" s="10">
        <v>0</v>
      </c>
      <c r="J62" s="11">
        <f t="shared" si="1"/>
        <v>25576</v>
      </c>
      <c r="K62" s="12">
        <f>VLOOKUP(A62,[2]VA05!$A:$K,11,FALSE)</f>
        <v>45587</v>
      </c>
      <c r="L62" s="10" t="s">
        <v>12</v>
      </c>
      <c r="M62" s="10" t="s">
        <v>192</v>
      </c>
    </row>
    <row r="63" spans="1:13" x14ac:dyDescent="0.25">
      <c r="A63" s="13" t="str">
        <f t="shared" si="0"/>
        <v>50714274280</v>
      </c>
      <c r="B63" s="10">
        <v>1004052513</v>
      </c>
      <c r="C63" s="10">
        <v>507142742</v>
      </c>
      <c r="D63" s="10">
        <v>80</v>
      </c>
      <c r="E63" s="10" t="s">
        <v>10</v>
      </c>
      <c r="F63" s="10">
        <v>1209351</v>
      </c>
      <c r="G63" s="10" t="s">
        <v>135</v>
      </c>
      <c r="H63" s="11">
        <v>25576</v>
      </c>
      <c r="I63" s="10">
        <v>0</v>
      </c>
      <c r="J63" s="11">
        <f t="shared" si="1"/>
        <v>25576</v>
      </c>
      <c r="K63" s="12">
        <f>VLOOKUP(A63,[2]VA05!$A:$K,11,FALSE)</f>
        <v>45594</v>
      </c>
      <c r="L63" s="10" t="s">
        <v>12</v>
      </c>
      <c r="M63" s="10" t="s">
        <v>176</v>
      </c>
    </row>
    <row r="64" spans="1:13" x14ac:dyDescent="0.25">
      <c r="A64" s="13" t="str">
        <f t="shared" si="0"/>
        <v>507142742110</v>
      </c>
      <c r="B64" s="10">
        <v>1004052514</v>
      </c>
      <c r="C64" s="10">
        <v>507142742</v>
      </c>
      <c r="D64" s="10">
        <v>110</v>
      </c>
      <c r="E64" s="10" t="s">
        <v>10</v>
      </c>
      <c r="F64" s="10">
        <v>1209351</v>
      </c>
      <c r="G64" s="10" t="s">
        <v>135</v>
      </c>
      <c r="H64" s="11">
        <v>25576</v>
      </c>
      <c r="I64" s="10">
        <v>0</v>
      </c>
      <c r="J64" s="11">
        <f t="shared" si="1"/>
        <v>25576</v>
      </c>
      <c r="K64" s="12">
        <f>VLOOKUP(A64,[2]VA05!$A:$K,11,FALSE)</f>
        <v>45601</v>
      </c>
      <c r="L64" s="10" t="s">
        <v>12</v>
      </c>
      <c r="M64" s="10" t="s">
        <v>198</v>
      </c>
    </row>
    <row r="65" spans="1:13" x14ac:dyDescent="0.25">
      <c r="A65" s="13" t="str">
        <f t="shared" si="0"/>
        <v>50900099220</v>
      </c>
      <c r="B65" s="10">
        <v>1004021332</v>
      </c>
      <c r="C65" s="10">
        <v>509000992</v>
      </c>
      <c r="D65" s="10">
        <v>20</v>
      </c>
      <c r="E65" s="10" t="s">
        <v>10</v>
      </c>
      <c r="F65" s="10">
        <v>1279716</v>
      </c>
      <c r="G65" s="10" t="s">
        <v>54</v>
      </c>
      <c r="H65" s="11">
        <v>10299</v>
      </c>
      <c r="I65" s="10">
        <v>0</v>
      </c>
      <c r="J65" s="11">
        <f t="shared" si="1"/>
        <v>10299</v>
      </c>
      <c r="K65" s="12" t="e">
        <f>VLOOKUP(A65,[2]VA05!$A:$K,11,FALSE)</f>
        <v>#N/A</v>
      </c>
      <c r="L65" s="10" t="s">
        <v>25</v>
      </c>
      <c r="M65" s="10" t="s">
        <v>66</v>
      </c>
    </row>
    <row r="66" spans="1:13" x14ac:dyDescent="0.25">
      <c r="A66" s="13" t="str">
        <f t="shared" si="0"/>
        <v>50714242410</v>
      </c>
      <c r="B66" s="10">
        <v>1004019563</v>
      </c>
      <c r="C66" s="10">
        <v>507142424</v>
      </c>
      <c r="D66" s="10">
        <v>10</v>
      </c>
      <c r="E66" s="10" t="s">
        <v>10</v>
      </c>
      <c r="F66" s="10">
        <v>1212320</v>
      </c>
      <c r="G66" s="10" t="s">
        <v>17</v>
      </c>
      <c r="H66" s="11">
        <v>19568</v>
      </c>
      <c r="I66" s="10">
        <v>0</v>
      </c>
      <c r="J66" s="11">
        <f t="shared" si="1"/>
        <v>19568</v>
      </c>
      <c r="K66" s="12" t="e">
        <f>VLOOKUP(A66,[2]VA05!$A:$K,11,FALSE)</f>
        <v>#N/A</v>
      </c>
      <c r="L66" s="10" t="s">
        <v>239</v>
      </c>
      <c r="M66" s="10" t="s">
        <v>72</v>
      </c>
    </row>
    <row r="67" spans="1:13" x14ac:dyDescent="0.25">
      <c r="A67" s="13" t="str">
        <f t="shared" si="0"/>
        <v>50714242430</v>
      </c>
      <c r="B67" s="10">
        <v>1004019564</v>
      </c>
      <c r="C67" s="10">
        <v>507142424</v>
      </c>
      <c r="D67" s="10">
        <v>30</v>
      </c>
      <c r="E67" s="10" t="s">
        <v>10</v>
      </c>
      <c r="F67" s="10">
        <v>1212320</v>
      </c>
      <c r="G67" s="10" t="s">
        <v>17</v>
      </c>
      <c r="H67" s="11">
        <v>19568</v>
      </c>
      <c r="I67" s="10">
        <v>0</v>
      </c>
      <c r="J67" s="11">
        <f t="shared" si="1"/>
        <v>19568</v>
      </c>
      <c r="K67" s="12" t="e">
        <f>VLOOKUP(A67,[2]VA05!$A:$K,11,FALSE)</f>
        <v>#N/A</v>
      </c>
      <c r="L67" s="10" t="s">
        <v>13</v>
      </c>
      <c r="M67" s="10" t="s">
        <v>69</v>
      </c>
    </row>
    <row r="68" spans="1:13" x14ac:dyDescent="0.25">
      <c r="A68" s="13" t="str">
        <f t="shared" ref="A68:A131" si="2">C68&amp;D68</f>
        <v>50714242450</v>
      </c>
      <c r="B68" s="10">
        <v>1004019566</v>
      </c>
      <c r="C68" s="10">
        <v>507142424</v>
      </c>
      <c r="D68" s="10">
        <v>50</v>
      </c>
      <c r="E68" s="10" t="s">
        <v>10</v>
      </c>
      <c r="F68" s="10">
        <v>1212320</v>
      </c>
      <c r="G68" s="10" t="s">
        <v>17</v>
      </c>
      <c r="H68" s="11">
        <v>30725</v>
      </c>
      <c r="I68" s="10">
        <v>0</v>
      </c>
      <c r="J68" s="11">
        <f t="shared" ref="J68:J131" si="3">H68-I68</f>
        <v>30725</v>
      </c>
      <c r="K68" s="12" t="e">
        <f>VLOOKUP(A68,[2]VA05!$A:$K,11,FALSE)</f>
        <v>#N/A</v>
      </c>
      <c r="L68" s="10" t="s">
        <v>13</v>
      </c>
      <c r="M68" s="10" t="s">
        <v>73</v>
      </c>
    </row>
    <row r="69" spans="1:13" x14ac:dyDescent="0.25">
      <c r="A69" s="13" t="str">
        <f t="shared" si="2"/>
        <v>50714274220</v>
      </c>
      <c r="B69" s="10">
        <v>1004052428</v>
      </c>
      <c r="C69" s="10">
        <v>507142742</v>
      </c>
      <c r="D69" s="10">
        <v>20</v>
      </c>
      <c r="E69" s="10" t="s">
        <v>10</v>
      </c>
      <c r="F69" s="10">
        <v>1437172</v>
      </c>
      <c r="G69" s="10" t="s">
        <v>123</v>
      </c>
      <c r="H69" s="11">
        <v>25576</v>
      </c>
      <c r="I69" s="11">
        <v>7183</v>
      </c>
      <c r="J69" s="11">
        <f t="shared" si="3"/>
        <v>18393</v>
      </c>
      <c r="K69" s="12">
        <f>VLOOKUP(A69,[2]VA05!$A:$K,11,FALSE)</f>
        <v>45580</v>
      </c>
      <c r="L69" s="10" t="s">
        <v>18</v>
      </c>
      <c r="M69" s="10" t="s">
        <v>197</v>
      </c>
    </row>
    <row r="70" spans="1:13" x14ac:dyDescent="0.25">
      <c r="A70" s="13" t="str">
        <f t="shared" si="2"/>
        <v>50714274280</v>
      </c>
      <c r="B70" s="10">
        <v>1004052509</v>
      </c>
      <c r="C70" s="10">
        <v>507142742</v>
      </c>
      <c r="D70" s="10">
        <v>80</v>
      </c>
      <c r="E70" s="10" t="s">
        <v>10</v>
      </c>
      <c r="F70" s="10">
        <v>1437172</v>
      </c>
      <c r="G70" s="10" t="s">
        <v>123</v>
      </c>
      <c r="H70" s="11">
        <v>25576</v>
      </c>
      <c r="I70" s="10">
        <v>0</v>
      </c>
      <c r="J70" s="11">
        <f t="shared" si="3"/>
        <v>25576</v>
      </c>
      <c r="K70" s="12">
        <f>VLOOKUP(A70,[2]VA05!$A:$K,11,FALSE)</f>
        <v>45594</v>
      </c>
      <c r="L70" s="10" t="s">
        <v>12</v>
      </c>
      <c r="M70" s="10" t="s">
        <v>176</v>
      </c>
    </row>
    <row r="71" spans="1:13" x14ac:dyDescent="0.25">
      <c r="A71" s="13" t="str">
        <f t="shared" si="2"/>
        <v>507142742110</v>
      </c>
      <c r="B71" s="10">
        <v>1004052510</v>
      </c>
      <c r="C71" s="10">
        <v>507142742</v>
      </c>
      <c r="D71" s="10">
        <v>110</v>
      </c>
      <c r="E71" s="10" t="s">
        <v>10</v>
      </c>
      <c r="F71" s="10">
        <v>1437172</v>
      </c>
      <c r="G71" s="10" t="s">
        <v>123</v>
      </c>
      <c r="H71" s="11">
        <v>25576</v>
      </c>
      <c r="I71" s="10">
        <v>0</v>
      </c>
      <c r="J71" s="11">
        <f t="shared" si="3"/>
        <v>25576</v>
      </c>
      <c r="K71" s="12">
        <f>VLOOKUP(A71,[2]VA05!$A:$K,11,FALSE)</f>
        <v>45601</v>
      </c>
      <c r="L71" s="10" t="s">
        <v>12</v>
      </c>
      <c r="M71" s="10" t="s">
        <v>198</v>
      </c>
    </row>
    <row r="72" spans="1:13" x14ac:dyDescent="0.25">
      <c r="A72" s="13" t="str">
        <f t="shared" si="2"/>
        <v>50900099220</v>
      </c>
      <c r="B72" s="10">
        <v>1004016985</v>
      </c>
      <c r="C72" s="10">
        <v>509000992</v>
      </c>
      <c r="D72" s="10">
        <v>20</v>
      </c>
      <c r="E72" s="10" t="s">
        <v>10</v>
      </c>
      <c r="F72" s="10">
        <v>1279713</v>
      </c>
      <c r="G72" s="10" t="s">
        <v>55</v>
      </c>
      <c r="H72" s="11">
        <v>10299</v>
      </c>
      <c r="I72" s="10">
        <v>0</v>
      </c>
      <c r="J72" s="11">
        <f t="shared" si="3"/>
        <v>10299</v>
      </c>
      <c r="K72" s="12" t="e">
        <f>VLOOKUP(A72,[2]VA05!$A:$K,11,FALSE)</f>
        <v>#N/A</v>
      </c>
      <c r="L72" s="10" t="s">
        <v>13</v>
      </c>
      <c r="M72" s="10" t="s">
        <v>58</v>
      </c>
    </row>
    <row r="73" spans="1:13" x14ac:dyDescent="0.25">
      <c r="A73" s="13" t="str">
        <f t="shared" si="2"/>
        <v>50900099320</v>
      </c>
      <c r="B73" s="10">
        <v>1004016986</v>
      </c>
      <c r="C73" s="10">
        <v>509000993</v>
      </c>
      <c r="D73" s="10">
        <v>20</v>
      </c>
      <c r="E73" s="10" t="s">
        <v>10</v>
      </c>
      <c r="F73" s="10">
        <v>1279713</v>
      </c>
      <c r="G73" s="10" t="s">
        <v>55</v>
      </c>
      <c r="H73" s="11">
        <v>3262</v>
      </c>
      <c r="I73" s="10">
        <v>0</v>
      </c>
      <c r="J73" s="11">
        <f t="shared" si="3"/>
        <v>3262</v>
      </c>
      <c r="K73" s="12" t="e">
        <f>VLOOKUP(A73,[2]VA05!$A:$K,11,FALSE)</f>
        <v>#N/A</v>
      </c>
      <c r="L73" s="10" t="s">
        <v>12</v>
      </c>
      <c r="M73" s="10" t="s">
        <v>50</v>
      </c>
    </row>
    <row r="74" spans="1:13" x14ac:dyDescent="0.25">
      <c r="A74" s="13" t="str">
        <f t="shared" si="2"/>
        <v>50714274240</v>
      </c>
      <c r="B74" s="10">
        <v>1004049969</v>
      </c>
      <c r="C74" s="10">
        <v>507142742</v>
      </c>
      <c r="D74" s="10">
        <v>40</v>
      </c>
      <c r="E74" s="10" t="s">
        <v>10</v>
      </c>
      <c r="F74" s="10">
        <v>1209336</v>
      </c>
      <c r="G74" s="10" t="s">
        <v>124</v>
      </c>
      <c r="H74" s="11">
        <v>25576</v>
      </c>
      <c r="I74" s="11">
        <v>1312</v>
      </c>
      <c r="J74" s="11">
        <f t="shared" si="3"/>
        <v>24264</v>
      </c>
      <c r="K74" s="12">
        <f>VLOOKUP(A74,[2]VA05!$A:$K,11,FALSE)</f>
        <v>45587</v>
      </c>
      <c r="L74" s="10" t="s">
        <v>18</v>
      </c>
      <c r="M74" s="10" t="s">
        <v>157</v>
      </c>
    </row>
    <row r="75" spans="1:13" x14ac:dyDescent="0.25">
      <c r="A75" s="13" t="str">
        <f t="shared" si="2"/>
        <v>50714274270</v>
      </c>
      <c r="B75" s="10">
        <v>1004052425</v>
      </c>
      <c r="C75" s="10">
        <v>507142742</v>
      </c>
      <c r="D75" s="10">
        <v>70</v>
      </c>
      <c r="E75" s="10" t="s">
        <v>10</v>
      </c>
      <c r="F75" s="10">
        <v>1209336</v>
      </c>
      <c r="G75" s="10" t="s">
        <v>124</v>
      </c>
      <c r="H75" s="11">
        <v>25576</v>
      </c>
      <c r="I75" s="10">
        <v>0</v>
      </c>
      <c r="J75" s="11">
        <f t="shared" si="3"/>
        <v>25576</v>
      </c>
      <c r="K75" s="12">
        <f>VLOOKUP(A75,[2]VA05!$A:$K,11,FALSE)</f>
        <v>45594</v>
      </c>
      <c r="L75" s="10" t="s">
        <v>12</v>
      </c>
      <c r="M75" s="10" t="s">
        <v>199</v>
      </c>
    </row>
    <row r="76" spans="1:13" x14ac:dyDescent="0.25">
      <c r="A76" s="13" t="str">
        <f t="shared" si="2"/>
        <v>507142742100</v>
      </c>
      <c r="B76" s="10">
        <v>1004052426</v>
      </c>
      <c r="C76" s="10">
        <v>507142742</v>
      </c>
      <c r="D76" s="10">
        <v>100</v>
      </c>
      <c r="E76" s="10" t="s">
        <v>10</v>
      </c>
      <c r="F76" s="10">
        <v>1209336</v>
      </c>
      <c r="G76" s="10" t="s">
        <v>124</v>
      </c>
      <c r="H76" s="11">
        <v>25576</v>
      </c>
      <c r="I76" s="10">
        <v>0</v>
      </c>
      <c r="J76" s="11">
        <f t="shared" si="3"/>
        <v>25576</v>
      </c>
      <c r="K76" s="12">
        <f>VLOOKUP(A76,[2]VA05!$A:$K,11,FALSE)</f>
        <v>45601</v>
      </c>
      <c r="L76" s="10" t="s">
        <v>12</v>
      </c>
      <c r="M76" s="10" t="s">
        <v>200</v>
      </c>
    </row>
    <row r="77" spans="1:13" x14ac:dyDescent="0.25">
      <c r="A77" s="13" t="str">
        <f t="shared" si="2"/>
        <v>50714246960</v>
      </c>
      <c r="B77" s="10">
        <v>1004016982</v>
      </c>
      <c r="C77" s="10">
        <v>507142469</v>
      </c>
      <c r="D77" s="10">
        <v>60</v>
      </c>
      <c r="E77" s="10" t="s">
        <v>10</v>
      </c>
      <c r="F77" s="10">
        <v>1212321</v>
      </c>
      <c r="G77" s="10" t="s">
        <v>30</v>
      </c>
      <c r="H77" s="11">
        <v>71577</v>
      </c>
      <c r="I77" s="11">
        <v>8540</v>
      </c>
      <c r="J77" s="11">
        <f t="shared" si="3"/>
        <v>63037</v>
      </c>
      <c r="K77" s="12" t="e">
        <f>VLOOKUP(A77,[2]VA05!$A:$K,11,FALSE)</f>
        <v>#N/A</v>
      </c>
      <c r="L77" s="10" t="s">
        <v>18</v>
      </c>
      <c r="M77" s="10" t="s">
        <v>49</v>
      </c>
    </row>
    <row r="78" spans="1:13" x14ac:dyDescent="0.25">
      <c r="A78" s="13" t="str">
        <f t="shared" si="2"/>
        <v>50714274230</v>
      </c>
      <c r="B78" s="10">
        <v>1004052421</v>
      </c>
      <c r="C78" s="10">
        <v>507142742</v>
      </c>
      <c r="D78" s="10">
        <v>30</v>
      </c>
      <c r="E78" s="10" t="s">
        <v>10</v>
      </c>
      <c r="F78" s="10">
        <v>1209347</v>
      </c>
      <c r="G78" s="10" t="s">
        <v>136</v>
      </c>
      <c r="H78" s="11">
        <v>25576</v>
      </c>
      <c r="I78" s="10">
        <v>0</v>
      </c>
      <c r="J78" s="11">
        <f t="shared" si="3"/>
        <v>25576</v>
      </c>
      <c r="K78" s="12">
        <f>VLOOKUP(A78,[2]VA05!$A:$K,11,FALSE)</f>
        <v>45580</v>
      </c>
      <c r="L78" s="10" t="s">
        <v>12</v>
      </c>
      <c r="M78" s="10" t="s">
        <v>197</v>
      </c>
    </row>
    <row r="79" spans="1:13" x14ac:dyDescent="0.25">
      <c r="A79" s="13" t="str">
        <f t="shared" si="2"/>
        <v>50714274260</v>
      </c>
      <c r="B79" s="10">
        <v>1004052422</v>
      </c>
      <c r="C79" s="10">
        <v>507142742</v>
      </c>
      <c r="D79" s="10">
        <v>60</v>
      </c>
      <c r="E79" s="10" t="s">
        <v>10</v>
      </c>
      <c r="F79" s="10">
        <v>1209347</v>
      </c>
      <c r="G79" s="10" t="s">
        <v>136</v>
      </c>
      <c r="H79" s="11">
        <v>25576</v>
      </c>
      <c r="I79" s="10">
        <v>0</v>
      </c>
      <c r="J79" s="11">
        <f t="shared" si="3"/>
        <v>25576</v>
      </c>
      <c r="K79" s="12">
        <f>VLOOKUP(A79,[2]VA05!$A:$K,11,FALSE)</f>
        <v>45587</v>
      </c>
      <c r="L79" s="10" t="s">
        <v>12</v>
      </c>
      <c r="M79" s="10" t="s">
        <v>192</v>
      </c>
    </row>
    <row r="80" spans="1:13" x14ac:dyDescent="0.25">
      <c r="A80" s="13" t="str">
        <f t="shared" si="2"/>
        <v>50714274290</v>
      </c>
      <c r="B80" s="10">
        <v>1004052423</v>
      </c>
      <c r="C80" s="10">
        <v>507142742</v>
      </c>
      <c r="D80" s="10">
        <v>90</v>
      </c>
      <c r="E80" s="10" t="s">
        <v>10</v>
      </c>
      <c r="F80" s="10">
        <v>1209347</v>
      </c>
      <c r="G80" s="10" t="s">
        <v>136</v>
      </c>
      <c r="H80" s="11">
        <v>25576</v>
      </c>
      <c r="I80" s="10">
        <v>0</v>
      </c>
      <c r="J80" s="11">
        <f t="shared" si="3"/>
        <v>25576</v>
      </c>
      <c r="K80" s="12">
        <f>VLOOKUP(A80,[2]VA05!$A:$K,11,FALSE)</f>
        <v>45594</v>
      </c>
      <c r="L80" s="10" t="s">
        <v>12</v>
      </c>
      <c r="M80" s="10" t="s">
        <v>176</v>
      </c>
    </row>
    <row r="81" spans="1:13" x14ac:dyDescent="0.25">
      <c r="A81" s="13" t="str">
        <f t="shared" si="2"/>
        <v>507142742120</v>
      </c>
      <c r="B81" s="10">
        <v>1004052424</v>
      </c>
      <c r="C81" s="10">
        <v>507142742</v>
      </c>
      <c r="D81" s="10">
        <v>120</v>
      </c>
      <c r="E81" s="10" t="s">
        <v>10</v>
      </c>
      <c r="F81" s="10">
        <v>1209347</v>
      </c>
      <c r="G81" s="10" t="s">
        <v>136</v>
      </c>
      <c r="H81" s="11">
        <v>25576</v>
      </c>
      <c r="I81" s="10">
        <v>0</v>
      </c>
      <c r="J81" s="11">
        <f t="shared" si="3"/>
        <v>25576</v>
      </c>
      <c r="K81" s="12">
        <f>VLOOKUP(A81,[2]VA05!$A:$K,11,FALSE)</f>
        <v>45601</v>
      </c>
      <c r="L81" s="10" t="s">
        <v>12</v>
      </c>
      <c r="M81" s="10" t="s">
        <v>198</v>
      </c>
    </row>
    <row r="82" spans="1:13" x14ac:dyDescent="0.25">
      <c r="A82" s="13" t="str">
        <f t="shared" si="2"/>
        <v>50714273910</v>
      </c>
      <c r="B82" s="10">
        <v>1004051713</v>
      </c>
      <c r="C82" s="10">
        <v>507142739</v>
      </c>
      <c r="D82" s="10">
        <v>10</v>
      </c>
      <c r="E82" s="10" t="s">
        <v>10</v>
      </c>
      <c r="F82" s="10">
        <v>1409882</v>
      </c>
      <c r="G82" s="10" t="s">
        <v>39</v>
      </c>
      <c r="H82" s="11">
        <v>22415</v>
      </c>
      <c r="I82" s="11">
        <v>8029</v>
      </c>
      <c r="J82" s="11">
        <f t="shared" si="3"/>
        <v>14386</v>
      </c>
      <c r="K82" s="12">
        <f>VLOOKUP(A82,[2]VA05!$A:$K,11,FALSE)</f>
        <v>45568</v>
      </c>
      <c r="L82" s="10" t="s">
        <v>18</v>
      </c>
      <c r="M82" s="10" t="s">
        <v>61</v>
      </c>
    </row>
    <row r="83" spans="1:13" x14ac:dyDescent="0.25">
      <c r="A83" s="13" t="str">
        <f t="shared" si="2"/>
        <v>50714273920</v>
      </c>
      <c r="B83" s="10">
        <v>1004051714</v>
      </c>
      <c r="C83" s="10">
        <v>507142739</v>
      </c>
      <c r="D83" s="10">
        <v>20</v>
      </c>
      <c r="E83" s="10" t="s">
        <v>10</v>
      </c>
      <c r="F83" s="10">
        <v>1409882</v>
      </c>
      <c r="G83" s="10" t="s">
        <v>39</v>
      </c>
      <c r="H83" s="11">
        <v>51460</v>
      </c>
      <c r="I83" s="10">
        <v>0</v>
      </c>
      <c r="J83" s="11">
        <f t="shared" si="3"/>
        <v>51460</v>
      </c>
      <c r="K83" s="12">
        <f>VLOOKUP(A83,[2]VA05!$A:$K,11,FALSE)</f>
        <v>45573</v>
      </c>
      <c r="L83" s="10" t="s">
        <v>12</v>
      </c>
      <c r="M83" s="10" t="s">
        <v>97</v>
      </c>
    </row>
    <row r="84" spans="1:13" x14ac:dyDescent="0.25">
      <c r="A84" s="13" t="str">
        <f t="shared" si="2"/>
        <v>50714273910</v>
      </c>
      <c r="B84" s="10">
        <v>1004056940</v>
      </c>
      <c r="C84" s="10">
        <v>507142739</v>
      </c>
      <c r="D84" s="10">
        <v>10</v>
      </c>
      <c r="E84" s="10" t="s">
        <v>10</v>
      </c>
      <c r="F84" s="10">
        <v>1409883</v>
      </c>
      <c r="G84" s="10" t="s">
        <v>40</v>
      </c>
      <c r="H84" s="11">
        <v>23551</v>
      </c>
      <c r="I84" s="11">
        <v>14156</v>
      </c>
      <c r="J84" s="11">
        <f t="shared" si="3"/>
        <v>9395</v>
      </c>
      <c r="K84" s="12">
        <f>VLOOKUP(A84,[2]VA05!$A:$K,11,FALSE)</f>
        <v>45568</v>
      </c>
      <c r="L84" s="10" t="s">
        <v>11</v>
      </c>
      <c r="M84" s="10" t="s">
        <v>195</v>
      </c>
    </row>
    <row r="85" spans="1:13" x14ac:dyDescent="0.25">
      <c r="A85" s="13" t="str">
        <f t="shared" si="2"/>
        <v>50714273920</v>
      </c>
      <c r="B85" s="10">
        <v>1004056941</v>
      </c>
      <c r="C85" s="10">
        <v>507142739</v>
      </c>
      <c r="D85" s="10">
        <v>20</v>
      </c>
      <c r="E85" s="10" t="s">
        <v>10</v>
      </c>
      <c r="F85" s="10">
        <v>1409883</v>
      </c>
      <c r="G85" s="10" t="s">
        <v>40</v>
      </c>
      <c r="H85" s="11">
        <v>54066</v>
      </c>
      <c r="I85" s="10">
        <v>0</v>
      </c>
      <c r="J85" s="11">
        <f t="shared" si="3"/>
        <v>54066</v>
      </c>
      <c r="K85" s="12">
        <f>VLOOKUP(A85,[2]VA05!$A:$K,11,FALSE)</f>
        <v>45573</v>
      </c>
      <c r="L85" s="10" t="s">
        <v>13</v>
      </c>
      <c r="M85" s="10" t="s">
        <v>195</v>
      </c>
    </row>
    <row r="86" spans="1:13" x14ac:dyDescent="0.25">
      <c r="A86" s="13" t="str">
        <f t="shared" si="2"/>
        <v>50714273930</v>
      </c>
      <c r="B86" s="10">
        <v>1004057977</v>
      </c>
      <c r="C86" s="10">
        <v>507142739</v>
      </c>
      <c r="D86" s="10">
        <v>30</v>
      </c>
      <c r="E86" s="10" t="s">
        <v>10</v>
      </c>
      <c r="F86" s="10">
        <v>1409883</v>
      </c>
      <c r="G86" s="10" t="s">
        <v>40</v>
      </c>
      <c r="H86" s="11">
        <v>30185</v>
      </c>
      <c r="I86" s="10">
        <v>0</v>
      </c>
      <c r="J86" s="11">
        <f t="shared" si="3"/>
        <v>30185</v>
      </c>
      <c r="K86" s="12">
        <f>VLOOKUP(A86,[2]VA05!$A:$K,11,FALSE)</f>
        <v>45580</v>
      </c>
      <c r="L86" s="10" t="s">
        <v>119</v>
      </c>
      <c r="M86" s="10" t="s">
        <v>155</v>
      </c>
    </row>
    <row r="87" spans="1:13" x14ac:dyDescent="0.25">
      <c r="A87" s="13" t="str">
        <f t="shared" si="2"/>
        <v>50714278010</v>
      </c>
      <c r="B87" s="10">
        <v>1004058757</v>
      </c>
      <c r="C87" s="10">
        <v>507142780</v>
      </c>
      <c r="D87" s="10">
        <v>10</v>
      </c>
      <c r="E87" s="10" t="s">
        <v>10</v>
      </c>
      <c r="F87" s="10">
        <v>1409883</v>
      </c>
      <c r="G87" s="10" t="s">
        <v>40</v>
      </c>
      <c r="H87" s="11">
        <v>34165</v>
      </c>
      <c r="I87" s="10">
        <v>0</v>
      </c>
      <c r="J87" s="11">
        <f t="shared" si="3"/>
        <v>34165</v>
      </c>
      <c r="K87" s="12">
        <f>VLOOKUP(A87,[2]VA05!$A:$K,11,FALSE)</f>
        <v>45580</v>
      </c>
      <c r="L87" s="10" t="s">
        <v>12</v>
      </c>
      <c r="M87" s="10" t="s">
        <v>195</v>
      </c>
    </row>
    <row r="88" spans="1:13" x14ac:dyDescent="0.25">
      <c r="A88" s="13" t="str">
        <f t="shared" si="2"/>
        <v>50714278020</v>
      </c>
      <c r="B88" s="10">
        <v>1004058758</v>
      </c>
      <c r="C88" s="10">
        <v>507142780</v>
      </c>
      <c r="D88" s="10">
        <v>20</v>
      </c>
      <c r="E88" s="10" t="s">
        <v>10</v>
      </c>
      <c r="F88" s="10">
        <v>1409883</v>
      </c>
      <c r="G88" s="10" t="s">
        <v>40</v>
      </c>
      <c r="H88" s="11">
        <v>54066</v>
      </c>
      <c r="I88" s="10">
        <v>0</v>
      </c>
      <c r="J88" s="11">
        <f t="shared" si="3"/>
        <v>54066</v>
      </c>
      <c r="K88" s="12">
        <f>VLOOKUP(A88,[2]VA05!$A:$K,11,FALSE)</f>
        <v>45587</v>
      </c>
      <c r="L88" s="10" t="s">
        <v>12</v>
      </c>
      <c r="M88" s="10" t="s">
        <v>195</v>
      </c>
    </row>
    <row r="89" spans="1:13" x14ac:dyDescent="0.25">
      <c r="A89" s="13" t="str">
        <f t="shared" si="2"/>
        <v>50714278030</v>
      </c>
      <c r="B89" s="10">
        <v>1004058759</v>
      </c>
      <c r="C89" s="10">
        <v>507142780</v>
      </c>
      <c r="D89" s="10">
        <v>30</v>
      </c>
      <c r="E89" s="10" t="s">
        <v>10</v>
      </c>
      <c r="F89" s="10">
        <v>1409883</v>
      </c>
      <c r="G89" s="10" t="s">
        <v>40</v>
      </c>
      <c r="H89" s="11">
        <v>19571</v>
      </c>
      <c r="I89" s="10">
        <v>0</v>
      </c>
      <c r="J89" s="11">
        <f t="shared" si="3"/>
        <v>19571</v>
      </c>
      <c r="K89" s="12">
        <f>VLOOKUP(A89,[2]VA05!$A:$K,11,FALSE)</f>
        <v>45594</v>
      </c>
      <c r="L89" s="10" t="s">
        <v>12</v>
      </c>
      <c r="M89" s="10" t="s">
        <v>192</v>
      </c>
    </row>
    <row r="90" spans="1:13" x14ac:dyDescent="0.25">
      <c r="A90" s="13" t="str">
        <f t="shared" si="2"/>
        <v>50714276510</v>
      </c>
      <c r="B90" s="10">
        <v>1004051406</v>
      </c>
      <c r="C90" s="10">
        <v>507142765</v>
      </c>
      <c r="D90" s="10">
        <v>10</v>
      </c>
      <c r="E90" s="10" t="s">
        <v>10</v>
      </c>
      <c r="F90" s="10">
        <v>1398384</v>
      </c>
      <c r="G90" s="10" t="s">
        <v>168</v>
      </c>
      <c r="H90" s="11">
        <v>11422</v>
      </c>
      <c r="I90" s="10">
        <v>0</v>
      </c>
      <c r="J90" s="11">
        <f t="shared" si="3"/>
        <v>11422</v>
      </c>
      <c r="K90" s="12">
        <f>VLOOKUP(A90,[2]VA05!$A:$K,11,FALSE)</f>
        <v>45560</v>
      </c>
      <c r="L90" s="10" t="s">
        <v>13</v>
      </c>
      <c r="M90" s="10" t="s">
        <v>180</v>
      </c>
    </row>
    <row r="91" spans="1:13" x14ac:dyDescent="0.25">
      <c r="A91" s="13" t="str">
        <f t="shared" si="2"/>
        <v>50714276520</v>
      </c>
      <c r="B91" s="10">
        <v>1004051407</v>
      </c>
      <c r="C91" s="10">
        <v>507142765</v>
      </c>
      <c r="D91" s="10">
        <v>20</v>
      </c>
      <c r="E91" s="10" t="s">
        <v>10</v>
      </c>
      <c r="F91" s="10">
        <v>1398384</v>
      </c>
      <c r="G91" s="10" t="s">
        <v>168</v>
      </c>
      <c r="H91" s="11">
        <v>22842</v>
      </c>
      <c r="I91" s="10">
        <v>0</v>
      </c>
      <c r="J91" s="11">
        <f t="shared" si="3"/>
        <v>22842</v>
      </c>
      <c r="K91" s="12" t="e">
        <f>VLOOKUP(A91,[2]VA05!$A:$K,11,FALSE)</f>
        <v>#N/A</v>
      </c>
      <c r="L91" s="10" t="s">
        <v>12</v>
      </c>
      <c r="M91" s="10" t="s">
        <v>97</v>
      </c>
    </row>
    <row r="92" spans="1:13" x14ac:dyDescent="0.25">
      <c r="A92" s="13" t="str">
        <f t="shared" si="2"/>
        <v>50714276530</v>
      </c>
      <c r="B92" s="10">
        <v>1004051408</v>
      </c>
      <c r="C92" s="10">
        <v>507142765</v>
      </c>
      <c r="D92" s="10">
        <v>30</v>
      </c>
      <c r="E92" s="10" t="s">
        <v>10</v>
      </c>
      <c r="F92" s="10">
        <v>1398384</v>
      </c>
      <c r="G92" s="10" t="s">
        <v>168</v>
      </c>
      <c r="H92" s="11">
        <v>34807</v>
      </c>
      <c r="I92" s="10">
        <v>0</v>
      </c>
      <c r="J92" s="11">
        <f t="shared" si="3"/>
        <v>34807</v>
      </c>
      <c r="K92" s="12">
        <f>VLOOKUP(A92,[2]VA05!$A:$K,11,FALSE)</f>
        <v>45569</v>
      </c>
      <c r="L92" s="10" t="s">
        <v>12</v>
      </c>
      <c r="M92" s="10" t="s">
        <v>143</v>
      </c>
    </row>
    <row r="93" spans="1:13" x14ac:dyDescent="0.25">
      <c r="A93" s="13" t="str">
        <f t="shared" si="2"/>
        <v>50714276540</v>
      </c>
      <c r="B93" s="10">
        <v>1004052528</v>
      </c>
      <c r="C93" s="10">
        <v>507142765</v>
      </c>
      <c r="D93" s="10">
        <v>40</v>
      </c>
      <c r="E93" s="10" t="s">
        <v>10</v>
      </c>
      <c r="F93" s="10">
        <v>1398384</v>
      </c>
      <c r="G93" s="10" t="s">
        <v>168</v>
      </c>
      <c r="H93" s="11">
        <v>35078</v>
      </c>
      <c r="I93" s="10">
        <v>0</v>
      </c>
      <c r="J93" s="11">
        <f t="shared" si="3"/>
        <v>35078</v>
      </c>
      <c r="K93" s="12">
        <f>VLOOKUP(A93,[2]VA05!$A:$K,11,FALSE)</f>
        <v>45576</v>
      </c>
      <c r="L93" s="10" t="s">
        <v>12</v>
      </c>
      <c r="M93" s="10" t="s">
        <v>195</v>
      </c>
    </row>
    <row r="94" spans="1:13" x14ac:dyDescent="0.25">
      <c r="A94" s="13" t="str">
        <f t="shared" si="2"/>
        <v>50714276550</v>
      </c>
      <c r="B94" s="10">
        <v>1004052529</v>
      </c>
      <c r="C94" s="10">
        <v>507142765</v>
      </c>
      <c r="D94" s="10">
        <v>50</v>
      </c>
      <c r="E94" s="10" t="s">
        <v>10</v>
      </c>
      <c r="F94" s="10">
        <v>1398384</v>
      </c>
      <c r="G94" s="10" t="s">
        <v>168</v>
      </c>
      <c r="H94" s="11">
        <v>45412</v>
      </c>
      <c r="I94" s="10">
        <v>0</v>
      </c>
      <c r="J94" s="11">
        <f t="shared" si="3"/>
        <v>45412</v>
      </c>
      <c r="K94" s="12">
        <f>VLOOKUP(A94,[2]VA05!$A:$K,11,FALSE)</f>
        <v>45583</v>
      </c>
      <c r="L94" s="10" t="s">
        <v>12</v>
      </c>
      <c r="M94" s="10" t="s">
        <v>194</v>
      </c>
    </row>
    <row r="95" spans="1:13" x14ac:dyDescent="0.25">
      <c r="A95" s="13" t="str">
        <f t="shared" si="2"/>
        <v>50714276560</v>
      </c>
      <c r="B95" s="10">
        <v>1004052530</v>
      </c>
      <c r="C95" s="10">
        <v>507142765</v>
      </c>
      <c r="D95" s="10">
        <v>60</v>
      </c>
      <c r="E95" s="10" t="s">
        <v>10</v>
      </c>
      <c r="F95" s="10">
        <v>1398384</v>
      </c>
      <c r="G95" s="10" t="s">
        <v>168</v>
      </c>
      <c r="H95" s="11">
        <v>45412</v>
      </c>
      <c r="I95" s="10">
        <v>0</v>
      </c>
      <c r="J95" s="11">
        <f t="shared" si="3"/>
        <v>45412</v>
      </c>
      <c r="K95" s="12">
        <f>VLOOKUP(A95,[2]VA05!$A:$K,11,FALSE)</f>
        <v>45590</v>
      </c>
      <c r="L95" s="10" t="s">
        <v>12</v>
      </c>
      <c r="M95" s="10" t="s">
        <v>179</v>
      </c>
    </row>
    <row r="96" spans="1:13" x14ac:dyDescent="0.25">
      <c r="A96" s="13" t="str">
        <f t="shared" si="2"/>
        <v>50714276510</v>
      </c>
      <c r="B96" s="10">
        <v>1004052532</v>
      </c>
      <c r="C96" s="10">
        <v>507142765</v>
      </c>
      <c r="D96" s="10">
        <v>10</v>
      </c>
      <c r="E96" s="10" t="s">
        <v>10</v>
      </c>
      <c r="F96" s="10">
        <v>1398385</v>
      </c>
      <c r="G96" s="10" t="s">
        <v>183</v>
      </c>
      <c r="H96" s="11">
        <v>11765</v>
      </c>
      <c r="I96" s="10">
        <v>0</v>
      </c>
      <c r="J96" s="11">
        <f t="shared" si="3"/>
        <v>11765</v>
      </c>
      <c r="K96" s="12">
        <f>VLOOKUP(A96,[2]VA05!$A:$K,11,FALSE)</f>
        <v>45560</v>
      </c>
      <c r="L96" s="10" t="s">
        <v>25</v>
      </c>
      <c r="M96" s="10" t="s">
        <v>180</v>
      </c>
    </row>
    <row r="97" spans="1:13" x14ac:dyDescent="0.25">
      <c r="A97" s="13" t="str">
        <f t="shared" si="2"/>
        <v>50714276520</v>
      </c>
      <c r="B97" s="10">
        <v>1004052533</v>
      </c>
      <c r="C97" s="10">
        <v>507142765</v>
      </c>
      <c r="D97" s="10">
        <v>20</v>
      </c>
      <c r="E97" s="10" t="s">
        <v>10</v>
      </c>
      <c r="F97" s="10">
        <v>1398385</v>
      </c>
      <c r="G97" s="10" t="s">
        <v>183</v>
      </c>
      <c r="H97" s="11">
        <v>23528</v>
      </c>
      <c r="I97" s="10">
        <v>0</v>
      </c>
      <c r="J97" s="11">
        <f t="shared" si="3"/>
        <v>23528</v>
      </c>
      <c r="K97" s="12" t="e">
        <f>VLOOKUP(A97,[2]VA05!$A:$K,11,FALSE)</f>
        <v>#N/A</v>
      </c>
      <c r="L97" s="10" t="s">
        <v>12</v>
      </c>
      <c r="M97" s="10" t="s">
        <v>97</v>
      </c>
    </row>
    <row r="98" spans="1:13" x14ac:dyDescent="0.25">
      <c r="A98" s="13" t="str">
        <f t="shared" si="2"/>
        <v>50714276530</v>
      </c>
      <c r="B98" s="10">
        <v>1004052534</v>
      </c>
      <c r="C98" s="10">
        <v>507142765</v>
      </c>
      <c r="D98" s="10">
        <v>30</v>
      </c>
      <c r="E98" s="10" t="s">
        <v>10</v>
      </c>
      <c r="F98" s="10">
        <v>1398385</v>
      </c>
      <c r="G98" s="10" t="s">
        <v>183</v>
      </c>
      <c r="H98" s="11">
        <v>35852</v>
      </c>
      <c r="I98" s="10">
        <v>0</v>
      </c>
      <c r="J98" s="11">
        <f t="shared" si="3"/>
        <v>35852</v>
      </c>
      <c r="K98" s="12">
        <f>VLOOKUP(A98,[2]VA05!$A:$K,11,FALSE)</f>
        <v>45569</v>
      </c>
      <c r="L98" s="10" t="s">
        <v>12</v>
      </c>
      <c r="M98" s="10" t="s">
        <v>97</v>
      </c>
    </row>
    <row r="99" spans="1:13" x14ac:dyDescent="0.25">
      <c r="A99" s="13" t="str">
        <f t="shared" si="2"/>
        <v>50714276540</v>
      </c>
      <c r="B99" s="10">
        <v>1004052535</v>
      </c>
      <c r="C99" s="10">
        <v>507142765</v>
      </c>
      <c r="D99" s="10">
        <v>40</v>
      </c>
      <c r="E99" s="10" t="s">
        <v>10</v>
      </c>
      <c r="F99" s="10">
        <v>1398385</v>
      </c>
      <c r="G99" s="10" t="s">
        <v>183</v>
      </c>
      <c r="H99" s="11">
        <v>36131</v>
      </c>
      <c r="I99" s="10">
        <v>0</v>
      </c>
      <c r="J99" s="11">
        <f t="shared" si="3"/>
        <v>36131</v>
      </c>
      <c r="K99" s="12">
        <f>VLOOKUP(A99,[2]VA05!$A:$K,11,FALSE)</f>
        <v>45576</v>
      </c>
      <c r="L99" s="10" t="s">
        <v>12</v>
      </c>
      <c r="M99" s="10" t="s">
        <v>180</v>
      </c>
    </row>
    <row r="100" spans="1:13" x14ac:dyDescent="0.25">
      <c r="A100" s="13" t="str">
        <f t="shared" si="2"/>
        <v>50714276550</v>
      </c>
      <c r="B100" s="10">
        <v>1004052536</v>
      </c>
      <c r="C100" s="10">
        <v>507142765</v>
      </c>
      <c r="D100" s="10">
        <v>50</v>
      </c>
      <c r="E100" s="10" t="s">
        <v>10</v>
      </c>
      <c r="F100" s="10">
        <v>1398385</v>
      </c>
      <c r="G100" s="10" t="s">
        <v>183</v>
      </c>
      <c r="H100" s="11">
        <v>46775</v>
      </c>
      <c r="I100" s="10">
        <v>0</v>
      </c>
      <c r="J100" s="11">
        <f t="shared" si="3"/>
        <v>46775</v>
      </c>
      <c r="K100" s="12">
        <f>VLOOKUP(A100,[2]VA05!$A:$K,11,FALSE)</f>
        <v>45583</v>
      </c>
      <c r="L100" s="10" t="s">
        <v>12</v>
      </c>
      <c r="M100" s="10" t="s">
        <v>201</v>
      </c>
    </row>
    <row r="101" spans="1:13" x14ac:dyDescent="0.25">
      <c r="A101" s="13" t="str">
        <f t="shared" si="2"/>
        <v>50714276560</v>
      </c>
      <c r="B101" s="10">
        <v>1004052537</v>
      </c>
      <c r="C101" s="10">
        <v>507142765</v>
      </c>
      <c r="D101" s="10">
        <v>60</v>
      </c>
      <c r="E101" s="10" t="s">
        <v>10</v>
      </c>
      <c r="F101" s="10">
        <v>1398385</v>
      </c>
      <c r="G101" s="10" t="s">
        <v>183</v>
      </c>
      <c r="H101" s="11">
        <v>46775</v>
      </c>
      <c r="I101" s="10">
        <v>0</v>
      </c>
      <c r="J101" s="11">
        <f t="shared" si="3"/>
        <v>46775</v>
      </c>
      <c r="K101" s="12">
        <f>VLOOKUP(A101,[2]VA05!$A:$K,11,FALSE)</f>
        <v>45590</v>
      </c>
      <c r="L101" s="10" t="s">
        <v>12</v>
      </c>
      <c r="M101" s="10" t="s">
        <v>178</v>
      </c>
    </row>
    <row r="102" spans="1:13" x14ac:dyDescent="0.25">
      <c r="A102" s="13" t="str">
        <f t="shared" si="2"/>
        <v>50714276510</v>
      </c>
      <c r="B102" s="10">
        <v>1004052538</v>
      </c>
      <c r="C102" s="10">
        <v>507142765</v>
      </c>
      <c r="D102" s="10">
        <v>10</v>
      </c>
      <c r="E102" s="10" t="s">
        <v>10</v>
      </c>
      <c r="F102" s="10">
        <v>1398386</v>
      </c>
      <c r="G102" s="10" t="s">
        <v>184</v>
      </c>
      <c r="H102" s="11">
        <v>10383</v>
      </c>
      <c r="I102" s="10">
        <v>0</v>
      </c>
      <c r="J102" s="11">
        <f t="shared" si="3"/>
        <v>10383</v>
      </c>
      <c r="K102" s="12">
        <f>VLOOKUP(A102,[2]VA05!$A:$K,11,FALSE)</f>
        <v>45560</v>
      </c>
      <c r="L102" s="10" t="s">
        <v>12</v>
      </c>
      <c r="M102" s="10" t="s">
        <v>97</v>
      </c>
    </row>
    <row r="103" spans="1:13" x14ac:dyDescent="0.25">
      <c r="A103" s="13" t="str">
        <f t="shared" si="2"/>
        <v>50714276520</v>
      </c>
      <c r="B103" s="10">
        <v>1004052539</v>
      </c>
      <c r="C103" s="10">
        <v>507142765</v>
      </c>
      <c r="D103" s="10">
        <v>20</v>
      </c>
      <c r="E103" s="10" t="s">
        <v>10</v>
      </c>
      <c r="F103" s="10">
        <v>1398386</v>
      </c>
      <c r="G103" s="10" t="s">
        <v>184</v>
      </c>
      <c r="H103" s="11">
        <v>20765</v>
      </c>
      <c r="I103" s="10">
        <v>0</v>
      </c>
      <c r="J103" s="11">
        <f t="shared" si="3"/>
        <v>20765</v>
      </c>
      <c r="K103" s="12" t="e">
        <f>VLOOKUP(A103,[2]VA05!$A:$K,11,FALSE)</f>
        <v>#N/A</v>
      </c>
      <c r="L103" s="10" t="s">
        <v>12</v>
      </c>
      <c r="M103" s="10" t="s">
        <v>130</v>
      </c>
    </row>
    <row r="104" spans="1:13" x14ac:dyDescent="0.25">
      <c r="A104" s="13" t="str">
        <f t="shared" si="2"/>
        <v>50714276530</v>
      </c>
      <c r="B104" s="10">
        <v>1004052540</v>
      </c>
      <c r="C104" s="10">
        <v>507142765</v>
      </c>
      <c r="D104" s="10">
        <v>30</v>
      </c>
      <c r="E104" s="10" t="s">
        <v>10</v>
      </c>
      <c r="F104" s="10">
        <v>1398386</v>
      </c>
      <c r="G104" s="10" t="s">
        <v>184</v>
      </c>
      <c r="H104" s="11">
        <v>31642</v>
      </c>
      <c r="I104" s="10">
        <v>0</v>
      </c>
      <c r="J104" s="11">
        <f t="shared" si="3"/>
        <v>31642</v>
      </c>
      <c r="K104" s="12">
        <f>VLOOKUP(A104,[2]VA05!$A:$K,11,FALSE)</f>
        <v>45569</v>
      </c>
      <c r="L104" s="10" t="s">
        <v>12</v>
      </c>
      <c r="M104" s="10" t="s">
        <v>180</v>
      </c>
    </row>
    <row r="105" spans="1:13" x14ac:dyDescent="0.25">
      <c r="A105" s="13" t="str">
        <f t="shared" si="2"/>
        <v>50714276540</v>
      </c>
      <c r="B105" s="10">
        <v>1004052541</v>
      </c>
      <c r="C105" s="10">
        <v>507142765</v>
      </c>
      <c r="D105" s="10">
        <v>40</v>
      </c>
      <c r="E105" s="10" t="s">
        <v>10</v>
      </c>
      <c r="F105" s="10">
        <v>1398386</v>
      </c>
      <c r="G105" s="10" t="s">
        <v>184</v>
      </c>
      <c r="H105" s="11">
        <v>31889</v>
      </c>
      <c r="I105" s="10">
        <v>0</v>
      </c>
      <c r="J105" s="11">
        <f t="shared" si="3"/>
        <v>31889</v>
      </c>
      <c r="K105" s="12">
        <f>VLOOKUP(A105,[2]VA05!$A:$K,11,FALSE)</f>
        <v>45576</v>
      </c>
      <c r="L105" s="10" t="s">
        <v>12</v>
      </c>
      <c r="M105" s="10" t="s">
        <v>156</v>
      </c>
    </row>
    <row r="106" spans="1:13" x14ac:dyDescent="0.25">
      <c r="A106" s="13" t="str">
        <f t="shared" si="2"/>
        <v>50714276550</v>
      </c>
      <c r="B106" s="10">
        <v>1004052543</v>
      </c>
      <c r="C106" s="10">
        <v>507142765</v>
      </c>
      <c r="D106" s="10">
        <v>50</v>
      </c>
      <c r="E106" s="10" t="s">
        <v>10</v>
      </c>
      <c r="F106" s="10">
        <v>1398386</v>
      </c>
      <c r="G106" s="10" t="s">
        <v>184</v>
      </c>
      <c r="H106" s="11">
        <v>41283</v>
      </c>
      <c r="I106" s="10">
        <v>0</v>
      </c>
      <c r="J106" s="11">
        <f t="shared" si="3"/>
        <v>41283</v>
      </c>
      <c r="K106" s="12">
        <f>VLOOKUP(A106,[2]VA05!$A:$K,11,FALSE)</f>
        <v>45583</v>
      </c>
      <c r="L106" s="10" t="s">
        <v>12</v>
      </c>
      <c r="M106" s="10" t="s">
        <v>202</v>
      </c>
    </row>
    <row r="107" spans="1:13" x14ac:dyDescent="0.25">
      <c r="A107" s="13" t="str">
        <f t="shared" si="2"/>
        <v>50714276560</v>
      </c>
      <c r="B107" s="10">
        <v>1004052544</v>
      </c>
      <c r="C107" s="10">
        <v>507142765</v>
      </c>
      <c r="D107" s="10">
        <v>60</v>
      </c>
      <c r="E107" s="10" t="s">
        <v>10</v>
      </c>
      <c r="F107" s="10">
        <v>1398386</v>
      </c>
      <c r="G107" s="10" t="s">
        <v>184</v>
      </c>
      <c r="H107" s="11">
        <v>41283</v>
      </c>
      <c r="I107" s="10">
        <v>0</v>
      </c>
      <c r="J107" s="11">
        <f t="shared" si="3"/>
        <v>41283</v>
      </c>
      <c r="K107" s="12">
        <f>VLOOKUP(A107,[2]VA05!$A:$K,11,FALSE)</f>
        <v>45590</v>
      </c>
      <c r="L107" s="10" t="s">
        <v>12</v>
      </c>
      <c r="M107" s="10" t="s">
        <v>191</v>
      </c>
    </row>
    <row r="108" spans="1:13" x14ac:dyDescent="0.25">
      <c r="A108" s="13" t="str">
        <f t="shared" si="2"/>
        <v>50714276630</v>
      </c>
      <c r="B108" s="10">
        <v>1004053432</v>
      </c>
      <c r="C108" s="10">
        <v>507142766</v>
      </c>
      <c r="D108" s="10">
        <v>30</v>
      </c>
      <c r="E108" s="10" t="s">
        <v>10</v>
      </c>
      <c r="F108" s="10">
        <v>1398745</v>
      </c>
      <c r="G108" s="10" t="s">
        <v>212</v>
      </c>
      <c r="H108" s="11">
        <v>33640</v>
      </c>
      <c r="I108" s="11">
        <v>1005</v>
      </c>
      <c r="J108" s="11">
        <f t="shared" si="3"/>
        <v>32635</v>
      </c>
      <c r="K108" s="12">
        <f>VLOOKUP(A108,[2]VA05!$A:$K,11,FALSE)</f>
        <v>45597</v>
      </c>
      <c r="L108" s="10" t="s">
        <v>18</v>
      </c>
      <c r="M108" s="10" t="s">
        <v>195</v>
      </c>
    </row>
    <row r="109" spans="1:13" x14ac:dyDescent="0.25">
      <c r="A109" s="13" t="str">
        <f t="shared" si="2"/>
        <v>50714276620</v>
      </c>
      <c r="B109" s="10">
        <v>1004053438</v>
      </c>
      <c r="C109" s="10">
        <v>507142766</v>
      </c>
      <c r="D109" s="10">
        <v>20</v>
      </c>
      <c r="E109" s="10" t="s">
        <v>10</v>
      </c>
      <c r="F109" s="10">
        <v>1398746</v>
      </c>
      <c r="G109" s="10" t="s">
        <v>213</v>
      </c>
      <c r="H109" s="11">
        <v>23512</v>
      </c>
      <c r="I109" s="11">
        <v>15880</v>
      </c>
      <c r="J109" s="11">
        <f t="shared" si="3"/>
        <v>7632</v>
      </c>
      <c r="K109" s="12">
        <f>VLOOKUP(A109,[2]VA05!$A:$K,11,FALSE)</f>
        <v>45562</v>
      </c>
      <c r="L109" s="10" t="s">
        <v>11</v>
      </c>
      <c r="M109" s="10" t="s">
        <v>195</v>
      </c>
    </row>
    <row r="110" spans="1:13" x14ac:dyDescent="0.25">
      <c r="A110" s="13" t="str">
        <f t="shared" si="2"/>
        <v>50714276630</v>
      </c>
      <c r="B110" s="10">
        <v>1004053439</v>
      </c>
      <c r="C110" s="10">
        <v>507142766</v>
      </c>
      <c r="D110" s="10">
        <v>30</v>
      </c>
      <c r="E110" s="10" t="s">
        <v>10</v>
      </c>
      <c r="F110" s="10">
        <v>1398746</v>
      </c>
      <c r="G110" s="10" t="s">
        <v>213</v>
      </c>
      <c r="H110" s="11">
        <v>34650</v>
      </c>
      <c r="I110" s="10">
        <v>0</v>
      </c>
      <c r="J110" s="11">
        <f t="shared" si="3"/>
        <v>34650</v>
      </c>
      <c r="K110" s="12">
        <f>VLOOKUP(A110,[2]VA05!$A:$K,11,FALSE)</f>
        <v>45597</v>
      </c>
      <c r="L110" s="10" t="s">
        <v>12</v>
      </c>
      <c r="M110" s="10" t="s">
        <v>140</v>
      </c>
    </row>
    <row r="111" spans="1:13" x14ac:dyDescent="0.25">
      <c r="A111" s="13" t="str">
        <f t="shared" si="2"/>
        <v>50714276610</v>
      </c>
      <c r="B111" s="10">
        <v>1004053433</v>
      </c>
      <c r="C111" s="10">
        <v>507142766</v>
      </c>
      <c r="D111" s="10">
        <v>10</v>
      </c>
      <c r="E111" s="10" t="s">
        <v>10</v>
      </c>
      <c r="F111" s="10">
        <v>1398747</v>
      </c>
      <c r="G111" s="10" t="s">
        <v>214</v>
      </c>
      <c r="H111" s="11">
        <v>10568</v>
      </c>
      <c r="I111" s="11">
        <v>9049</v>
      </c>
      <c r="J111" s="11">
        <f t="shared" si="3"/>
        <v>1519</v>
      </c>
      <c r="K111" s="12">
        <f>VLOOKUP(A111,[2]VA05!$A:$K,11,FALSE)</f>
        <v>45560</v>
      </c>
      <c r="L111" s="10" t="s">
        <v>18</v>
      </c>
      <c r="M111" s="10" t="s">
        <v>195</v>
      </c>
    </row>
    <row r="112" spans="1:13" x14ac:dyDescent="0.25">
      <c r="A112" s="13" t="str">
        <f t="shared" si="2"/>
        <v>50714276620</v>
      </c>
      <c r="B112" s="10">
        <v>1004053434</v>
      </c>
      <c r="C112" s="10">
        <v>507142766</v>
      </c>
      <c r="D112" s="10">
        <v>20</v>
      </c>
      <c r="E112" s="10" t="s">
        <v>10</v>
      </c>
      <c r="F112" s="10">
        <v>1398747</v>
      </c>
      <c r="G112" s="10" t="s">
        <v>214</v>
      </c>
      <c r="H112" s="11">
        <v>21136</v>
      </c>
      <c r="I112" s="10">
        <v>0</v>
      </c>
      <c r="J112" s="11">
        <f t="shared" si="3"/>
        <v>21136</v>
      </c>
      <c r="K112" s="12">
        <f>VLOOKUP(A112,[2]VA05!$A:$K,11,FALSE)</f>
        <v>45562</v>
      </c>
      <c r="L112" s="10" t="s">
        <v>12</v>
      </c>
      <c r="M112" s="10" t="s">
        <v>140</v>
      </c>
    </row>
    <row r="113" spans="1:13" x14ac:dyDescent="0.25">
      <c r="A113" s="13" t="str">
        <f t="shared" si="2"/>
        <v>50714276630</v>
      </c>
      <c r="B113" s="10">
        <v>1004053435</v>
      </c>
      <c r="C113" s="10">
        <v>507142766</v>
      </c>
      <c r="D113" s="10">
        <v>30</v>
      </c>
      <c r="E113" s="10" t="s">
        <v>10</v>
      </c>
      <c r="F113" s="10">
        <v>1398747</v>
      </c>
      <c r="G113" s="10" t="s">
        <v>214</v>
      </c>
      <c r="H113" s="11">
        <v>31148</v>
      </c>
      <c r="I113" s="10">
        <v>0</v>
      </c>
      <c r="J113" s="11">
        <f t="shared" si="3"/>
        <v>31148</v>
      </c>
      <c r="K113" s="12">
        <f>VLOOKUP(A113,[2]VA05!$A:$K,11,FALSE)</f>
        <v>45597</v>
      </c>
      <c r="L113" s="10" t="s">
        <v>12</v>
      </c>
      <c r="M113" s="10" t="s">
        <v>154</v>
      </c>
    </row>
    <row r="114" spans="1:13" x14ac:dyDescent="0.25">
      <c r="A114" s="13" t="str">
        <f t="shared" si="2"/>
        <v>50714270610</v>
      </c>
      <c r="B114" s="10">
        <v>1004052545</v>
      </c>
      <c r="C114" s="10">
        <v>507142706</v>
      </c>
      <c r="D114" s="10">
        <v>10</v>
      </c>
      <c r="E114" s="10" t="s">
        <v>10</v>
      </c>
      <c r="F114" s="10">
        <v>1152845</v>
      </c>
      <c r="G114" s="10" t="s">
        <v>185</v>
      </c>
      <c r="H114" s="11">
        <v>10262</v>
      </c>
      <c r="I114" s="10">
        <v>0</v>
      </c>
      <c r="J114" s="11">
        <f t="shared" si="3"/>
        <v>10262</v>
      </c>
      <c r="K114" s="12">
        <f>VLOOKUP(A114,[2]VA05!$A:$K,11,FALSE)</f>
        <v>45567</v>
      </c>
      <c r="L114" s="10" t="s">
        <v>13</v>
      </c>
      <c r="M114" s="10" t="s">
        <v>195</v>
      </c>
    </row>
    <row r="115" spans="1:13" x14ac:dyDescent="0.25">
      <c r="A115" s="13" t="str">
        <f t="shared" si="2"/>
        <v>50714283610</v>
      </c>
      <c r="B115" s="10">
        <v>1004058753</v>
      </c>
      <c r="C115" s="10">
        <v>507142836</v>
      </c>
      <c r="D115" s="10">
        <v>10</v>
      </c>
      <c r="E115" s="10" t="s">
        <v>10</v>
      </c>
      <c r="F115" s="10">
        <v>1152845</v>
      </c>
      <c r="G115" s="10" t="s">
        <v>185</v>
      </c>
      <c r="H115" s="11">
        <v>25821</v>
      </c>
      <c r="I115" s="10">
        <v>0</v>
      </c>
      <c r="J115" s="11">
        <f t="shared" si="3"/>
        <v>25821</v>
      </c>
      <c r="K115" s="12">
        <f>VLOOKUP(A115,[2]VA05!$A:$K,11,FALSE)</f>
        <v>45588</v>
      </c>
      <c r="L115" s="10" t="s">
        <v>119</v>
      </c>
      <c r="M115" s="10" t="s">
        <v>216</v>
      </c>
    </row>
    <row r="116" spans="1:13" x14ac:dyDescent="0.25">
      <c r="A116" s="13" t="str">
        <f t="shared" si="2"/>
        <v>50714270610</v>
      </c>
      <c r="B116" s="10">
        <v>1004052546</v>
      </c>
      <c r="C116" s="10">
        <v>507142706</v>
      </c>
      <c r="D116" s="10">
        <v>10</v>
      </c>
      <c r="E116" s="10" t="s">
        <v>10</v>
      </c>
      <c r="F116" s="10">
        <v>1207631</v>
      </c>
      <c r="G116" s="10" t="s">
        <v>186</v>
      </c>
      <c r="H116" s="11">
        <v>10776</v>
      </c>
      <c r="I116" s="10">
        <v>0</v>
      </c>
      <c r="J116" s="11">
        <f t="shared" si="3"/>
        <v>10776</v>
      </c>
      <c r="K116" s="12">
        <f>VLOOKUP(A116,[2]VA05!$A:$K,11,FALSE)</f>
        <v>45567</v>
      </c>
      <c r="L116" s="10" t="s">
        <v>13</v>
      </c>
      <c r="M116" s="10" t="s">
        <v>195</v>
      </c>
    </row>
    <row r="117" spans="1:13" x14ac:dyDescent="0.25">
      <c r="A117" s="13" t="str">
        <f t="shared" si="2"/>
        <v>50714271310</v>
      </c>
      <c r="B117" s="10">
        <v>1004052555</v>
      </c>
      <c r="C117" s="10">
        <v>507142713</v>
      </c>
      <c r="D117" s="10">
        <v>10</v>
      </c>
      <c r="E117" s="10" t="s">
        <v>10</v>
      </c>
      <c r="F117" s="10">
        <v>1172472</v>
      </c>
      <c r="G117" s="10" t="s">
        <v>86</v>
      </c>
      <c r="H117" s="11">
        <v>10524</v>
      </c>
      <c r="I117" s="10">
        <v>246</v>
      </c>
      <c r="J117" s="11">
        <f t="shared" si="3"/>
        <v>10278</v>
      </c>
      <c r="K117" s="12">
        <f>VLOOKUP(A117,[2]VA05!$A:$K,11,FALSE)</f>
        <v>45591</v>
      </c>
      <c r="L117" s="10" t="s">
        <v>18</v>
      </c>
      <c r="M117" s="10" t="s">
        <v>203</v>
      </c>
    </row>
    <row r="118" spans="1:13" x14ac:dyDescent="0.25">
      <c r="A118" s="13" t="str">
        <f t="shared" si="2"/>
        <v>50714271340</v>
      </c>
      <c r="B118" s="10">
        <v>1004052556</v>
      </c>
      <c r="C118" s="10">
        <v>507142713</v>
      </c>
      <c r="D118" s="10">
        <v>40</v>
      </c>
      <c r="E118" s="10" t="s">
        <v>10</v>
      </c>
      <c r="F118" s="10">
        <v>1172472</v>
      </c>
      <c r="G118" s="10" t="s">
        <v>86</v>
      </c>
      <c r="H118" s="11">
        <v>10524</v>
      </c>
      <c r="I118" s="10">
        <v>0</v>
      </c>
      <c r="J118" s="11">
        <f t="shared" si="3"/>
        <v>10524</v>
      </c>
      <c r="K118" s="12">
        <f>VLOOKUP(A118,[2]VA05!$A:$K,11,FALSE)</f>
        <v>45591</v>
      </c>
      <c r="L118" s="10" t="s">
        <v>12</v>
      </c>
      <c r="M118" s="10" t="s">
        <v>203</v>
      </c>
    </row>
    <row r="119" spans="1:13" x14ac:dyDescent="0.25">
      <c r="A119" s="13" t="str">
        <f t="shared" si="2"/>
        <v>507142416100</v>
      </c>
      <c r="B119" s="10">
        <v>1004052560</v>
      </c>
      <c r="C119" s="10">
        <v>507142416</v>
      </c>
      <c r="D119" s="10">
        <v>100</v>
      </c>
      <c r="E119" s="10" t="s">
        <v>10</v>
      </c>
      <c r="F119" s="10">
        <v>1171177</v>
      </c>
      <c r="G119" s="10" t="s">
        <v>88</v>
      </c>
      <c r="H119" s="11">
        <v>10170</v>
      </c>
      <c r="I119" s="11">
        <v>1654</v>
      </c>
      <c r="J119" s="11">
        <f t="shared" si="3"/>
        <v>8516</v>
      </c>
      <c r="K119" s="12">
        <f>VLOOKUP(A119,[2]VA05!$A:$K,11,FALSE)</f>
        <v>45580</v>
      </c>
      <c r="L119" s="10" t="s">
        <v>18</v>
      </c>
      <c r="M119" s="10" t="s">
        <v>179</v>
      </c>
    </row>
    <row r="120" spans="1:13" x14ac:dyDescent="0.25">
      <c r="A120" s="13" t="str">
        <f t="shared" si="2"/>
        <v>507142416190</v>
      </c>
      <c r="B120" s="10">
        <v>1004052561</v>
      </c>
      <c r="C120" s="10">
        <v>507142416</v>
      </c>
      <c r="D120" s="10">
        <v>190</v>
      </c>
      <c r="E120" s="10" t="s">
        <v>10</v>
      </c>
      <c r="F120" s="10">
        <v>1171177</v>
      </c>
      <c r="G120" s="10" t="s">
        <v>88</v>
      </c>
      <c r="H120" s="11">
        <v>10170</v>
      </c>
      <c r="I120" s="10">
        <v>0</v>
      </c>
      <c r="J120" s="11">
        <f t="shared" si="3"/>
        <v>10170</v>
      </c>
      <c r="K120" s="12">
        <f>VLOOKUP(A120,[2]VA05!$A:$K,11,FALSE)</f>
        <v>45583</v>
      </c>
      <c r="L120" s="10" t="s">
        <v>12</v>
      </c>
      <c r="M120" s="10" t="s">
        <v>177</v>
      </c>
    </row>
    <row r="121" spans="1:13" x14ac:dyDescent="0.25">
      <c r="A121" s="13" t="str">
        <f t="shared" si="2"/>
        <v>507142416220</v>
      </c>
      <c r="B121" s="10">
        <v>1004052563</v>
      </c>
      <c r="C121" s="10">
        <v>507142416</v>
      </c>
      <c r="D121" s="10">
        <v>220</v>
      </c>
      <c r="E121" s="10" t="s">
        <v>10</v>
      </c>
      <c r="F121" s="10">
        <v>1171177</v>
      </c>
      <c r="G121" s="10" t="s">
        <v>88</v>
      </c>
      <c r="H121" s="11">
        <v>10170</v>
      </c>
      <c r="I121" s="10">
        <v>0</v>
      </c>
      <c r="J121" s="11">
        <f t="shared" si="3"/>
        <v>10170</v>
      </c>
      <c r="K121" s="12">
        <f>VLOOKUP(A121,[2]VA05!$A:$K,11,FALSE)</f>
        <v>45587</v>
      </c>
      <c r="L121" s="10" t="s">
        <v>12</v>
      </c>
      <c r="M121" s="10" t="s">
        <v>109</v>
      </c>
    </row>
    <row r="122" spans="1:13" x14ac:dyDescent="0.25">
      <c r="A122" s="13" t="str">
        <f t="shared" si="2"/>
        <v>50714271320</v>
      </c>
      <c r="B122" s="10">
        <v>1004052564</v>
      </c>
      <c r="C122" s="10">
        <v>507142713</v>
      </c>
      <c r="D122" s="10">
        <v>20</v>
      </c>
      <c r="E122" s="10" t="s">
        <v>10</v>
      </c>
      <c r="F122" s="10">
        <v>1171177</v>
      </c>
      <c r="G122" s="10" t="s">
        <v>88</v>
      </c>
      <c r="H122" s="11">
        <v>10170</v>
      </c>
      <c r="I122" s="10">
        <v>0</v>
      </c>
      <c r="J122" s="11">
        <f t="shared" si="3"/>
        <v>10170</v>
      </c>
      <c r="K122" s="12">
        <f>VLOOKUP(A122,[2]VA05!$A:$K,11,FALSE)</f>
        <v>45591</v>
      </c>
      <c r="L122" s="10" t="s">
        <v>12</v>
      </c>
      <c r="M122" s="10" t="s">
        <v>204</v>
      </c>
    </row>
    <row r="123" spans="1:13" x14ac:dyDescent="0.25">
      <c r="A123" s="13" t="str">
        <f t="shared" si="2"/>
        <v>50714271350</v>
      </c>
      <c r="B123" s="10">
        <v>1004052565</v>
      </c>
      <c r="C123" s="10">
        <v>507142713</v>
      </c>
      <c r="D123" s="10">
        <v>50</v>
      </c>
      <c r="E123" s="10" t="s">
        <v>10</v>
      </c>
      <c r="F123" s="10">
        <v>1171177</v>
      </c>
      <c r="G123" s="10" t="s">
        <v>88</v>
      </c>
      <c r="H123" s="11">
        <v>10170</v>
      </c>
      <c r="I123" s="10">
        <v>0</v>
      </c>
      <c r="J123" s="11">
        <f t="shared" si="3"/>
        <v>10170</v>
      </c>
      <c r="K123" s="12">
        <f>VLOOKUP(A123,[2]VA05!$A:$K,11,FALSE)</f>
        <v>45591</v>
      </c>
      <c r="L123" s="10" t="s">
        <v>12</v>
      </c>
      <c r="M123" s="10" t="s">
        <v>204</v>
      </c>
    </row>
    <row r="124" spans="1:13" x14ac:dyDescent="0.25">
      <c r="A124" s="13" t="str">
        <f t="shared" si="2"/>
        <v>50714241640</v>
      </c>
      <c r="B124" s="10">
        <v>1004052566</v>
      </c>
      <c r="C124" s="10">
        <v>507142416</v>
      </c>
      <c r="D124" s="10">
        <v>40</v>
      </c>
      <c r="E124" s="10" t="s">
        <v>10</v>
      </c>
      <c r="F124" s="10">
        <v>1171178</v>
      </c>
      <c r="G124" s="10" t="s">
        <v>87</v>
      </c>
      <c r="H124" s="11">
        <v>10170</v>
      </c>
      <c r="I124" s="11">
        <v>5000</v>
      </c>
      <c r="J124" s="11">
        <f t="shared" si="3"/>
        <v>5170</v>
      </c>
      <c r="K124" s="12">
        <f>VLOOKUP(A124,[2]VA05!$A:$K,11,FALSE)</f>
        <v>45573</v>
      </c>
      <c r="L124" s="10" t="s">
        <v>18</v>
      </c>
      <c r="M124" s="10" t="s">
        <v>194</v>
      </c>
    </row>
    <row r="125" spans="1:13" x14ac:dyDescent="0.25">
      <c r="A125" s="13" t="str">
        <f t="shared" si="2"/>
        <v>50714241670</v>
      </c>
      <c r="B125" s="10">
        <v>1004052567</v>
      </c>
      <c r="C125" s="10">
        <v>507142416</v>
      </c>
      <c r="D125" s="10">
        <v>70</v>
      </c>
      <c r="E125" s="10" t="s">
        <v>10</v>
      </c>
      <c r="F125" s="10">
        <v>1171178</v>
      </c>
      <c r="G125" s="10" t="s">
        <v>87</v>
      </c>
      <c r="H125" s="11">
        <v>10170</v>
      </c>
      <c r="I125" s="10">
        <v>0</v>
      </c>
      <c r="J125" s="11">
        <f t="shared" si="3"/>
        <v>10170</v>
      </c>
      <c r="K125" s="12">
        <f>VLOOKUP(A125,[2]VA05!$A:$K,11,FALSE)</f>
        <v>45576</v>
      </c>
      <c r="L125" s="10" t="s">
        <v>12</v>
      </c>
      <c r="M125" s="10" t="s">
        <v>162</v>
      </c>
    </row>
    <row r="126" spans="1:13" x14ac:dyDescent="0.25">
      <c r="A126" s="13" t="str">
        <f t="shared" si="2"/>
        <v>507142416100</v>
      </c>
      <c r="B126" s="10">
        <v>1004052568</v>
      </c>
      <c r="C126" s="10">
        <v>507142416</v>
      </c>
      <c r="D126" s="10">
        <v>100</v>
      </c>
      <c r="E126" s="10" t="s">
        <v>10</v>
      </c>
      <c r="F126" s="10">
        <v>1171178</v>
      </c>
      <c r="G126" s="10" t="s">
        <v>87</v>
      </c>
      <c r="H126" s="11">
        <v>10170</v>
      </c>
      <c r="I126" s="10">
        <v>0</v>
      </c>
      <c r="J126" s="11">
        <f t="shared" si="3"/>
        <v>10170</v>
      </c>
      <c r="K126" s="12">
        <f>VLOOKUP(A126,[2]VA05!$A:$K,11,FALSE)</f>
        <v>45580</v>
      </c>
      <c r="L126" s="10" t="s">
        <v>12</v>
      </c>
      <c r="M126" s="10" t="s">
        <v>179</v>
      </c>
    </row>
    <row r="127" spans="1:13" x14ac:dyDescent="0.25">
      <c r="A127" s="13" t="str">
        <f t="shared" si="2"/>
        <v>507142416190</v>
      </c>
      <c r="B127" s="10">
        <v>1004052609</v>
      </c>
      <c r="C127" s="10">
        <v>507142416</v>
      </c>
      <c r="D127" s="10">
        <v>190</v>
      </c>
      <c r="E127" s="10" t="s">
        <v>10</v>
      </c>
      <c r="F127" s="10">
        <v>1171178</v>
      </c>
      <c r="G127" s="10" t="s">
        <v>87</v>
      </c>
      <c r="H127" s="11">
        <v>10170</v>
      </c>
      <c r="I127" s="10">
        <v>0</v>
      </c>
      <c r="J127" s="11">
        <f t="shared" si="3"/>
        <v>10170</v>
      </c>
      <c r="K127" s="12">
        <f>VLOOKUP(A127,[2]VA05!$A:$K,11,FALSE)</f>
        <v>45583</v>
      </c>
      <c r="L127" s="10" t="s">
        <v>12</v>
      </c>
      <c r="M127" s="10" t="s">
        <v>177</v>
      </c>
    </row>
    <row r="128" spans="1:13" x14ac:dyDescent="0.25">
      <c r="A128" s="13" t="str">
        <f t="shared" si="2"/>
        <v>507142416220</v>
      </c>
      <c r="B128" s="10">
        <v>1004052611</v>
      </c>
      <c r="C128" s="10">
        <v>507142416</v>
      </c>
      <c r="D128" s="10">
        <v>220</v>
      </c>
      <c r="E128" s="10" t="s">
        <v>10</v>
      </c>
      <c r="F128" s="10">
        <v>1171178</v>
      </c>
      <c r="G128" s="10" t="s">
        <v>87</v>
      </c>
      <c r="H128" s="11">
        <v>10170</v>
      </c>
      <c r="I128" s="10">
        <v>0</v>
      </c>
      <c r="J128" s="11">
        <f t="shared" si="3"/>
        <v>10170</v>
      </c>
      <c r="K128" s="12">
        <f>VLOOKUP(A128,[2]VA05!$A:$K,11,FALSE)</f>
        <v>45587</v>
      </c>
      <c r="L128" s="10" t="s">
        <v>12</v>
      </c>
      <c r="M128" s="10" t="s">
        <v>109</v>
      </c>
    </row>
    <row r="129" spans="1:13" x14ac:dyDescent="0.25">
      <c r="A129" s="13" t="str">
        <f t="shared" si="2"/>
        <v>50714271320</v>
      </c>
      <c r="B129" s="10">
        <v>1004052612</v>
      </c>
      <c r="C129" s="10">
        <v>507142713</v>
      </c>
      <c r="D129" s="10">
        <v>20</v>
      </c>
      <c r="E129" s="10" t="s">
        <v>10</v>
      </c>
      <c r="F129" s="10">
        <v>1171178</v>
      </c>
      <c r="G129" s="10" t="s">
        <v>87</v>
      </c>
      <c r="H129" s="11">
        <v>10170</v>
      </c>
      <c r="I129" s="10">
        <v>0</v>
      </c>
      <c r="J129" s="11">
        <f t="shared" si="3"/>
        <v>10170</v>
      </c>
      <c r="K129" s="12">
        <f>VLOOKUP(A129,[2]VA05!$A:$K,11,FALSE)</f>
        <v>45591</v>
      </c>
      <c r="L129" s="10" t="s">
        <v>12</v>
      </c>
      <c r="M129" s="10" t="s">
        <v>204</v>
      </c>
    </row>
    <row r="130" spans="1:13" x14ac:dyDescent="0.25">
      <c r="A130" s="13" t="str">
        <f t="shared" si="2"/>
        <v>50714271350</v>
      </c>
      <c r="B130" s="10">
        <v>1004052613</v>
      </c>
      <c r="C130" s="10">
        <v>507142713</v>
      </c>
      <c r="D130" s="10">
        <v>50</v>
      </c>
      <c r="E130" s="10" t="s">
        <v>10</v>
      </c>
      <c r="F130" s="10">
        <v>1171178</v>
      </c>
      <c r="G130" s="10" t="s">
        <v>87</v>
      </c>
      <c r="H130" s="11">
        <v>10170</v>
      </c>
      <c r="I130" s="10">
        <v>0</v>
      </c>
      <c r="J130" s="11">
        <f t="shared" si="3"/>
        <v>10170</v>
      </c>
      <c r="K130" s="12">
        <f>VLOOKUP(A130,[2]VA05!$A:$K,11,FALSE)</f>
        <v>45591</v>
      </c>
      <c r="L130" s="10" t="s">
        <v>12</v>
      </c>
      <c r="M130" s="10" t="s">
        <v>204</v>
      </c>
    </row>
    <row r="131" spans="1:13" x14ac:dyDescent="0.25">
      <c r="A131" s="13" t="str">
        <f t="shared" si="2"/>
        <v>50714262630</v>
      </c>
      <c r="B131" s="10">
        <v>1004052617</v>
      </c>
      <c r="C131" s="10">
        <v>507142626</v>
      </c>
      <c r="D131" s="10">
        <v>30</v>
      </c>
      <c r="E131" s="10" t="s">
        <v>10</v>
      </c>
      <c r="F131" s="10">
        <v>1172030</v>
      </c>
      <c r="G131" s="10" t="s">
        <v>112</v>
      </c>
      <c r="H131" s="11">
        <v>29055</v>
      </c>
      <c r="I131" s="10">
        <v>0</v>
      </c>
      <c r="J131" s="11">
        <f t="shared" si="3"/>
        <v>29055</v>
      </c>
      <c r="K131" s="12">
        <f>VLOOKUP(A131,[2]VA05!$A:$K,11,FALSE)</f>
        <v>45590</v>
      </c>
      <c r="L131" s="10" t="s">
        <v>12</v>
      </c>
      <c r="M131" s="10" t="s">
        <v>154</v>
      </c>
    </row>
    <row r="132" spans="1:13" x14ac:dyDescent="0.25">
      <c r="A132" s="13" t="str">
        <f t="shared" ref="A132:A195" si="4">C132&amp;D132</f>
        <v>50714226520</v>
      </c>
      <c r="B132" s="10">
        <v>1004058766</v>
      </c>
      <c r="C132" s="10">
        <v>507142265</v>
      </c>
      <c r="D132" s="10">
        <v>20</v>
      </c>
      <c r="E132" s="10" t="s">
        <v>10</v>
      </c>
      <c r="F132" s="10">
        <v>1172347</v>
      </c>
      <c r="G132" s="10" t="s">
        <v>237</v>
      </c>
      <c r="H132" s="11">
        <v>40524</v>
      </c>
      <c r="I132" s="10">
        <v>0</v>
      </c>
      <c r="J132" s="11">
        <f t="shared" ref="J132:J195" si="5">H132-I132</f>
        <v>40524</v>
      </c>
      <c r="K132" s="12">
        <f>VLOOKUP(A132,[2]VA05!$A:$K,11,FALSE)</f>
        <v>45576</v>
      </c>
      <c r="L132" s="10" t="s">
        <v>13</v>
      </c>
      <c r="M132" s="10" t="s">
        <v>195</v>
      </c>
    </row>
    <row r="133" spans="1:13" x14ac:dyDescent="0.25">
      <c r="A133" s="13" t="str">
        <f t="shared" si="4"/>
        <v>50714267970</v>
      </c>
      <c r="B133" s="10">
        <v>1004052615</v>
      </c>
      <c r="C133" s="10">
        <v>507142679</v>
      </c>
      <c r="D133" s="10">
        <v>70</v>
      </c>
      <c r="E133" s="10" t="s">
        <v>10</v>
      </c>
      <c r="F133" s="10">
        <v>1167579</v>
      </c>
      <c r="G133" s="10" t="s">
        <v>19</v>
      </c>
      <c r="H133" s="11">
        <v>20260</v>
      </c>
      <c r="I133" s="11">
        <v>18595</v>
      </c>
      <c r="J133" s="11">
        <f t="shared" si="5"/>
        <v>1665</v>
      </c>
      <c r="K133" s="12" t="e">
        <f>VLOOKUP(A133,[2]VA05!$A:$K,11,FALSE)</f>
        <v>#N/A</v>
      </c>
      <c r="L133" s="10" t="s">
        <v>18</v>
      </c>
      <c r="M133" s="10" t="s">
        <v>61</v>
      </c>
    </row>
    <row r="134" spans="1:13" x14ac:dyDescent="0.25">
      <c r="A134" s="13" t="str">
        <f t="shared" si="4"/>
        <v>50714276910</v>
      </c>
      <c r="B134" s="10">
        <v>1004052616</v>
      </c>
      <c r="C134" s="10">
        <v>507142769</v>
      </c>
      <c r="D134" s="10">
        <v>10</v>
      </c>
      <c r="E134" s="10" t="s">
        <v>10</v>
      </c>
      <c r="F134" s="10">
        <v>1167579</v>
      </c>
      <c r="G134" s="10" t="s">
        <v>19</v>
      </c>
      <c r="H134" s="11">
        <v>30683</v>
      </c>
      <c r="I134" s="10">
        <v>0</v>
      </c>
      <c r="J134" s="11">
        <f t="shared" si="5"/>
        <v>30683</v>
      </c>
      <c r="K134" s="12">
        <f>VLOOKUP(A134,[2]VA05!$A:$K,11,FALSE)</f>
        <v>45575</v>
      </c>
      <c r="L134" s="10" t="s">
        <v>25</v>
      </c>
      <c r="M134" s="10" t="s">
        <v>155</v>
      </c>
    </row>
    <row r="135" spans="1:13" x14ac:dyDescent="0.25">
      <c r="A135" s="13" t="str">
        <f t="shared" si="4"/>
        <v>50714276920</v>
      </c>
      <c r="B135" s="10">
        <v>1004054833</v>
      </c>
      <c r="C135" s="10">
        <v>507142769</v>
      </c>
      <c r="D135" s="10">
        <v>20</v>
      </c>
      <c r="E135" s="10" t="s">
        <v>10</v>
      </c>
      <c r="F135" s="10">
        <v>1173995</v>
      </c>
      <c r="G135" s="10" t="s">
        <v>20</v>
      </c>
      <c r="H135" s="11">
        <v>34793</v>
      </c>
      <c r="I135" s="11">
        <v>4400</v>
      </c>
      <c r="J135" s="11">
        <f t="shared" si="5"/>
        <v>30393</v>
      </c>
      <c r="K135" s="12">
        <f>VLOOKUP(A135,[2]VA05!$A:$K,11,FALSE)</f>
        <v>45575</v>
      </c>
      <c r="L135" s="10" t="s">
        <v>18</v>
      </c>
      <c r="M135" s="10" t="s">
        <v>201</v>
      </c>
    </row>
    <row r="136" spans="1:13" x14ac:dyDescent="0.25">
      <c r="A136" s="13" t="str">
        <f t="shared" si="4"/>
        <v>50714262610</v>
      </c>
      <c r="B136" s="10">
        <v>1004050514</v>
      </c>
      <c r="C136" s="10">
        <v>507142626</v>
      </c>
      <c r="D136" s="10">
        <v>10</v>
      </c>
      <c r="E136" s="10" t="s">
        <v>10</v>
      </c>
      <c r="F136" s="10">
        <v>1212641</v>
      </c>
      <c r="G136" s="10" t="s">
        <v>99</v>
      </c>
      <c r="H136" s="11">
        <v>25858</v>
      </c>
      <c r="I136" s="10">
        <v>0</v>
      </c>
      <c r="J136" s="11">
        <f t="shared" si="5"/>
        <v>25858</v>
      </c>
      <c r="K136" s="12">
        <f>VLOOKUP(A136,[2]VA05!$A:$K,11,FALSE)</f>
        <v>45590</v>
      </c>
      <c r="L136" s="10" t="s">
        <v>27</v>
      </c>
      <c r="M136" s="10" t="s">
        <v>162</v>
      </c>
    </row>
    <row r="137" spans="1:13" x14ac:dyDescent="0.25">
      <c r="A137" s="13" t="str">
        <f t="shared" si="4"/>
        <v>50714226510</v>
      </c>
      <c r="B137" s="10">
        <v>1004050518</v>
      </c>
      <c r="C137" s="10">
        <v>507142265</v>
      </c>
      <c r="D137" s="10">
        <v>10</v>
      </c>
      <c r="E137" s="10" t="s">
        <v>10</v>
      </c>
      <c r="F137" s="10">
        <v>1172346</v>
      </c>
      <c r="G137" s="10" t="s">
        <v>158</v>
      </c>
      <c r="H137" s="11">
        <v>46376</v>
      </c>
      <c r="I137" s="11">
        <v>28228</v>
      </c>
      <c r="J137" s="11">
        <f t="shared" si="5"/>
        <v>18148</v>
      </c>
      <c r="K137" s="12">
        <f>VLOOKUP(A137,[2]VA05!$A:$K,11,FALSE)</f>
        <v>45576</v>
      </c>
      <c r="L137" s="10" t="s">
        <v>11</v>
      </c>
      <c r="M137" s="10" t="s">
        <v>155</v>
      </c>
    </row>
    <row r="138" spans="1:13" x14ac:dyDescent="0.25">
      <c r="A138" s="13" t="str">
        <f t="shared" si="4"/>
        <v>50714270910</v>
      </c>
      <c r="B138" s="10">
        <v>1004058762</v>
      </c>
      <c r="C138" s="10">
        <v>507142709</v>
      </c>
      <c r="D138" s="10">
        <v>10</v>
      </c>
      <c r="E138" s="10" t="s">
        <v>10</v>
      </c>
      <c r="F138" s="10">
        <v>1172346</v>
      </c>
      <c r="G138" s="10" t="s">
        <v>158</v>
      </c>
      <c r="H138" s="11">
        <v>34782</v>
      </c>
      <c r="I138" s="10">
        <v>0</v>
      </c>
      <c r="J138" s="11">
        <f t="shared" si="5"/>
        <v>34782</v>
      </c>
      <c r="K138" s="12">
        <f>VLOOKUP(A138,[2]VA05!$A:$K,11,FALSE)</f>
        <v>45583</v>
      </c>
      <c r="L138" s="10" t="s">
        <v>12</v>
      </c>
      <c r="M138" s="10" t="s">
        <v>162</v>
      </c>
    </row>
    <row r="139" spans="1:13" x14ac:dyDescent="0.25">
      <c r="A139" s="13" t="str">
        <f t="shared" si="4"/>
        <v>50714271010</v>
      </c>
      <c r="B139" s="10">
        <v>1004058763</v>
      </c>
      <c r="C139" s="10">
        <v>507142710</v>
      </c>
      <c r="D139" s="10">
        <v>10</v>
      </c>
      <c r="E139" s="10" t="s">
        <v>10</v>
      </c>
      <c r="F139" s="10">
        <v>1172346</v>
      </c>
      <c r="G139" s="10" t="s">
        <v>158</v>
      </c>
      <c r="H139" s="11">
        <v>34782</v>
      </c>
      <c r="I139" s="10">
        <v>0</v>
      </c>
      <c r="J139" s="11">
        <f t="shared" si="5"/>
        <v>34782</v>
      </c>
      <c r="K139" s="12">
        <f>VLOOKUP(A139,[2]VA05!$A:$K,11,FALSE)</f>
        <v>45596</v>
      </c>
      <c r="L139" s="10" t="s">
        <v>12</v>
      </c>
      <c r="M139" s="10" t="s">
        <v>176</v>
      </c>
    </row>
    <row r="140" spans="1:13" x14ac:dyDescent="0.25">
      <c r="A140" s="13" t="str">
        <f t="shared" si="4"/>
        <v>50714239710</v>
      </c>
      <c r="B140" s="10">
        <v>1004054834</v>
      </c>
      <c r="C140" s="10">
        <v>507142397</v>
      </c>
      <c r="D140" s="10">
        <v>10</v>
      </c>
      <c r="E140" s="10" t="s">
        <v>10</v>
      </c>
      <c r="F140" s="10">
        <v>1195537</v>
      </c>
      <c r="G140" s="10" t="s">
        <v>220</v>
      </c>
      <c r="H140" s="11">
        <v>62346</v>
      </c>
      <c r="I140" s="10">
        <v>0</v>
      </c>
      <c r="J140" s="11">
        <f t="shared" si="5"/>
        <v>62346</v>
      </c>
      <c r="K140" s="12">
        <f>VLOOKUP(A140,[2]VA05!$A:$K,11,FALSE)</f>
        <v>45579</v>
      </c>
      <c r="L140" s="10" t="s">
        <v>12</v>
      </c>
      <c r="M140" s="10" t="s">
        <v>61</v>
      </c>
    </row>
    <row r="141" spans="1:13" x14ac:dyDescent="0.25">
      <c r="A141" s="13" t="str">
        <f t="shared" si="4"/>
        <v>50714247910</v>
      </c>
      <c r="B141" s="10">
        <v>1004054835</v>
      </c>
      <c r="C141" s="10">
        <v>507142479</v>
      </c>
      <c r="D141" s="10">
        <v>10</v>
      </c>
      <c r="E141" s="10" t="s">
        <v>10</v>
      </c>
      <c r="F141" s="10">
        <v>1195537</v>
      </c>
      <c r="G141" s="10" t="s">
        <v>220</v>
      </c>
      <c r="H141" s="11">
        <v>52994</v>
      </c>
      <c r="I141" s="10">
        <v>0</v>
      </c>
      <c r="J141" s="11">
        <f t="shared" si="5"/>
        <v>52994</v>
      </c>
      <c r="K141" s="12">
        <f>VLOOKUP(A141,[2]VA05!$A:$K,11,FALSE)</f>
        <v>45587</v>
      </c>
      <c r="L141" s="10" t="s">
        <v>12</v>
      </c>
      <c r="M141" s="10" t="s">
        <v>155</v>
      </c>
    </row>
    <row r="142" spans="1:13" x14ac:dyDescent="0.25">
      <c r="A142" s="13" t="str">
        <f t="shared" si="4"/>
        <v>50714248010</v>
      </c>
      <c r="B142" s="10">
        <v>1004052386</v>
      </c>
      <c r="C142" s="10">
        <v>507142480</v>
      </c>
      <c r="D142" s="10">
        <v>10</v>
      </c>
      <c r="E142" s="10" t="s">
        <v>10</v>
      </c>
      <c r="F142" s="10">
        <v>1191883</v>
      </c>
      <c r="G142" s="10" t="s">
        <v>125</v>
      </c>
      <c r="H142" s="11">
        <v>57584</v>
      </c>
      <c r="I142" s="11">
        <v>42089</v>
      </c>
      <c r="J142" s="11">
        <f t="shared" si="5"/>
        <v>15495</v>
      </c>
      <c r="K142" s="12">
        <f>VLOOKUP(A142,[2]VA05!$A:$K,11,FALSE)</f>
        <v>45587</v>
      </c>
      <c r="L142" s="10" t="s">
        <v>18</v>
      </c>
      <c r="M142" s="10" t="s">
        <v>195</v>
      </c>
    </row>
    <row r="143" spans="1:13" x14ac:dyDescent="0.25">
      <c r="A143" s="13" t="str">
        <f t="shared" si="4"/>
        <v>50714239810</v>
      </c>
      <c r="B143" s="10">
        <v>1004042839</v>
      </c>
      <c r="C143" s="10">
        <v>507142398</v>
      </c>
      <c r="D143" s="10">
        <v>10</v>
      </c>
      <c r="E143" s="10" t="s">
        <v>10</v>
      </c>
      <c r="F143" s="10">
        <v>1191882</v>
      </c>
      <c r="G143" s="10" t="s">
        <v>137</v>
      </c>
      <c r="H143" s="11">
        <v>62639</v>
      </c>
      <c r="I143" s="11">
        <v>8620</v>
      </c>
      <c r="J143" s="11">
        <f t="shared" si="5"/>
        <v>54019</v>
      </c>
      <c r="K143" s="12">
        <f>VLOOKUP(A143,[2]VA05!$A:$K,11,FALSE)</f>
        <v>45579</v>
      </c>
      <c r="L143" s="10" t="s">
        <v>11</v>
      </c>
      <c r="M143" s="10" t="s">
        <v>195</v>
      </c>
    </row>
    <row r="144" spans="1:13" x14ac:dyDescent="0.25">
      <c r="A144" s="13" t="str">
        <f t="shared" si="4"/>
        <v>50714248010</v>
      </c>
      <c r="B144" s="10">
        <v>1004042840</v>
      </c>
      <c r="C144" s="10">
        <v>507142480</v>
      </c>
      <c r="D144" s="10">
        <v>10</v>
      </c>
      <c r="E144" s="10" t="s">
        <v>10</v>
      </c>
      <c r="F144" s="10">
        <v>1191882</v>
      </c>
      <c r="G144" s="10" t="s">
        <v>137</v>
      </c>
      <c r="H144" s="11">
        <v>51677</v>
      </c>
      <c r="I144" s="10">
        <v>0</v>
      </c>
      <c r="J144" s="11">
        <f t="shared" si="5"/>
        <v>51677</v>
      </c>
      <c r="K144" s="12">
        <f>VLOOKUP(A144,[2]VA05!$A:$K,11,FALSE)</f>
        <v>45587</v>
      </c>
      <c r="L144" s="10" t="s">
        <v>12</v>
      </c>
      <c r="M144" s="10" t="s">
        <v>141</v>
      </c>
    </row>
    <row r="145" spans="1:13" x14ac:dyDescent="0.25">
      <c r="A145" s="13" t="str">
        <f t="shared" si="4"/>
        <v>50714248010</v>
      </c>
      <c r="B145" s="10">
        <v>1004056890</v>
      </c>
      <c r="C145" s="10">
        <v>507142480</v>
      </c>
      <c r="D145" s="10">
        <v>10</v>
      </c>
      <c r="E145" s="10" t="s">
        <v>10</v>
      </c>
      <c r="F145" s="10">
        <v>1191889</v>
      </c>
      <c r="G145" s="10" t="s">
        <v>126</v>
      </c>
      <c r="H145" s="11">
        <v>55990</v>
      </c>
      <c r="I145" s="11">
        <v>16531</v>
      </c>
      <c r="J145" s="11">
        <f t="shared" si="5"/>
        <v>39459</v>
      </c>
      <c r="K145" s="12">
        <f>VLOOKUP(A145,[2]VA05!$A:$K,11,FALSE)</f>
        <v>45587</v>
      </c>
      <c r="L145" s="10" t="s">
        <v>11</v>
      </c>
      <c r="M145" s="10" t="s">
        <v>201</v>
      </c>
    </row>
    <row r="146" spans="1:13" x14ac:dyDescent="0.25">
      <c r="A146" s="13" t="str">
        <f t="shared" si="4"/>
        <v>50714248010</v>
      </c>
      <c r="B146" s="10">
        <v>1004058760</v>
      </c>
      <c r="C146" s="10">
        <v>507142480</v>
      </c>
      <c r="D146" s="10">
        <v>10</v>
      </c>
      <c r="E146" s="10" t="s">
        <v>24</v>
      </c>
      <c r="F146" s="10">
        <v>1191889</v>
      </c>
      <c r="G146" s="10" t="s">
        <v>126</v>
      </c>
      <c r="H146" s="11">
        <v>8000</v>
      </c>
      <c r="I146" s="10">
        <v>0</v>
      </c>
      <c r="J146" s="11">
        <f t="shared" si="5"/>
        <v>8000</v>
      </c>
      <c r="K146" s="12">
        <f>VLOOKUP(A146,[2]VA05!$A:$K,11,FALSE)</f>
        <v>45587</v>
      </c>
      <c r="L146" s="10" t="s">
        <v>25</v>
      </c>
      <c r="M146" s="10" t="s">
        <v>195</v>
      </c>
    </row>
    <row r="147" spans="1:13" x14ac:dyDescent="0.25">
      <c r="A147" s="13" t="str">
        <f t="shared" si="4"/>
        <v>50714278320</v>
      </c>
      <c r="B147" s="10">
        <v>1004056039</v>
      </c>
      <c r="C147" s="10">
        <v>507142783</v>
      </c>
      <c r="D147" s="10">
        <v>20</v>
      </c>
      <c r="E147" s="10" t="s">
        <v>10</v>
      </c>
      <c r="F147" s="10">
        <v>1161035</v>
      </c>
      <c r="G147" s="10" t="s">
        <v>222</v>
      </c>
      <c r="H147" s="11">
        <v>25747</v>
      </c>
      <c r="I147" s="10">
        <v>0</v>
      </c>
      <c r="J147" s="11">
        <f t="shared" si="5"/>
        <v>25747</v>
      </c>
      <c r="K147" s="12">
        <f>VLOOKUP(A147,[2]VA05!$A:$K,11,FALSE)</f>
        <v>45582</v>
      </c>
      <c r="L147" s="10" t="s">
        <v>13</v>
      </c>
      <c r="M147" s="10" t="s">
        <v>202</v>
      </c>
    </row>
    <row r="148" spans="1:13" x14ac:dyDescent="0.25">
      <c r="A148" s="13" t="str">
        <f t="shared" si="4"/>
        <v>50714271610</v>
      </c>
      <c r="B148" s="10">
        <v>1004056047</v>
      </c>
      <c r="C148" s="10">
        <v>507142716</v>
      </c>
      <c r="D148" s="10">
        <v>10</v>
      </c>
      <c r="E148" s="10" t="s">
        <v>10</v>
      </c>
      <c r="F148" s="10">
        <v>1159340</v>
      </c>
      <c r="G148" s="10" t="s">
        <v>223</v>
      </c>
      <c r="H148" s="11">
        <v>18391</v>
      </c>
      <c r="I148" s="10">
        <v>0</v>
      </c>
      <c r="J148" s="11">
        <f t="shared" si="5"/>
        <v>18391</v>
      </c>
      <c r="K148" s="12">
        <f>VLOOKUP(A148,[2]VA05!$A:$K,11,FALSE)</f>
        <v>45569</v>
      </c>
      <c r="L148" s="10" t="s">
        <v>13</v>
      </c>
      <c r="M148" s="10" t="s">
        <v>180</v>
      </c>
    </row>
    <row r="149" spans="1:13" x14ac:dyDescent="0.25">
      <c r="A149" s="13" t="str">
        <f t="shared" si="4"/>
        <v>50714279710</v>
      </c>
      <c r="B149" s="10">
        <v>1004058006</v>
      </c>
      <c r="C149" s="10">
        <v>507142797</v>
      </c>
      <c r="D149" s="10">
        <v>10</v>
      </c>
      <c r="E149" s="10" t="s">
        <v>10</v>
      </c>
      <c r="F149" s="10">
        <v>1161417</v>
      </c>
      <c r="G149" s="10" t="s">
        <v>228</v>
      </c>
      <c r="H149" s="11">
        <v>25543</v>
      </c>
      <c r="I149" s="10">
        <v>0</v>
      </c>
      <c r="J149" s="11">
        <f t="shared" si="5"/>
        <v>25543</v>
      </c>
      <c r="K149" s="12">
        <f>VLOOKUP(A149,[2]VA05!$A:$K,11,FALSE)</f>
        <v>45588</v>
      </c>
      <c r="L149" s="10" t="s">
        <v>12</v>
      </c>
      <c r="M149" s="10" t="s">
        <v>177</v>
      </c>
    </row>
    <row r="150" spans="1:13" x14ac:dyDescent="0.25">
      <c r="A150" s="13" t="str">
        <f t="shared" si="4"/>
        <v>50714278110</v>
      </c>
      <c r="B150" s="10">
        <v>1004058007</v>
      </c>
      <c r="C150" s="10">
        <v>507142781</v>
      </c>
      <c r="D150" s="10">
        <v>10</v>
      </c>
      <c r="E150" s="10" t="s">
        <v>10</v>
      </c>
      <c r="F150" s="10">
        <v>1161417</v>
      </c>
      <c r="G150" s="10" t="s">
        <v>228</v>
      </c>
      <c r="H150" s="11">
        <v>5109</v>
      </c>
      <c r="I150" s="10">
        <v>0</v>
      </c>
      <c r="J150" s="11">
        <f t="shared" si="5"/>
        <v>5109</v>
      </c>
      <c r="K150" s="12">
        <f>VLOOKUP(A150,[2]VA05!$A:$K,11,FALSE)</f>
        <v>45595</v>
      </c>
      <c r="L150" s="10" t="s">
        <v>12</v>
      </c>
      <c r="M150" s="10" t="s">
        <v>196</v>
      </c>
    </row>
    <row r="151" spans="1:13" x14ac:dyDescent="0.25">
      <c r="A151" s="13" t="str">
        <f t="shared" si="4"/>
        <v>50714271120</v>
      </c>
      <c r="B151" s="10">
        <v>1004058008</v>
      </c>
      <c r="C151" s="10">
        <v>507142711</v>
      </c>
      <c r="D151" s="10">
        <v>20</v>
      </c>
      <c r="E151" s="10" t="s">
        <v>10</v>
      </c>
      <c r="F151" s="10">
        <v>1161417</v>
      </c>
      <c r="G151" s="10" t="s">
        <v>228</v>
      </c>
      <c r="H151" s="11">
        <v>6845</v>
      </c>
      <c r="I151" s="10">
        <v>0</v>
      </c>
      <c r="J151" s="11">
        <f t="shared" si="5"/>
        <v>6845</v>
      </c>
      <c r="K151" s="12">
        <f>VLOOKUP(A151,[2]VA05!$A:$K,11,FALSE)</f>
        <v>45565</v>
      </c>
      <c r="L151" s="10" t="s">
        <v>12</v>
      </c>
      <c r="M151" s="10" t="s">
        <v>155</v>
      </c>
    </row>
    <row r="152" spans="1:13" x14ac:dyDescent="0.25">
      <c r="A152" s="13" t="str">
        <f t="shared" si="4"/>
        <v>50714259410</v>
      </c>
      <c r="B152" s="10">
        <v>1004042029</v>
      </c>
      <c r="C152" s="10">
        <v>507142594</v>
      </c>
      <c r="D152" s="10">
        <v>10</v>
      </c>
      <c r="E152" s="10" t="s">
        <v>10</v>
      </c>
      <c r="F152" s="10">
        <v>1307502</v>
      </c>
      <c r="G152" s="10" t="s">
        <v>127</v>
      </c>
      <c r="H152" s="11">
        <v>5220</v>
      </c>
      <c r="I152" s="10">
        <v>0</v>
      </c>
      <c r="J152" s="11">
        <f t="shared" si="5"/>
        <v>5220</v>
      </c>
      <c r="K152" s="12">
        <f>VLOOKUP(A152,[2]VA05!$A:$K,11,FALSE)</f>
        <v>45552</v>
      </c>
      <c r="L152" s="10" t="s">
        <v>13</v>
      </c>
      <c r="M152" s="10" t="s">
        <v>95</v>
      </c>
    </row>
    <row r="153" spans="1:13" x14ac:dyDescent="0.25">
      <c r="A153" s="13" t="str">
        <f t="shared" si="4"/>
        <v>50714259420</v>
      </c>
      <c r="B153" s="10">
        <v>1004042030</v>
      </c>
      <c r="C153" s="10">
        <v>507142594</v>
      </c>
      <c r="D153" s="10">
        <v>20</v>
      </c>
      <c r="E153" s="10" t="s">
        <v>10</v>
      </c>
      <c r="F153" s="10">
        <v>1307502</v>
      </c>
      <c r="G153" s="10" t="s">
        <v>127</v>
      </c>
      <c r="H153" s="11">
        <v>5220</v>
      </c>
      <c r="I153" s="10">
        <v>0</v>
      </c>
      <c r="J153" s="11">
        <f t="shared" si="5"/>
        <v>5220</v>
      </c>
      <c r="K153" s="12">
        <f>VLOOKUP(A153,[2]VA05!$A:$K,11,FALSE)</f>
        <v>45552</v>
      </c>
      <c r="L153" s="10" t="s">
        <v>13</v>
      </c>
      <c r="M153" s="10" t="s">
        <v>95</v>
      </c>
    </row>
    <row r="154" spans="1:13" x14ac:dyDescent="0.25">
      <c r="A154" s="13" t="str">
        <f t="shared" si="4"/>
        <v>50714259410</v>
      </c>
      <c r="B154" s="10">
        <v>1004050305</v>
      </c>
      <c r="C154" s="10">
        <v>507142594</v>
      </c>
      <c r="D154" s="10">
        <v>10</v>
      </c>
      <c r="E154" s="10" t="s">
        <v>10</v>
      </c>
      <c r="F154" s="10">
        <v>1307503</v>
      </c>
      <c r="G154" s="10" t="s">
        <v>159</v>
      </c>
      <c r="H154" s="11">
        <v>5109</v>
      </c>
      <c r="I154" s="10">
        <v>0</v>
      </c>
      <c r="J154" s="11">
        <f t="shared" si="5"/>
        <v>5109</v>
      </c>
      <c r="K154" s="12">
        <f>VLOOKUP(A154,[2]VA05!$A:$K,11,FALSE)</f>
        <v>45552</v>
      </c>
      <c r="L154" s="10" t="s">
        <v>119</v>
      </c>
      <c r="M154" s="10" t="s">
        <v>95</v>
      </c>
    </row>
    <row r="155" spans="1:13" x14ac:dyDescent="0.25">
      <c r="A155" s="13" t="str">
        <f t="shared" si="4"/>
        <v>50714259420</v>
      </c>
      <c r="B155" s="10">
        <v>1004050306</v>
      </c>
      <c r="C155" s="10">
        <v>507142594</v>
      </c>
      <c r="D155" s="10">
        <v>20</v>
      </c>
      <c r="E155" s="10" t="s">
        <v>10</v>
      </c>
      <c r="F155" s="10">
        <v>1307503</v>
      </c>
      <c r="G155" s="10" t="s">
        <v>159</v>
      </c>
      <c r="H155" s="11">
        <v>5109</v>
      </c>
      <c r="I155" s="10">
        <v>0</v>
      </c>
      <c r="J155" s="11">
        <f t="shared" si="5"/>
        <v>5109</v>
      </c>
      <c r="K155" s="12">
        <f>VLOOKUP(A155,[2]VA05!$A:$K,11,FALSE)</f>
        <v>45552</v>
      </c>
      <c r="L155" s="10" t="s">
        <v>12</v>
      </c>
      <c r="M155" s="10" t="s">
        <v>95</v>
      </c>
    </row>
    <row r="156" spans="1:13" x14ac:dyDescent="0.25">
      <c r="A156" s="13" t="str">
        <f t="shared" si="4"/>
        <v>50714259410</v>
      </c>
      <c r="B156" s="10">
        <v>1004050308</v>
      </c>
      <c r="C156" s="10">
        <v>507142594</v>
      </c>
      <c r="D156" s="10">
        <v>10</v>
      </c>
      <c r="E156" s="10" t="s">
        <v>10</v>
      </c>
      <c r="F156" s="10">
        <v>1307501</v>
      </c>
      <c r="G156" s="10" t="s">
        <v>160</v>
      </c>
      <c r="H156" s="11">
        <v>5220</v>
      </c>
      <c r="I156" s="10">
        <v>0</v>
      </c>
      <c r="J156" s="11">
        <f t="shared" si="5"/>
        <v>5220</v>
      </c>
      <c r="K156" s="12">
        <f>VLOOKUP(A156,[2]VA05!$A:$K,11,FALSE)</f>
        <v>45552</v>
      </c>
      <c r="L156" s="10" t="s">
        <v>12</v>
      </c>
      <c r="M156" s="10" t="s">
        <v>95</v>
      </c>
    </row>
    <row r="157" spans="1:13" x14ac:dyDescent="0.25">
      <c r="A157" s="13" t="str">
        <f t="shared" si="4"/>
        <v>50714259420</v>
      </c>
      <c r="B157" s="10">
        <v>1004050509</v>
      </c>
      <c r="C157" s="10">
        <v>507142594</v>
      </c>
      <c r="D157" s="10">
        <v>20</v>
      </c>
      <c r="E157" s="10" t="s">
        <v>10</v>
      </c>
      <c r="F157" s="10">
        <v>1307501</v>
      </c>
      <c r="G157" s="10" t="s">
        <v>160</v>
      </c>
      <c r="H157" s="11">
        <v>5220</v>
      </c>
      <c r="I157" s="10">
        <v>0</v>
      </c>
      <c r="J157" s="11">
        <f t="shared" si="5"/>
        <v>5220</v>
      </c>
      <c r="K157" s="12">
        <f>VLOOKUP(A157,[2]VA05!$A:$K,11,FALSE)</f>
        <v>45552</v>
      </c>
      <c r="L157" s="10" t="s">
        <v>12</v>
      </c>
      <c r="M157" s="10" t="s">
        <v>95</v>
      </c>
    </row>
    <row r="158" spans="1:13" x14ac:dyDescent="0.25">
      <c r="A158" s="13" t="str">
        <f t="shared" si="4"/>
        <v>50714255810</v>
      </c>
      <c r="B158" s="10">
        <v>1004042232</v>
      </c>
      <c r="C158" s="10">
        <v>507142558</v>
      </c>
      <c r="D158" s="10">
        <v>10</v>
      </c>
      <c r="E158" s="10" t="s">
        <v>10</v>
      </c>
      <c r="F158" s="10">
        <v>1209582</v>
      </c>
      <c r="G158" s="10" t="s">
        <v>128</v>
      </c>
      <c r="H158" s="11">
        <v>61302</v>
      </c>
      <c r="I158" s="10">
        <v>0</v>
      </c>
      <c r="J158" s="11">
        <f t="shared" si="5"/>
        <v>61302</v>
      </c>
      <c r="K158" s="12">
        <f>VLOOKUP(A158,[2]VA05!$A:$K,11,FALSE)</f>
        <v>45562</v>
      </c>
      <c r="L158" s="10" t="s">
        <v>25</v>
      </c>
      <c r="M158" s="10" t="s">
        <v>201</v>
      </c>
    </row>
    <row r="159" spans="1:13" x14ac:dyDescent="0.25">
      <c r="A159" s="13" t="str">
        <f t="shared" si="4"/>
        <v>50714255810</v>
      </c>
      <c r="B159" s="10">
        <v>1004035205</v>
      </c>
      <c r="C159" s="10">
        <v>507142558</v>
      </c>
      <c r="D159" s="10">
        <v>10</v>
      </c>
      <c r="E159" s="10" t="s">
        <v>10</v>
      </c>
      <c r="F159" s="10">
        <v>1209580</v>
      </c>
      <c r="G159" s="10" t="s">
        <v>100</v>
      </c>
      <c r="H159" s="11">
        <v>61302</v>
      </c>
      <c r="I159" s="10">
        <v>0</v>
      </c>
      <c r="J159" s="11">
        <f t="shared" si="5"/>
        <v>61302</v>
      </c>
      <c r="K159" s="12">
        <f>VLOOKUP(A159,[2]VA05!$A:$K,11,FALSE)</f>
        <v>45562</v>
      </c>
      <c r="L159" s="10" t="s">
        <v>25</v>
      </c>
      <c r="M159" s="10" t="s">
        <v>201</v>
      </c>
    </row>
    <row r="160" spans="1:13" x14ac:dyDescent="0.25">
      <c r="A160" s="13" t="str">
        <f t="shared" si="4"/>
        <v>50714255810</v>
      </c>
      <c r="B160" s="10">
        <v>1004042231</v>
      </c>
      <c r="C160" s="10">
        <v>507142558</v>
      </c>
      <c r="D160" s="10">
        <v>10</v>
      </c>
      <c r="E160" s="10" t="s">
        <v>10</v>
      </c>
      <c r="F160" s="10">
        <v>1209581</v>
      </c>
      <c r="G160" s="10" t="s">
        <v>129</v>
      </c>
      <c r="H160" s="11">
        <v>61302</v>
      </c>
      <c r="I160" s="11">
        <v>34340</v>
      </c>
      <c r="J160" s="11">
        <f t="shared" si="5"/>
        <v>26962</v>
      </c>
      <c r="K160" s="12">
        <f>VLOOKUP(A160,[2]VA05!$A:$K,11,FALSE)</f>
        <v>45562</v>
      </c>
      <c r="L160" s="10" t="s">
        <v>18</v>
      </c>
      <c r="M160" s="10" t="s">
        <v>195</v>
      </c>
    </row>
    <row r="161" spans="1:13" x14ac:dyDescent="0.25">
      <c r="A161" s="13" t="str">
        <f t="shared" si="4"/>
        <v>50714244520</v>
      </c>
      <c r="B161" s="10">
        <v>1004053208</v>
      </c>
      <c r="C161" s="10">
        <v>507142445</v>
      </c>
      <c r="D161" s="10">
        <v>20</v>
      </c>
      <c r="E161" s="10" t="s">
        <v>10</v>
      </c>
      <c r="F161" s="10">
        <v>1210955</v>
      </c>
      <c r="G161" s="10" t="s">
        <v>215</v>
      </c>
      <c r="H161" s="11">
        <v>53210</v>
      </c>
      <c r="I161" s="10">
        <v>0</v>
      </c>
      <c r="J161" s="11">
        <f t="shared" si="5"/>
        <v>53210</v>
      </c>
      <c r="K161" s="12">
        <f>VLOOKUP(A161,[2]VA05!$A:$K,11,FALSE)</f>
        <v>45595</v>
      </c>
      <c r="L161" s="10" t="s">
        <v>239</v>
      </c>
      <c r="M161" s="10" t="s">
        <v>216</v>
      </c>
    </row>
    <row r="162" spans="1:13" x14ac:dyDescent="0.25">
      <c r="A162" s="13" t="str">
        <f t="shared" si="4"/>
        <v>50714244520</v>
      </c>
      <c r="B162" s="10">
        <v>1004052416</v>
      </c>
      <c r="C162" s="10">
        <v>507142445</v>
      </c>
      <c r="D162" s="10">
        <v>20</v>
      </c>
      <c r="E162" s="10" t="s">
        <v>10</v>
      </c>
      <c r="F162" s="10">
        <v>1259266</v>
      </c>
      <c r="G162" s="10" t="s">
        <v>64</v>
      </c>
      <c r="H162" s="11">
        <v>51912</v>
      </c>
      <c r="I162" s="10">
        <v>0</v>
      </c>
      <c r="J162" s="11">
        <f t="shared" si="5"/>
        <v>51912</v>
      </c>
      <c r="K162" s="12">
        <f>VLOOKUP(A162,[2]VA05!$A:$K,11,FALSE)</f>
        <v>45595</v>
      </c>
      <c r="L162" s="10" t="s">
        <v>239</v>
      </c>
      <c r="M162" s="10" t="s">
        <v>199</v>
      </c>
    </row>
    <row r="163" spans="1:13" x14ac:dyDescent="0.25">
      <c r="A163" s="13" t="str">
        <f t="shared" si="4"/>
        <v>50714244520</v>
      </c>
      <c r="B163" s="10">
        <v>1004052417</v>
      </c>
      <c r="C163" s="10">
        <v>507142445</v>
      </c>
      <c r="D163" s="10">
        <v>20</v>
      </c>
      <c r="E163" s="10" t="s">
        <v>10</v>
      </c>
      <c r="F163" s="10">
        <v>1259265</v>
      </c>
      <c r="G163" s="10" t="s">
        <v>187</v>
      </c>
      <c r="H163" s="11">
        <v>53210</v>
      </c>
      <c r="I163" s="10">
        <v>0</v>
      </c>
      <c r="J163" s="11">
        <f t="shared" si="5"/>
        <v>53210</v>
      </c>
      <c r="K163" s="12">
        <f>VLOOKUP(A163,[2]VA05!$A:$K,11,FALSE)</f>
        <v>45595</v>
      </c>
      <c r="L163" s="10" t="s">
        <v>12</v>
      </c>
      <c r="M163" s="10" t="s">
        <v>202</v>
      </c>
    </row>
    <row r="164" spans="1:13" x14ac:dyDescent="0.25">
      <c r="A164" s="13" t="str">
        <f t="shared" si="4"/>
        <v>50714264710</v>
      </c>
      <c r="B164" s="10">
        <v>1004045115</v>
      </c>
      <c r="C164" s="10">
        <v>507142647</v>
      </c>
      <c r="D164" s="10">
        <v>10</v>
      </c>
      <c r="E164" s="10" t="s">
        <v>10</v>
      </c>
      <c r="F164" s="10">
        <v>1168128</v>
      </c>
      <c r="G164" s="10" t="s">
        <v>77</v>
      </c>
      <c r="H164" s="11">
        <v>54355</v>
      </c>
      <c r="I164" s="10">
        <v>0</v>
      </c>
      <c r="J164" s="11">
        <f t="shared" si="5"/>
        <v>54355</v>
      </c>
      <c r="K164" s="12">
        <f>VLOOKUP(A164,[2]VA05!$A:$K,11,FALSE)</f>
        <v>45565</v>
      </c>
      <c r="L164" s="10" t="s">
        <v>12</v>
      </c>
      <c r="M164" s="10" t="s">
        <v>85</v>
      </c>
    </row>
    <row r="165" spans="1:13" x14ac:dyDescent="0.25">
      <c r="A165" s="13" t="str">
        <f t="shared" si="4"/>
        <v>50714278810</v>
      </c>
      <c r="B165" s="10">
        <v>1004053488</v>
      </c>
      <c r="C165" s="10">
        <v>507142788</v>
      </c>
      <c r="D165" s="10">
        <v>10</v>
      </c>
      <c r="E165" s="10" t="s">
        <v>10</v>
      </c>
      <c r="F165" s="10">
        <v>1168128</v>
      </c>
      <c r="G165" s="10" t="s">
        <v>77</v>
      </c>
      <c r="H165" s="11">
        <v>56529</v>
      </c>
      <c r="I165" s="10">
        <v>0</v>
      </c>
      <c r="J165" s="11">
        <f t="shared" si="5"/>
        <v>56529</v>
      </c>
      <c r="K165" s="12">
        <f>VLOOKUP(A165,[2]VA05!$A:$K,11,FALSE)</f>
        <v>45582</v>
      </c>
      <c r="L165" s="10" t="s">
        <v>12</v>
      </c>
      <c r="M165" s="10" t="s">
        <v>162</v>
      </c>
    </row>
    <row r="166" spans="1:13" x14ac:dyDescent="0.25">
      <c r="A166" s="13" t="str">
        <f t="shared" si="4"/>
        <v>50714264710</v>
      </c>
      <c r="B166" s="10">
        <v>1004038443</v>
      </c>
      <c r="C166" s="10">
        <v>507142647</v>
      </c>
      <c r="D166" s="10">
        <v>10</v>
      </c>
      <c r="E166" s="10" t="s">
        <v>10</v>
      </c>
      <c r="F166" s="10">
        <v>1168125</v>
      </c>
      <c r="G166" s="10" t="s">
        <v>32</v>
      </c>
      <c r="H166" s="11">
        <v>54355</v>
      </c>
      <c r="I166" s="11">
        <v>48706</v>
      </c>
      <c r="J166" s="11">
        <f t="shared" si="5"/>
        <v>5649</v>
      </c>
      <c r="K166" s="12">
        <f>VLOOKUP(A166,[2]VA05!$A:$K,11,FALSE)</f>
        <v>45565</v>
      </c>
      <c r="L166" s="10" t="s">
        <v>18</v>
      </c>
      <c r="M166" s="10" t="s">
        <v>180</v>
      </c>
    </row>
    <row r="167" spans="1:13" x14ac:dyDescent="0.25">
      <c r="A167" s="13" t="str">
        <f t="shared" si="4"/>
        <v>50714264910</v>
      </c>
      <c r="B167" s="10">
        <v>1004038445</v>
      </c>
      <c r="C167" s="10">
        <v>507142649</v>
      </c>
      <c r="D167" s="10">
        <v>10</v>
      </c>
      <c r="E167" s="10" t="s">
        <v>10</v>
      </c>
      <c r="F167" s="10">
        <v>1168125</v>
      </c>
      <c r="G167" s="10" t="s">
        <v>32</v>
      </c>
      <c r="H167" s="11">
        <v>51094</v>
      </c>
      <c r="I167" s="10">
        <v>0</v>
      </c>
      <c r="J167" s="11">
        <f t="shared" si="5"/>
        <v>51094</v>
      </c>
      <c r="K167" s="12" t="e">
        <f>VLOOKUP(A167,[2]VA05!$A:$K,11,FALSE)</f>
        <v>#N/A</v>
      </c>
      <c r="L167" s="10" t="s">
        <v>12</v>
      </c>
      <c r="M167" s="10" t="s">
        <v>84</v>
      </c>
    </row>
    <row r="168" spans="1:13" x14ac:dyDescent="0.25">
      <c r="A168" s="13" t="str">
        <f t="shared" si="4"/>
        <v>50714268810</v>
      </c>
      <c r="B168" s="10">
        <v>1004051400</v>
      </c>
      <c r="C168" s="10">
        <v>507142688</v>
      </c>
      <c r="D168" s="10">
        <v>10</v>
      </c>
      <c r="E168" s="10" t="s">
        <v>10</v>
      </c>
      <c r="F168" s="10">
        <v>1430111</v>
      </c>
      <c r="G168" s="10" t="s">
        <v>101</v>
      </c>
      <c r="H168" s="11">
        <v>122842</v>
      </c>
      <c r="I168" s="10">
        <v>0</v>
      </c>
      <c r="J168" s="11">
        <f t="shared" si="5"/>
        <v>122842</v>
      </c>
      <c r="K168" s="12">
        <f>VLOOKUP(A168,[2]VA05!$A:$K,11,FALSE)</f>
        <v>45567</v>
      </c>
      <c r="L168" s="10" t="s">
        <v>25</v>
      </c>
      <c r="M168" s="10" t="s">
        <v>107</v>
      </c>
    </row>
    <row r="169" spans="1:13" x14ac:dyDescent="0.25">
      <c r="A169" s="13" t="str">
        <f t="shared" si="4"/>
        <v>50714239390</v>
      </c>
      <c r="B169" s="10">
        <v>1004032826</v>
      </c>
      <c r="C169" s="10">
        <v>507142393</v>
      </c>
      <c r="D169" s="10">
        <v>90</v>
      </c>
      <c r="E169" s="10" t="s">
        <v>10</v>
      </c>
      <c r="F169" s="10">
        <v>1416752</v>
      </c>
      <c r="G169" s="10" t="s">
        <v>52</v>
      </c>
      <c r="H169" s="11">
        <v>47012</v>
      </c>
      <c r="I169" s="11">
        <v>38740</v>
      </c>
      <c r="J169" s="11">
        <f t="shared" si="5"/>
        <v>8272</v>
      </c>
      <c r="K169" s="12" t="e">
        <f>VLOOKUP(A169,[2]VA05!$A:$K,11,FALSE)</f>
        <v>#N/A</v>
      </c>
      <c r="L169" s="10" t="s">
        <v>11</v>
      </c>
      <c r="M169" s="10" t="s">
        <v>73</v>
      </c>
    </row>
    <row r="170" spans="1:13" x14ac:dyDescent="0.25">
      <c r="A170" s="13" t="str">
        <f t="shared" si="4"/>
        <v>507142416150</v>
      </c>
      <c r="B170" s="10">
        <v>1004052419</v>
      </c>
      <c r="C170" s="10">
        <v>507142416</v>
      </c>
      <c r="D170" s="10">
        <v>150</v>
      </c>
      <c r="E170" s="10" t="s">
        <v>10</v>
      </c>
      <c r="F170" s="10">
        <v>1269350</v>
      </c>
      <c r="G170" s="10" t="s">
        <v>188</v>
      </c>
      <c r="H170" s="11">
        <v>10439</v>
      </c>
      <c r="I170" s="10">
        <v>0</v>
      </c>
      <c r="J170" s="11">
        <f t="shared" si="5"/>
        <v>10439</v>
      </c>
      <c r="K170" s="12">
        <f>VLOOKUP(A170,[2]VA05!$A:$K,11,FALSE)</f>
        <v>45576</v>
      </c>
      <c r="L170" s="10" t="s">
        <v>12</v>
      </c>
      <c r="M170" s="10" t="s">
        <v>156</v>
      </c>
    </row>
    <row r="171" spans="1:13" x14ac:dyDescent="0.25">
      <c r="A171" s="13" t="str">
        <f t="shared" si="4"/>
        <v>50714268820</v>
      </c>
      <c r="B171" s="10">
        <v>1004052420</v>
      </c>
      <c r="C171" s="10">
        <v>507142688</v>
      </c>
      <c r="D171" s="10">
        <v>20</v>
      </c>
      <c r="E171" s="10" t="s">
        <v>10</v>
      </c>
      <c r="F171" s="10">
        <v>1430096</v>
      </c>
      <c r="G171" s="10" t="s">
        <v>93</v>
      </c>
      <c r="H171" s="11">
        <v>134120</v>
      </c>
      <c r="I171" s="10">
        <v>0</v>
      </c>
      <c r="J171" s="11">
        <f t="shared" si="5"/>
        <v>134120</v>
      </c>
      <c r="K171" s="12">
        <f>VLOOKUP(A171,[2]VA05!$A:$K,11,FALSE)</f>
        <v>45567</v>
      </c>
      <c r="L171" s="10" t="s">
        <v>25</v>
      </c>
      <c r="M171" s="10" t="s">
        <v>195</v>
      </c>
    </row>
    <row r="172" spans="1:13" x14ac:dyDescent="0.25">
      <c r="A172" s="13" t="str">
        <f t="shared" si="4"/>
        <v>50714264820</v>
      </c>
      <c r="B172" s="10">
        <v>1004034229</v>
      </c>
      <c r="C172" s="10">
        <v>507142648</v>
      </c>
      <c r="D172" s="10">
        <v>20</v>
      </c>
      <c r="E172" s="10" t="s">
        <v>10</v>
      </c>
      <c r="F172" s="10">
        <v>1421506</v>
      </c>
      <c r="G172" s="10" t="s">
        <v>75</v>
      </c>
      <c r="H172" s="11">
        <v>106418</v>
      </c>
      <c r="I172" s="11">
        <v>87176</v>
      </c>
      <c r="J172" s="11">
        <f t="shared" si="5"/>
        <v>19242</v>
      </c>
      <c r="K172" s="12" t="e">
        <f>VLOOKUP(A172,[2]VA05!$A:$K,11,FALSE)</f>
        <v>#N/A</v>
      </c>
      <c r="L172" s="10" t="s">
        <v>18</v>
      </c>
      <c r="M172" s="10" t="s">
        <v>96</v>
      </c>
    </row>
    <row r="173" spans="1:13" x14ac:dyDescent="0.25">
      <c r="A173" s="13" t="str">
        <f t="shared" si="4"/>
        <v>50714268920</v>
      </c>
      <c r="B173" s="10">
        <v>1004041355</v>
      </c>
      <c r="C173" s="10">
        <v>507142689</v>
      </c>
      <c r="D173" s="10">
        <v>20</v>
      </c>
      <c r="E173" s="10" t="s">
        <v>10</v>
      </c>
      <c r="F173" s="10">
        <v>1187156</v>
      </c>
      <c r="G173" s="10" t="s">
        <v>80</v>
      </c>
      <c r="H173" s="11">
        <v>85860</v>
      </c>
      <c r="I173" s="11">
        <v>28066</v>
      </c>
      <c r="J173" s="11">
        <f t="shared" si="5"/>
        <v>57794</v>
      </c>
      <c r="K173" s="12">
        <f>VLOOKUP(A173,[2]VA05!$A:$K,11,FALSE)</f>
        <v>45558</v>
      </c>
      <c r="L173" s="10" t="s">
        <v>18</v>
      </c>
      <c r="M173" s="10" t="s">
        <v>131</v>
      </c>
    </row>
    <row r="174" spans="1:13" x14ac:dyDescent="0.25">
      <c r="A174" s="13" t="str">
        <f t="shared" si="4"/>
        <v>50714278820</v>
      </c>
      <c r="B174" s="10">
        <v>1004058947</v>
      </c>
      <c r="C174" s="10">
        <v>507142788</v>
      </c>
      <c r="D174" s="10">
        <v>20</v>
      </c>
      <c r="E174" s="10" t="s">
        <v>10</v>
      </c>
      <c r="F174" s="10">
        <v>1187156</v>
      </c>
      <c r="G174" s="10" t="s">
        <v>80</v>
      </c>
      <c r="H174" s="11">
        <v>62884</v>
      </c>
      <c r="I174" s="10">
        <v>0</v>
      </c>
      <c r="J174" s="11">
        <f t="shared" si="5"/>
        <v>62884</v>
      </c>
      <c r="K174" s="12">
        <f>VLOOKUP(A174,[2]VA05!$A:$K,11,FALSE)</f>
        <v>45582</v>
      </c>
      <c r="L174" s="10" t="s">
        <v>12</v>
      </c>
      <c r="M174" s="10" t="s">
        <v>156</v>
      </c>
    </row>
    <row r="175" spans="1:13" x14ac:dyDescent="0.25">
      <c r="A175" s="13" t="str">
        <f t="shared" si="4"/>
        <v>507142416140</v>
      </c>
      <c r="B175" s="10">
        <v>1004051396</v>
      </c>
      <c r="C175" s="10">
        <v>507142416</v>
      </c>
      <c r="D175" s="10">
        <v>140</v>
      </c>
      <c r="E175" s="10" t="s">
        <v>10</v>
      </c>
      <c r="F175" s="10">
        <v>1269354</v>
      </c>
      <c r="G175" s="10" t="s">
        <v>169</v>
      </c>
      <c r="H175" s="11">
        <v>10217</v>
      </c>
      <c r="I175" s="10">
        <v>0</v>
      </c>
      <c r="J175" s="11">
        <f t="shared" si="5"/>
        <v>10217</v>
      </c>
      <c r="K175" s="12">
        <f>VLOOKUP(A175,[2]VA05!$A:$K,11,FALSE)</f>
        <v>45576</v>
      </c>
      <c r="L175" s="10" t="s">
        <v>25</v>
      </c>
      <c r="M175" s="10" t="s">
        <v>162</v>
      </c>
    </row>
    <row r="176" spans="1:13" x14ac:dyDescent="0.25">
      <c r="A176" s="13" t="str">
        <f t="shared" si="4"/>
        <v>507142416120</v>
      </c>
      <c r="B176" s="10">
        <v>1004058990</v>
      </c>
      <c r="C176" s="10">
        <v>507142416</v>
      </c>
      <c r="D176" s="10">
        <v>120</v>
      </c>
      <c r="E176" s="10" t="s">
        <v>10</v>
      </c>
      <c r="F176" s="10">
        <v>1255973</v>
      </c>
      <c r="G176" s="10" t="s">
        <v>238</v>
      </c>
      <c r="H176" s="11">
        <v>10217</v>
      </c>
      <c r="I176" s="10">
        <v>0</v>
      </c>
      <c r="J176" s="11">
        <f t="shared" si="5"/>
        <v>10217</v>
      </c>
      <c r="K176" s="12">
        <f>VLOOKUP(A176,[2]VA05!$A:$K,11,FALSE)</f>
        <v>45573</v>
      </c>
      <c r="L176" s="10" t="s">
        <v>12</v>
      </c>
      <c r="M176" s="10" t="s">
        <v>194</v>
      </c>
    </row>
    <row r="177" spans="1:13" x14ac:dyDescent="0.25">
      <c r="A177" s="13" t="str">
        <f t="shared" si="4"/>
        <v>50714271370</v>
      </c>
      <c r="B177" s="10">
        <v>1004042923</v>
      </c>
      <c r="C177" s="10">
        <v>507142713</v>
      </c>
      <c r="D177" s="10">
        <v>70</v>
      </c>
      <c r="E177" s="10" t="s">
        <v>10</v>
      </c>
      <c r="F177" s="10">
        <v>1256197</v>
      </c>
      <c r="G177" s="10" t="s">
        <v>139</v>
      </c>
      <c r="H177" s="11">
        <v>10217</v>
      </c>
      <c r="I177" s="10">
        <v>0</v>
      </c>
      <c r="J177" s="11">
        <f t="shared" si="5"/>
        <v>10217</v>
      </c>
      <c r="K177" s="12">
        <f>VLOOKUP(A177,[2]VA05!$A:$K,11,FALSE)</f>
        <v>45591</v>
      </c>
      <c r="L177" s="10" t="s">
        <v>13</v>
      </c>
      <c r="M177" s="10" t="s">
        <v>142</v>
      </c>
    </row>
    <row r="178" spans="1:13" x14ac:dyDescent="0.25">
      <c r="A178" s="13" t="str">
        <f t="shared" si="4"/>
        <v>50714264910</v>
      </c>
      <c r="B178" s="10">
        <v>1004037614</v>
      </c>
      <c r="C178" s="10">
        <v>507142649</v>
      </c>
      <c r="D178" s="10">
        <v>10</v>
      </c>
      <c r="E178" s="10" t="s">
        <v>10</v>
      </c>
      <c r="F178" s="10">
        <v>1168127</v>
      </c>
      <c r="G178" s="10" t="s">
        <v>21</v>
      </c>
      <c r="H178" s="11">
        <v>51094</v>
      </c>
      <c r="I178" s="11">
        <v>13000</v>
      </c>
      <c r="J178" s="11">
        <f t="shared" si="5"/>
        <v>38094</v>
      </c>
      <c r="K178" s="12" t="e">
        <f>VLOOKUP(A178,[2]VA05!$A:$K,11,FALSE)</f>
        <v>#N/A</v>
      </c>
      <c r="L178" s="10" t="s">
        <v>18</v>
      </c>
      <c r="M178" s="10" t="s">
        <v>154</v>
      </c>
    </row>
    <row r="179" spans="1:13" x14ac:dyDescent="0.25">
      <c r="A179" s="13" t="str">
        <f t="shared" si="4"/>
        <v>50714269110</v>
      </c>
      <c r="B179" s="10">
        <v>1004042917</v>
      </c>
      <c r="C179" s="10">
        <v>507142691</v>
      </c>
      <c r="D179" s="10">
        <v>10</v>
      </c>
      <c r="E179" s="10" t="s">
        <v>10</v>
      </c>
      <c r="F179" s="10">
        <v>1168127</v>
      </c>
      <c r="G179" s="10" t="s">
        <v>21</v>
      </c>
      <c r="H179" s="11">
        <v>51094</v>
      </c>
      <c r="I179" s="11">
        <v>51094</v>
      </c>
      <c r="J179" s="11">
        <f t="shared" si="5"/>
        <v>0</v>
      </c>
      <c r="K179" s="12">
        <f>VLOOKUP(A179,[2]VA05!$A:$K,11,FALSE)</f>
        <v>45567</v>
      </c>
      <c r="L179" s="10" t="s">
        <v>113</v>
      </c>
      <c r="M179" s="10" t="s">
        <v>180</v>
      </c>
    </row>
    <row r="180" spans="1:13" x14ac:dyDescent="0.25">
      <c r="A180" s="13" t="str">
        <f t="shared" si="4"/>
        <v>50714268810</v>
      </c>
      <c r="B180" s="10">
        <v>1004052619</v>
      </c>
      <c r="C180" s="10">
        <v>507142688</v>
      </c>
      <c r="D180" s="10">
        <v>10</v>
      </c>
      <c r="E180" s="10" t="s">
        <v>10</v>
      </c>
      <c r="F180" s="10">
        <v>1168127</v>
      </c>
      <c r="G180" s="10" t="s">
        <v>21</v>
      </c>
      <c r="H180" s="11">
        <v>122842</v>
      </c>
      <c r="I180" s="10">
        <v>0</v>
      </c>
      <c r="J180" s="11">
        <f t="shared" si="5"/>
        <v>122842</v>
      </c>
      <c r="K180" s="12">
        <f>VLOOKUP(A180,[2]VA05!$A:$K,11,FALSE)</f>
        <v>45567</v>
      </c>
      <c r="L180" s="10" t="s">
        <v>12</v>
      </c>
      <c r="M180" s="10" t="s">
        <v>97</v>
      </c>
    </row>
    <row r="181" spans="1:13" x14ac:dyDescent="0.25">
      <c r="A181" s="13" t="str">
        <f t="shared" si="4"/>
        <v>507142416130</v>
      </c>
      <c r="B181" s="10">
        <v>1004052620</v>
      </c>
      <c r="C181" s="10">
        <v>507142416</v>
      </c>
      <c r="D181" s="10">
        <v>130</v>
      </c>
      <c r="E181" s="10" t="s">
        <v>10</v>
      </c>
      <c r="F181" s="10">
        <v>1168127</v>
      </c>
      <c r="G181" s="10" t="s">
        <v>21</v>
      </c>
      <c r="H181" s="11">
        <v>10217</v>
      </c>
      <c r="I181" s="10">
        <v>0</v>
      </c>
      <c r="J181" s="11">
        <f t="shared" si="5"/>
        <v>10217</v>
      </c>
      <c r="K181" s="12">
        <f>VLOOKUP(A181,[2]VA05!$A:$K,11,FALSE)</f>
        <v>45573</v>
      </c>
      <c r="L181" s="10" t="s">
        <v>12</v>
      </c>
      <c r="M181" s="10" t="s">
        <v>194</v>
      </c>
    </row>
    <row r="182" spans="1:13" x14ac:dyDescent="0.25">
      <c r="A182" s="13" t="str">
        <f t="shared" si="4"/>
        <v>50714264830</v>
      </c>
      <c r="B182" s="10">
        <v>1004052621</v>
      </c>
      <c r="C182" s="10">
        <v>507142648</v>
      </c>
      <c r="D182" s="10">
        <v>30</v>
      </c>
      <c r="E182" s="10" t="s">
        <v>10</v>
      </c>
      <c r="F182" s="10">
        <v>1168127</v>
      </c>
      <c r="G182" s="10" t="s">
        <v>21</v>
      </c>
      <c r="H182" s="11">
        <v>71748</v>
      </c>
      <c r="I182" s="10">
        <v>0</v>
      </c>
      <c r="J182" s="11">
        <f t="shared" si="5"/>
        <v>71748</v>
      </c>
      <c r="K182" s="12">
        <f>VLOOKUP(A182,[2]VA05!$A:$K,11,FALSE)</f>
        <v>45581</v>
      </c>
      <c r="L182" s="10" t="s">
        <v>12</v>
      </c>
      <c r="M182" s="10" t="s">
        <v>194</v>
      </c>
    </row>
    <row r="183" spans="1:13" x14ac:dyDescent="0.25">
      <c r="A183" s="13" t="str">
        <f t="shared" si="4"/>
        <v>507142416150</v>
      </c>
      <c r="B183" s="10">
        <v>1004052622</v>
      </c>
      <c r="C183" s="10">
        <v>507142416</v>
      </c>
      <c r="D183" s="10">
        <v>150</v>
      </c>
      <c r="E183" s="10" t="s">
        <v>10</v>
      </c>
      <c r="F183" s="10">
        <v>1168127</v>
      </c>
      <c r="G183" s="10" t="s">
        <v>21</v>
      </c>
      <c r="H183" s="11">
        <v>10217</v>
      </c>
      <c r="I183" s="10">
        <v>0</v>
      </c>
      <c r="J183" s="11">
        <f t="shared" si="5"/>
        <v>10217</v>
      </c>
      <c r="K183" s="12">
        <f>VLOOKUP(A183,[2]VA05!$A:$K,11,FALSE)</f>
        <v>45576</v>
      </c>
      <c r="L183" s="10" t="s">
        <v>12</v>
      </c>
      <c r="M183" s="10" t="s">
        <v>162</v>
      </c>
    </row>
    <row r="184" spans="1:13" x14ac:dyDescent="0.25">
      <c r="A184" s="13" t="str">
        <f t="shared" si="4"/>
        <v>50714278810</v>
      </c>
      <c r="B184" s="10">
        <v>1004052623</v>
      </c>
      <c r="C184" s="10">
        <v>507142788</v>
      </c>
      <c r="D184" s="10">
        <v>10</v>
      </c>
      <c r="E184" s="10" t="s">
        <v>10</v>
      </c>
      <c r="F184" s="10">
        <v>1168127</v>
      </c>
      <c r="G184" s="10" t="s">
        <v>21</v>
      </c>
      <c r="H184" s="11">
        <v>56529</v>
      </c>
      <c r="I184" s="10">
        <v>0</v>
      </c>
      <c r="J184" s="11">
        <f t="shared" si="5"/>
        <v>56529</v>
      </c>
      <c r="K184" s="12">
        <f>VLOOKUP(A184,[2]VA05!$A:$K,11,FALSE)</f>
        <v>45582</v>
      </c>
      <c r="L184" s="10" t="s">
        <v>12</v>
      </c>
      <c r="M184" s="10" t="s">
        <v>162</v>
      </c>
    </row>
    <row r="185" spans="1:13" x14ac:dyDescent="0.25">
      <c r="A185" s="13" t="str">
        <f t="shared" si="4"/>
        <v>50714271380</v>
      </c>
      <c r="B185" s="10">
        <v>1004052624</v>
      </c>
      <c r="C185" s="10">
        <v>507142713</v>
      </c>
      <c r="D185" s="10">
        <v>80</v>
      </c>
      <c r="E185" s="10" t="s">
        <v>10</v>
      </c>
      <c r="F185" s="10">
        <v>1168127</v>
      </c>
      <c r="G185" s="10" t="s">
        <v>21</v>
      </c>
      <c r="H185" s="11">
        <v>10217</v>
      </c>
      <c r="I185" s="10">
        <v>0</v>
      </c>
      <c r="J185" s="11">
        <f t="shared" si="5"/>
        <v>10217</v>
      </c>
      <c r="K185" s="12">
        <f>VLOOKUP(A185,[2]VA05!$A:$K,11,FALSE)</f>
        <v>45591</v>
      </c>
      <c r="L185" s="10" t="s">
        <v>12</v>
      </c>
      <c r="M185" s="10" t="s">
        <v>204</v>
      </c>
    </row>
    <row r="186" spans="1:13" x14ac:dyDescent="0.25">
      <c r="A186" s="13" t="str">
        <f t="shared" si="4"/>
        <v>507142416150</v>
      </c>
      <c r="B186" s="10">
        <v>1004051561</v>
      </c>
      <c r="C186" s="10">
        <v>507142416</v>
      </c>
      <c r="D186" s="10">
        <v>150</v>
      </c>
      <c r="E186" s="10" t="s">
        <v>10</v>
      </c>
      <c r="F186" s="10">
        <v>1269318</v>
      </c>
      <c r="G186" s="10" t="s">
        <v>170</v>
      </c>
      <c r="H186" s="11">
        <v>10217</v>
      </c>
      <c r="I186" s="10">
        <v>0</v>
      </c>
      <c r="J186" s="11">
        <f t="shared" si="5"/>
        <v>10217</v>
      </c>
      <c r="K186" s="12">
        <f>VLOOKUP(A186,[2]VA05!$A:$K,11,FALSE)</f>
        <v>45576</v>
      </c>
      <c r="L186" s="10" t="s">
        <v>12</v>
      </c>
      <c r="M186" s="10" t="s">
        <v>162</v>
      </c>
    </row>
    <row r="187" spans="1:13" x14ac:dyDescent="0.25">
      <c r="A187" s="13" t="str">
        <f t="shared" si="4"/>
        <v>507142416130</v>
      </c>
      <c r="B187" s="10">
        <v>1004058014</v>
      </c>
      <c r="C187" s="10">
        <v>507142416</v>
      </c>
      <c r="D187" s="10">
        <v>130</v>
      </c>
      <c r="E187" s="10" t="s">
        <v>10</v>
      </c>
      <c r="F187" s="10">
        <v>1255976</v>
      </c>
      <c r="G187" s="10" t="s">
        <v>229</v>
      </c>
      <c r="H187" s="11">
        <v>10217</v>
      </c>
      <c r="I187" s="10">
        <v>0</v>
      </c>
      <c r="J187" s="11">
        <f t="shared" si="5"/>
        <v>10217</v>
      </c>
      <c r="K187" s="12">
        <f>VLOOKUP(A187,[2]VA05!$A:$K,11,FALSE)</f>
        <v>45573</v>
      </c>
      <c r="L187" s="10" t="s">
        <v>12</v>
      </c>
      <c r="M187" s="10" t="s">
        <v>194</v>
      </c>
    </row>
    <row r="188" spans="1:13" x14ac:dyDescent="0.25">
      <c r="A188" s="13" t="str">
        <f t="shared" si="4"/>
        <v>50714271380</v>
      </c>
      <c r="B188" s="10">
        <v>1004058015</v>
      </c>
      <c r="C188" s="10">
        <v>507142713</v>
      </c>
      <c r="D188" s="10">
        <v>80</v>
      </c>
      <c r="E188" s="10" t="s">
        <v>10</v>
      </c>
      <c r="F188" s="10">
        <v>1256193</v>
      </c>
      <c r="G188" s="10" t="s">
        <v>230</v>
      </c>
      <c r="H188" s="11">
        <v>10217</v>
      </c>
      <c r="I188" s="10">
        <v>0</v>
      </c>
      <c r="J188" s="11">
        <f t="shared" si="5"/>
        <v>10217</v>
      </c>
      <c r="K188" s="12">
        <f>VLOOKUP(A188,[2]VA05!$A:$K,11,FALSE)</f>
        <v>45591</v>
      </c>
      <c r="L188" s="10" t="s">
        <v>12</v>
      </c>
      <c r="M188" s="10" t="s">
        <v>204</v>
      </c>
    </row>
    <row r="189" spans="1:13" x14ac:dyDescent="0.25">
      <c r="A189" s="13" t="str">
        <f t="shared" si="4"/>
        <v>50714268810</v>
      </c>
      <c r="B189" s="10">
        <v>1004058016</v>
      </c>
      <c r="C189" s="10">
        <v>507142688</v>
      </c>
      <c r="D189" s="10">
        <v>10</v>
      </c>
      <c r="E189" s="10" t="s">
        <v>10</v>
      </c>
      <c r="F189" s="10">
        <v>1430110</v>
      </c>
      <c r="G189" s="10" t="s">
        <v>231</v>
      </c>
      <c r="H189" s="11">
        <v>81532</v>
      </c>
      <c r="I189" s="10">
        <v>0</v>
      </c>
      <c r="J189" s="11">
        <f t="shared" si="5"/>
        <v>81532</v>
      </c>
      <c r="K189" s="12">
        <f>VLOOKUP(A189,[2]VA05!$A:$K,11,FALSE)</f>
        <v>45567</v>
      </c>
      <c r="L189" s="10" t="s">
        <v>13</v>
      </c>
      <c r="M189" s="10" t="s">
        <v>155</v>
      </c>
    </row>
    <row r="190" spans="1:13" x14ac:dyDescent="0.25">
      <c r="A190" s="13" t="str">
        <f t="shared" si="4"/>
        <v>50714245510</v>
      </c>
      <c r="B190" s="10">
        <v>1004010713</v>
      </c>
      <c r="C190" s="10">
        <v>507142455</v>
      </c>
      <c r="D190" s="10">
        <v>10</v>
      </c>
      <c r="E190" s="10" t="s">
        <v>10</v>
      </c>
      <c r="F190" s="10">
        <v>1153314</v>
      </c>
      <c r="G190" s="10" t="s">
        <v>60</v>
      </c>
      <c r="H190" s="11">
        <v>26091</v>
      </c>
      <c r="I190" s="11">
        <v>22631</v>
      </c>
      <c r="J190" s="11">
        <f t="shared" si="5"/>
        <v>3460</v>
      </c>
      <c r="K190" s="12" t="e">
        <f>VLOOKUP(A190,[2]VA05!$A:$K,11,FALSE)</f>
        <v>#N/A</v>
      </c>
      <c r="L190" s="10" t="s">
        <v>18</v>
      </c>
      <c r="M190" s="10" t="s">
        <v>61</v>
      </c>
    </row>
    <row r="191" spans="1:13" x14ac:dyDescent="0.25">
      <c r="A191" s="13" t="str">
        <f t="shared" si="4"/>
        <v>50714239390</v>
      </c>
      <c r="B191" s="10">
        <v>1004032825</v>
      </c>
      <c r="C191" s="10">
        <v>507142393</v>
      </c>
      <c r="D191" s="10">
        <v>90</v>
      </c>
      <c r="E191" s="10" t="s">
        <v>10</v>
      </c>
      <c r="F191" s="10">
        <v>1416751</v>
      </c>
      <c r="G191" s="10" t="s">
        <v>57</v>
      </c>
      <c r="H191" s="11">
        <v>45642</v>
      </c>
      <c r="I191" s="10">
        <v>0</v>
      </c>
      <c r="J191" s="11">
        <f t="shared" si="5"/>
        <v>45642</v>
      </c>
      <c r="K191" s="12" t="e">
        <f>VLOOKUP(A191,[2]VA05!$A:$K,11,FALSE)</f>
        <v>#N/A</v>
      </c>
      <c r="L191" s="10" t="s">
        <v>12</v>
      </c>
      <c r="M191" s="10" t="s">
        <v>73</v>
      </c>
    </row>
    <row r="192" spans="1:13" x14ac:dyDescent="0.25">
      <c r="A192" s="13" t="str">
        <f t="shared" si="4"/>
        <v>50714256520</v>
      </c>
      <c r="B192" s="10">
        <v>1004041364</v>
      </c>
      <c r="C192" s="10">
        <v>507142565</v>
      </c>
      <c r="D192" s="10">
        <v>20</v>
      </c>
      <c r="E192" s="10" t="s">
        <v>10</v>
      </c>
      <c r="F192" s="10">
        <v>1170136</v>
      </c>
      <c r="G192" s="10" t="s">
        <v>81</v>
      </c>
      <c r="H192" s="11">
        <v>87480</v>
      </c>
      <c r="I192" s="11">
        <v>77033</v>
      </c>
      <c r="J192" s="11">
        <f t="shared" si="5"/>
        <v>10447</v>
      </c>
      <c r="K192" s="12">
        <f>VLOOKUP(A192,[2]VA05!$A:$K,11,FALSE)</f>
        <v>45561</v>
      </c>
      <c r="L192" s="10" t="s">
        <v>11</v>
      </c>
      <c r="M192" s="10" t="s">
        <v>74</v>
      </c>
    </row>
    <row r="193" spans="1:13" x14ac:dyDescent="0.25">
      <c r="A193" s="13" t="str">
        <f t="shared" si="4"/>
        <v>50714256610</v>
      </c>
      <c r="B193" s="10">
        <v>1004041365</v>
      </c>
      <c r="C193" s="10">
        <v>507142566</v>
      </c>
      <c r="D193" s="10">
        <v>10</v>
      </c>
      <c r="E193" s="10" t="s">
        <v>10</v>
      </c>
      <c r="F193" s="10">
        <v>1170136</v>
      </c>
      <c r="G193" s="10" t="s">
        <v>81</v>
      </c>
      <c r="H193" s="11">
        <v>23298</v>
      </c>
      <c r="I193" s="10">
        <v>0</v>
      </c>
      <c r="J193" s="11">
        <f t="shared" si="5"/>
        <v>23298</v>
      </c>
      <c r="K193" s="12">
        <f>VLOOKUP(A193,[2]VA05!$A:$K,11,FALSE)</f>
        <v>45561</v>
      </c>
      <c r="L193" s="10" t="s">
        <v>13</v>
      </c>
      <c r="M193" s="10" t="s">
        <v>195</v>
      </c>
    </row>
    <row r="194" spans="1:13" x14ac:dyDescent="0.25">
      <c r="A194" s="13" t="str">
        <f t="shared" si="4"/>
        <v>50714256730</v>
      </c>
      <c r="B194" s="10">
        <v>1004041366</v>
      </c>
      <c r="C194" s="10">
        <v>507142567</v>
      </c>
      <c r="D194" s="10">
        <v>30</v>
      </c>
      <c r="E194" s="10" t="s">
        <v>10</v>
      </c>
      <c r="F194" s="10">
        <v>1170136</v>
      </c>
      <c r="G194" s="10" t="s">
        <v>81</v>
      </c>
      <c r="H194" s="11">
        <v>17589</v>
      </c>
      <c r="I194" s="10">
        <v>0</v>
      </c>
      <c r="J194" s="11">
        <f t="shared" si="5"/>
        <v>17589</v>
      </c>
      <c r="K194" s="12">
        <f>VLOOKUP(A194,[2]VA05!$A:$K,11,FALSE)</f>
        <v>45561</v>
      </c>
      <c r="L194" s="10" t="s">
        <v>12</v>
      </c>
      <c r="M194" s="10" t="s">
        <v>85</v>
      </c>
    </row>
    <row r="195" spans="1:13" x14ac:dyDescent="0.25">
      <c r="A195" s="13" t="str">
        <f t="shared" si="4"/>
        <v>50714255610</v>
      </c>
      <c r="B195" s="10">
        <v>1004051403</v>
      </c>
      <c r="C195" s="10">
        <v>507142556</v>
      </c>
      <c r="D195" s="10">
        <v>10</v>
      </c>
      <c r="E195" s="10" t="s">
        <v>24</v>
      </c>
      <c r="F195" s="10">
        <v>1436161</v>
      </c>
      <c r="G195" s="10" t="s">
        <v>94</v>
      </c>
      <c r="H195" s="11">
        <v>1900</v>
      </c>
      <c r="I195" s="10">
        <v>0</v>
      </c>
      <c r="J195" s="11">
        <f t="shared" si="5"/>
        <v>1900</v>
      </c>
      <c r="K195" s="12">
        <f>VLOOKUP(A195,[2]VA05!$A:$K,11,FALSE)</f>
        <v>45538</v>
      </c>
      <c r="L195" s="10" t="s">
        <v>25</v>
      </c>
      <c r="M195" s="10" t="s">
        <v>97</v>
      </c>
    </row>
    <row r="196" spans="1:13" x14ac:dyDescent="0.25">
      <c r="A196" s="13" t="str">
        <f t="shared" ref="A196:A259" si="6">C196&amp;D196</f>
        <v>50714256230</v>
      </c>
      <c r="B196" s="10">
        <v>1004042741</v>
      </c>
      <c r="C196" s="10">
        <v>507142562</v>
      </c>
      <c r="D196" s="10">
        <v>30</v>
      </c>
      <c r="E196" s="10" t="s">
        <v>10</v>
      </c>
      <c r="F196" s="10">
        <v>1165028</v>
      </c>
      <c r="G196" s="10" t="s">
        <v>68</v>
      </c>
      <c r="H196" s="11">
        <v>85259</v>
      </c>
      <c r="I196" s="11">
        <v>40154</v>
      </c>
      <c r="J196" s="11">
        <f t="shared" ref="J196:J259" si="7">H196-I196</f>
        <v>45105</v>
      </c>
      <c r="K196" s="12">
        <f>VLOOKUP(A196,[2]VA05!$A:$K,11,FALSE)</f>
        <v>45573</v>
      </c>
      <c r="L196" s="10" t="s">
        <v>18</v>
      </c>
      <c r="M196" s="10" t="s">
        <v>201</v>
      </c>
    </row>
    <row r="197" spans="1:13" x14ac:dyDescent="0.25">
      <c r="A197" s="13" t="str">
        <f t="shared" si="6"/>
        <v>50714256230</v>
      </c>
      <c r="B197" s="10">
        <v>1004035819</v>
      </c>
      <c r="C197" s="10">
        <v>507142562</v>
      </c>
      <c r="D197" s="10">
        <v>30</v>
      </c>
      <c r="E197" s="10" t="s">
        <v>10</v>
      </c>
      <c r="F197" s="10">
        <v>1176008</v>
      </c>
      <c r="G197" s="10" t="s">
        <v>65</v>
      </c>
      <c r="H197" s="11">
        <v>85259</v>
      </c>
      <c r="I197" s="11">
        <v>40183</v>
      </c>
      <c r="J197" s="11">
        <f t="shared" si="7"/>
        <v>45076</v>
      </c>
      <c r="K197" s="12">
        <f>VLOOKUP(A197,[2]VA05!$A:$K,11,FALSE)</f>
        <v>45573</v>
      </c>
      <c r="L197" s="10" t="s">
        <v>18</v>
      </c>
      <c r="M197" s="10" t="s">
        <v>201</v>
      </c>
    </row>
    <row r="198" spans="1:13" x14ac:dyDescent="0.25">
      <c r="A198" s="13" t="str">
        <f t="shared" si="6"/>
        <v>50714256230</v>
      </c>
      <c r="B198" s="10">
        <v>1004042025</v>
      </c>
      <c r="C198" s="10">
        <v>507142562</v>
      </c>
      <c r="D198" s="10">
        <v>30</v>
      </c>
      <c r="E198" s="10" t="s">
        <v>10</v>
      </c>
      <c r="F198" s="10">
        <v>1170133</v>
      </c>
      <c r="G198" s="10" t="s">
        <v>70</v>
      </c>
      <c r="H198" s="11">
        <v>85259</v>
      </c>
      <c r="I198" s="11">
        <v>62031</v>
      </c>
      <c r="J198" s="11">
        <f t="shared" si="7"/>
        <v>23228</v>
      </c>
      <c r="K198" s="12">
        <f>VLOOKUP(A198,[2]VA05!$A:$K,11,FALSE)</f>
        <v>45573</v>
      </c>
      <c r="L198" s="10" t="s">
        <v>18</v>
      </c>
      <c r="M198" s="10" t="s">
        <v>130</v>
      </c>
    </row>
    <row r="199" spans="1:13" x14ac:dyDescent="0.25">
      <c r="A199" s="13" t="str">
        <f t="shared" si="6"/>
        <v>50714256530</v>
      </c>
      <c r="B199" s="10">
        <v>1004044947</v>
      </c>
      <c r="C199" s="10">
        <v>507142565</v>
      </c>
      <c r="D199" s="10">
        <v>30</v>
      </c>
      <c r="E199" s="10" t="s">
        <v>10</v>
      </c>
      <c r="F199" s="10">
        <v>1169065</v>
      </c>
      <c r="G199" s="10" t="s">
        <v>83</v>
      </c>
      <c r="H199" s="11">
        <v>85895</v>
      </c>
      <c r="I199" s="11">
        <v>47109</v>
      </c>
      <c r="J199" s="11">
        <f t="shared" si="7"/>
        <v>38786</v>
      </c>
      <c r="K199" s="12">
        <f>VLOOKUP(A199,[2]VA05!$A:$K,11,FALSE)</f>
        <v>45561</v>
      </c>
      <c r="L199" s="10" t="s">
        <v>18</v>
      </c>
      <c r="M199" s="10" t="s">
        <v>142</v>
      </c>
    </row>
    <row r="200" spans="1:13" x14ac:dyDescent="0.25">
      <c r="A200" s="13" t="str">
        <f t="shared" si="6"/>
        <v>50714256720</v>
      </c>
      <c r="B200" s="10">
        <v>1004044948</v>
      </c>
      <c r="C200" s="10">
        <v>507142567</v>
      </c>
      <c r="D200" s="10">
        <v>20</v>
      </c>
      <c r="E200" s="10" t="s">
        <v>10</v>
      </c>
      <c r="F200" s="10">
        <v>1169065</v>
      </c>
      <c r="G200" s="10" t="s">
        <v>83</v>
      </c>
      <c r="H200" s="11">
        <v>17711</v>
      </c>
      <c r="I200" s="10">
        <v>0</v>
      </c>
      <c r="J200" s="11">
        <f t="shared" si="7"/>
        <v>17711</v>
      </c>
      <c r="K200" s="12">
        <f>VLOOKUP(A200,[2]VA05!$A:$K,11,FALSE)</f>
        <v>45561</v>
      </c>
      <c r="L200" s="10" t="s">
        <v>12</v>
      </c>
      <c r="M200" s="10" t="s">
        <v>98</v>
      </c>
    </row>
    <row r="201" spans="1:13" x14ac:dyDescent="0.25">
      <c r="A201" s="13" t="str">
        <f t="shared" si="6"/>
        <v>50714256730</v>
      </c>
      <c r="B201" s="10">
        <v>1004052387</v>
      </c>
      <c r="C201" s="10">
        <v>507142567</v>
      </c>
      <c r="D201" s="10">
        <v>30</v>
      </c>
      <c r="E201" s="10" t="s">
        <v>10</v>
      </c>
      <c r="F201" s="10">
        <v>1171801</v>
      </c>
      <c r="G201" s="10" t="s">
        <v>71</v>
      </c>
      <c r="H201" s="11">
        <v>16066</v>
      </c>
      <c r="I201" s="11">
        <v>8250</v>
      </c>
      <c r="J201" s="11">
        <f t="shared" si="7"/>
        <v>7816</v>
      </c>
      <c r="K201" s="12">
        <f>VLOOKUP(A201,[2]VA05!$A:$K,11,FALSE)</f>
        <v>45561</v>
      </c>
      <c r="L201" s="10" t="s">
        <v>18</v>
      </c>
      <c r="M201" s="10" t="s">
        <v>155</v>
      </c>
    </row>
    <row r="202" spans="1:13" x14ac:dyDescent="0.25">
      <c r="A202" s="13" t="str">
        <f t="shared" si="6"/>
        <v>50714256520</v>
      </c>
      <c r="B202" s="10">
        <v>1004052388</v>
      </c>
      <c r="C202" s="10">
        <v>507142565</v>
      </c>
      <c r="D202" s="10">
        <v>20</v>
      </c>
      <c r="E202" s="10" t="s">
        <v>10</v>
      </c>
      <c r="F202" s="10">
        <v>1171801</v>
      </c>
      <c r="G202" s="10" t="s">
        <v>71</v>
      </c>
      <c r="H202" s="11">
        <v>79905</v>
      </c>
      <c r="I202" s="10">
        <v>0</v>
      </c>
      <c r="J202" s="11">
        <f t="shared" si="7"/>
        <v>79905</v>
      </c>
      <c r="K202" s="12">
        <f>VLOOKUP(A202,[2]VA05!$A:$K,11,FALSE)</f>
        <v>45561</v>
      </c>
      <c r="L202" s="10" t="s">
        <v>13</v>
      </c>
      <c r="M202" s="10" t="s">
        <v>180</v>
      </c>
    </row>
    <row r="203" spans="1:13" x14ac:dyDescent="0.25">
      <c r="A203" s="13" t="str">
        <f t="shared" si="6"/>
        <v>50714276210</v>
      </c>
      <c r="B203" s="10">
        <v>1004051397</v>
      </c>
      <c r="C203" s="10">
        <v>507142762</v>
      </c>
      <c r="D203" s="10">
        <v>10</v>
      </c>
      <c r="E203" s="10" t="s">
        <v>10</v>
      </c>
      <c r="F203" s="10">
        <v>1162016</v>
      </c>
      <c r="G203" s="10" t="s">
        <v>172</v>
      </c>
      <c r="H203" s="11">
        <v>40900</v>
      </c>
      <c r="I203" s="11">
        <v>10232</v>
      </c>
      <c r="J203" s="11">
        <f t="shared" si="7"/>
        <v>30668</v>
      </c>
      <c r="K203" s="12">
        <f>VLOOKUP(A203,[2]VA05!$A:$K,11,FALSE)</f>
        <v>45570</v>
      </c>
      <c r="L203" s="10" t="s">
        <v>11</v>
      </c>
      <c r="M203" s="10" t="s">
        <v>154</v>
      </c>
    </row>
    <row r="204" spans="1:13" x14ac:dyDescent="0.25">
      <c r="A204" s="13" t="str">
        <f t="shared" si="6"/>
        <v>50714263610</v>
      </c>
      <c r="B204" s="10">
        <v>1004040222</v>
      </c>
      <c r="C204" s="10">
        <v>507142636</v>
      </c>
      <c r="D204" s="10">
        <v>10</v>
      </c>
      <c r="E204" s="10" t="s">
        <v>10</v>
      </c>
      <c r="F204" s="10">
        <v>1437043</v>
      </c>
      <c r="G204" s="10" t="s">
        <v>115</v>
      </c>
      <c r="H204" s="11">
        <v>51125</v>
      </c>
      <c r="I204" s="11">
        <v>43670</v>
      </c>
      <c r="J204" s="11">
        <f t="shared" si="7"/>
        <v>7455</v>
      </c>
      <c r="K204" s="12">
        <f>VLOOKUP(A204,[2]VA05!$A:$K,11,FALSE)</f>
        <v>45566</v>
      </c>
      <c r="L204" s="10" t="s">
        <v>11</v>
      </c>
      <c r="M204" s="10" t="s">
        <v>116</v>
      </c>
    </row>
    <row r="205" spans="1:13" x14ac:dyDescent="0.25">
      <c r="A205" s="13" t="str">
        <f t="shared" si="6"/>
        <v>50714276210</v>
      </c>
      <c r="B205" s="10">
        <v>1004051398</v>
      </c>
      <c r="C205" s="10">
        <v>507142762</v>
      </c>
      <c r="D205" s="10">
        <v>10</v>
      </c>
      <c r="E205" s="10" t="s">
        <v>10</v>
      </c>
      <c r="F205" s="10">
        <v>1162012</v>
      </c>
      <c r="G205" s="10" t="s">
        <v>173</v>
      </c>
      <c r="H205" s="11">
        <v>40900</v>
      </c>
      <c r="I205" s="10">
        <v>0</v>
      </c>
      <c r="J205" s="11">
        <f t="shared" si="7"/>
        <v>40900</v>
      </c>
      <c r="K205" s="12">
        <f>VLOOKUP(A205,[2]VA05!$A:$K,11,FALSE)</f>
        <v>45570</v>
      </c>
      <c r="L205" s="10" t="s">
        <v>25</v>
      </c>
      <c r="M205" s="10" t="s">
        <v>201</v>
      </c>
    </row>
    <row r="206" spans="1:13" x14ac:dyDescent="0.25">
      <c r="A206" s="13" t="str">
        <f t="shared" si="6"/>
        <v>50714276210</v>
      </c>
      <c r="B206" s="10">
        <v>1004051399</v>
      </c>
      <c r="C206" s="10">
        <v>507142762</v>
      </c>
      <c r="D206" s="10">
        <v>10</v>
      </c>
      <c r="E206" s="10" t="s">
        <v>10</v>
      </c>
      <c r="F206" s="10">
        <v>1163168</v>
      </c>
      <c r="G206" s="10" t="s">
        <v>174</v>
      </c>
      <c r="H206" s="11">
        <v>40900</v>
      </c>
      <c r="I206" s="10">
        <v>0</v>
      </c>
      <c r="J206" s="11">
        <f t="shared" si="7"/>
        <v>40900</v>
      </c>
      <c r="K206" s="12">
        <f>VLOOKUP(A206,[2]VA05!$A:$K,11,FALSE)</f>
        <v>45570</v>
      </c>
      <c r="L206" s="10" t="s">
        <v>13</v>
      </c>
      <c r="M206" s="10" t="s">
        <v>201</v>
      </c>
    </row>
    <row r="207" spans="1:13" x14ac:dyDescent="0.25">
      <c r="A207" s="13" t="str">
        <f t="shared" si="6"/>
        <v>50714263850</v>
      </c>
      <c r="B207" s="10">
        <v>1004049841</v>
      </c>
      <c r="C207" s="10">
        <v>507142638</v>
      </c>
      <c r="D207" s="10">
        <v>50</v>
      </c>
      <c r="E207" s="10" t="s">
        <v>10</v>
      </c>
      <c r="F207" s="10">
        <v>1361170</v>
      </c>
      <c r="G207" s="10" t="s">
        <v>103</v>
      </c>
      <c r="H207" s="11">
        <v>27540</v>
      </c>
      <c r="I207" s="11">
        <v>27540</v>
      </c>
      <c r="J207" s="11">
        <f t="shared" si="7"/>
        <v>0</v>
      </c>
      <c r="K207" s="12">
        <f>VLOOKUP(A207,[2]VA05!$A:$K,11,FALSE)</f>
        <v>45560</v>
      </c>
      <c r="L207" s="10" t="s">
        <v>224</v>
      </c>
      <c r="M207" s="10" t="s">
        <v>143</v>
      </c>
    </row>
    <row r="208" spans="1:13" x14ac:dyDescent="0.25">
      <c r="A208" s="13" t="str">
        <f t="shared" si="6"/>
        <v>50714263850</v>
      </c>
      <c r="B208" s="10">
        <v>1004049842</v>
      </c>
      <c r="C208" s="10">
        <v>507142638</v>
      </c>
      <c r="D208" s="10">
        <v>50</v>
      </c>
      <c r="E208" s="10" t="s">
        <v>10</v>
      </c>
      <c r="F208" s="10">
        <v>1361170</v>
      </c>
      <c r="G208" s="10" t="s">
        <v>103</v>
      </c>
      <c r="H208" s="11">
        <v>27540</v>
      </c>
      <c r="I208" s="11">
        <v>14050</v>
      </c>
      <c r="J208" s="11">
        <f t="shared" si="7"/>
        <v>13490</v>
      </c>
      <c r="K208" s="12">
        <f>VLOOKUP(A208,[2]VA05!$A:$K,11,FALSE)</f>
        <v>45560</v>
      </c>
      <c r="L208" s="10" t="s">
        <v>11</v>
      </c>
      <c r="M208" s="10" t="s">
        <v>195</v>
      </c>
    </row>
    <row r="209" spans="1:13" x14ac:dyDescent="0.25">
      <c r="A209" s="13" t="str">
        <f t="shared" si="6"/>
        <v>50714263850</v>
      </c>
      <c r="B209" s="10">
        <v>1004049843</v>
      </c>
      <c r="C209" s="10">
        <v>507142638</v>
      </c>
      <c r="D209" s="10">
        <v>50</v>
      </c>
      <c r="E209" s="10" t="s">
        <v>10</v>
      </c>
      <c r="F209" s="10">
        <v>1361170</v>
      </c>
      <c r="G209" s="10" t="s">
        <v>103</v>
      </c>
      <c r="H209" s="11">
        <v>27270</v>
      </c>
      <c r="I209" s="10">
        <v>0</v>
      </c>
      <c r="J209" s="11">
        <f t="shared" si="7"/>
        <v>27270</v>
      </c>
      <c r="K209" s="12">
        <f>VLOOKUP(A209,[2]VA05!$A:$K,11,FALSE)</f>
        <v>45560</v>
      </c>
      <c r="L209" s="10" t="s">
        <v>117</v>
      </c>
      <c r="M209" s="10" t="s">
        <v>143</v>
      </c>
    </row>
    <row r="210" spans="1:13" x14ac:dyDescent="0.25">
      <c r="A210" s="13" t="str">
        <f t="shared" si="6"/>
        <v>50714273810</v>
      </c>
      <c r="B210" s="10">
        <v>1004051551</v>
      </c>
      <c r="C210" s="10">
        <v>507142738</v>
      </c>
      <c r="D210" s="10">
        <v>10</v>
      </c>
      <c r="E210" s="10" t="s">
        <v>10</v>
      </c>
      <c r="F210" s="10">
        <v>1361170</v>
      </c>
      <c r="G210" s="10" t="s">
        <v>103</v>
      </c>
      <c r="H210" s="11">
        <v>27540</v>
      </c>
      <c r="I210" s="10">
        <v>0</v>
      </c>
      <c r="J210" s="11">
        <f t="shared" si="7"/>
        <v>27540</v>
      </c>
      <c r="K210" s="12">
        <f>VLOOKUP(A210,[2]VA05!$A:$K,11,FALSE)</f>
        <v>45567</v>
      </c>
      <c r="L210" s="10" t="s">
        <v>12</v>
      </c>
      <c r="M210" s="10" t="s">
        <v>180</v>
      </c>
    </row>
    <row r="211" spans="1:13" x14ac:dyDescent="0.25">
      <c r="A211" s="13" t="str">
        <f t="shared" si="6"/>
        <v>50714273810</v>
      </c>
      <c r="B211" s="10">
        <v>1004051552</v>
      </c>
      <c r="C211" s="10">
        <v>507142738</v>
      </c>
      <c r="D211" s="10">
        <v>10</v>
      </c>
      <c r="E211" s="10" t="s">
        <v>10</v>
      </c>
      <c r="F211" s="10">
        <v>1361170</v>
      </c>
      <c r="G211" s="10" t="s">
        <v>103</v>
      </c>
      <c r="H211" s="11">
        <v>27540</v>
      </c>
      <c r="I211" s="10">
        <v>0</v>
      </c>
      <c r="J211" s="11">
        <f t="shared" si="7"/>
        <v>27540</v>
      </c>
      <c r="K211" s="12">
        <f>VLOOKUP(A211,[2]VA05!$A:$K,11,FALSE)</f>
        <v>45567</v>
      </c>
      <c r="L211" s="10" t="s">
        <v>12</v>
      </c>
      <c r="M211" s="10" t="s">
        <v>180</v>
      </c>
    </row>
    <row r="212" spans="1:13" x14ac:dyDescent="0.25">
      <c r="A212" s="13" t="str">
        <f t="shared" si="6"/>
        <v>50714273810</v>
      </c>
      <c r="B212" s="10">
        <v>1004051553</v>
      </c>
      <c r="C212" s="10">
        <v>507142738</v>
      </c>
      <c r="D212" s="10">
        <v>10</v>
      </c>
      <c r="E212" s="10" t="s">
        <v>10</v>
      </c>
      <c r="F212" s="10">
        <v>1361170</v>
      </c>
      <c r="G212" s="10" t="s">
        <v>103</v>
      </c>
      <c r="H212" s="11">
        <v>27540</v>
      </c>
      <c r="I212" s="10">
        <v>0</v>
      </c>
      <c r="J212" s="11">
        <f t="shared" si="7"/>
        <v>27540</v>
      </c>
      <c r="K212" s="12">
        <f>VLOOKUP(A212,[2]VA05!$A:$K,11,FALSE)</f>
        <v>45567</v>
      </c>
      <c r="L212" s="10" t="s">
        <v>12</v>
      </c>
      <c r="M212" s="10" t="s">
        <v>180</v>
      </c>
    </row>
    <row r="213" spans="1:13" x14ac:dyDescent="0.25">
      <c r="A213" s="13" t="str">
        <f t="shared" si="6"/>
        <v>50714273810</v>
      </c>
      <c r="B213" s="10">
        <v>1004051554</v>
      </c>
      <c r="C213" s="10">
        <v>507142738</v>
      </c>
      <c r="D213" s="10">
        <v>10</v>
      </c>
      <c r="E213" s="10" t="s">
        <v>10</v>
      </c>
      <c r="F213" s="10">
        <v>1361170</v>
      </c>
      <c r="G213" s="10" t="s">
        <v>103</v>
      </c>
      <c r="H213" s="11">
        <v>27540</v>
      </c>
      <c r="I213" s="10">
        <v>0</v>
      </c>
      <c r="J213" s="11">
        <f t="shared" si="7"/>
        <v>27540</v>
      </c>
      <c r="K213" s="12">
        <f>VLOOKUP(A213,[2]VA05!$A:$K,11,FALSE)</f>
        <v>45567</v>
      </c>
      <c r="L213" s="10" t="s">
        <v>12</v>
      </c>
      <c r="M213" s="10" t="s">
        <v>180</v>
      </c>
    </row>
    <row r="214" spans="1:13" x14ac:dyDescent="0.25">
      <c r="A214" s="13" t="str">
        <f t="shared" si="6"/>
        <v>50714269210</v>
      </c>
      <c r="B214" s="10">
        <v>1004057890</v>
      </c>
      <c r="C214" s="10">
        <v>507142692</v>
      </c>
      <c r="D214" s="10">
        <v>10</v>
      </c>
      <c r="E214" s="10" t="s">
        <v>10</v>
      </c>
      <c r="F214" s="10">
        <v>1367372</v>
      </c>
      <c r="G214" s="10" t="s">
        <v>62</v>
      </c>
      <c r="H214" s="11">
        <v>27540</v>
      </c>
      <c r="I214" s="11">
        <v>27540</v>
      </c>
      <c r="J214" s="11">
        <f t="shared" si="7"/>
        <v>0</v>
      </c>
      <c r="K214" s="12">
        <f>VLOOKUP(A214,[2]VA05!$A:$K,11,FALSE)</f>
        <v>45566</v>
      </c>
      <c r="L214" s="10" t="s">
        <v>11</v>
      </c>
      <c r="M214" s="10" t="s">
        <v>155</v>
      </c>
    </row>
    <row r="215" spans="1:13" x14ac:dyDescent="0.25">
      <c r="A215" s="13" t="str">
        <f t="shared" si="6"/>
        <v>50714269210</v>
      </c>
      <c r="B215" s="10">
        <v>1004057891</v>
      </c>
      <c r="C215" s="10">
        <v>507142692</v>
      </c>
      <c r="D215" s="10">
        <v>10</v>
      </c>
      <c r="E215" s="10" t="s">
        <v>10</v>
      </c>
      <c r="F215" s="10">
        <v>1367372</v>
      </c>
      <c r="G215" s="10" t="s">
        <v>62</v>
      </c>
      <c r="H215" s="11">
        <v>27540</v>
      </c>
      <c r="I215" s="11">
        <v>18000</v>
      </c>
      <c r="J215" s="11">
        <f t="shared" si="7"/>
        <v>9540</v>
      </c>
      <c r="K215" s="12">
        <f>VLOOKUP(A215,[2]VA05!$A:$K,11,FALSE)</f>
        <v>45566</v>
      </c>
      <c r="L215" s="10" t="s">
        <v>240</v>
      </c>
      <c r="M215" s="10" t="s">
        <v>154</v>
      </c>
    </row>
    <row r="216" spans="1:13" x14ac:dyDescent="0.25">
      <c r="A216" s="13" t="str">
        <f t="shared" si="6"/>
        <v>50714269210</v>
      </c>
      <c r="B216" s="10">
        <v>1004057892</v>
      </c>
      <c r="C216" s="10">
        <v>507142692</v>
      </c>
      <c r="D216" s="10">
        <v>10</v>
      </c>
      <c r="E216" s="10" t="s">
        <v>10</v>
      </c>
      <c r="F216" s="10">
        <v>1367372</v>
      </c>
      <c r="G216" s="10" t="s">
        <v>62</v>
      </c>
      <c r="H216" s="11">
        <v>27540</v>
      </c>
      <c r="I216" s="10">
        <v>0</v>
      </c>
      <c r="J216" s="11">
        <f t="shared" si="7"/>
        <v>27540</v>
      </c>
      <c r="K216" s="12">
        <f>VLOOKUP(A216,[2]VA05!$A:$K,11,FALSE)</f>
        <v>45566</v>
      </c>
      <c r="L216" s="10" t="s">
        <v>12</v>
      </c>
      <c r="M216" s="10" t="s">
        <v>155</v>
      </c>
    </row>
    <row r="217" spans="1:13" x14ac:dyDescent="0.25">
      <c r="A217" s="13" t="str">
        <f t="shared" si="6"/>
        <v>50714263860</v>
      </c>
      <c r="B217" s="10">
        <v>1004049845</v>
      </c>
      <c r="C217" s="10">
        <v>507142638</v>
      </c>
      <c r="D217" s="10">
        <v>60</v>
      </c>
      <c r="E217" s="10" t="s">
        <v>10</v>
      </c>
      <c r="F217" s="10">
        <v>1361175</v>
      </c>
      <c r="G217" s="10" t="s">
        <v>22</v>
      </c>
      <c r="H217" s="11">
        <v>36850</v>
      </c>
      <c r="I217" s="11">
        <v>4576</v>
      </c>
      <c r="J217" s="11">
        <f t="shared" si="7"/>
        <v>32274</v>
      </c>
      <c r="K217" s="12">
        <f>VLOOKUP(A217,[2]VA05!$A:$K,11,FALSE)</f>
        <v>45560</v>
      </c>
      <c r="L217" s="10" t="s">
        <v>132</v>
      </c>
      <c r="M217" s="10" t="s">
        <v>143</v>
      </c>
    </row>
    <row r="218" spans="1:13" x14ac:dyDescent="0.25">
      <c r="A218" s="13" t="str">
        <f t="shared" si="6"/>
        <v>50714263860</v>
      </c>
      <c r="B218" s="10">
        <v>1004049846</v>
      </c>
      <c r="C218" s="10">
        <v>507142638</v>
      </c>
      <c r="D218" s="10">
        <v>60</v>
      </c>
      <c r="E218" s="10" t="s">
        <v>10</v>
      </c>
      <c r="F218" s="10">
        <v>1361175</v>
      </c>
      <c r="G218" s="10" t="s">
        <v>22</v>
      </c>
      <c r="H218" s="11">
        <v>36190</v>
      </c>
      <c r="I218" s="10">
        <v>0</v>
      </c>
      <c r="J218" s="11">
        <f t="shared" si="7"/>
        <v>36190</v>
      </c>
      <c r="K218" s="12">
        <f>VLOOKUP(A218,[2]VA05!$A:$K,11,FALSE)</f>
        <v>45560</v>
      </c>
      <c r="L218" s="10" t="s">
        <v>241</v>
      </c>
      <c r="M218" s="10" t="s">
        <v>97</v>
      </c>
    </row>
    <row r="219" spans="1:13" x14ac:dyDescent="0.25">
      <c r="A219" s="13" t="str">
        <f t="shared" si="6"/>
        <v>50714269220</v>
      </c>
      <c r="B219" s="10">
        <v>1004057896</v>
      </c>
      <c r="C219" s="10">
        <v>507142692</v>
      </c>
      <c r="D219" s="10">
        <v>20</v>
      </c>
      <c r="E219" s="10" t="s">
        <v>10</v>
      </c>
      <c r="F219" s="10">
        <v>1367370</v>
      </c>
      <c r="G219" s="10" t="s">
        <v>63</v>
      </c>
      <c r="H219" s="11">
        <v>25920</v>
      </c>
      <c r="I219" s="11">
        <v>21000</v>
      </c>
      <c r="J219" s="11">
        <f t="shared" si="7"/>
        <v>4920</v>
      </c>
      <c r="K219" s="12">
        <f>VLOOKUP(A219,[2]VA05!$A:$K,11,FALSE)</f>
        <v>45567</v>
      </c>
      <c r="L219" s="10" t="s">
        <v>240</v>
      </c>
      <c r="M219" s="10" t="s">
        <v>154</v>
      </c>
    </row>
    <row r="220" spans="1:13" x14ac:dyDescent="0.25">
      <c r="A220" s="13" t="str">
        <f t="shared" si="6"/>
        <v>50714269220</v>
      </c>
      <c r="B220" s="10">
        <v>1004057897</v>
      </c>
      <c r="C220" s="10">
        <v>507142692</v>
      </c>
      <c r="D220" s="10">
        <v>20</v>
      </c>
      <c r="E220" s="10" t="s">
        <v>10</v>
      </c>
      <c r="F220" s="10">
        <v>1367370</v>
      </c>
      <c r="G220" s="10" t="s">
        <v>63</v>
      </c>
      <c r="H220" s="11">
        <v>32400</v>
      </c>
      <c r="I220" s="10">
        <v>0</v>
      </c>
      <c r="J220" s="11">
        <f t="shared" si="7"/>
        <v>32400</v>
      </c>
      <c r="K220" s="12">
        <f>VLOOKUP(A220,[2]VA05!$A:$K,11,FALSE)</f>
        <v>45567</v>
      </c>
      <c r="L220" s="10" t="s">
        <v>12</v>
      </c>
      <c r="M220" s="10" t="s">
        <v>155</v>
      </c>
    </row>
    <row r="221" spans="1:13" x14ac:dyDescent="0.25">
      <c r="A221" s="13" t="str">
        <f t="shared" si="6"/>
        <v>50714263830</v>
      </c>
      <c r="B221" s="10">
        <v>1004043125</v>
      </c>
      <c r="C221" s="10">
        <v>507142638</v>
      </c>
      <c r="D221" s="10">
        <v>30</v>
      </c>
      <c r="E221" s="10" t="s">
        <v>10</v>
      </c>
      <c r="F221" s="10">
        <v>1361213</v>
      </c>
      <c r="G221" s="10" t="s">
        <v>23</v>
      </c>
      <c r="H221" s="11">
        <v>113465</v>
      </c>
      <c r="I221" s="11">
        <v>25800</v>
      </c>
      <c r="J221" s="11">
        <f t="shared" si="7"/>
        <v>87665</v>
      </c>
      <c r="K221" s="12" t="e">
        <f>VLOOKUP(A221,[2]VA05!$A:$K,11,FALSE)</f>
        <v>#N/A</v>
      </c>
      <c r="L221" s="10" t="s">
        <v>18</v>
      </c>
      <c r="M221" s="10" t="s">
        <v>195</v>
      </c>
    </row>
    <row r="222" spans="1:13" x14ac:dyDescent="0.25">
      <c r="A222" s="13" t="str">
        <f t="shared" si="6"/>
        <v>50714263850</v>
      </c>
      <c r="B222" s="10">
        <v>1004043126</v>
      </c>
      <c r="C222" s="10">
        <v>507142638</v>
      </c>
      <c r="D222" s="10">
        <v>50</v>
      </c>
      <c r="E222" s="10" t="s">
        <v>10</v>
      </c>
      <c r="F222" s="10">
        <v>1361213</v>
      </c>
      <c r="G222" s="10" t="s">
        <v>23</v>
      </c>
      <c r="H222" s="11">
        <v>113187</v>
      </c>
      <c r="I222" s="10">
        <v>0</v>
      </c>
      <c r="J222" s="11">
        <f t="shared" si="7"/>
        <v>113187</v>
      </c>
      <c r="K222" s="12">
        <f>VLOOKUP(A222,[2]VA05!$A:$K,11,FALSE)</f>
        <v>45560</v>
      </c>
      <c r="L222" s="10" t="s">
        <v>12</v>
      </c>
      <c r="M222" s="10" t="s">
        <v>111</v>
      </c>
    </row>
    <row r="223" spans="1:13" x14ac:dyDescent="0.25">
      <c r="A223" s="13" t="str">
        <f t="shared" si="6"/>
        <v>50714273810</v>
      </c>
      <c r="B223" s="10">
        <v>1004053617</v>
      </c>
      <c r="C223" s="10">
        <v>507142738</v>
      </c>
      <c r="D223" s="10">
        <v>10</v>
      </c>
      <c r="E223" s="10" t="s">
        <v>10</v>
      </c>
      <c r="F223" s="10">
        <v>1361213</v>
      </c>
      <c r="G223" s="10" t="s">
        <v>23</v>
      </c>
      <c r="H223" s="11">
        <v>113468</v>
      </c>
      <c r="I223" s="10">
        <v>0</v>
      </c>
      <c r="J223" s="11">
        <f t="shared" si="7"/>
        <v>113468</v>
      </c>
      <c r="K223" s="12">
        <f>VLOOKUP(A223,[2]VA05!$A:$K,11,FALSE)</f>
        <v>45567</v>
      </c>
      <c r="L223" s="10" t="s">
        <v>12</v>
      </c>
      <c r="M223" s="10" t="s">
        <v>130</v>
      </c>
    </row>
    <row r="224" spans="1:13" x14ac:dyDescent="0.25">
      <c r="A224" s="13" t="str">
        <f t="shared" si="6"/>
        <v>50714279010</v>
      </c>
      <c r="B224" s="10">
        <v>1004053618</v>
      </c>
      <c r="C224" s="10">
        <v>507142790</v>
      </c>
      <c r="D224" s="10">
        <v>10</v>
      </c>
      <c r="E224" s="10" t="s">
        <v>10</v>
      </c>
      <c r="F224" s="10">
        <v>1361213</v>
      </c>
      <c r="G224" s="10" t="s">
        <v>23</v>
      </c>
      <c r="H224" s="11">
        <v>113465</v>
      </c>
      <c r="I224" s="10">
        <v>0</v>
      </c>
      <c r="J224" s="11">
        <f t="shared" si="7"/>
        <v>113465</v>
      </c>
      <c r="K224" s="12">
        <f>VLOOKUP(A224,[2]VA05!$A:$K,11,FALSE)</f>
        <v>45583</v>
      </c>
      <c r="L224" s="10" t="s">
        <v>12</v>
      </c>
      <c r="M224" s="10" t="s">
        <v>180</v>
      </c>
    </row>
    <row r="225" spans="1:13" x14ac:dyDescent="0.25">
      <c r="A225" s="13" t="str">
        <f t="shared" si="6"/>
        <v>50714263730</v>
      </c>
      <c r="B225" s="10">
        <v>1004053625</v>
      </c>
      <c r="C225" s="10">
        <v>507142637</v>
      </c>
      <c r="D225" s="10">
        <v>30</v>
      </c>
      <c r="E225" s="10" t="s">
        <v>10</v>
      </c>
      <c r="F225" s="10">
        <v>1408740</v>
      </c>
      <c r="G225" s="10" t="s">
        <v>104</v>
      </c>
      <c r="H225" s="11">
        <v>27540</v>
      </c>
      <c r="I225" s="11">
        <v>27540</v>
      </c>
      <c r="J225" s="11">
        <f t="shared" si="7"/>
        <v>0</v>
      </c>
      <c r="K225" s="12">
        <f>VLOOKUP(A225,[2]VA05!$A:$K,11,FALSE)</f>
        <v>45566</v>
      </c>
      <c r="L225" s="10" t="s">
        <v>233</v>
      </c>
      <c r="M225" s="10" t="s">
        <v>155</v>
      </c>
    </row>
    <row r="226" spans="1:13" x14ac:dyDescent="0.25">
      <c r="A226" s="13" t="str">
        <f t="shared" si="6"/>
        <v>50714263750</v>
      </c>
      <c r="B226" s="10">
        <v>1004053626</v>
      </c>
      <c r="C226" s="10">
        <v>507142637</v>
      </c>
      <c r="D226" s="10">
        <v>50</v>
      </c>
      <c r="E226" s="10" t="s">
        <v>10</v>
      </c>
      <c r="F226" s="10">
        <v>1408740</v>
      </c>
      <c r="G226" s="10" t="s">
        <v>104</v>
      </c>
      <c r="H226" s="11">
        <v>27540</v>
      </c>
      <c r="I226" s="11">
        <v>15500</v>
      </c>
      <c r="J226" s="11">
        <f t="shared" si="7"/>
        <v>12040</v>
      </c>
      <c r="K226" s="12">
        <f>VLOOKUP(A226,[2]VA05!$A:$K,11,FALSE)</f>
        <v>45552</v>
      </c>
      <c r="L226" s="10" t="s">
        <v>242</v>
      </c>
      <c r="M226" s="10" t="s">
        <v>154</v>
      </c>
    </row>
    <row r="227" spans="1:13" x14ac:dyDescent="0.25">
      <c r="A227" s="13" t="str">
        <f t="shared" si="6"/>
        <v>50714263750</v>
      </c>
      <c r="B227" s="10">
        <v>1004053627</v>
      </c>
      <c r="C227" s="10">
        <v>507142637</v>
      </c>
      <c r="D227" s="10">
        <v>50</v>
      </c>
      <c r="E227" s="10" t="s">
        <v>10</v>
      </c>
      <c r="F227" s="10">
        <v>1408740</v>
      </c>
      <c r="G227" s="10" t="s">
        <v>104</v>
      </c>
      <c r="H227" s="11">
        <v>27540</v>
      </c>
      <c r="I227" s="10">
        <v>0</v>
      </c>
      <c r="J227" s="11">
        <f t="shared" si="7"/>
        <v>27540</v>
      </c>
      <c r="K227" s="12">
        <f>VLOOKUP(A227,[2]VA05!$A:$K,11,FALSE)</f>
        <v>45552</v>
      </c>
      <c r="L227" s="10" t="s">
        <v>12</v>
      </c>
      <c r="M227" s="10" t="s">
        <v>142</v>
      </c>
    </row>
    <row r="228" spans="1:13" x14ac:dyDescent="0.25">
      <c r="A228" s="13" t="str">
        <f t="shared" si="6"/>
        <v>50714263750</v>
      </c>
      <c r="B228" s="10">
        <v>1004053628</v>
      </c>
      <c r="C228" s="10">
        <v>507142637</v>
      </c>
      <c r="D228" s="10">
        <v>50</v>
      </c>
      <c r="E228" s="10" t="s">
        <v>10</v>
      </c>
      <c r="F228" s="10">
        <v>1408740</v>
      </c>
      <c r="G228" s="10" t="s">
        <v>104</v>
      </c>
      <c r="H228" s="11">
        <v>27540</v>
      </c>
      <c r="I228" s="10">
        <v>0</v>
      </c>
      <c r="J228" s="11">
        <f t="shared" si="7"/>
        <v>27540</v>
      </c>
      <c r="K228" s="12">
        <f>VLOOKUP(A228,[2]VA05!$A:$K,11,FALSE)</f>
        <v>45552</v>
      </c>
      <c r="L228" s="10" t="s">
        <v>12</v>
      </c>
      <c r="M228" s="10" t="s">
        <v>142</v>
      </c>
    </row>
    <row r="229" spans="1:13" x14ac:dyDescent="0.25">
      <c r="A229" s="13" t="str">
        <f t="shared" si="6"/>
        <v>50714263750</v>
      </c>
      <c r="B229" s="10">
        <v>1004053629</v>
      </c>
      <c r="C229" s="10">
        <v>507142637</v>
      </c>
      <c r="D229" s="10">
        <v>50</v>
      </c>
      <c r="E229" s="10" t="s">
        <v>10</v>
      </c>
      <c r="F229" s="10">
        <v>1408740</v>
      </c>
      <c r="G229" s="10" t="s">
        <v>104</v>
      </c>
      <c r="H229" s="11">
        <v>27270</v>
      </c>
      <c r="I229" s="10">
        <v>0</v>
      </c>
      <c r="J229" s="11">
        <f t="shared" si="7"/>
        <v>27270</v>
      </c>
      <c r="K229" s="12">
        <f>VLOOKUP(A229,[2]VA05!$A:$K,11,FALSE)</f>
        <v>45552</v>
      </c>
      <c r="L229" s="10" t="s">
        <v>12</v>
      </c>
      <c r="M229" s="10" t="s">
        <v>142</v>
      </c>
    </row>
    <row r="230" spans="1:13" x14ac:dyDescent="0.25">
      <c r="A230" s="13" t="str">
        <f t="shared" si="6"/>
        <v>50714263760</v>
      </c>
      <c r="B230" s="10">
        <v>1004053631</v>
      </c>
      <c r="C230" s="10">
        <v>507142637</v>
      </c>
      <c r="D230" s="10">
        <v>60</v>
      </c>
      <c r="E230" s="10" t="s">
        <v>10</v>
      </c>
      <c r="F230" s="10">
        <v>1408739</v>
      </c>
      <c r="G230" s="10" t="s">
        <v>37</v>
      </c>
      <c r="H230" s="11">
        <v>27864</v>
      </c>
      <c r="I230" s="11">
        <v>27864</v>
      </c>
      <c r="J230" s="11">
        <f t="shared" si="7"/>
        <v>0</v>
      </c>
      <c r="K230" s="12">
        <f>VLOOKUP(A230,[2]VA05!$A:$K,11,FALSE)</f>
        <v>45553</v>
      </c>
      <c r="L230" s="10" t="s">
        <v>132</v>
      </c>
      <c r="M230" s="10" t="s">
        <v>61</v>
      </c>
    </row>
    <row r="231" spans="1:13" x14ac:dyDescent="0.25">
      <c r="A231" s="13" t="str">
        <f t="shared" si="6"/>
        <v>50714263760</v>
      </c>
      <c r="B231" s="10">
        <v>1004053632</v>
      </c>
      <c r="C231" s="10">
        <v>507142637</v>
      </c>
      <c r="D231" s="10">
        <v>60</v>
      </c>
      <c r="E231" s="10" t="s">
        <v>10</v>
      </c>
      <c r="F231" s="10">
        <v>1408739</v>
      </c>
      <c r="G231" s="10" t="s">
        <v>37</v>
      </c>
      <c r="H231" s="11">
        <v>27864</v>
      </c>
      <c r="I231" s="11">
        <v>27864</v>
      </c>
      <c r="J231" s="11">
        <f t="shared" si="7"/>
        <v>0</v>
      </c>
      <c r="K231" s="12">
        <f>VLOOKUP(A231,[2]VA05!$A:$K,11,FALSE)</f>
        <v>45553</v>
      </c>
      <c r="L231" s="10" t="s">
        <v>132</v>
      </c>
      <c r="M231" s="10" t="s">
        <v>155</v>
      </c>
    </row>
    <row r="232" spans="1:13" x14ac:dyDescent="0.25">
      <c r="A232" s="13" t="str">
        <f t="shared" si="6"/>
        <v>50714263760</v>
      </c>
      <c r="B232" s="10">
        <v>1004053633</v>
      </c>
      <c r="C232" s="10">
        <v>507142637</v>
      </c>
      <c r="D232" s="10">
        <v>60</v>
      </c>
      <c r="E232" s="10" t="s">
        <v>10</v>
      </c>
      <c r="F232" s="10">
        <v>1408739</v>
      </c>
      <c r="G232" s="10" t="s">
        <v>37</v>
      </c>
      <c r="H232" s="11">
        <v>26298</v>
      </c>
      <c r="I232" s="11">
        <v>26298</v>
      </c>
      <c r="J232" s="11">
        <f t="shared" si="7"/>
        <v>0</v>
      </c>
      <c r="K232" s="12">
        <f>VLOOKUP(A232,[2]VA05!$A:$K,11,FALSE)</f>
        <v>45553</v>
      </c>
      <c r="L232" s="10" t="s">
        <v>243</v>
      </c>
      <c r="M232" s="10" t="s">
        <v>195</v>
      </c>
    </row>
    <row r="233" spans="1:13" x14ac:dyDescent="0.25">
      <c r="A233" s="13" t="str">
        <f t="shared" si="6"/>
        <v>50714269810</v>
      </c>
      <c r="B233" s="10">
        <v>1004041361</v>
      </c>
      <c r="C233" s="10">
        <v>507142698</v>
      </c>
      <c r="D233" s="10">
        <v>10</v>
      </c>
      <c r="E233" s="10" t="s">
        <v>10</v>
      </c>
      <c r="F233" s="10">
        <v>1408742</v>
      </c>
      <c r="G233" s="10" t="s">
        <v>38</v>
      </c>
      <c r="H233" s="11">
        <v>113465</v>
      </c>
      <c r="I233" s="11">
        <v>7500</v>
      </c>
      <c r="J233" s="11">
        <f t="shared" si="7"/>
        <v>105965</v>
      </c>
      <c r="K233" s="12">
        <f>VLOOKUP(A233,[2]VA05!$A:$K,11,FALSE)</f>
        <v>45553</v>
      </c>
      <c r="L233" s="10" t="s">
        <v>18</v>
      </c>
      <c r="M233" s="10" t="s">
        <v>154</v>
      </c>
    </row>
    <row r="234" spans="1:13" x14ac:dyDescent="0.25">
      <c r="A234" s="13" t="str">
        <f t="shared" si="6"/>
        <v>50714275710</v>
      </c>
      <c r="B234" s="10">
        <v>1004054925</v>
      </c>
      <c r="C234" s="10">
        <v>507142757</v>
      </c>
      <c r="D234" s="10">
        <v>10</v>
      </c>
      <c r="E234" s="10" t="s">
        <v>10</v>
      </c>
      <c r="F234" s="10">
        <v>1411702</v>
      </c>
      <c r="G234" s="10" t="s">
        <v>221</v>
      </c>
      <c r="H234" s="11">
        <v>74055</v>
      </c>
      <c r="I234" s="11">
        <v>11400</v>
      </c>
      <c r="J234" s="11">
        <f t="shared" si="7"/>
        <v>62655</v>
      </c>
      <c r="K234" s="12">
        <f>VLOOKUP(A234,[2]VA05!$A:$K,11,FALSE)</f>
        <v>45567</v>
      </c>
      <c r="L234" s="10" t="s">
        <v>11</v>
      </c>
      <c r="M234" s="10" t="s">
        <v>61</v>
      </c>
    </row>
    <row r="235" spans="1:13" x14ac:dyDescent="0.25">
      <c r="A235" s="13" t="str">
        <f t="shared" si="6"/>
        <v>50714275730</v>
      </c>
      <c r="B235" s="10">
        <v>1004054926</v>
      </c>
      <c r="C235" s="10">
        <v>507142757</v>
      </c>
      <c r="D235" s="10">
        <v>30</v>
      </c>
      <c r="E235" s="10" t="s">
        <v>10</v>
      </c>
      <c r="F235" s="10">
        <v>1411702</v>
      </c>
      <c r="G235" s="10" t="s">
        <v>221</v>
      </c>
      <c r="H235" s="11">
        <v>126758</v>
      </c>
      <c r="I235" s="10">
        <v>0</v>
      </c>
      <c r="J235" s="11">
        <f t="shared" si="7"/>
        <v>126758</v>
      </c>
      <c r="K235" s="12">
        <f>VLOOKUP(A235,[2]VA05!$A:$K,11,FALSE)</f>
        <v>45574</v>
      </c>
      <c r="L235" s="10" t="s">
        <v>12</v>
      </c>
      <c r="M235" s="10" t="s">
        <v>61</v>
      </c>
    </row>
    <row r="236" spans="1:13" x14ac:dyDescent="0.25">
      <c r="A236" s="13" t="str">
        <f t="shared" si="6"/>
        <v>50714275750</v>
      </c>
      <c r="B236" s="10">
        <v>1004054927</v>
      </c>
      <c r="C236" s="10">
        <v>507142757</v>
      </c>
      <c r="D236" s="10">
        <v>50</v>
      </c>
      <c r="E236" s="10" t="s">
        <v>10</v>
      </c>
      <c r="F236" s="10">
        <v>1411702</v>
      </c>
      <c r="G236" s="10" t="s">
        <v>221</v>
      </c>
      <c r="H236" s="11">
        <v>63514</v>
      </c>
      <c r="I236" s="10">
        <v>0</v>
      </c>
      <c r="J236" s="11">
        <f t="shared" si="7"/>
        <v>63514</v>
      </c>
      <c r="K236" s="12">
        <f>VLOOKUP(A236,[2]VA05!$A:$K,11,FALSE)</f>
        <v>45587</v>
      </c>
      <c r="L236" s="10" t="s">
        <v>12</v>
      </c>
      <c r="M236" s="10" t="s">
        <v>156</v>
      </c>
    </row>
    <row r="237" spans="1:13" x14ac:dyDescent="0.25">
      <c r="A237" s="13" t="str">
        <f t="shared" si="6"/>
        <v>50714275670</v>
      </c>
      <c r="B237" s="10">
        <v>1004052383</v>
      </c>
      <c r="C237" s="10">
        <v>507142756</v>
      </c>
      <c r="D237" s="10">
        <v>70</v>
      </c>
      <c r="E237" s="10" t="s">
        <v>10</v>
      </c>
      <c r="F237" s="10">
        <v>1411902</v>
      </c>
      <c r="G237" s="10" t="s">
        <v>151</v>
      </c>
      <c r="H237" s="11">
        <v>126758</v>
      </c>
      <c r="I237" s="11">
        <v>51462</v>
      </c>
      <c r="J237" s="11">
        <f t="shared" si="7"/>
        <v>75296</v>
      </c>
      <c r="K237" s="12">
        <f>VLOOKUP(A237,[2]VA05!$A:$K,11,FALSE)</f>
        <v>45582</v>
      </c>
      <c r="L237" s="10" t="s">
        <v>18</v>
      </c>
      <c r="M237" s="10" t="s">
        <v>201</v>
      </c>
    </row>
    <row r="238" spans="1:13" x14ac:dyDescent="0.25">
      <c r="A238" s="13" t="str">
        <f t="shared" si="6"/>
        <v>50714275690</v>
      </c>
      <c r="B238" s="10">
        <v>1004052384</v>
      </c>
      <c r="C238" s="10">
        <v>507142756</v>
      </c>
      <c r="D238" s="10">
        <v>90</v>
      </c>
      <c r="E238" s="10" t="s">
        <v>10</v>
      </c>
      <c r="F238" s="10">
        <v>1411902</v>
      </c>
      <c r="G238" s="10" t="s">
        <v>151</v>
      </c>
      <c r="H238" s="11">
        <v>68920</v>
      </c>
      <c r="I238" s="10">
        <v>0</v>
      </c>
      <c r="J238" s="11">
        <f t="shared" si="7"/>
        <v>68920</v>
      </c>
      <c r="K238" s="12">
        <f>VLOOKUP(A238,[2]VA05!$A:$K,11,FALSE)</f>
        <v>45588</v>
      </c>
      <c r="L238" s="10" t="s">
        <v>12</v>
      </c>
      <c r="M238" s="10" t="s">
        <v>194</v>
      </c>
    </row>
    <row r="239" spans="1:13" x14ac:dyDescent="0.25">
      <c r="A239" s="13" t="str">
        <f t="shared" si="6"/>
        <v>50714275720</v>
      </c>
      <c r="B239" s="10">
        <v>1004052373</v>
      </c>
      <c r="C239" s="10">
        <v>507142757</v>
      </c>
      <c r="D239" s="10">
        <v>20</v>
      </c>
      <c r="E239" s="10" t="s">
        <v>10</v>
      </c>
      <c r="F239" s="10">
        <v>1411705</v>
      </c>
      <c r="G239" s="10" t="s">
        <v>189</v>
      </c>
      <c r="H239" s="11">
        <v>75493</v>
      </c>
      <c r="I239" s="11">
        <v>8800</v>
      </c>
      <c r="J239" s="11">
        <f t="shared" si="7"/>
        <v>66693</v>
      </c>
      <c r="K239" s="12">
        <f>VLOOKUP(A239,[2]VA05!$A:$K,11,FALSE)</f>
        <v>45567</v>
      </c>
      <c r="L239" s="10" t="s">
        <v>11</v>
      </c>
      <c r="M239" s="10" t="s">
        <v>143</v>
      </c>
    </row>
    <row r="240" spans="1:13" x14ac:dyDescent="0.25">
      <c r="A240" s="13" t="str">
        <f t="shared" si="6"/>
        <v>50714275740</v>
      </c>
      <c r="B240" s="10">
        <v>1004052374</v>
      </c>
      <c r="C240" s="10">
        <v>507142757</v>
      </c>
      <c r="D240" s="10">
        <v>40</v>
      </c>
      <c r="E240" s="10" t="s">
        <v>10</v>
      </c>
      <c r="F240" s="10">
        <v>1411705</v>
      </c>
      <c r="G240" s="10" t="s">
        <v>189</v>
      </c>
      <c r="H240" s="11">
        <v>129220</v>
      </c>
      <c r="I240" s="10">
        <v>0</v>
      </c>
      <c r="J240" s="11">
        <f t="shared" si="7"/>
        <v>129220</v>
      </c>
      <c r="K240" s="12">
        <f>VLOOKUP(A240,[2]VA05!$A:$K,11,FALSE)</f>
        <v>45574</v>
      </c>
      <c r="L240" s="10" t="s">
        <v>12</v>
      </c>
      <c r="M240" s="10" t="s">
        <v>143</v>
      </c>
    </row>
    <row r="241" spans="1:13" x14ac:dyDescent="0.25">
      <c r="A241" s="13" t="str">
        <f t="shared" si="6"/>
        <v>50714275760</v>
      </c>
      <c r="B241" s="10">
        <v>1004052375</v>
      </c>
      <c r="C241" s="10">
        <v>507142757</v>
      </c>
      <c r="D241" s="10">
        <v>60</v>
      </c>
      <c r="E241" s="10" t="s">
        <v>10</v>
      </c>
      <c r="F241" s="10">
        <v>1411705</v>
      </c>
      <c r="G241" s="10" t="s">
        <v>189</v>
      </c>
      <c r="H241" s="11">
        <v>64748</v>
      </c>
      <c r="I241" s="10">
        <v>0</v>
      </c>
      <c r="J241" s="11">
        <f t="shared" si="7"/>
        <v>64748</v>
      </c>
      <c r="K241" s="12">
        <f>VLOOKUP(A241,[2]VA05!$A:$K,11,FALSE)</f>
        <v>45587</v>
      </c>
      <c r="L241" s="10" t="s">
        <v>12</v>
      </c>
      <c r="M241" s="10" t="s">
        <v>156</v>
      </c>
    </row>
    <row r="242" spans="1:13" x14ac:dyDescent="0.25">
      <c r="A242" s="13" t="str">
        <f t="shared" si="6"/>
        <v>50714275780</v>
      </c>
      <c r="B242" s="10">
        <v>1004052376</v>
      </c>
      <c r="C242" s="10">
        <v>507142757</v>
      </c>
      <c r="D242" s="10">
        <v>80</v>
      </c>
      <c r="E242" s="10" t="s">
        <v>10</v>
      </c>
      <c r="F242" s="10">
        <v>1411705</v>
      </c>
      <c r="G242" s="10" t="s">
        <v>189</v>
      </c>
      <c r="H242" s="11">
        <v>23145</v>
      </c>
      <c r="I242" s="10">
        <v>0</v>
      </c>
      <c r="J242" s="11">
        <f t="shared" si="7"/>
        <v>23145</v>
      </c>
      <c r="K242" s="12">
        <f>VLOOKUP(A242,[2]VA05!$A:$K,11,FALSE)</f>
        <v>45594</v>
      </c>
      <c r="L242" s="10" t="s">
        <v>12</v>
      </c>
      <c r="M242" s="10" t="s">
        <v>176</v>
      </c>
    </row>
    <row r="243" spans="1:13" x14ac:dyDescent="0.25">
      <c r="A243" s="13" t="str">
        <f t="shared" si="6"/>
        <v>50714275680</v>
      </c>
      <c r="B243" s="10">
        <v>1004052371</v>
      </c>
      <c r="C243" s="10">
        <v>507142756</v>
      </c>
      <c r="D243" s="10">
        <v>80</v>
      </c>
      <c r="E243" s="10" t="s">
        <v>10</v>
      </c>
      <c r="F243" s="10">
        <v>1411900</v>
      </c>
      <c r="G243" s="10" t="s">
        <v>152</v>
      </c>
      <c r="H243" s="11">
        <v>129220</v>
      </c>
      <c r="I243" s="11">
        <v>40422</v>
      </c>
      <c r="J243" s="11">
        <f t="shared" si="7"/>
        <v>88798</v>
      </c>
      <c r="K243" s="12">
        <f>VLOOKUP(A243,[2]VA05!$A:$K,11,FALSE)</f>
        <v>45582</v>
      </c>
      <c r="L243" s="10" t="s">
        <v>18</v>
      </c>
      <c r="M243" s="10" t="s">
        <v>180</v>
      </c>
    </row>
    <row r="244" spans="1:13" x14ac:dyDescent="0.25">
      <c r="A244" s="13" t="str">
        <f t="shared" si="6"/>
        <v>507142756100</v>
      </c>
      <c r="B244" s="10">
        <v>1004052372</v>
      </c>
      <c r="C244" s="10">
        <v>507142756</v>
      </c>
      <c r="D244" s="10">
        <v>100</v>
      </c>
      <c r="E244" s="10" t="s">
        <v>10</v>
      </c>
      <c r="F244" s="10">
        <v>1411900</v>
      </c>
      <c r="G244" s="10" t="s">
        <v>152</v>
      </c>
      <c r="H244" s="11">
        <v>70258</v>
      </c>
      <c r="I244" s="10">
        <v>0</v>
      </c>
      <c r="J244" s="11">
        <f t="shared" si="7"/>
        <v>70258</v>
      </c>
      <c r="K244" s="12">
        <f>VLOOKUP(A244,[2]VA05!$A:$K,11,FALSE)</f>
        <v>45588</v>
      </c>
      <c r="L244" s="10" t="s">
        <v>12</v>
      </c>
      <c r="M244" s="10" t="s">
        <v>178</v>
      </c>
    </row>
    <row r="245" spans="1:13" x14ac:dyDescent="0.25">
      <c r="A245" s="13" t="str">
        <f t="shared" si="6"/>
        <v>50714275710</v>
      </c>
      <c r="B245" s="10">
        <v>1004052377</v>
      </c>
      <c r="C245" s="10">
        <v>507142757</v>
      </c>
      <c r="D245" s="10">
        <v>10</v>
      </c>
      <c r="E245" s="10" t="s">
        <v>10</v>
      </c>
      <c r="F245" s="10">
        <v>1411703</v>
      </c>
      <c r="G245" s="10" t="s">
        <v>190</v>
      </c>
      <c r="H245" s="11">
        <v>71898</v>
      </c>
      <c r="I245" s="11">
        <v>4820</v>
      </c>
      <c r="J245" s="11">
        <f t="shared" si="7"/>
        <v>67078</v>
      </c>
      <c r="K245" s="12">
        <f>VLOOKUP(A245,[2]VA05!$A:$K,11,FALSE)</f>
        <v>45567</v>
      </c>
      <c r="L245" s="10" t="s">
        <v>11</v>
      </c>
      <c r="M245" s="10" t="s">
        <v>143</v>
      </c>
    </row>
    <row r="246" spans="1:13" x14ac:dyDescent="0.25">
      <c r="A246" s="13" t="str">
        <f t="shared" si="6"/>
        <v>50714275730</v>
      </c>
      <c r="B246" s="10">
        <v>1004052378</v>
      </c>
      <c r="C246" s="10">
        <v>507142757</v>
      </c>
      <c r="D246" s="10">
        <v>30</v>
      </c>
      <c r="E246" s="10" t="s">
        <v>10</v>
      </c>
      <c r="F246" s="10">
        <v>1411703</v>
      </c>
      <c r="G246" s="10" t="s">
        <v>190</v>
      </c>
      <c r="H246" s="11">
        <v>123066</v>
      </c>
      <c r="I246" s="10">
        <v>0</v>
      </c>
      <c r="J246" s="11">
        <f t="shared" si="7"/>
        <v>123066</v>
      </c>
      <c r="K246" s="12">
        <f>VLOOKUP(A246,[2]VA05!$A:$K,11,FALSE)</f>
        <v>45574</v>
      </c>
      <c r="L246" s="10" t="s">
        <v>12</v>
      </c>
      <c r="M246" s="10" t="s">
        <v>97</v>
      </c>
    </row>
    <row r="247" spans="1:13" x14ac:dyDescent="0.25">
      <c r="A247" s="13" t="str">
        <f t="shared" si="6"/>
        <v>50714275750</v>
      </c>
      <c r="B247" s="10">
        <v>1004052379</v>
      </c>
      <c r="C247" s="10">
        <v>507142757</v>
      </c>
      <c r="D247" s="10">
        <v>50</v>
      </c>
      <c r="E247" s="10" t="s">
        <v>10</v>
      </c>
      <c r="F247" s="10">
        <v>1411703</v>
      </c>
      <c r="G247" s="10" t="s">
        <v>190</v>
      </c>
      <c r="H247" s="11">
        <v>61664</v>
      </c>
      <c r="I247" s="10">
        <v>0</v>
      </c>
      <c r="J247" s="11">
        <f t="shared" si="7"/>
        <v>61664</v>
      </c>
      <c r="K247" s="12">
        <f>VLOOKUP(A247,[2]VA05!$A:$K,11,FALSE)</f>
        <v>45587</v>
      </c>
      <c r="L247" s="10" t="s">
        <v>12</v>
      </c>
      <c r="M247" s="10" t="s">
        <v>156</v>
      </c>
    </row>
    <row r="248" spans="1:13" x14ac:dyDescent="0.25">
      <c r="A248" s="13" t="str">
        <f t="shared" si="6"/>
        <v>50714275770</v>
      </c>
      <c r="B248" s="10">
        <v>1004052380</v>
      </c>
      <c r="C248" s="10">
        <v>507142757</v>
      </c>
      <c r="D248" s="10">
        <v>70</v>
      </c>
      <c r="E248" s="10" t="s">
        <v>10</v>
      </c>
      <c r="F248" s="10">
        <v>1411703</v>
      </c>
      <c r="G248" s="10" t="s">
        <v>190</v>
      </c>
      <c r="H248" s="11">
        <v>22042</v>
      </c>
      <c r="I248" s="10">
        <v>0</v>
      </c>
      <c r="J248" s="11">
        <f t="shared" si="7"/>
        <v>22042</v>
      </c>
      <c r="K248" s="12">
        <f>VLOOKUP(A248,[2]VA05!$A:$K,11,FALSE)</f>
        <v>45594</v>
      </c>
      <c r="L248" s="10" t="s">
        <v>12</v>
      </c>
      <c r="M248" s="10" t="s">
        <v>176</v>
      </c>
    </row>
    <row r="249" spans="1:13" x14ac:dyDescent="0.25">
      <c r="A249" s="13" t="str">
        <f t="shared" si="6"/>
        <v>50714275670</v>
      </c>
      <c r="B249" s="10">
        <v>1004052381</v>
      </c>
      <c r="C249" s="10">
        <v>507142756</v>
      </c>
      <c r="D249" s="10">
        <v>70</v>
      </c>
      <c r="E249" s="10" t="s">
        <v>10</v>
      </c>
      <c r="F249" s="10">
        <v>1411901</v>
      </c>
      <c r="G249" s="10" t="s">
        <v>153</v>
      </c>
      <c r="H249" s="11">
        <v>123066</v>
      </c>
      <c r="I249" s="11">
        <v>1660</v>
      </c>
      <c r="J249" s="11">
        <f t="shared" si="7"/>
        <v>121406</v>
      </c>
      <c r="K249" s="12">
        <f>VLOOKUP(A249,[2]VA05!$A:$K,11,FALSE)</f>
        <v>45582</v>
      </c>
      <c r="L249" s="10" t="s">
        <v>18</v>
      </c>
      <c r="M249" s="10" t="s">
        <v>154</v>
      </c>
    </row>
    <row r="250" spans="1:13" x14ac:dyDescent="0.25">
      <c r="A250" s="13" t="str">
        <f t="shared" si="6"/>
        <v>50714275690</v>
      </c>
      <c r="B250" s="10">
        <v>1004052382</v>
      </c>
      <c r="C250" s="10">
        <v>507142756</v>
      </c>
      <c r="D250" s="10">
        <v>90</v>
      </c>
      <c r="E250" s="10" t="s">
        <v>10</v>
      </c>
      <c r="F250" s="10">
        <v>1411901</v>
      </c>
      <c r="G250" s="10" t="s">
        <v>153</v>
      </c>
      <c r="H250" s="11">
        <v>66912</v>
      </c>
      <c r="I250" s="10">
        <v>0</v>
      </c>
      <c r="J250" s="11">
        <f t="shared" si="7"/>
        <v>66912</v>
      </c>
      <c r="K250" s="12">
        <f>VLOOKUP(A250,[2]VA05!$A:$K,11,FALSE)</f>
        <v>45588</v>
      </c>
      <c r="L250" s="10" t="s">
        <v>12</v>
      </c>
      <c r="M250" s="10" t="s">
        <v>156</v>
      </c>
    </row>
    <row r="251" spans="1:13" x14ac:dyDescent="0.25">
      <c r="A251" s="13" t="str">
        <f t="shared" si="6"/>
        <v>50714241650</v>
      </c>
      <c r="B251" s="10">
        <v>1004053565</v>
      </c>
      <c r="C251" s="10">
        <v>507142416</v>
      </c>
      <c r="D251" s="10">
        <v>50</v>
      </c>
      <c r="E251" s="10" t="s">
        <v>10</v>
      </c>
      <c r="F251" s="10">
        <v>1172059</v>
      </c>
      <c r="G251" s="10" t="s">
        <v>59</v>
      </c>
      <c r="H251" s="11">
        <v>10195</v>
      </c>
      <c r="I251" s="11">
        <v>7544</v>
      </c>
      <c r="J251" s="11">
        <f t="shared" si="7"/>
        <v>2651</v>
      </c>
      <c r="K251" s="12">
        <f>VLOOKUP(A251,[2]VA05!$A:$K,11,FALSE)</f>
        <v>45573</v>
      </c>
      <c r="L251" s="10" t="s">
        <v>18</v>
      </c>
      <c r="M251" s="10" t="s">
        <v>154</v>
      </c>
    </row>
    <row r="252" spans="1:13" x14ac:dyDescent="0.25">
      <c r="A252" s="13" t="str">
        <f t="shared" si="6"/>
        <v>50714241680</v>
      </c>
      <c r="B252" s="10">
        <v>1004053566</v>
      </c>
      <c r="C252" s="10">
        <v>507142416</v>
      </c>
      <c r="D252" s="10">
        <v>80</v>
      </c>
      <c r="E252" s="10" t="s">
        <v>10</v>
      </c>
      <c r="F252" s="10">
        <v>1172059</v>
      </c>
      <c r="G252" s="10" t="s">
        <v>59</v>
      </c>
      <c r="H252" s="11">
        <v>10195</v>
      </c>
      <c r="I252" s="10">
        <v>0</v>
      </c>
      <c r="J252" s="11">
        <f t="shared" si="7"/>
        <v>10195</v>
      </c>
      <c r="K252" s="12">
        <f>VLOOKUP(A252,[2]VA05!$A:$K,11,FALSE)</f>
        <v>45576</v>
      </c>
      <c r="L252" s="10" t="s">
        <v>12</v>
      </c>
      <c r="M252" s="10" t="s">
        <v>197</v>
      </c>
    </row>
    <row r="253" spans="1:13" x14ac:dyDescent="0.25">
      <c r="A253" s="13" t="str">
        <f t="shared" si="6"/>
        <v>507142416110</v>
      </c>
      <c r="B253" s="10">
        <v>1004053567</v>
      </c>
      <c r="C253" s="10">
        <v>507142416</v>
      </c>
      <c r="D253" s="10">
        <v>110</v>
      </c>
      <c r="E253" s="10" t="s">
        <v>10</v>
      </c>
      <c r="F253" s="10">
        <v>1172059</v>
      </c>
      <c r="G253" s="10" t="s">
        <v>59</v>
      </c>
      <c r="H253" s="11">
        <v>10195</v>
      </c>
      <c r="I253" s="10">
        <v>0</v>
      </c>
      <c r="J253" s="11">
        <f t="shared" si="7"/>
        <v>10195</v>
      </c>
      <c r="K253" s="12">
        <f>VLOOKUP(A253,[2]VA05!$A:$K,11,FALSE)</f>
        <v>45580</v>
      </c>
      <c r="L253" s="10" t="s">
        <v>12</v>
      </c>
      <c r="M253" s="10" t="s">
        <v>202</v>
      </c>
    </row>
    <row r="254" spans="1:13" x14ac:dyDescent="0.25">
      <c r="A254" s="13" t="str">
        <f t="shared" si="6"/>
        <v>507142416200</v>
      </c>
      <c r="B254" s="10">
        <v>1004053568</v>
      </c>
      <c r="C254" s="10">
        <v>507142416</v>
      </c>
      <c r="D254" s="10">
        <v>200</v>
      </c>
      <c r="E254" s="10" t="s">
        <v>10</v>
      </c>
      <c r="F254" s="10">
        <v>1172059</v>
      </c>
      <c r="G254" s="10" t="s">
        <v>59</v>
      </c>
      <c r="H254" s="11">
        <v>10195</v>
      </c>
      <c r="I254" s="10">
        <v>0</v>
      </c>
      <c r="J254" s="11">
        <f t="shared" si="7"/>
        <v>10195</v>
      </c>
      <c r="K254" s="12">
        <f>VLOOKUP(A254,[2]VA05!$A:$K,11,FALSE)</f>
        <v>45582</v>
      </c>
      <c r="L254" s="10" t="s">
        <v>12</v>
      </c>
      <c r="M254" s="10" t="s">
        <v>179</v>
      </c>
    </row>
    <row r="255" spans="1:13" x14ac:dyDescent="0.25">
      <c r="A255" s="13" t="str">
        <f t="shared" si="6"/>
        <v>507142416230</v>
      </c>
      <c r="B255" s="10">
        <v>1004053609</v>
      </c>
      <c r="C255" s="10">
        <v>507142416</v>
      </c>
      <c r="D255" s="10">
        <v>230</v>
      </c>
      <c r="E255" s="10" t="s">
        <v>10</v>
      </c>
      <c r="F255" s="10">
        <v>1172059</v>
      </c>
      <c r="G255" s="10" t="s">
        <v>59</v>
      </c>
      <c r="H255" s="11">
        <v>10195</v>
      </c>
      <c r="I255" s="10">
        <v>0</v>
      </c>
      <c r="J255" s="11">
        <f t="shared" si="7"/>
        <v>10195</v>
      </c>
      <c r="K255" s="12">
        <f>VLOOKUP(A255,[2]VA05!$A:$K,11,FALSE)</f>
        <v>45587</v>
      </c>
      <c r="L255" s="10" t="s">
        <v>12</v>
      </c>
      <c r="M255" s="10" t="s">
        <v>191</v>
      </c>
    </row>
    <row r="256" spans="1:13" x14ac:dyDescent="0.25">
      <c r="A256" s="13" t="str">
        <f t="shared" si="6"/>
        <v>50714267950</v>
      </c>
      <c r="B256" s="10">
        <v>1004053549</v>
      </c>
      <c r="C256" s="10">
        <v>507142679</v>
      </c>
      <c r="D256" s="10">
        <v>50</v>
      </c>
      <c r="E256" s="10" t="s">
        <v>10</v>
      </c>
      <c r="F256" s="10">
        <v>1167435</v>
      </c>
      <c r="G256" s="10" t="s">
        <v>26</v>
      </c>
      <c r="H256" s="11">
        <v>10277</v>
      </c>
      <c r="I256" s="11">
        <v>8700</v>
      </c>
      <c r="J256" s="11">
        <f t="shared" si="7"/>
        <v>1577</v>
      </c>
      <c r="K256" s="12" t="e">
        <f>VLOOKUP(A256,[2]VA05!$A:$K,11,FALSE)</f>
        <v>#N/A</v>
      </c>
      <c r="L256" s="10" t="s">
        <v>18</v>
      </c>
      <c r="M256" s="10" t="s">
        <v>201</v>
      </c>
    </row>
    <row r="257" spans="1:13" x14ac:dyDescent="0.25">
      <c r="A257" s="13" t="str">
        <f t="shared" si="6"/>
        <v>50714267980</v>
      </c>
      <c r="B257" s="10">
        <v>1004053550</v>
      </c>
      <c r="C257" s="10">
        <v>507142679</v>
      </c>
      <c r="D257" s="10">
        <v>80</v>
      </c>
      <c r="E257" s="10" t="s">
        <v>10</v>
      </c>
      <c r="F257" s="10">
        <v>1167435</v>
      </c>
      <c r="G257" s="10" t="s">
        <v>26</v>
      </c>
      <c r="H257" s="11">
        <v>20260</v>
      </c>
      <c r="I257" s="10">
        <v>0</v>
      </c>
      <c r="J257" s="11">
        <f t="shared" si="7"/>
        <v>20260</v>
      </c>
      <c r="K257" s="12" t="e">
        <f>VLOOKUP(A257,[2]VA05!$A:$K,11,FALSE)</f>
        <v>#N/A</v>
      </c>
      <c r="L257" s="10" t="s">
        <v>239</v>
      </c>
      <c r="M257" s="10" t="s">
        <v>195</v>
      </c>
    </row>
    <row r="258" spans="1:13" x14ac:dyDescent="0.25">
      <c r="A258" s="13" t="str">
        <f t="shared" si="6"/>
        <v>50714268040</v>
      </c>
      <c r="B258" s="10">
        <v>1004053551</v>
      </c>
      <c r="C258" s="10">
        <v>507142680</v>
      </c>
      <c r="D258" s="10">
        <v>40</v>
      </c>
      <c r="E258" s="10" t="s">
        <v>10</v>
      </c>
      <c r="F258" s="10">
        <v>1167435</v>
      </c>
      <c r="G258" s="10" t="s">
        <v>26</v>
      </c>
      <c r="H258" s="11">
        <v>25287</v>
      </c>
      <c r="I258" s="10">
        <v>0</v>
      </c>
      <c r="J258" s="11">
        <f t="shared" si="7"/>
        <v>25287</v>
      </c>
      <c r="K258" s="12">
        <f>VLOOKUP(A258,[2]VA05!$A:$K,11,FALSE)</f>
        <v>45569</v>
      </c>
      <c r="L258" s="10" t="s">
        <v>12</v>
      </c>
      <c r="M258" s="10" t="s">
        <v>180</v>
      </c>
    </row>
    <row r="259" spans="1:13" x14ac:dyDescent="0.25">
      <c r="A259" s="13" t="str">
        <f t="shared" si="6"/>
        <v>50714275420</v>
      </c>
      <c r="B259" s="10">
        <v>1004053562</v>
      </c>
      <c r="C259" s="10">
        <v>507142754</v>
      </c>
      <c r="D259" s="10">
        <v>20</v>
      </c>
      <c r="E259" s="10" t="s">
        <v>10</v>
      </c>
      <c r="F259" s="10">
        <v>1167435</v>
      </c>
      <c r="G259" s="10" t="s">
        <v>26</v>
      </c>
      <c r="H259" s="11">
        <v>20390</v>
      </c>
      <c r="I259" s="10">
        <v>0</v>
      </c>
      <c r="J259" s="11">
        <f t="shared" si="7"/>
        <v>20390</v>
      </c>
      <c r="K259" s="12">
        <f>VLOOKUP(A259,[2]VA05!$A:$K,11,FALSE)</f>
        <v>45611</v>
      </c>
      <c r="L259" s="10" t="s">
        <v>12</v>
      </c>
      <c r="M259" s="10" t="s">
        <v>217</v>
      </c>
    </row>
    <row r="260" spans="1:13" x14ac:dyDescent="0.25">
      <c r="A260" s="13" t="str">
        <f t="shared" ref="A260:A261" si="8">C260&amp;D260</f>
        <v>50714276930</v>
      </c>
      <c r="B260" s="10">
        <v>1004053564</v>
      </c>
      <c r="C260" s="10">
        <v>507142769</v>
      </c>
      <c r="D260" s="10">
        <v>30</v>
      </c>
      <c r="E260" s="10" t="s">
        <v>10</v>
      </c>
      <c r="F260" s="10">
        <v>1167435</v>
      </c>
      <c r="G260" s="10" t="s">
        <v>26</v>
      </c>
      <c r="H260" s="11">
        <v>30683</v>
      </c>
      <c r="I260" s="10">
        <v>0</v>
      </c>
      <c r="J260" s="11">
        <f t="shared" ref="J260:J261" si="9">H260-I260</f>
        <v>30683</v>
      </c>
      <c r="K260" s="12">
        <f>VLOOKUP(A260,[2]VA05!$A:$K,11,FALSE)</f>
        <v>45575</v>
      </c>
      <c r="L260" s="10" t="s">
        <v>12</v>
      </c>
      <c r="M260" s="10" t="s">
        <v>155</v>
      </c>
    </row>
    <row r="261" spans="1:13" x14ac:dyDescent="0.25">
      <c r="A261" s="13" t="str">
        <f t="shared" si="8"/>
        <v/>
      </c>
      <c r="B261" s="10"/>
      <c r="C261" s="10"/>
      <c r="D261" s="10"/>
      <c r="E261" s="10"/>
      <c r="F261" s="10"/>
      <c r="G261" s="10"/>
      <c r="H261" s="11">
        <v>8796898</v>
      </c>
      <c r="I261" s="11">
        <v>1435733</v>
      </c>
      <c r="J261" s="11">
        <f t="shared" si="9"/>
        <v>7361165</v>
      </c>
      <c r="K261" s="12" t="e">
        <f>VLOOKUP(A261,[2]VA05!$A:$K,11,FALSE)</f>
        <v>#N/A</v>
      </c>
      <c r="L261" s="10"/>
      <c r="M261" s="10"/>
    </row>
  </sheetData>
  <pageMargins left="0.17" right="0.17" top="0.36" bottom="0.19" header="0.3" footer="0.16"/>
  <pageSetup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E7F9-B8B4-43E6-97FB-DEBF112FF468}">
  <dimension ref="A1:V262"/>
  <sheetViews>
    <sheetView topLeftCell="A200" workbookViewId="0">
      <selection activeCell="C186" sqref="C186"/>
    </sheetView>
  </sheetViews>
  <sheetFormatPr defaultRowHeight="15" x14ac:dyDescent="0.25"/>
  <cols>
    <col min="2" max="2" width="12.42578125" bestFit="1" customWidth="1"/>
    <col min="3" max="3" width="11.28515625" bestFit="1" customWidth="1"/>
    <col min="4" max="4" width="4.42578125" bestFit="1" customWidth="1"/>
    <col min="5" max="5" width="6.42578125" bestFit="1" customWidth="1"/>
    <col min="6" max="6" width="9" bestFit="1" customWidth="1"/>
    <col min="7" max="7" width="39.28515625" customWidth="1"/>
    <col min="8" max="10" width="9.28515625" bestFit="1" customWidth="1"/>
    <col min="12" max="12" width="5" customWidth="1"/>
    <col min="13" max="13" width="11.28515625" bestFit="1" customWidth="1"/>
    <col min="16" max="17" width="9.140625" style="13"/>
    <col min="22" max="22" width="9.140625" style="13"/>
  </cols>
  <sheetData>
    <row r="1" spans="1:13" s="13" customFormat="1" ht="23.25" x14ac:dyDescent="0.35">
      <c r="B1" s="1" t="s">
        <v>245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VLOOKUP(A3,[2]VA05!$A:$K,11,FALSE)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VLOOKUP(A4,[2]VA05!$A:$K,11,FALSE)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VLOOKUP(A5,[2]VA05!$A:$K,11,FALSE)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VLOOKUP(A6,[2]VA05!$A:$K,11,FALSE)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VLOOKUP(A7,[2]VA05!$A:$K,11,FALSE)</f>
        <v>45593</v>
      </c>
      <c r="L7" s="10" t="s">
        <v>12</v>
      </c>
      <c r="M7" s="10" t="s">
        <v>140</v>
      </c>
    </row>
    <row r="8" spans="1:13" x14ac:dyDescent="0.25">
      <c r="A8" s="13" t="str">
        <f t="shared" si="0"/>
        <v>50714272610</v>
      </c>
      <c r="B8" s="10">
        <v>1004052385</v>
      </c>
      <c r="C8" s="10">
        <v>507142726</v>
      </c>
      <c r="D8" s="10">
        <v>10</v>
      </c>
      <c r="E8" s="10" t="s">
        <v>10</v>
      </c>
      <c r="F8" s="10">
        <v>1412577</v>
      </c>
      <c r="G8" s="10" t="s">
        <v>181</v>
      </c>
      <c r="H8" s="11">
        <v>12094</v>
      </c>
      <c r="I8" s="10">
        <v>0</v>
      </c>
      <c r="J8" s="11">
        <f t="shared" si="1"/>
        <v>12094</v>
      </c>
      <c r="K8" s="12">
        <f>VLOOKUP(A8,[2]VA05!$A:$K,11,FALSE)</f>
        <v>45567</v>
      </c>
      <c r="L8" s="10" t="s">
        <v>25</v>
      </c>
      <c r="M8" s="10" t="s">
        <v>154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VLOOKUP(A9,[2]VA05!$A:$K,11,FALSE)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VLOOKUP(A10,[2]VA05!$A:$K,11,FALSE)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VLOOKUP(A11,[2]VA05!$A:$K,11,FALSE)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VLOOKUP(A12,[2]VA05!$A:$K,11,FALSE)</f>
        <v>45588</v>
      </c>
      <c r="L12" s="10" t="s">
        <v>12</v>
      </c>
      <c r="M12" s="10" t="s">
        <v>191</v>
      </c>
    </row>
    <row r="13" spans="1:13" x14ac:dyDescent="0.25">
      <c r="A13" s="13" t="str">
        <f t="shared" si="0"/>
        <v>50714273210</v>
      </c>
      <c r="B13" s="10">
        <v>1004052164</v>
      </c>
      <c r="C13" s="10">
        <v>507142732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28402</v>
      </c>
      <c r="I13" s="11">
        <v>20026</v>
      </c>
      <c r="J13" s="11">
        <f t="shared" si="1"/>
        <v>8376</v>
      </c>
      <c r="K13" s="12">
        <f>VLOOKUP(A13,[2]VA05!$A:$K,11,FALSE)</f>
        <v>45572</v>
      </c>
      <c r="L13" s="10" t="s">
        <v>18</v>
      </c>
      <c r="M13" s="10" t="s">
        <v>140</v>
      </c>
    </row>
    <row r="14" spans="1:13" x14ac:dyDescent="0.25">
      <c r="A14" s="13" t="str">
        <f t="shared" si="0"/>
        <v>50714278910</v>
      </c>
      <c r="B14" s="10">
        <v>1004052165</v>
      </c>
      <c r="C14" s="10">
        <v>507142789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14201</v>
      </c>
      <c r="I14" s="10">
        <v>0</v>
      </c>
      <c r="J14" s="11">
        <f t="shared" si="1"/>
        <v>14201</v>
      </c>
      <c r="K14" s="12">
        <f>VLOOKUP(A14,[2]VA05!$A:$K,11,FALSE)</f>
        <v>45583</v>
      </c>
      <c r="L14" s="10" t="s">
        <v>12</v>
      </c>
      <c r="M14" s="10" t="s">
        <v>156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VLOOKUP(A15,[2]VA05!$A:$K,11,FALSE)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50714270810</v>
      </c>
      <c r="B16" s="10">
        <v>1004052048</v>
      </c>
      <c r="C16" s="10">
        <v>507142708</v>
      </c>
      <c r="D16" s="10">
        <v>10</v>
      </c>
      <c r="E16" s="10" t="s">
        <v>10</v>
      </c>
      <c r="F16" s="10">
        <v>1215666</v>
      </c>
      <c r="G16" s="10" t="s">
        <v>182</v>
      </c>
      <c r="H16" s="11">
        <v>11159</v>
      </c>
      <c r="I16" s="10">
        <v>0</v>
      </c>
      <c r="J16" s="11">
        <f t="shared" si="1"/>
        <v>11159</v>
      </c>
      <c r="K16" s="12">
        <f>VLOOKUP(A16,[2]VA05!$A:$K,11,FALSE)</f>
        <v>45588</v>
      </c>
      <c r="L16" s="10" t="s">
        <v>12</v>
      </c>
      <c r="M16" s="10" t="s">
        <v>191</v>
      </c>
    </row>
    <row r="17" spans="1:13" x14ac:dyDescent="0.25">
      <c r="A17" s="13" t="str">
        <f t="shared" si="0"/>
        <v>50714273210</v>
      </c>
      <c r="B17" s="10">
        <v>1004052167</v>
      </c>
      <c r="C17" s="10">
        <v>507142732</v>
      </c>
      <c r="D17" s="10">
        <v>10</v>
      </c>
      <c r="E17" s="10" t="s">
        <v>10</v>
      </c>
      <c r="F17" s="10">
        <v>1411194</v>
      </c>
      <c r="G17" s="10" t="s">
        <v>46</v>
      </c>
      <c r="H17" s="11">
        <v>20598</v>
      </c>
      <c r="I17" s="11">
        <v>5224</v>
      </c>
      <c r="J17" s="11">
        <f t="shared" si="1"/>
        <v>15374</v>
      </c>
      <c r="K17" s="12">
        <f>VLOOKUP(A17,[2]VA05!$A:$K,11,FALSE)</f>
        <v>45572</v>
      </c>
      <c r="L17" s="10" t="s">
        <v>18</v>
      </c>
      <c r="M17" s="10" t="s">
        <v>155</v>
      </c>
    </row>
    <row r="18" spans="1:13" x14ac:dyDescent="0.25">
      <c r="A18" s="13" t="str">
        <f t="shared" si="0"/>
        <v>50714278910</v>
      </c>
      <c r="B18" s="10">
        <v>1004052168</v>
      </c>
      <c r="C18" s="10">
        <v>507142789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10299</v>
      </c>
      <c r="I18" s="10">
        <v>0</v>
      </c>
      <c r="J18" s="11">
        <f t="shared" si="1"/>
        <v>10299</v>
      </c>
      <c r="K18" s="12">
        <f>VLOOKUP(A18,[2]VA05!$A:$K,11,FALSE)</f>
        <v>45583</v>
      </c>
      <c r="L18" s="10" t="s">
        <v>12</v>
      </c>
      <c r="M18" s="10" t="s">
        <v>193</v>
      </c>
    </row>
    <row r="19" spans="1:13" x14ac:dyDescent="0.25">
      <c r="A19" s="13" t="str">
        <f t="shared" si="0"/>
        <v>50714277910</v>
      </c>
      <c r="B19" s="10">
        <v>1004053444</v>
      </c>
      <c r="C19" s="10">
        <v>507142779</v>
      </c>
      <c r="D19" s="10">
        <v>10</v>
      </c>
      <c r="E19" s="10" t="s">
        <v>10</v>
      </c>
      <c r="F19" s="10">
        <v>1173944</v>
      </c>
      <c r="G19" s="10" t="s">
        <v>91</v>
      </c>
      <c r="H19" s="11">
        <v>10928</v>
      </c>
      <c r="I19" s="11">
        <v>2090</v>
      </c>
      <c r="J19" s="11">
        <f t="shared" si="1"/>
        <v>8838</v>
      </c>
      <c r="K19" s="12">
        <f>VLOOKUP(A19,[2]VA05!$A:$K,11,FALSE)</f>
        <v>45580</v>
      </c>
      <c r="L19" s="10" t="s">
        <v>18</v>
      </c>
      <c r="M19" s="10" t="s">
        <v>162</v>
      </c>
    </row>
    <row r="20" spans="1:13" x14ac:dyDescent="0.25">
      <c r="A20" s="13" t="str">
        <f t="shared" si="0"/>
        <v>50714278410</v>
      </c>
      <c r="B20" s="10">
        <v>1004053445</v>
      </c>
      <c r="C20" s="10">
        <v>507142784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11020</v>
      </c>
      <c r="I20" s="10">
        <v>0</v>
      </c>
      <c r="J20" s="11">
        <f t="shared" si="1"/>
        <v>11020</v>
      </c>
      <c r="K20" s="12">
        <f>VLOOKUP(A20,[2]VA05!$A:$K,11,FALSE)</f>
        <v>45580</v>
      </c>
      <c r="L20" s="10" t="s">
        <v>12</v>
      </c>
      <c r="M20" s="10" t="s">
        <v>162</v>
      </c>
    </row>
    <row r="21" spans="1:13" x14ac:dyDescent="0.25">
      <c r="A21" s="13" t="str">
        <f t="shared" si="0"/>
        <v>50714227020</v>
      </c>
      <c r="B21" s="10">
        <v>1004034399</v>
      </c>
      <c r="C21" s="10">
        <v>507142270</v>
      </c>
      <c r="D21" s="10">
        <v>20</v>
      </c>
      <c r="E21" s="10" t="s">
        <v>10</v>
      </c>
      <c r="F21" s="10">
        <v>1187764</v>
      </c>
      <c r="G21" s="10" t="s">
        <v>92</v>
      </c>
      <c r="H21" s="11">
        <v>17325</v>
      </c>
      <c r="I21" s="10">
        <v>0</v>
      </c>
      <c r="J21" s="11">
        <f t="shared" si="1"/>
        <v>17325</v>
      </c>
      <c r="K21" s="12">
        <f>VLOOKUP(A21,[2]VA05!$A:$K,11,FALSE)</f>
        <v>45565</v>
      </c>
      <c r="L21" s="10" t="s">
        <v>56</v>
      </c>
      <c r="M21" s="10" t="s">
        <v>97</v>
      </c>
    </row>
    <row r="22" spans="1:13" x14ac:dyDescent="0.25">
      <c r="A22" s="13" t="str">
        <f t="shared" si="0"/>
        <v>50714227010</v>
      </c>
      <c r="B22" s="10">
        <v>1004057062</v>
      </c>
      <c r="C22" s="10">
        <v>507142270</v>
      </c>
      <c r="D22" s="10">
        <v>10</v>
      </c>
      <c r="E22" s="10" t="s">
        <v>10</v>
      </c>
      <c r="F22" s="10">
        <v>1187764</v>
      </c>
      <c r="G22" s="10" t="s">
        <v>92</v>
      </c>
      <c r="H22" s="11">
        <v>5776</v>
      </c>
      <c r="I22" s="10">
        <v>0</v>
      </c>
      <c r="J22" s="11">
        <f t="shared" si="1"/>
        <v>5776</v>
      </c>
      <c r="K22" s="12">
        <f>VLOOKUP(A22,[2]VA05!$A:$K,11,FALSE)</f>
        <v>45565</v>
      </c>
      <c r="L22" s="10" t="s">
        <v>12</v>
      </c>
      <c r="M22" s="10" t="s">
        <v>180</v>
      </c>
    </row>
    <row r="23" spans="1:13" x14ac:dyDescent="0.25">
      <c r="A23" s="13" t="str">
        <f t="shared" si="0"/>
        <v>50714269620</v>
      </c>
      <c r="B23" s="10">
        <v>1004042037</v>
      </c>
      <c r="C23" s="10">
        <v>507142696</v>
      </c>
      <c r="D23" s="10">
        <v>20</v>
      </c>
      <c r="E23" s="10" t="s">
        <v>10</v>
      </c>
      <c r="F23" s="10">
        <v>1173947</v>
      </c>
      <c r="G23" s="10" t="s">
        <v>36</v>
      </c>
      <c r="H23" s="11">
        <v>12384</v>
      </c>
      <c r="I23" s="11">
        <v>3839</v>
      </c>
      <c r="J23" s="11">
        <f t="shared" si="1"/>
        <v>8545</v>
      </c>
      <c r="K23" s="12">
        <f>VLOOKUP(A23,[2]VA05!$A:$K,11,FALSE)</f>
        <v>45566</v>
      </c>
      <c r="L23" s="10" t="s">
        <v>18</v>
      </c>
      <c r="M23" s="10" t="s">
        <v>84</v>
      </c>
    </row>
    <row r="24" spans="1:13" x14ac:dyDescent="0.25">
      <c r="A24" s="13" t="str">
        <f t="shared" si="0"/>
        <v>50714274010</v>
      </c>
      <c r="B24" s="10">
        <v>1004052269</v>
      </c>
      <c r="C24" s="10">
        <v>507142740</v>
      </c>
      <c r="D24" s="10">
        <v>10</v>
      </c>
      <c r="E24" s="10" t="s">
        <v>10</v>
      </c>
      <c r="F24" s="10">
        <v>1173947</v>
      </c>
      <c r="G24" s="10" t="s">
        <v>36</v>
      </c>
      <c r="H24" s="11">
        <v>12384</v>
      </c>
      <c r="I24" s="10">
        <v>0</v>
      </c>
      <c r="J24" s="11">
        <f t="shared" si="1"/>
        <v>12384</v>
      </c>
      <c r="K24" s="12">
        <f>VLOOKUP(A24,[2]VA05!$A:$K,11,FALSE)</f>
        <v>45573</v>
      </c>
      <c r="L24" s="10" t="s">
        <v>12</v>
      </c>
      <c r="M24" s="10" t="s">
        <v>97</v>
      </c>
    </row>
    <row r="25" spans="1:13" x14ac:dyDescent="0.25">
      <c r="A25" s="13" t="str">
        <f t="shared" si="0"/>
        <v>50714277910</v>
      </c>
      <c r="B25" s="10">
        <v>1004052270</v>
      </c>
      <c r="C25" s="10">
        <v>507142779</v>
      </c>
      <c r="D25" s="10">
        <v>10</v>
      </c>
      <c r="E25" s="10" t="s">
        <v>10</v>
      </c>
      <c r="F25" s="10">
        <v>1173947</v>
      </c>
      <c r="G25" s="10" t="s">
        <v>36</v>
      </c>
      <c r="H25" s="11">
        <v>11922</v>
      </c>
      <c r="I25" s="10">
        <v>0</v>
      </c>
      <c r="J25" s="11">
        <f t="shared" si="1"/>
        <v>11922</v>
      </c>
      <c r="K25" s="12">
        <f>VLOOKUP(A25,[2]VA05!$A:$K,11,FALSE)</f>
        <v>45580</v>
      </c>
      <c r="L25" s="10" t="s">
        <v>12</v>
      </c>
      <c r="M25" s="10" t="s">
        <v>194</v>
      </c>
    </row>
    <row r="26" spans="1:13" x14ac:dyDescent="0.25">
      <c r="A26" s="13" t="str">
        <f t="shared" si="0"/>
        <v>50714278410</v>
      </c>
      <c r="B26" s="10">
        <v>1004052271</v>
      </c>
      <c r="C26" s="10">
        <v>507142784</v>
      </c>
      <c r="D26" s="10">
        <v>10</v>
      </c>
      <c r="E26" s="10" t="s">
        <v>10</v>
      </c>
      <c r="F26" s="10">
        <v>1173947</v>
      </c>
      <c r="G26" s="10" t="s">
        <v>36</v>
      </c>
      <c r="H26" s="11">
        <v>12384</v>
      </c>
      <c r="I26" s="10">
        <v>0</v>
      </c>
      <c r="J26" s="11">
        <f t="shared" si="1"/>
        <v>12384</v>
      </c>
      <c r="K26" s="12">
        <f>VLOOKUP(A26,[2]VA05!$A:$K,11,FALSE)</f>
        <v>45580</v>
      </c>
      <c r="L26" s="10" t="s">
        <v>12</v>
      </c>
      <c r="M26" s="10" t="s">
        <v>97</v>
      </c>
    </row>
    <row r="27" spans="1:13" x14ac:dyDescent="0.25">
      <c r="A27" s="13" t="str">
        <f t="shared" si="0"/>
        <v>50800514030</v>
      </c>
      <c r="B27" s="10">
        <v>1004050510</v>
      </c>
      <c r="C27" s="10">
        <v>508005140</v>
      </c>
      <c r="D27" s="10">
        <v>30</v>
      </c>
      <c r="E27" s="10" t="s">
        <v>10</v>
      </c>
      <c r="F27" s="10">
        <v>1171793</v>
      </c>
      <c r="G27" s="10" t="s">
        <v>33</v>
      </c>
      <c r="H27" s="11">
        <v>43162</v>
      </c>
      <c r="I27" s="10">
        <v>0</v>
      </c>
      <c r="J27" s="11">
        <f t="shared" si="1"/>
        <v>43162</v>
      </c>
      <c r="K27" s="12">
        <f>VLOOKUP(A27,[2]VA05!$A:$K,11,FALSE)</f>
        <v>45609</v>
      </c>
      <c r="L27" s="10" t="s">
        <v>119</v>
      </c>
      <c r="M27" s="10" t="s">
        <v>161</v>
      </c>
    </row>
    <row r="28" spans="1:13" x14ac:dyDescent="0.25">
      <c r="A28" s="13" t="str">
        <f t="shared" si="0"/>
        <v>50714277910</v>
      </c>
      <c r="B28" s="10">
        <v>1004053448</v>
      </c>
      <c r="C28" s="10">
        <v>507142779</v>
      </c>
      <c r="D28" s="10">
        <v>10</v>
      </c>
      <c r="E28" s="10" t="s">
        <v>10</v>
      </c>
      <c r="F28" s="10">
        <v>1171793</v>
      </c>
      <c r="G28" s="10" t="s">
        <v>33</v>
      </c>
      <c r="H28" s="11">
        <v>10792</v>
      </c>
      <c r="I28" s="10">
        <v>0</v>
      </c>
      <c r="J28" s="11">
        <f t="shared" si="1"/>
        <v>10792</v>
      </c>
      <c r="K28" s="12">
        <f>VLOOKUP(A28,[2]VA05!$A:$K,11,FALSE)</f>
        <v>45580</v>
      </c>
      <c r="L28" s="10" t="s">
        <v>12</v>
      </c>
      <c r="M28" s="10" t="s">
        <v>162</v>
      </c>
    </row>
    <row r="29" spans="1:13" x14ac:dyDescent="0.25">
      <c r="A29" s="13" t="str">
        <f t="shared" si="0"/>
        <v>50714227020</v>
      </c>
      <c r="B29" s="10">
        <v>1004057063</v>
      </c>
      <c r="C29" s="10">
        <v>507142270</v>
      </c>
      <c r="D29" s="10">
        <v>20</v>
      </c>
      <c r="E29" s="10" t="s">
        <v>10</v>
      </c>
      <c r="F29" s="10">
        <v>1187765</v>
      </c>
      <c r="G29" s="10" t="s">
        <v>147</v>
      </c>
      <c r="H29" s="11">
        <v>17325</v>
      </c>
      <c r="I29" s="11">
        <v>5218</v>
      </c>
      <c r="J29" s="11">
        <f t="shared" si="1"/>
        <v>12107</v>
      </c>
      <c r="K29" s="12">
        <f>VLOOKUP(A29,[2]VA05!$A:$K,11,FALSE)</f>
        <v>45565</v>
      </c>
      <c r="L29" s="10" t="s">
        <v>11</v>
      </c>
      <c r="M29" s="10" t="s">
        <v>195</v>
      </c>
    </row>
    <row r="30" spans="1:13" x14ac:dyDescent="0.25">
      <c r="A30" s="13" t="str">
        <f t="shared" si="0"/>
        <v>50714265410</v>
      </c>
      <c r="B30" s="10">
        <v>1004036495</v>
      </c>
      <c r="C30" s="10">
        <v>507142654</v>
      </c>
      <c r="D30" s="10">
        <v>10</v>
      </c>
      <c r="E30" s="10" t="s">
        <v>10</v>
      </c>
      <c r="F30" s="10">
        <v>1420608</v>
      </c>
      <c r="G30" s="10" t="s">
        <v>110</v>
      </c>
      <c r="H30" s="11">
        <v>16376</v>
      </c>
      <c r="I30" s="10">
        <v>0</v>
      </c>
      <c r="J30" s="11">
        <f t="shared" si="1"/>
        <v>16376</v>
      </c>
      <c r="K30" s="12">
        <f>VLOOKUP(A30,[2]VA05!$A:$K,11,FALSE)</f>
        <v>45573</v>
      </c>
      <c r="L30" s="10" t="s">
        <v>12</v>
      </c>
      <c r="M30" s="10" t="s">
        <v>111</v>
      </c>
    </row>
    <row r="31" spans="1:13" x14ac:dyDescent="0.25">
      <c r="A31" s="13" t="str">
        <f t="shared" si="0"/>
        <v>50714278610</v>
      </c>
      <c r="B31" s="10">
        <v>1004059422</v>
      </c>
      <c r="C31" s="10">
        <v>507142786</v>
      </c>
      <c r="D31" s="10">
        <v>10</v>
      </c>
      <c r="E31" s="10" t="s">
        <v>10</v>
      </c>
      <c r="F31" s="10">
        <v>1149455</v>
      </c>
      <c r="G31" s="10" t="s">
        <v>44</v>
      </c>
      <c r="H31" s="11">
        <v>27228</v>
      </c>
      <c r="I31" s="11">
        <v>0</v>
      </c>
      <c r="J31" s="11">
        <f t="shared" si="1"/>
        <v>27228</v>
      </c>
      <c r="K31" s="12">
        <f>VLOOKUP(A31,[2]VA05!$A:$K,11,FALSE)</f>
        <v>45581</v>
      </c>
      <c r="L31" s="10" t="s">
        <v>18</v>
      </c>
      <c r="M31" s="10" t="s">
        <v>194</v>
      </c>
    </row>
    <row r="32" spans="1:13" hidden="1" x14ac:dyDescent="0.25">
      <c r="A32" s="13" t="str">
        <f t="shared" si="0"/>
        <v>50714265120</v>
      </c>
      <c r="B32" s="10">
        <v>1004059425</v>
      </c>
      <c r="C32" s="10">
        <v>507142651</v>
      </c>
      <c r="D32" s="10">
        <v>20</v>
      </c>
      <c r="E32" s="10" t="s">
        <v>24</v>
      </c>
      <c r="F32" s="10">
        <v>1149455</v>
      </c>
      <c r="G32" s="10" t="s">
        <v>44</v>
      </c>
      <c r="H32" s="11">
        <v>10000</v>
      </c>
      <c r="I32" s="10">
        <v>0</v>
      </c>
      <c r="J32" s="11">
        <f t="shared" si="1"/>
        <v>10000</v>
      </c>
      <c r="K32" s="12">
        <f>VLOOKUP(A32,[2]VA05!$A:$K,11,FALSE)</f>
        <v>45567</v>
      </c>
      <c r="L32" s="10" t="s">
        <v>13</v>
      </c>
      <c r="M32" s="10" t="s">
        <v>154</v>
      </c>
    </row>
    <row r="33" spans="1:13" hidden="1" x14ac:dyDescent="0.25">
      <c r="A33" s="13" t="str">
        <f t="shared" si="0"/>
        <v>50714248510</v>
      </c>
      <c r="B33" s="10">
        <v>1004052273</v>
      </c>
      <c r="C33" s="10">
        <v>507142485</v>
      </c>
      <c r="D33" s="10">
        <v>10</v>
      </c>
      <c r="E33" s="10" t="s">
        <v>24</v>
      </c>
      <c r="F33" s="10">
        <v>1193509</v>
      </c>
      <c r="G33" s="10" t="s">
        <v>31</v>
      </c>
      <c r="H33" s="11">
        <v>10000</v>
      </c>
      <c r="I33" s="10">
        <v>0</v>
      </c>
      <c r="J33" s="11">
        <f t="shared" si="1"/>
        <v>10000</v>
      </c>
      <c r="K33" s="12" t="e">
        <f>VLOOKUP(A33,[2]VA05!$A:$K,11,FALSE)</f>
        <v>#N/A</v>
      </c>
      <c r="L33" s="10" t="s">
        <v>13</v>
      </c>
      <c r="M33" s="10" t="s">
        <v>97</v>
      </c>
    </row>
    <row r="34" spans="1:13" x14ac:dyDescent="0.25">
      <c r="A34" s="13" t="str">
        <f t="shared" si="0"/>
        <v>50714274310</v>
      </c>
      <c r="B34" s="10">
        <v>1004052275</v>
      </c>
      <c r="C34" s="10">
        <v>507142743</v>
      </c>
      <c r="D34" s="10">
        <v>10</v>
      </c>
      <c r="E34" s="10" t="s">
        <v>10</v>
      </c>
      <c r="F34" s="10">
        <v>1193509</v>
      </c>
      <c r="G34" s="10" t="s">
        <v>31</v>
      </c>
      <c r="H34" s="11">
        <v>16753</v>
      </c>
      <c r="I34" s="11">
        <v>16019</v>
      </c>
      <c r="J34" s="11">
        <f t="shared" si="1"/>
        <v>734</v>
      </c>
      <c r="K34" s="12">
        <f>VLOOKUP(A34,[2]VA05!$A:$K,11,FALSE)</f>
        <v>45575</v>
      </c>
      <c r="L34" s="10" t="s">
        <v>18</v>
      </c>
      <c r="M34" s="10" t="s">
        <v>195</v>
      </c>
    </row>
    <row r="35" spans="1:13" x14ac:dyDescent="0.25">
      <c r="A35" s="13" t="str">
        <f t="shared" si="0"/>
        <v>50714235110</v>
      </c>
      <c r="B35" s="10">
        <v>1004042803</v>
      </c>
      <c r="C35" s="10">
        <v>507142351</v>
      </c>
      <c r="D35" s="10">
        <v>10</v>
      </c>
      <c r="E35" s="10" t="s">
        <v>10</v>
      </c>
      <c r="F35" s="10">
        <v>1192909</v>
      </c>
      <c r="G35" s="10" t="s">
        <v>35</v>
      </c>
      <c r="H35" s="11">
        <v>16753</v>
      </c>
      <c r="I35" s="11">
        <v>9187</v>
      </c>
      <c r="J35" s="11">
        <f t="shared" si="1"/>
        <v>7566</v>
      </c>
      <c r="K35" s="12">
        <f>VLOOKUP(A35,[2]VA05!$A:$K,11,FALSE)</f>
        <v>45545</v>
      </c>
      <c r="L35" s="10" t="s">
        <v>18</v>
      </c>
      <c r="M35" s="10" t="s">
        <v>111</v>
      </c>
    </row>
    <row r="36" spans="1:13" x14ac:dyDescent="0.25">
      <c r="A36" s="13" t="str">
        <f t="shared" si="0"/>
        <v>50714265410</v>
      </c>
      <c r="B36" s="10">
        <v>1004042744</v>
      </c>
      <c r="C36" s="10">
        <v>507142654</v>
      </c>
      <c r="D36" s="10">
        <v>10</v>
      </c>
      <c r="E36" s="10" t="s">
        <v>10</v>
      </c>
      <c r="F36" s="10">
        <v>1420609</v>
      </c>
      <c r="G36" s="10" t="s">
        <v>133</v>
      </c>
      <c r="H36" s="11">
        <v>16868</v>
      </c>
      <c r="I36" s="10">
        <v>0</v>
      </c>
      <c r="J36" s="11">
        <f t="shared" si="1"/>
        <v>16868</v>
      </c>
      <c r="K36" s="12">
        <f>VLOOKUP(A36,[2]VA05!$A:$K,11,FALSE)</f>
        <v>45573</v>
      </c>
      <c r="L36" s="10" t="s">
        <v>25</v>
      </c>
      <c r="M36" s="10" t="s">
        <v>84</v>
      </c>
    </row>
    <row r="37" spans="1:13" x14ac:dyDescent="0.25">
      <c r="A37" s="13" t="str">
        <f t="shared" si="0"/>
        <v>50714278610</v>
      </c>
      <c r="B37" s="10">
        <v>1004056892</v>
      </c>
      <c r="C37" s="10">
        <v>507142786</v>
      </c>
      <c r="D37" s="10">
        <v>10</v>
      </c>
      <c r="E37" s="10" t="s">
        <v>10</v>
      </c>
      <c r="F37" s="10">
        <v>1304095</v>
      </c>
      <c r="G37" s="10" t="s">
        <v>76</v>
      </c>
      <c r="H37" s="11">
        <v>26709</v>
      </c>
      <c r="I37" s="11">
        <v>3284</v>
      </c>
      <c r="J37" s="11">
        <f t="shared" si="1"/>
        <v>23425</v>
      </c>
      <c r="K37" s="12">
        <f>VLOOKUP(A37,[2]VA05!$A:$K,11,FALSE)</f>
        <v>45581</v>
      </c>
      <c r="L37" s="10" t="s">
        <v>18</v>
      </c>
      <c r="M37" s="10" t="s">
        <v>154</v>
      </c>
    </row>
    <row r="38" spans="1:13" x14ac:dyDescent="0.25">
      <c r="A38" s="13" t="str">
        <f t="shared" si="0"/>
        <v>50714265410</v>
      </c>
      <c r="B38" s="10">
        <v>1004045686</v>
      </c>
      <c r="C38" s="10">
        <v>507142654</v>
      </c>
      <c r="D38" s="10">
        <v>10</v>
      </c>
      <c r="E38" s="10" t="s">
        <v>10</v>
      </c>
      <c r="F38" s="10">
        <v>1420607</v>
      </c>
      <c r="G38" s="10" t="s">
        <v>149</v>
      </c>
      <c r="H38" s="11">
        <v>16376</v>
      </c>
      <c r="I38" s="10">
        <v>0</v>
      </c>
      <c r="J38" s="11">
        <f t="shared" si="1"/>
        <v>16376</v>
      </c>
      <c r="K38" s="12">
        <f>VLOOKUP(A38,[2]VA05!$A:$K,11,FALSE)</f>
        <v>45573</v>
      </c>
      <c r="L38" s="10" t="s">
        <v>56</v>
      </c>
      <c r="M38" s="10" t="s">
        <v>85</v>
      </c>
    </row>
    <row r="39" spans="1:13" x14ac:dyDescent="0.25">
      <c r="A39" s="13" t="str">
        <f t="shared" si="0"/>
        <v>50714278610</v>
      </c>
      <c r="B39" s="10">
        <v>1004059423</v>
      </c>
      <c r="C39" s="10">
        <v>507142786</v>
      </c>
      <c r="D39" s="10">
        <v>10</v>
      </c>
      <c r="E39" s="10" t="s">
        <v>10</v>
      </c>
      <c r="F39" s="10">
        <v>1149454</v>
      </c>
      <c r="G39" s="10" t="s">
        <v>246</v>
      </c>
      <c r="H39" s="11">
        <v>27228</v>
      </c>
      <c r="I39" s="11">
        <v>2520</v>
      </c>
      <c r="J39" s="11">
        <f t="shared" si="1"/>
        <v>24708</v>
      </c>
      <c r="K39" s="12">
        <f>VLOOKUP(A39,[2]VA05!$A:$K,11,FALSE)</f>
        <v>45581</v>
      </c>
      <c r="L39" s="10" t="s">
        <v>11</v>
      </c>
      <c r="M39" s="10" t="s">
        <v>154</v>
      </c>
    </row>
    <row r="40" spans="1:13" x14ac:dyDescent="0.25">
      <c r="A40" s="13" t="str">
        <f t="shared" si="0"/>
        <v>50714265120</v>
      </c>
      <c r="B40" s="10">
        <v>1004059424</v>
      </c>
      <c r="C40" s="10">
        <v>507142651</v>
      </c>
      <c r="D40" s="10">
        <v>20</v>
      </c>
      <c r="E40" s="10" t="s">
        <v>10</v>
      </c>
      <c r="F40" s="10">
        <v>1149454</v>
      </c>
      <c r="G40" s="10" t="s">
        <v>246</v>
      </c>
      <c r="H40" s="11">
        <v>28966</v>
      </c>
      <c r="I40" s="10">
        <v>0</v>
      </c>
      <c r="J40" s="11">
        <f t="shared" si="1"/>
        <v>28966</v>
      </c>
      <c r="K40" s="12">
        <f>VLOOKUP(A40,[2]VA05!$A:$K,11,FALSE)</f>
        <v>45567</v>
      </c>
      <c r="L40" s="10" t="s">
        <v>12</v>
      </c>
      <c r="M40" s="10" t="s">
        <v>154</v>
      </c>
    </row>
    <row r="41" spans="1:13" x14ac:dyDescent="0.25">
      <c r="A41" s="13" t="str">
        <f t="shared" si="0"/>
        <v>50714273410</v>
      </c>
      <c r="B41" s="10">
        <v>1004054830</v>
      </c>
      <c r="C41" s="10">
        <v>507142734</v>
      </c>
      <c r="D41" s="10">
        <v>10</v>
      </c>
      <c r="E41" s="10" t="s">
        <v>10</v>
      </c>
      <c r="F41" s="10">
        <v>1193508</v>
      </c>
      <c r="G41" s="10" t="s">
        <v>134</v>
      </c>
      <c r="H41" s="11">
        <v>16753</v>
      </c>
      <c r="I41" s="11">
        <v>13900</v>
      </c>
      <c r="J41" s="11">
        <f t="shared" si="1"/>
        <v>2853</v>
      </c>
      <c r="K41" s="12">
        <f>VLOOKUP(A41,[2]VA05!$A:$K,11,FALSE)</f>
        <v>45572</v>
      </c>
      <c r="L41" s="10" t="s">
        <v>18</v>
      </c>
      <c r="M41" s="10" t="s">
        <v>195</v>
      </c>
    </row>
    <row r="42" spans="1:13" x14ac:dyDescent="0.25">
      <c r="A42" s="13" t="str">
        <f t="shared" si="0"/>
        <v>50714274310</v>
      </c>
      <c r="B42" s="10">
        <v>1004054831</v>
      </c>
      <c r="C42" s="10">
        <v>507142743</v>
      </c>
      <c r="D42" s="10">
        <v>10</v>
      </c>
      <c r="E42" s="10" t="s">
        <v>10</v>
      </c>
      <c r="F42" s="10">
        <v>1193508</v>
      </c>
      <c r="G42" s="10" t="s">
        <v>134</v>
      </c>
      <c r="H42" s="11">
        <v>16753</v>
      </c>
      <c r="I42" s="10">
        <v>0</v>
      </c>
      <c r="J42" s="11">
        <f t="shared" si="1"/>
        <v>16753</v>
      </c>
      <c r="K42" s="12">
        <f>VLOOKUP(A42,[2]VA05!$A:$K,11,FALSE)</f>
        <v>45575</v>
      </c>
      <c r="L42" s="10" t="s">
        <v>27</v>
      </c>
      <c r="M42" s="10" t="s">
        <v>195</v>
      </c>
    </row>
    <row r="43" spans="1:13" x14ac:dyDescent="0.25">
      <c r="A43" s="13" t="str">
        <f t="shared" si="0"/>
        <v>50714258410</v>
      </c>
      <c r="B43" s="10">
        <v>1004025718</v>
      </c>
      <c r="C43" s="10">
        <v>507142584</v>
      </c>
      <c r="D43" s="10">
        <v>10</v>
      </c>
      <c r="E43" s="10" t="s">
        <v>10</v>
      </c>
      <c r="F43" s="10">
        <v>1192705</v>
      </c>
      <c r="G43" s="10" t="s">
        <v>45</v>
      </c>
      <c r="H43" s="11">
        <v>29915</v>
      </c>
      <c r="I43" s="11">
        <v>15280</v>
      </c>
      <c r="J43" s="11">
        <f t="shared" si="1"/>
        <v>14635</v>
      </c>
      <c r="K43" s="12">
        <f>VLOOKUP(A43,[2]VA05!$A:$K,11,FALSE)</f>
        <v>45565</v>
      </c>
      <c r="L43" s="10" t="s">
        <v>18</v>
      </c>
      <c r="M43" s="10" t="s">
        <v>66</v>
      </c>
    </row>
    <row r="44" spans="1:13" x14ac:dyDescent="0.25">
      <c r="A44" s="13" t="str">
        <f t="shared" si="0"/>
        <v>50714259810</v>
      </c>
      <c r="B44" s="10">
        <v>1004042031</v>
      </c>
      <c r="C44" s="10">
        <v>507142598</v>
      </c>
      <c r="D44" s="10">
        <v>10</v>
      </c>
      <c r="E44" s="10" t="s">
        <v>10</v>
      </c>
      <c r="F44" s="10">
        <v>1233459</v>
      </c>
      <c r="G44" s="10" t="s">
        <v>121</v>
      </c>
      <c r="H44" s="11">
        <v>15449</v>
      </c>
      <c r="I44" s="11">
        <v>6640</v>
      </c>
      <c r="J44" s="11">
        <f t="shared" si="1"/>
        <v>8809</v>
      </c>
      <c r="K44" s="12">
        <f>VLOOKUP(A44,[2]VA05!$A:$K,11,FALSE)</f>
        <v>45560</v>
      </c>
      <c r="L44" s="10" t="s">
        <v>11</v>
      </c>
      <c r="M44" s="10" t="s">
        <v>106</v>
      </c>
    </row>
    <row r="45" spans="1:13" x14ac:dyDescent="0.25">
      <c r="A45" s="13" t="str">
        <f t="shared" si="0"/>
        <v>50714272410</v>
      </c>
      <c r="B45" s="10">
        <v>1004051405</v>
      </c>
      <c r="C45" s="10">
        <v>507142724</v>
      </c>
      <c r="D45" s="10">
        <v>10</v>
      </c>
      <c r="E45" s="10" t="s">
        <v>10</v>
      </c>
      <c r="F45" s="10">
        <v>1233459</v>
      </c>
      <c r="G45" s="10" t="s">
        <v>121</v>
      </c>
      <c r="H45" s="11">
        <v>10299</v>
      </c>
      <c r="I45" s="10">
        <v>0</v>
      </c>
      <c r="J45" s="11">
        <f t="shared" si="1"/>
        <v>10299</v>
      </c>
      <c r="K45" s="12">
        <f>VLOOKUP(A45,[2]VA05!$A:$K,11,FALSE)</f>
        <v>45594</v>
      </c>
      <c r="L45" s="10" t="s">
        <v>12</v>
      </c>
      <c r="M45" s="10" t="s">
        <v>176</v>
      </c>
    </row>
    <row r="46" spans="1:13" hidden="1" x14ac:dyDescent="0.25">
      <c r="A46" s="13" t="str">
        <f t="shared" si="0"/>
        <v>50714259810</v>
      </c>
      <c r="B46" s="10">
        <v>1004058765</v>
      </c>
      <c r="C46" s="10">
        <v>507142598</v>
      </c>
      <c r="D46" s="10">
        <v>10</v>
      </c>
      <c r="E46" s="10" t="s">
        <v>24</v>
      </c>
      <c r="F46" s="10">
        <v>1233459</v>
      </c>
      <c r="G46" s="10" t="s">
        <v>121</v>
      </c>
      <c r="H46" s="11">
        <v>5000</v>
      </c>
      <c r="I46" s="10">
        <v>0</v>
      </c>
      <c r="J46" s="11">
        <f t="shared" si="1"/>
        <v>5000</v>
      </c>
      <c r="K46" s="12">
        <f>VLOOKUP(A46,[2]VA05!$A:$K,11,FALSE)</f>
        <v>45560</v>
      </c>
      <c r="L46" s="10" t="s">
        <v>12</v>
      </c>
      <c r="M46" s="10" t="s">
        <v>195</v>
      </c>
    </row>
    <row r="47" spans="1:13" x14ac:dyDescent="0.25">
      <c r="A47" s="13" t="str">
        <f t="shared" si="0"/>
        <v>50714272410</v>
      </c>
      <c r="B47" s="10">
        <v>1004058756</v>
      </c>
      <c r="C47" s="10">
        <v>507142724</v>
      </c>
      <c r="D47" s="10">
        <v>10</v>
      </c>
      <c r="E47" s="10" t="s">
        <v>10</v>
      </c>
      <c r="F47" s="10">
        <v>1233477</v>
      </c>
      <c r="G47" s="10" t="s">
        <v>236</v>
      </c>
      <c r="H47" s="11">
        <v>11006</v>
      </c>
      <c r="I47" s="10">
        <v>0</v>
      </c>
      <c r="J47" s="11">
        <f t="shared" si="1"/>
        <v>11006</v>
      </c>
      <c r="K47" s="12">
        <f>VLOOKUP(A47,[2]VA05!$A:$K,11,FALSE)</f>
        <v>45594</v>
      </c>
      <c r="L47" s="10" t="s">
        <v>12</v>
      </c>
      <c r="M47" s="10" t="s">
        <v>109</v>
      </c>
    </row>
    <row r="48" spans="1:13" x14ac:dyDescent="0.25">
      <c r="A48" s="13" t="str">
        <f t="shared" si="0"/>
        <v>507142721110</v>
      </c>
      <c r="B48" s="10">
        <v>1004052516</v>
      </c>
      <c r="C48" s="10">
        <v>507142721</v>
      </c>
      <c r="D48" s="10">
        <v>110</v>
      </c>
      <c r="E48" s="10" t="s">
        <v>10</v>
      </c>
      <c r="F48" s="10">
        <v>1209335</v>
      </c>
      <c r="G48" s="10" t="s">
        <v>150</v>
      </c>
      <c r="H48" s="11">
        <v>6695</v>
      </c>
      <c r="I48" s="11">
        <v>5652</v>
      </c>
      <c r="J48" s="11">
        <f t="shared" si="1"/>
        <v>1043</v>
      </c>
      <c r="K48" s="12">
        <f>VLOOKUP(A48,[2]VA05!$A:$K,11,FALSE)</f>
        <v>45576</v>
      </c>
      <c r="L48" s="10" t="s">
        <v>18</v>
      </c>
      <c r="M48" s="10" t="s">
        <v>141</v>
      </c>
    </row>
    <row r="49" spans="1:13" x14ac:dyDescent="0.25">
      <c r="A49" s="13" t="str">
        <f t="shared" si="0"/>
        <v>50714274210</v>
      </c>
      <c r="B49" s="10">
        <v>1004052517</v>
      </c>
      <c r="C49" s="10">
        <v>507142742</v>
      </c>
      <c r="D49" s="10">
        <v>10</v>
      </c>
      <c r="E49" s="10" t="s">
        <v>10</v>
      </c>
      <c r="F49" s="10">
        <v>1209335</v>
      </c>
      <c r="G49" s="10" t="s">
        <v>150</v>
      </c>
      <c r="H49" s="11">
        <v>25576</v>
      </c>
      <c r="I49" s="10">
        <v>0</v>
      </c>
      <c r="J49" s="11">
        <f t="shared" si="1"/>
        <v>25576</v>
      </c>
      <c r="K49" s="12">
        <f>VLOOKUP(A49,[2]VA05!$A:$K,11,FALSE)</f>
        <v>45580</v>
      </c>
      <c r="L49" s="10" t="s">
        <v>12</v>
      </c>
      <c r="M49" s="10" t="s">
        <v>194</v>
      </c>
    </row>
    <row r="50" spans="1:13" x14ac:dyDescent="0.25">
      <c r="A50" s="13" t="str">
        <f t="shared" si="0"/>
        <v>50714274240</v>
      </c>
      <c r="B50" s="10">
        <v>1004052518</v>
      </c>
      <c r="C50" s="10">
        <v>507142742</v>
      </c>
      <c r="D50" s="10">
        <v>40</v>
      </c>
      <c r="E50" s="10" t="s">
        <v>10</v>
      </c>
      <c r="F50" s="10">
        <v>1209335</v>
      </c>
      <c r="G50" s="10" t="s">
        <v>150</v>
      </c>
      <c r="H50" s="11">
        <v>25576</v>
      </c>
      <c r="I50" s="10">
        <v>0</v>
      </c>
      <c r="J50" s="11">
        <f t="shared" si="1"/>
        <v>25576</v>
      </c>
      <c r="K50" s="12">
        <f>VLOOKUP(A50,[2]VA05!$A:$K,11,FALSE)</f>
        <v>45587</v>
      </c>
      <c r="L50" s="10" t="s">
        <v>12</v>
      </c>
      <c r="M50" s="10" t="s">
        <v>179</v>
      </c>
    </row>
    <row r="51" spans="1:13" x14ac:dyDescent="0.25">
      <c r="A51" s="13" t="str">
        <f t="shared" si="0"/>
        <v>50714274270</v>
      </c>
      <c r="B51" s="10">
        <v>1004052519</v>
      </c>
      <c r="C51" s="10">
        <v>507142742</v>
      </c>
      <c r="D51" s="10">
        <v>70</v>
      </c>
      <c r="E51" s="10" t="s">
        <v>10</v>
      </c>
      <c r="F51" s="10">
        <v>1209335</v>
      </c>
      <c r="G51" s="10" t="s">
        <v>150</v>
      </c>
      <c r="H51" s="11">
        <v>25576</v>
      </c>
      <c r="I51" s="10">
        <v>0</v>
      </c>
      <c r="J51" s="11">
        <f t="shared" si="1"/>
        <v>25576</v>
      </c>
      <c r="K51" s="12">
        <f>VLOOKUP(A51,[2]VA05!$A:$K,11,FALSE)</f>
        <v>45594</v>
      </c>
      <c r="L51" s="10" t="s">
        <v>12</v>
      </c>
      <c r="M51" s="10" t="s">
        <v>109</v>
      </c>
    </row>
    <row r="52" spans="1:13" x14ac:dyDescent="0.25">
      <c r="A52" s="13" t="str">
        <f t="shared" si="0"/>
        <v>507142742100</v>
      </c>
      <c r="B52" s="10">
        <v>1004052522</v>
      </c>
      <c r="C52" s="10">
        <v>507142742</v>
      </c>
      <c r="D52" s="10">
        <v>100</v>
      </c>
      <c r="E52" s="10" t="s">
        <v>10</v>
      </c>
      <c r="F52" s="10">
        <v>1209335</v>
      </c>
      <c r="G52" s="10" t="s">
        <v>150</v>
      </c>
      <c r="H52" s="11">
        <v>25576</v>
      </c>
      <c r="I52" s="10">
        <v>0</v>
      </c>
      <c r="J52" s="11">
        <f t="shared" si="1"/>
        <v>25576</v>
      </c>
      <c r="K52" s="12">
        <f>VLOOKUP(A52,[2]VA05!$A:$K,11,FALSE)</f>
        <v>45601</v>
      </c>
      <c r="L52" s="10" t="s">
        <v>12</v>
      </c>
      <c r="M52" s="10" t="s">
        <v>196</v>
      </c>
    </row>
    <row r="53" spans="1:13" x14ac:dyDescent="0.25">
      <c r="A53" s="13" t="str">
        <f t="shared" si="0"/>
        <v>50714274240</v>
      </c>
      <c r="B53" s="10">
        <v>1004052625</v>
      </c>
      <c r="C53" s="10">
        <v>507142742</v>
      </c>
      <c r="D53" s="10">
        <v>40</v>
      </c>
      <c r="E53" s="10" t="s">
        <v>10</v>
      </c>
      <c r="F53" s="10">
        <v>1437142</v>
      </c>
      <c r="G53" s="10" t="s">
        <v>145</v>
      </c>
      <c r="H53" s="11">
        <v>27661</v>
      </c>
      <c r="I53" s="10">
        <v>0</v>
      </c>
      <c r="J53" s="11">
        <f t="shared" si="1"/>
        <v>27661</v>
      </c>
      <c r="K53" s="12">
        <f>VLOOKUP(A53,[2]VA05!$A:$K,11,FALSE)</f>
        <v>45587</v>
      </c>
      <c r="L53" s="10" t="s">
        <v>12</v>
      </c>
      <c r="M53" s="10" t="s">
        <v>194</v>
      </c>
    </row>
    <row r="54" spans="1:13" x14ac:dyDescent="0.25">
      <c r="A54" s="13" t="str">
        <f t="shared" si="0"/>
        <v>50714274270</v>
      </c>
      <c r="B54" s="10">
        <v>1004052626</v>
      </c>
      <c r="C54" s="10">
        <v>507142742</v>
      </c>
      <c r="D54" s="10">
        <v>70</v>
      </c>
      <c r="E54" s="10" t="s">
        <v>10</v>
      </c>
      <c r="F54" s="10">
        <v>1437142</v>
      </c>
      <c r="G54" s="10" t="s">
        <v>145</v>
      </c>
      <c r="H54" s="11">
        <v>27661</v>
      </c>
      <c r="I54" s="10">
        <v>0</v>
      </c>
      <c r="J54" s="11">
        <f t="shared" si="1"/>
        <v>27661</v>
      </c>
      <c r="K54" s="12">
        <f>VLOOKUP(A54,[2]VA05!$A:$K,11,FALSE)</f>
        <v>45594</v>
      </c>
      <c r="L54" s="10" t="s">
        <v>12</v>
      </c>
      <c r="M54" s="10" t="s">
        <v>179</v>
      </c>
    </row>
    <row r="55" spans="1:13" x14ac:dyDescent="0.25">
      <c r="A55" s="13" t="str">
        <f t="shared" si="0"/>
        <v>507142742100</v>
      </c>
      <c r="B55" s="10">
        <v>1004052627</v>
      </c>
      <c r="C55" s="10">
        <v>507142742</v>
      </c>
      <c r="D55" s="10">
        <v>100</v>
      </c>
      <c r="E55" s="10" t="s">
        <v>10</v>
      </c>
      <c r="F55" s="10">
        <v>1437142</v>
      </c>
      <c r="G55" s="10" t="s">
        <v>145</v>
      </c>
      <c r="H55" s="11">
        <v>27661</v>
      </c>
      <c r="I55" s="10">
        <v>0</v>
      </c>
      <c r="J55" s="11">
        <f t="shared" si="1"/>
        <v>27661</v>
      </c>
      <c r="K55" s="12">
        <f>VLOOKUP(A55,[2]VA05!$A:$K,11,FALSE)</f>
        <v>45601</v>
      </c>
      <c r="L55" s="10" t="s">
        <v>12</v>
      </c>
      <c r="M55" s="10" t="s">
        <v>109</v>
      </c>
    </row>
    <row r="56" spans="1:13" x14ac:dyDescent="0.25">
      <c r="A56" s="13" t="str">
        <f t="shared" si="0"/>
        <v>50714274210</v>
      </c>
      <c r="B56" s="10">
        <v>1004054341</v>
      </c>
      <c r="C56" s="10">
        <v>507142742</v>
      </c>
      <c r="D56" s="10">
        <v>10</v>
      </c>
      <c r="E56" s="10" t="s">
        <v>10</v>
      </c>
      <c r="F56" s="10">
        <v>1437142</v>
      </c>
      <c r="G56" s="10" t="s">
        <v>145</v>
      </c>
      <c r="H56" s="11">
        <v>27661</v>
      </c>
      <c r="I56" s="11">
        <v>1850</v>
      </c>
      <c r="J56" s="11">
        <f t="shared" si="1"/>
        <v>25811</v>
      </c>
      <c r="K56" s="12">
        <f>VLOOKUP(A56,[2]VA05!$A:$K,11,FALSE)</f>
        <v>45580</v>
      </c>
      <c r="L56" s="10" t="s">
        <v>11</v>
      </c>
      <c r="M56" s="10" t="s">
        <v>155</v>
      </c>
    </row>
    <row r="57" spans="1:13" x14ac:dyDescent="0.25">
      <c r="A57" s="13" t="str">
        <f t="shared" si="0"/>
        <v>50714268230</v>
      </c>
      <c r="B57" s="10">
        <v>1004059556</v>
      </c>
      <c r="C57" s="10">
        <v>507142682</v>
      </c>
      <c r="D57" s="10">
        <v>30</v>
      </c>
      <c r="E57" s="10" t="s">
        <v>10</v>
      </c>
      <c r="F57" s="10">
        <v>1440080</v>
      </c>
      <c r="G57" s="10" t="s">
        <v>247</v>
      </c>
      <c r="H57" s="11">
        <v>10524</v>
      </c>
      <c r="I57" s="10">
        <v>0</v>
      </c>
      <c r="J57" s="11">
        <f t="shared" si="1"/>
        <v>10524</v>
      </c>
      <c r="K57" s="12">
        <f>VLOOKUP(A57,[2]VA05!$A:$K,11,FALSE)</f>
        <v>45595</v>
      </c>
      <c r="L57" s="10" t="s">
        <v>12</v>
      </c>
      <c r="M57" s="10" t="s">
        <v>176</v>
      </c>
    </row>
    <row r="58" spans="1:13" x14ac:dyDescent="0.25">
      <c r="A58" s="13" t="str">
        <f t="shared" si="0"/>
        <v>50714242450</v>
      </c>
      <c r="B58" s="10">
        <v>1004019633</v>
      </c>
      <c r="C58" s="10">
        <v>507142424</v>
      </c>
      <c r="D58" s="10">
        <v>50</v>
      </c>
      <c r="E58" s="10" t="s">
        <v>10</v>
      </c>
      <c r="F58" s="10">
        <v>1212309</v>
      </c>
      <c r="G58" s="10" t="s">
        <v>16</v>
      </c>
      <c r="H58" s="11">
        <v>30725</v>
      </c>
      <c r="I58" s="10">
        <v>0</v>
      </c>
      <c r="J58" s="11">
        <f t="shared" si="1"/>
        <v>30725</v>
      </c>
      <c r="K58" s="12" t="e">
        <f>VLOOKUP(A58,[2]VA05!$A:$K,11,FALSE)</f>
        <v>#N/A</v>
      </c>
      <c r="L58" s="10" t="s">
        <v>12</v>
      </c>
      <c r="M58" s="10" t="s">
        <v>82</v>
      </c>
    </row>
    <row r="59" spans="1:13" x14ac:dyDescent="0.25">
      <c r="A59" s="13" t="str">
        <f t="shared" si="0"/>
        <v>50714274220</v>
      </c>
      <c r="B59" s="10">
        <v>1004052511</v>
      </c>
      <c r="C59" s="10">
        <v>507142742</v>
      </c>
      <c r="D59" s="10">
        <v>20</v>
      </c>
      <c r="E59" s="10" t="s">
        <v>10</v>
      </c>
      <c r="F59" s="10">
        <v>1209351</v>
      </c>
      <c r="G59" s="10" t="s">
        <v>135</v>
      </c>
      <c r="H59" s="11">
        <v>25576</v>
      </c>
      <c r="I59" s="11">
        <v>2837</v>
      </c>
      <c r="J59" s="11">
        <f t="shared" si="1"/>
        <v>22739</v>
      </c>
      <c r="K59" s="12">
        <f>VLOOKUP(A59,[2]VA05!$A:$K,11,FALSE)</f>
        <v>45580</v>
      </c>
      <c r="L59" s="10" t="s">
        <v>18</v>
      </c>
      <c r="M59" s="10" t="s">
        <v>197</v>
      </c>
    </row>
    <row r="60" spans="1:13" x14ac:dyDescent="0.25">
      <c r="A60" s="13" t="str">
        <f t="shared" si="0"/>
        <v>50714274250</v>
      </c>
      <c r="B60" s="10">
        <v>1004052512</v>
      </c>
      <c r="C60" s="10">
        <v>507142742</v>
      </c>
      <c r="D60" s="10">
        <v>50</v>
      </c>
      <c r="E60" s="10" t="s">
        <v>10</v>
      </c>
      <c r="F60" s="10">
        <v>1209351</v>
      </c>
      <c r="G60" s="10" t="s">
        <v>135</v>
      </c>
      <c r="H60" s="11">
        <v>25576</v>
      </c>
      <c r="I60" s="10">
        <v>0</v>
      </c>
      <c r="J60" s="11">
        <f t="shared" si="1"/>
        <v>25576</v>
      </c>
      <c r="K60" s="12">
        <f>VLOOKUP(A60,[2]VA05!$A:$K,11,FALSE)</f>
        <v>45587</v>
      </c>
      <c r="L60" s="10" t="s">
        <v>12</v>
      </c>
      <c r="M60" s="10" t="s">
        <v>192</v>
      </c>
    </row>
    <row r="61" spans="1:13" x14ac:dyDescent="0.25">
      <c r="A61" s="13" t="str">
        <f t="shared" si="0"/>
        <v>50714274280</v>
      </c>
      <c r="B61" s="10">
        <v>1004052513</v>
      </c>
      <c r="C61" s="10">
        <v>507142742</v>
      </c>
      <c r="D61" s="10">
        <v>80</v>
      </c>
      <c r="E61" s="10" t="s">
        <v>10</v>
      </c>
      <c r="F61" s="10">
        <v>1209351</v>
      </c>
      <c r="G61" s="10" t="s">
        <v>135</v>
      </c>
      <c r="H61" s="11">
        <v>25576</v>
      </c>
      <c r="I61" s="10">
        <v>0</v>
      </c>
      <c r="J61" s="11">
        <f t="shared" si="1"/>
        <v>25576</v>
      </c>
      <c r="K61" s="12">
        <f>VLOOKUP(A61,[2]VA05!$A:$K,11,FALSE)</f>
        <v>45594</v>
      </c>
      <c r="L61" s="10" t="s">
        <v>12</v>
      </c>
      <c r="M61" s="10" t="s">
        <v>176</v>
      </c>
    </row>
    <row r="62" spans="1:13" x14ac:dyDescent="0.25">
      <c r="A62" s="13" t="str">
        <f t="shared" si="0"/>
        <v>507142742110</v>
      </c>
      <c r="B62" s="10">
        <v>1004052514</v>
      </c>
      <c r="C62" s="10">
        <v>507142742</v>
      </c>
      <c r="D62" s="10">
        <v>110</v>
      </c>
      <c r="E62" s="10" t="s">
        <v>10</v>
      </c>
      <c r="F62" s="10">
        <v>1209351</v>
      </c>
      <c r="G62" s="10" t="s">
        <v>135</v>
      </c>
      <c r="H62" s="11">
        <v>25576</v>
      </c>
      <c r="I62" s="10">
        <v>0</v>
      </c>
      <c r="J62" s="11">
        <f t="shared" si="1"/>
        <v>25576</v>
      </c>
      <c r="K62" s="12">
        <f>VLOOKUP(A62,[2]VA05!$A:$K,11,FALSE)</f>
        <v>45601</v>
      </c>
      <c r="L62" s="10" t="s">
        <v>12</v>
      </c>
      <c r="M62" s="10" t="s">
        <v>198</v>
      </c>
    </row>
    <row r="63" spans="1:13" x14ac:dyDescent="0.25">
      <c r="A63" s="13" t="str">
        <f t="shared" si="0"/>
        <v>50900099220</v>
      </c>
      <c r="B63" s="10">
        <v>1004021332</v>
      </c>
      <c r="C63" s="10">
        <v>509000992</v>
      </c>
      <c r="D63" s="10">
        <v>20</v>
      </c>
      <c r="E63" s="10" t="s">
        <v>10</v>
      </c>
      <c r="F63" s="10">
        <v>1279716</v>
      </c>
      <c r="G63" s="10" t="s">
        <v>54</v>
      </c>
      <c r="H63" s="11">
        <v>10299</v>
      </c>
      <c r="I63" s="10">
        <v>0</v>
      </c>
      <c r="J63" s="11">
        <f t="shared" si="1"/>
        <v>10299</v>
      </c>
      <c r="K63" s="12" t="e">
        <f>VLOOKUP(A63,[2]VA05!$A:$K,11,FALSE)</f>
        <v>#N/A</v>
      </c>
      <c r="L63" s="10" t="s">
        <v>25</v>
      </c>
      <c r="M63" s="10" t="s">
        <v>66</v>
      </c>
    </row>
    <row r="64" spans="1:13" x14ac:dyDescent="0.25">
      <c r="A64" s="13" t="str">
        <f t="shared" si="0"/>
        <v>50714242410</v>
      </c>
      <c r="B64" s="10">
        <v>1004019563</v>
      </c>
      <c r="C64" s="10">
        <v>507142424</v>
      </c>
      <c r="D64" s="10">
        <v>10</v>
      </c>
      <c r="E64" s="10" t="s">
        <v>10</v>
      </c>
      <c r="F64" s="10">
        <v>1212320</v>
      </c>
      <c r="G64" s="10" t="s">
        <v>17</v>
      </c>
      <c r="H64" s="11">
        <v>19568</v>
      </c>
      <c r="I64" s="10">
        <v>0</v>
      </c>
      <c r="J64" s="11">
        <f t="shared" si="1"/>
        <v>19568</v>
      </c>
      <c r="K64" s="12" t="e">
        <f>VLOOKUP(A64,[2]VA05!$A:$K,11,FALSE)</f>
        <v>#N/A</v>
      </c>
      <c r="L64" s="10" t="s">
        <v>239</v>
      </c>
      <c r="M64" s="10" t="s">
        <v>72</v>
      </c>
    </row>
    <row r="65" spans="1:13" x14ac:dyDescent="0.25">
      <c r="A65" s="13" t="str">
        <f t="shared" si="0"/>
        <v>50714242430</v>
      </c>
      <c r="B65" s="10">
        <v>1004019564</v>
      </c>
      <c r="C65" s="10">
        <v>507142424</v>
      </c>
      <c r="D65" s="10">
        <v>30</v>
      </c>
      <c r="E65" s="10" t="s">
        <v>10</v>
      </c>
      <c r="F65" s="10">
        <v>1212320</v>
      </c>
      <c r="G65" s="10" t="s">
        <v>17</v>
      </c>
      <c r="H65" s="11">
        <v>19568</v>
      </c>
      <c r="I65" s="10">
        <v>0</v>
      </c>
      <c r="J65" s="11">
        <f t="shared" si="1"/>
        <v>19568</v>
      </c>
      <c r="K65" s="12" t="e">
        <f>VLOOKUP(A65,[2]VA05!$A:$K,11,FALSE)</f>
        <v>#N/A</v>
      </c>
      <c r="L65" s="10" t="s">
        <v>13</v>
      </c>
      <c r="M65" s="10" t="s">
        <v>69</v>
      </c>
    </row>
    <row r="66" spans="1:13" x14ac:dyDescent="0.25">
      <c r="A66" s="13" t="str">
        <f t="shared" si="0"/>
        <v>50714242450</v>
      </c>
      <c r="B66" s="10">
        <v>1004019566</v>
      </c>
      <c r="C66" s="10">
        <v>507142424</v>
      </c>
      <c r="D66" s="10">
        <v>50</v>
      </c>
      <c r="E66" s="10" t="s">
        <v>10</v>
      </c>
      <c r="F66" s="10">
        <v>1212320</v>
      </c>
      <c r="G66" s="10" t="s">
        <v>17</v>
      </c>
      <c r="H66" s="11">
        <v>30725</v>
      </c>
      <c r="I66" s="10">
        <v>0</v>
      </c>
      <c r="J66" s="11">
        <f t="shared" si="1"/>
        <v>30725</v>
      </c>
      <c r="K66" s="12" t="e">
        <f>VLOOKUP(A66,[2]VA05!$A:$K,11,FALSE)</f>
        <v>#N/A</v>
      </c>
      <c r="L66" s="10" t="s">
        <v>13</v>
      </c>
      <c r="M66" s="10" t="s">
        <v>73</v>
      </c>
    </row>
    <row r="67" spans="1:13" x14ac:dyDescent="0.25">
      <c r="A67" s="13" t="str">
        <f t="shared" si="0"/>
        <v>50714274220</v>
      </c>
      <c r="B67" s="10">
        <v>1004052428</v>
      </c>
      <c r="C67" s="10">
        <v>507142742</v>
      </c>
      <c r="D67" s="10">
        <v>20</v>
      </c>
      <c r="E67" s="10" t="s">
        <v>10</v>
      </c>
      <c r="F67" s="10">
        <v>1437172</v>
      </c>
      <c r="G67" s="10" t="s">
        <v>123</v>
      </c>
      <c r="H67" s="11">
        <v>25576</v>
      </c>
      <c r="I67" s="11">
        <v>7183</v>
      </c>
      <c r="J67" s="11">
        <f t="shared" si="1"/>
        <v>18393</v>
      </c>
      <c r="K67" s="12">
        <f>VLOOKUP(A67,[2]VA05!$A:$K,11,FALSE)</f>
        <v>45580</v>
      </c>
      <c r="L67" s="10" t="s">
        <v>18</v>
      </c>
      <c r="M67" s="10" t="s">
        <v>197</v>
      </c>
    </row>
    <row r="68" spans="1:13" x14ac:dyDescent="0.25">
      <c r="A68" s="13" t="str">
        <f t="shared" ref="A68:A131" si="2">C68&amp;D68</f>
        <v>50714274280</v>
      </c>
      <c r="B68" s="10">
        <v>1004052509</v>
      </c>
      <c r="C68" s="10">
        <v>507142742</v>
      </c>
      <c r="D68" s="10">
        <v>80</v>
      </c>
      <c r="E68" s="10" t="s">
        <v>10</v>
      </c>
      <c r="F68" s="10">
        <v>1437172</v>
      </c>
      <c r="G68" s="10" t="s">
        <v>123</v>
      </c>
      <c r="H68" s="11">
        <v>25576</v>
      </c>
      <c r="I68" s="10">
        <v>0</v>
      </c>
      <c r="J68" s="11">
        <f t="shared" ref="J68:J131" si="3">H68-I68</f>
        <v>25576</v>
      </c>
      <c r="K68" s="12">
        <f>VLOOKUP(A68,[2]VA05!$A:$K,11,FALSE)</f>
        <v>45594</v>
      </c>
      <c r="L68" s="10" t="s">
        <v>12</v>
      </c>
      <c r="M68" s="10" t="s">
        <v>176</v>
      </c>
    </row>
    <row r="69" spans="1:13" x14ac:dyDescent="0.25">
      <c r="A69" s="13" t="str">
        <f t="shared" si="2"/>
        <v>507142742110</v>
      </c>
      <c r="B69" s="10">
        <v>1004052510</v>
      </c>
      <c r="C69" s="10">
        <v>507142742</v>
      </c>
      <c r="D69" s="10">
        <v>110</v>
      </c>
      <c r="E69" s="10" t="s">
        <v>10</v>
      </c>
      <c r="F69" s="10">
        <v>1437172</v>
      </c>
      <c r="G69" s="10" t="s">
        <v>123</v>
      </c>
      <c r="H69" s="11">
        <v>25576</v>
      </c>
      <c r="I69" s="10">
        <v>0</v>
      </c>
      <c r="J69" s="11">
        <f t="shared" si="3"/>
        <v>25576</v>
      </c>
      <c r="K69" s="12">
        <f>VLOOKUP(A69,[2]VA05!$A:$K,11,FALSE)</f>
        <v>45601</v>
      </c>
      <c r="L69" s="10" t="s">
        <v>12</v>
      </c>
      <c r="M69" s="10" t="s">
        <v>198</v>
      </c>
    </row>
    <row r="70" spans="1:13" x14ac:dyDescent="0.25">
      <c r="A70" s="13" t="str">
        <f t="shared" si="2"/>
        <v>50900099220</v>
      </c>
      <c r="B70" s="10">
        <v>1004016985</v>
      </c>
      <c r="C70" s="10">
        <v>509000992</v>
      </c>
      <c r="D70" s="10">
        <v>20</v>
      </c>
      <c r="E70" s="10" t="s">
        <v>10</v>
      </c>
      <c r="F70" s="10">
        <v>1279713</v>
      </c>
      <c r="G70" s="10" t="s">
        <v>55</v>
      </c>
      <c r="H70" s="11">
        <v>10299</v>
      </c>
      <c r="I70" s="10">
        <v>0</v>
      </c>
      <c r="J70" s="11">
        <f t="shared" si="3"/>
        <v>10299</v>
      </c>
      <c r="K70" s="12" t="e">
        <f>VLOOKUP(A70,[2]VA05!$A:$K,11,FALSE)</f>
        <v>#N/A</v>
      </c>
      <c r="L70" s="10" t="s">
        <v>13</v>
      </c>
      <c r="M70" s="10" t="s">
        <v>58</v>
      </c>
    </row>
    <row r="71" spans="1:13" x14ac:dyDescent="0.25">
      <c r="A71" s="13" t="str">
        <f t="shared" si="2"/>
        <v>50900099320</v>
      </c>
      <c r="B71" s="10">
        <v>1004016986</v>
      </c>
      <c r="C71" s="10">
        <v>509000993</v>
      </c>
      <c r="D71" s="10">
        <v>20</v>
      </c>
      <c r="E71" s="10" t="s">
        <v>10</v>
      </c>
      <c r="F71" s="10">
        <v>1279713</v>
      </c>
      <c r="G71" s="10" t="s">
        <v>55</v>
      </c>
      <c r="H71" s="11">
        <v>3262</v>
      </c>
      <c r="I71" s="10">
        <v>0</v>
      </c>
      <c r="J71" s="11">
        <f t="shared" si="3"/>
        <v>3262</v>
      </c>
      <c r="K71" s="12" t="e">
        <f>VLOOKUP(A71,[2]VA05!$A:$K,11,FALSE)</f>
        <v>#N/A</v>
      </c>
      <c r="L71" s="10" t="s">
        <v>12</v>
      </c>
      <c r="M71" s="10" t="s">
        <v>50</v>
      </c>
    </row>
    <row r="72" spans="1:13" x14ac:dyDescent="0.25">
      <c r="A72" s="13" t="str">
        <f t="shared" si="2"/>
        <v>50714274240</v>
      </c>
      <c r="B72" s="10">
        <v>1004049969</v>
      </c>
      <c r="C72" s="10">
        <v>507142742</v>
      </c>
      <c r="D72" s="10">
        <v>40</v>
      </c>
      <c r="E72" s="10" t="s">
        <v>10</v>
      </c>
      <c r="F72" s="10">
        <v>1209336</v>
      </c>
      <c r="G72" s="10" t="s">
        <v>124</v>
      </c>
      <c r="H72" s="11">
        <v>25576</v>
      </c>
      <c r="I72" s="11">
        <v>1312</v>
      </c>
      <c r="J72" s="11">
        <f t="shared" si="3"/>
        <v>24264</v>
      </c>
      <c r="K72" s="12">
        <f>VLOOKUP(A72,[2]VA05!$A:$K,11,FALSE)</f>
        <v>45587</v>
      </c>
      <c r="L72" s="10" t="s">
        <v>18</v>
      </c>
      <c r="M72" s="10" t="s">
        <v>157</v>
      </c>
    </row>
    <row r="73" spans="1:13" x14ac:dyDescent="0.25">
      <c r="A73" s="13" t="str">
        <f t="shared" si="2"/>
        <v>50714274270</v>
      </c>
      <c r="B73" s="10">
        <v>1004052425</v>
      </c>
      <c r="C73" s="10">
        <v>507142742</v>
      </c>
      <c r="D73" s="10">
        <v>70</v>
      </c>
      <c r="E73" s="10" t="s">
        <v>10</v>
      </c>
      <c r="F73" s="10">
        <v>1209336</v>
      </c>
      <c r="G73" s="10" t="s">
        <v>124</v>
      </c>
      <c r="H73" s="11">
        <v>25576</v>
      </c>
      <c r="I73" s="10">
        <v>0</v>
      </c>
      <c r="J73" s="11">
        <f t="shared" si="3"/>
        <v>25576</v>
      </c>
      <c r="K73" s="12">
        <f>VLOOKUP(A73,[2]VA05!$A:$K,11,FALSE)</f>
        <v>45594</v>
      </c>
      <c r="L73" s="10" t="s">
        <v>12</v>
      </c>
      <c r="M73" s="10" t="s">
        <v>199</v>
      </c>
    </row>
    <row r="74" spans="1:13" x14ac:dyDescent="0.25">
      <c r="A74" s="13" t="str">
        <f t="shared" si="2"/>
        <v>507142742100</v>
      </c>
      <c r="B74" s="10">
        <v>1004052426</v>
      </c>
      <c r="C74" s="10">
        <v>507142742</v>
      </c>
      <c r="D74" s="10">
        <v>100</v>
      </c>
      <c r="E74" s="10" t="s">
        <v>10</v>
      </c>
      <c r="F74" s="10">
        <v>1209336</v>
      </c>
      <c r="G74" s="10" t="s">
        <v>124</v>
      </c>
      <c r="H74" s="11">
        <v>25576</v>
      </c>
      <c r="I74" s="10">
        <v>0</v>
      </c>
      <c r="J74" s="11">
        <f t="shared" si="3"/>
        <v>25576</v>
      </c>
      <c r="K74" s="12">
        <f>VLOOKUP(A74,[2]VA05!$A:$K,11,FALSE)</f>
        <v>45601</v>
      </c>
      <c r="L74" s="10" t="s">
        <v>12</v>
      </c>
      <c r="M74" s="10" t="s">
        <v>200</v>
      </c>
    </row>
    <row r="75" spans="1:13" x14ac:dyDescent="0.25">
      <c r="A75" s="13" t="str">
        <f t="shared" si="2"/>
        <v>50714246960</v>
      </c>
      <c r="B75" s="10">
        <v>1004016982</v>
      </c>
      <c r="C75" s="10">
        <v>507142469</v>
      </c>
      <c r="D75" s="10">
        <v>60</v>
      </c>
      <c r="E75" s="10" t="s">
        <v>10</v>
      </c>
      <c r="F75" s="10">
        <v>1212321</v>
      </c>
      <c r="G75" s="10" t="s">
        <v>30</v>
      </c>
      <c r="H75" s="11">
        <v>71577</v>
      </c>
      <c r="I75" s="11">
        <v>8540</v>
      </c>
      <c r="J75" s="11">
        <f t="shared" si="3"/>
        <v>63037</v>
      </c>
      <c r="K75" s="12" t="e">
        <f>VLOOKUP(A75,[2]VA05!$A:$K,11,FALSE)</f>
        <v>#N/A</v>
      </c>
      <c r="L75" s="10" t="s">
        <v>18</v>
      </c>
      <c r="M75" s="10" t="s">
        <v>49</v>
      </c>
    </row>
    <row r="76" spans="1:13" x14ac:dyDescent="0.25">
      <c r="A76" s="13" t="str">
        <f t="shared" si="2"/>
        <v>50714274230</v>
      </c>
      <c r="B76" s="10">
        <v>1004052421</v>
      </c>
      <c r="C76" s="10">
        <v>507142742</v>
      </c>
      <c r="D76" s="10">
        <v>30</v>
      </c>
      <c r="E76" s="10" t="s">
        <v>10</v>
      </c>
      <c r="F76" s="10">
        <v>1209347</v>
      </c>
      <c r="G76" s="10" t="s">
        <v>136</v>
      </c>
      <c r="H76" s="11">
        <v>25576</v>
      </c>
      <c r="I76" s="10">
        <v>0</v>
      </c>
      <c r="J76" s="11">
        <f t="shared" si="3"/>
        <v>25576</v>
      </c>
      <c r="K76" s="12">
        <f>VLOOKUP(A76,[2]VA05!$A:$K,11,FALSE)</f>
        <v>45580</v>
      </c>
      <c r="L76" s="10" t="s">
        <v>12</v>
      </c>
      <c r="M76" s="10" t="s">
        <v>197</v>
      </c>
    </row>
    <row r="77" spans="1:13" x14ac:dyDescent="0.25">
      <c r="A77" s="13" t="str">
        <f t="shared" si="2"/>
        <v>50714274260</v>
      </c>
      <c r="B77" s="10">
        <v>1004052422</v>
      </c>
      <c r="C77" s="10">
        <v>507142742</v>
      </c>
      <c r="D77" s="10">
        <v>60</v>
      </c>
      <c r="E77" s="10" t="s">
        <v>10</v>
      </c>
      <c r="F77" s="10">
        <v>1209347</v>
      </c>
      <c r="G77" s="10" t="s">
        <v>136</v>
      </c>
      <c r="H77" s="11">
        <v>25576</v>
      </c>
      <c r="I77" s="10">
        <v>0</v>
      </c>
      <c r="J77" s="11">
        <f t="shared" si="3"/>
        <v>25576</v>
      </c>
      <c r="K77" s="12">
        <f>VLOOKUP(A77,[2]VA05!$A:$K,11,FALSE)</f>
        <v>45587</v>
      </c>
      <c r="L77" s="10" t="s">
        <v>12</v>
      </c>
      <c r="M77" s="10" t="s">
        <v>192</v>
      </c>
    </row>
    <row r="78" spans="1:13" x14ac:dyDescent="0.25">
      <c r="A78" s="13" t="str">
        <f t="shared" si="2"/>
        <v>50714274290</v>
      </c>
      <c r="B78" s="10">
        <v>1004052423</v>
      </c>
      <c r="C78" s="10">
        <v>507142742</v>
      </c>
      <c r="D78" s="10">
        <v>90</v>
      </c>
      <c r="E78" s="10" t="s">
        <v>10</v>
      </c>
      <c r="F78" s="10">
        <v>1209347</v>
      </c>
      <c r="G78" s="10" t="s">
        <v>136</v>
      </c>
      <c r="H78" s="11">
        <v>25576</v>
      </c>
      <c r="I78" s="10">
        <v>0</v>
      </c>
      <c r="J78" s="11">
        <f t="shared" si="3"/>
        <v>25576</v>
      </c>
      <c r="K78" s="12">
        <f>VLOOKUP(A78,[2]VA05!$A:$K,11,FALSE)</f>
        <v>45594</v>
      </c>
      <c r="L78" s="10" t="s">
        <v>12</v>
      </c>
      <c r="M78" s="10" t="s">
        <v>176</v>
      </c>
    </row>
    <row r="79" spans="1:13" x14ac:dyDescent="0.25">
      <c r="A79" s="13" t="str">
        <f t="shared" si="2"/>
        <v>507142742120</v>
      </c>
      <c r="B79" s="10">
        <v>1004052424</v>
      </c>
      <c r="C79" s="10">
        <v>507142742</v>
      </c>
      <c r="D79" s="10">
        <v>120</v>
      </c>
      <c r="E79" s="10" t="s">
        <v>10</v>
      </c>
      <c r="F79" s="10">
        <v>1209347</v>
      </c>
      <c r="G79" s="10" t="s">
        <v>136</v>
      </c>
      <c r="H79" s="11">
        <v>25576</v>
      </c>
      <c r="I79" s="10">
        <v>0</v>
      </c>
      <c r="J79" s="11">
        <f t="shared" si="3"/>
        <v>25576</v>
      </c>
      <c r="K79" s="12">
        <f>VLOOKUP(A79,[2]VA05!$A:$K,11,FALSE)</f>
        <v>45601</v>
      </c>
      <c r="L79" s="10" t="s">
        <v>12</v>
      </c>
      <c r="M79" s="10" t="s">
        <v>198</v>
      </c>
    </row>
    <row r="80" spans="1:13" x14ac:dyDescent="0.25">
      <c r="A80" s="13" t="str">
        <f t="shared" si="2"/>
        <v>50714273910</v>
      </c>
      <c r="B80" s="10">
        <v>1004051713</v>
      </c>
      <c r="C80" s="10">
        <v>507142739</v>
      </c>
      <c r="D80" s="10">
        <v>10</v>
      </c>
      <c r="E80" s="10" t="s">
        <v>10</v>
      </c>
      <c r="F80" s="10">
        <v>1409882</v>
      </c>
      <c r="G80" s="10" t="s">
        <v>39</v>
      </c>
      <c r="H80" s="11">
        <v>22415</v>
      </c>
      <c r="I80" s="11">
        <v>8029</v>
      </c>
      <c r="J80" s="11">
        <f t="shared" si="3"/>
        <v>14386</v>
      </c>
      <c r="K80" s="12">
        <f>VLOOKUP(A80,[2]VA05!$A:$K,11,FALSE)</f>
        <v>45568</v>
      </c>
      <c r="L80" s="10" t="s">
        <v>18</v>
      </c>
      <c r="M80" s="10" t="s">
        <v>61</v>
      </c>
    </row>
    <row r="81" spans="1:13" x14ac:dyDescent="0.25">
      <c r="A81" s="13" t="str">
        <f t="shared" si="2"/>
        <v>50714273920</v>
      </c>
      <c r="B81" s="10">
        <v>1004051714</v>
      </c>
      <c r="C81" s="10">
        <v>507142739</v>
      </c>
      <c r="D81" s="10">
        <v>20</v>
      </c>
      <c r="E81" s="10" t="s">
        <v>10</v>
      </c>
      <c r="F81" s="10">
        <v>1409882</v>
      </c>
      <c r="G81" s="10" t="s">
        <v>39</v>
      </c>
      <c r="H81" s="11">
        <v>51460</v>
      </c>
      <c r="I81" s="10">
        <v>0</v>
      </c>
      <c r="J81" s="11">
        <f t="shared" si="3"/>
        <v>51460</v>
      </c>
      <c r="K81" s="12">
        <f>VLOOKUP(A81,[2]VA05!$A:$K,11,FALSE)</f>
        <v>45573</v>
      </c>
      <c r="L81" s="10" t="s">
        <v>12</v>
      </c>
      <c r="M81" s="10" t="s">
        <v>97</v>
      </c>
    </row>
    <row r="82" spans="1:13" hidden="1" x14ac:dyDescent="0.25">
      <c r="A82" s="13" t="str">
        <f t="shared" si="2"/>
        <v>50714273910</v>
      </c>
      <c r="B82" s="10">
        <v>1004056940</v>
      </c>
      <c r="C82" s="10">
        <v>507142739</v>
      </c>
      <c r="D82" s="10">
        <v>10</v>
      </c>
      <c r="E82" s="10" t="s">
        <v>10</v>
      </c>
      <c r="F82" s="10">
        <v>1409883</v>
      </c>
      <c r="G82" s="10" t="s">
        <v>40</v>
      </c>
      <c r="H82" s="11">
        <v>23551</v>
      </c>
      <c r="I82" s="11">
        <v>23551</v>
      </c>
      <c r="J82" s="11">
        <f t="shared" si="3"/>
        <v>0</v>
      </c>
      <c r="K82" s="12">
        <f>VLOOKUP(A82,[2]VA05!$A:$K,11,FALSE)</f>
        <v>45568</v>
      </c>
      <c r="L82" s="10" t="s">
        <v>232</v>
      </c>
      <c r="M82" s="10" t="s">
        <v>195</v>
      </c>
    </row>
    <row r="83" spans="1:13" x14ac:dyDescent="0.25">
      <c r="A83" s="13" t="str">
        <f t="shared" si="2"/>
        <v>50714273920</v>
      </c>
      <c r="B83" s="10">
        <v>1004056941</v>
      </c>
      <c r="C83" s="10">
        <v>507142739</v>
      </c>
      <c r="D83" s="10">
        <v>20</v>
      </c>
      <c r="E83" s="10" t="s">
        <v>10</v>
      </c>
      <c r="F83" s="10">
        <v>1409883</v>
      </c>
      <c r="G83" s="10" t="s">
        <v>40</v>
      </c>
      <c r="H83" s="11">
        <v>54066</v>
      </c>
      <c r="I83" s="10">
        <v>480</v>
      </c>
      <c r="J83" s="11">
        <f t="shared" si="3"/>
        <v>53586</v>
      </c>
      <c r="K83" s="12">
        <f>VLOOKUP(A83,[2]VA05!$A:$K,11,FALSE)</f>
        <v>45573</v>
      </c>
      <c r="L83" s="10" t="s">
        <v>11</v>
      </c>
      <c r="M83" s="10" t="s">
        <v>194</v>
      </c>
    </row>
    <row r="84" spans="1:13" x14ac:dyDescent="0.25">
      <c r="A84" s="13" t="str">
        <f t="shared" si="2"/>
        <v>50714273930</v>
      </c>
      <c r="B84" s="10">
        <v>1004057977</v>
      </c>
      <c r="C84" s="10">
        <v>507142739</v>
      </c>
      <c r="D84" s="10">
        <v>30</v>
      </c>
      <c r="E84" s="10" t="s">
        <v>10</v>
      </c>
      <c r="F84" s="10">
        <v>1409883</v>
      </c>
      <c r="G84" s="10" t="s">
        <v>40</v>
      </c>
      <c r="H84" s="11">
        <v>30185</v>
      </c>
      <c r="I84" s="10">
        <v>0</v>
      </c>
      <c r="J84" s="11">
        <f t="shared" si="3"/>
        <v>30185</v>
      </c>
      <c r="K84" s="12">
        <f>VLOOKUP(A84,[2]VA05!$A:$K,11,FALSE)</f>
        <v>45580</v>
      </c>
      <c r="L84" s="10" t="s">
        <v>119</v>
      </c>
      <c r="M84" s="10" t="s">
        <v>155</v>
      </c>
    </row>
    <row r="85" spans="1:13" x14ac:dyDescent="0.25">
      <c r="A85" s="13" t="str">
        <f t="shared" si="2"/>
        <v>50714278010</v>
      </c>
      <c r="B85" s="10">
        <v>1004058757</v>
      </c>
      <c r="C85" s="10">
        <v>507142780</v>
      </c>
      <c r="D85" s="10">
        <v>10</v>
      </c>
      <c r="E85" s="10" t="s">
        <v>10</v>
      </c>
      <c r="F85" s="10">
        <v>1409883</v>
      </c>
      <c r="G85" s="10" t="s">
        <v>40</v>
      </c>
      <c r="H85" s="11">
        <v>34165</v>
      </c>
      <c r="I85" s="10">
        <v>0</v>
      </c>
      <c r="J85" s="11">
        <f t="shared" si="3"/>
        <v>34165</v>
      </c>
      <c r="K85" s="12">
        <f>VLOOKUP(A85,[2]VA05!$A:$K,11,FALSE)</f>
        <v>45580</v>
      </c>
      <c r="L85" s="10" t="s">
        <v>12</v>
      </c>
      <c r="M85" s="10" t="s">
        <v>195</v>
      </c>
    </row>
    <row r="86" spans="1:13" x14ac:dyDescent="0.25">
      <c r="A86" s="13" t="str">
        <f t="shared" si="2"/>
        <v>50714278020</v>
      </c>
      <c r="B86" s="10">
        <v>1004058758</v>
      </c>
      <c r="C86" s="10">
        <v>507142780</v>
      </c>
      <c r="D86" s="10">
        <v>20</v>
      </c>
      <c r="E86" s="10" t="s">
        <v>10</v>
      </c>
      <c r="F86" s="10">
        <v>1409883</v>
      </c>
      <c r="G86" s="10" t="s">
        <v>40</v>
      </c>
      <c r="H86" s="11">
        <v>54066</v>
      </c>
      <c r="I86" s="10">
        <v>0</v>
      </c>
      <c r="J86" s="11">
        <f t="shared" si="3"/>
        <v>54066</v>
      </c>
      <c r="K86" s="12">
        <f>VLOOKUP(A86,[2]VA05!$A:$K,11,FALSE)</f>
        <v>45587</v>
      </c>
      <c r="L86" s="10" t="s">
        <v>12</v>
      </c>
      <c r="M86" s="10" t="s">
        <v>195</v>
      </c>
    </row>
    <row r="87" spans="1:13" x14ac:dyDescent="0.25">
      <c r="A87" s="13" t="str">
        <f t="shared" si="2"/>
        <v>50714278030</v>
      </c>
      <c r="B87" s="10">
        <v>1004058759</v>
      </c>
      <c r="C87" s="10">
        <v>507142780</v>
      </c>
      <c r="D87" s="10">
        <v>30</v>
      </c>
      <c r="E87" s="10" t="s">
        <v>10</v>
      </c>
      <c r="F87" s="10">
        <v>1409883</v>
      </c>
      <c r="G87" s="10" t="s">
        <v>40</v>
      </c>
      <c r="H87" s="11">
        <v>19571</v>
      </c>
      <c r="I87" s="10">
        <v>0</v>
      </c>
      <c r="J87" s="11">
        <f t="shared" si="3"/>
        <v>19571</v>
      </c>
      <c r="K87" s="12">
        <f>VLOOKUP(A87,[2]VA05!$A:$K,11,FALSE)</f>
        <v>45594</v>
      </c>
      <c r="L87" s="10" t="s">
        <v>12</v>
      </c>
      <c r="M87" s="10" t="s">
        <v>192</v>
      </c>
    </row>
    <row r="88" spans="1:13" x14ac:dyDescent="0.25">
      <c r="A88" s="13" t="str">
        <f t="shared" si="2"/>
        <v>50714276510</v>
      </c>
      <c r="B88" s="10">
        <v>1004051406</v>
      </c>
      <c r="C88" s="10">
        <v>507142765</v>
      </c>
      <c r="D88" s="10">
        <v>10</v>
      </c>
      <c r="E88" s="10" t="s">
        <v>10</v>
      </c>
      <c r="F88" s="10">
        <v>1398384</v>
      </c>
      <c r="G88" s="10" t="s">
        <v>168</v>
      </c>
      <c r="H88" s="11">
        <v>11422</v>
      </c>
      <c r="I88" s="10">
        <v>0</v>
      </c>
      <c r="J88" s="11">
        <f t="shared" si="3"/>
        <v>11422</v>
      </c>
      <c r="K88" s="12">
        <f>VLOOKUP(A88,[2]VA05!$A:$K,11,FALSE)</f>
        <v>45560</v>
      </c>
      <c r="L88" s="10" t="s">
        <v>29</v>
      </c>
      <c r="M88" s="10" t="s">
        <v>180</v>
      </c>
    </row>
    <row r="89" spans="1:13" x14ac:dyDescent="0.25">
      <c r="A89" s="13" t="str">
        <f t="shared" si="2"/>
        <v>50714276520</v>
      </c>
      <c r="B89" s="10">
        <v>1004051407</v>
      </c>
      <c r="C89" s="10">
        <v>507142765</v>
      </c>
      <c r="D89" s="10">
        <v>20</v>
      </c>
      <c r="E89" s="10" t="s">
        <v>10</v>
      </c>
      <c r="F89" s="10">
        <v>1398384</v>
      </c>
      <c r="G89" s="10" t="s">
        <v>168</v>
      </c>
      <c r="H89" s="11">
        <v>22842</v>
      </c>
      <c r="I89" s="10">
        <v>0</v>
      </c>
      <c r="J89" s="11">
        <f t="shared" si="3"/>
        <v>22842</v>
      </c>
      <c r="K89" s="12" t="e">
        <f>VLOOKUP(A89,[2]VA05!$A:$K,11,FALSE)</f>
        <v>#N/A</v>
      </c>
      <c r="L89" s="10" t="s">
        <v>12</v>
      </c>
      <c r="M89" s="10" t="s">
        <v>97</v>
      </c>
    </row>
    <row r="90" spans="1:13" x14ac:dyDescent="0.25">
      <c r="A90" s="13" t="str">
        <f t="shared" si="2"/>
        <v>50714276530</v>
      </c>
      <c r="B90" s="10">
        <v>1004051408</v>
      </c>
      <c r="C90" s="10">
        <v>507142765</v>
      </c>
      <c r="D90" s="10">
        <v>30</v>
      </c>
      <c r="E90" s="10" t="s">
        <v>10</v>
      </c>
      <c r="F90" s="10">
        <v>1398384</v>
      </c>
      <c r="G90" s="10" t="s">
        <v>168</v>
      </c>
      <c r="H90" s="11">
        <v>34807</v>
      </c>
      <c r="I90" s="10">
        <v>0</v>
      </c>
      <c r="J90" s="11">
        <f t="shared" si="3"/>
        <v>34807</v>
      </c>
      <c r="K90" s="12">
        <f>VLOOKUP(A90,[2]VA05!$A:$K,11,FALSE)</f>
        <v>45569</v>
      </c>
      <c r="L90" s="10" t="s">
        <v>12</v>
      </c>
      <c r="M90" s="10" t="s">
        <v>143</v>
      </c>
    </row>
    <row r="91" spans="1:13" x14ac:dyDescent="0.25">
      <c r="A91" s="13" t="str">
        <f t="shared" si="2"/>
        <v>50714276540</v>
      </c>
      <c r="B91" s="10">
        <v>1004052528</v>
      </c>
      <c r="C91" s="10">
        <v>507142765</v>
      </c>
      <c r="D91" s="10">
        <v>40</v>
      </c>
      <c r="E91" s="10" t="s">
        <v>10</v>
      </c>
      <c r="F91" s="10">
        <v>1398384</v>
      </c>
      <c r="G91" s="10" t="s">
        <v>168</v>
      </c>
      <c r="H91" s="11">
        <v>35078</v>
      </c>
      <c r="I91" s="10">
        <v>0</v>
      </c>
      <c r="J91" s="11">
        <f t="shared" si="3"/>
        <v>35078</v>
      </c>
      <c r="K91" s="12">
        <f>VLOOKUP(A91,[2]VA05!$A:$K,11,FALSE)</f>
        <v>45576</v>
      </c>
      <c r="L91" s="10" t="s">
        <v>12</v>
      </c>
      <c r="M91" s="10" t="s">
        <v>195</v>
      </c>
    </row>
    <row r="92" spans="1:13" x14ac:dyDescent="0.25">
      <c r="A92" s="13" t="str">
        <f t="shared" si="2"/>
        <v>50714276550</v>
      </c>
      <c r="B92" s="10">
        <v>1004052529</v>
      </c>
      <c r="C92" s="10">
        <v>507142765</v>
      </c>
      <c r="D92" s="10">
        <v>50</v>
      </c>
      <c r="E92" s="10" t="s">
        <v>10</v>
      </c>
      <c r="F92" s="10">
        <v>1398384</v>
      </c>
      <c r="G92" s="10" t="s">
        <v>168</v>
      </c>
      <c r="H92" s="11">
        <v>45412</v>
      </c>
      <c r="I92" s="10">
        <v>0</v>
      </c>
      <c r="J92" s="11">
        <f t="shared" si="3"/>
        <v>45412</v>
      </c>
      <c r="K92" s="12">
        <f>VLOOKUP(A92,[2]VA05!$A:$K,11,FALSE)</f>
        <v>45583</v>
      </c>
      <c r="L92" s="10" t="s">
        <v>12</v>
      </c>
      <c r="M92" s="10" t="s">
        <v>194</v>
      </c>
    </row>
    <row r="93" spans="1:13" x14ac:dyDescent="0.25">
      <c r="A93" s="13" t="str">
        <f t="shared" si="2"/>
        <v>50714276560</v>
      </c>
      <c r="B93" s="10">
        <v>1004052530</v>
      </c>
      <c r="C93" s="10">
        <v>507142765</v>
      </c>
      <c r="D93" s="10">
        <v>60</v>
      </c>
      <c r="E93" s="10" t="s">
        <v>10</v>
      </c>
      <c r="F93" s="10">
        <v>1398384</v>
      </c>
      <c r="G93" s="10" t="s">
        <v>168</v>
      </c>
      <c r="H93" s="11">
        <v>45412</v>
      </c>
      <c r="I93" s="10">
        <v>0</v>
      </c>
      <c r="J93" s="11">
        <f t="shared" si="3"/>
        <v>45412</v>
      </c>
      <c r="K93" s="12">
        <f>VLOOKUP(A93,[2]VA05!$A:$K,11,FALSE)</f>
        <v>45590</v>
      </c>
      <c r="L93" s="10" t="s">
        <v>12</v>
      </c>
      <c r="M93" s="10" t="s">
        <v>179</v>
      </c>
    </row>
    <row r="94" spans="1:13" x14ac:dyDescent="0.25">
      <c r="A94" s="13" t="str">
        <f t="shared" si="2"/>
        <v>50714276510</v>
      </c>
      <c r="B94" s="10">
        <v>1004052532</v>
      </c>
      <c r="C94" s="10">
        <v>507142765</v>
      </c>
      <c r="D94" s="10">
        <v>10</v>
      </c>
      <c r="E94" s="10" t="s">
        <v>10</v>
      </c>
      <c r="F94" s="10">
        <v>1398385</v>
      </c>
      <c r="G94" s="10" t="s">
        <v>183</v>
      </c>
      <c r="H94" s="11">
        <v>11765</v>
      </c>
      <c r="I94" s="10">
        <v>0</v>
      </c>
      <c r="J94" s="11">
        <f t="shared" si="3"/>
        <v>11765</v>
      </c>
      <c r="K94" s="12">
        <f>VLOOKUP(A94,[2]VA05!$A:$K,11,FALSE)</f>
        <v>45560</v>
      </c>
      <c r="L94" s="10" t="s">
        <v>25</v>
      </c>
      <c r="M94" s="10" t="s">
        <v>180</v>
      </c>
    </row>
    <row r="95" spans="1:13" x14ac:dyDescent="0.25">
      <c r="A95" s="13" t="str">
        <f t="shared" si="2"/>
        <v>50714276520</v>
      </c>
      <c r="B95" s="10">
        <v>1004052533</v>
      </c>
      <c r="C95" s="10">
        <v>507142765</v>
      </c>
      <c r="D95" s="10">
        <v>20</v>
      </c>
      <c r="E95" s="10" t="s">
        <v>10</v>
      </c>
      <c r="F95" s="10">
        <v>1398385</v>
      </c>
      <c r="G95" s="10" t="s">
        <v>183</v>
      </c>
      <c r="H95" s="11">
        <v>23528</v>
      </c>
      <c r="I95" s="10">
        <v>0</v>
      </c>
      <c r="J95" s="11">
        <f t="shared" si="3"/>
        <v>23528</v>
      </c>
      <c r="K95" s="12" t="e">
        <f>VLOOKUP(A95,[2]VA05!$A:$K,11,FALSE)</f>
        <v>#N/A</v>
      </c>
      <c r="L95" s="10" t="s">
        <v>12</v>
      </c>
      <c r="M95" s="10" t="s">
        <v>97</v>
      </c>
    </row>
    <row r="96" spans="1:13" x14ac:dyDescent="0.25">
      <c r="A96" s="13" t="str">
        <f t="shared" si="2"/>
        <v>50714276530</v>
      </c>
      <c r="B96" s="10">
        <v>1004052534</v>
      </c>
      <c r="C96" s="10">
        <v>507142765</v>
      </c>
      <c r="D96" s="10">
        <v>30</v>
      </c>
      <c r="E96" s="10" t="s">
        <v>10</v>
      </c>
      <c r="F96" s="10">
        <v>1398385</v>
      </c>
      <c r="G96" s="10" t="s">
        <v>183</v>
      </c>
      <c r="H96" s="11">
        <v>35852</v>
      </c>
      <c r="I96" s="10">
        <v>0</v>
      </c>
      <c r="J96" s="11">
        <f t="shared" si="3"/>
        <v>35852</v>
      </c>
      <c r="K96" s="12">
        <f>VLOOKUP(A96,[2]VA05!$A:$K,11,FALSE)</f>
        <v>45569</v>
      </c>
      <c r="L96" s="10" t="s">
        <v>12</v>
      </c>
      <c r="M96" s="10" t="s">
        <v>97</v>
      </c>
    </row>
    <row r="97" spans="1:13" x14ac:dyDescent="0.25">
      <c r="A97" s="13" t="str">
        <f t="shared" si="2"/>
        <v>50714276540</v>
      </c>
      <c r="B97" s="10">
        <v>1004052535</v>
      </c>
      <c r="C97" s="10">
        <v>507142765</v>
      </c>
      <c r="D97" s="10">
        <v>40</v>
      </c>
      <c r="E97" s="10" t="s">
        <v>10</v>
      </c>
      <c r="F97" s="10">
        <v>1398385</v>
      </c>
      <c r="G97" s="10" t="s">
        <v>183</v>
      </c>
      <c r="H97" s="11">
        <v>36131</v>
      </c>
      <c r="I97" s="10">
        <v>0</v>
      </c>
      <c r="J97" s="11">
        <f t="shared" si="3"/>
        <v>36131</v>
      </c>
      <c r="K97" s="12">
        <f>VLOOKUP(A97,[2]VA05!$A:$K,11,FALSE)</f>
        <v>45576</v>
      </c>
      <c r="L97" s="10" t="s">
        <v>12</v>
      </c>
      <c r="M97" s="10" t="s">
        <v>180</v>
      </c>
    </row>
    <row r="98" spans="1:13" x14ac:dyDescent="0.25">
      <c r="A98" s="13" t="str">
        <f t="shared" si="2"/>
        <v>50714276550</v>
      </c>
      <c r="B98" s="10">
        <v>1004052536</v>
      </c>
      <c r="C98" s="10">
        <v>507142765</v>
      </c>
      <c r="D98" s="10">
        <v>50</v>
      </c>
      <c r="E98" s="10" t="s">
        <v>10</v>
      </c>
      <c r="F98" s="10">
        <v>1398385</v>
      </c>
      <c r="G98" s="10" t="s">
        <v>183</v>
      </c>
      <c r="H98" s="11">
        <v>46775</v>
      </c>
      <c r="I98" s="10">
        <v>0</v>
      </c>
      <c r="J98" s="11">
        <f t="shared" si="3"/>
        <v>46775</v>
      </c>
      <c r="K98" s="12">
        <f>VLOOKUP(A98,[2]VA05!$A:$K,11,FALSE)</f>
        <v>45583</v>
      </c>
      <c r="L98" s="10" t="s">
        <v>12</v>
      </c>
      <c r="M98" s="10" t="s">
        <v>201</v>
      </c>
    </row>
    <row r="99" spans="1:13" x14ac:dyDescent="0.25">
      <c r="A99" s="13" t="str">
        <f t="shared" si="2"/>
        <v>50714276560</v>
      </c>
      <c r="B99" s="10">
        <v>1004052537</v>
      </c>
      <c r="C99" s="10">
        <v>507142765</v>
      </c>
      <c r="D99" s="10">
        <v>60</v>
      </c>
      <c r="E99" s="10" t="s">
        <v>10</v>
      </c>
      <c r="F99" s="10">
        <v>1398385</v>
      </c>
      <c r="G99" s="10" t="s">
        <v>183</v>
      </c>
      <c r="H99" s="11">
        <v>46775</v>
      </c>
      <c r="I99" s="10">
        <v>0</v>
      </c>
      <c r="J99" s="11">
        <f t="shared" si="3"/>
        <v>46775</v>
      </c>
      <c r="K99" s="12">
        <f>VLOOKUP(A99,[2]VA05!$A:$K,11,FALSE)</f>
        <v>45590</v>
      </c>
      <c r="L99" s="10" t="s">
        <v>12</v>
      </c>
      <c r="M99" s="10" t="s">
        <v>178</v>
      </c>
    </row>
    <row r="100" spans="1:13" x14ac:dyDescent="0.25">
      <c r="A100" s="13" t="str">
        <f t="shared" si="2"/>
        <v>50714276510</v>
      </c>
      <c r="B100" s="10">
        <v>1004052538</v>
      </c>
      <c r="C100" s="10">
        <v>507142765</v>
      </c>
      <c r="D100" s="10">
        <v>10</v>
      </c>
      <c r="E100" s="10" t="s">
        <v>10</v>
      </c>
      <c r="F100" s="10">
        <v>1398386</v>
      </c>
      <c r="G100" s="10" t="s">
        <v>184</v>
      </c>
      <c r="H100" s="11">
        <v>10383</v>
      </c>
      <c r="I100" s="10">
        <v>0</v>
      </c>
      <c r="J100" s="11">
        <f t="shared" si="3"/>
        <v>10383</v>
      </c>
      <c r="K100" s="12">
        <f>VLOOKUP(A100,[2]VA05!$A:$K,11,FALSE)</f>
        <v>45560</v>
      </c>
      <c r="L100" s="10" t="s">
        <v>56</v>
      </c>
      <c r="M100" s="10" t="s">
        <v>194</v>
      </c>
    </row>
    <row r="101" spans="1:13" x14ac:dyDescent="0.25">
      <c r="A101" s="13" t="str">
        <f t="shared" si="2"/>
        <v>50714276520</v>
      </c>
      <c r="B101" s="10">
        <v>1004052539</v>
      </c>
      <c r="C101" s="10">
        <v>507142765</v>
      </c>
      <c r="D101" s="10">
        <v>20</v>
      </c>
      <c r="E101" s="10" t="s">
        <v>10</v>
      </c>
      <c r="F101" s="10">
        <v>1398386</v>
      </c>
      <c r="G101" s="10" t="s">
        <v>184</v>
      </c>
      <c r="H101" s="11">
        <v>20765</v>
      </c>
      <c r="I101" s="10">
        <v>0</v>
      </c>
      <c r="J101" s="11">
        <f t="shared" si="3"/>
        <v>20765</v>
      </c>
      <c r="K101" s="12" t="e">
        <f>VLOOKUP(A101,[2]VA05!$A:$K,11,FALSE)</f>
        <v>#N/A</v>
      </c>
      <c r="L101" s="10" t="s">
        <v>12</v>
      </c>
      <c r="M101" s="10" t="s">
        <v>130</v>
      </c>
    </row>
    <row r="102" spans="1:13" x14ac:dyDescent="0.25">
      <c r="A102" s="13" t="str">
        <f t="shared" si="2"/>
        <v>50714276530</v>
      </c>
      <c r="B102" s="10">
        <v>1004052540</v>
      </c>
      <c r="C102" s="10">
        <v>507142765</v>
      </c>
      <c r="D102" s="10">
        <v>30</v>
      </c>
      <c r="E102" s="10" t="s">
        <v>10</v>
      </c>
      <c r="F102" s="10">
        <v>1398386</v>
      </c>
      <c r="G102" s="10" t="s">
        <v>184</v>
      </c>
      <c r="H102" s="11">
        <v>31642</v>
      </c>
      <c r="I102" s="10">
        <v>0</v>
      </c>
      <c r="J102" s="11">
        <f t="shared" si="3"/>
        <v>31642</v>
      </c>
      <c r="K102" s="12">
        <f>VLOOKUP(A102,[2]VA05!$A:$K,11,FALSE)</f>
        <v>45569</v>
      </c>
      <c r="L102" s="10" t="s">
        <v>12</v>
      </c>
      <c r="M102" s="10" t="s">
        <v>180</v>
      </c>
    </row>
    <row r="103" spans="1:13" x14ac:dyDescent="0.25">
      <c r="A103" s="13" t="str">
        <f t="shared" si="2"/>
        <v>50714276540</v>
      </c>
      <c r="B103" s="10">
        <v>1004052541</v>
      </c>
      <c r="C103" s="10">
        <v>507142765</v>
      </c>
      <c r="D103" s="10">
        <v>40</v>
      </c>
      <c r="E103" s="10" t="s">
        <v>10</v>
      </c>
      <c r="F103" s="10">
        <v>1398386</v>
      </c>
      <c r="G103" s="10" t="s">
        <v>184</v>
      </c>
      <c r="H103" s="11">
        <v>31889</v>
      </c>
      <c r="I103" s="10">
        <v>0</v>
      </c>
      <c r="J103" s="11">
        <f t="shared" si="3"/>
        <v>31889</v>
      </c>
      <c r="K103" s="12">
        <f>VLOOKUP(A103,[2]VA05!$A:$K,11,FALSE)</f>
        <v>45576</v>
      </c>
      <c r="L103" s="10" t="s">
        <v>12</v>
      </c>
      <c r="M103" s="10" t="s">
        <v>156</v>
      </c>
    </row>
    <row r="104" spans="1:13" x14ac:dyDescent="0.25">
      <c r="A104" s="13" t="str">
        <f t="shared" si="2"/>
        <v>50714276550</v>
      </c>
      <c r="B104" s="10">
        <v>1004052543</v>
      </c>
      <c r="C104" s="10">
        <v>507142765</v>
      </c>
      <c r="D104" s="10">
        <v>50</v>
      </c>
      <c r="E104" s="10" t="s">
        <v>10</v>
      </c>
      <c r="F104" s="10">
        <v>1398386</v>
      </c>
      <c r="G104" s="10" t="s">
        <v>184</v>
      </c>
      <c r="H104" s="11">
        <v>41283</v>
      </c>
      <c r="I104" s="10">
        <v>0</v>
      </c>
      <c r="J104" s="11">
        <f t="shared" si="3"/>
        <v>41283</v>
      </c>
      <c r="K104" s="12">
        <f>VLOOKUP(A104,[2]VA05!$A:$K,11,FALSE)</f>
        <v>45583</v>
      </c>
      <c r="L104" s="10" t="s">
        <v>12</v>
      </c>
      <c r="M104" s="10" t="s">
        <v>202</v>
      </c>
    </row>
    <row r="105" spans="1:13" x14ac:dyDescent="0.25">
      <c r="A105" s="13" t="str">
        <f t="shared" si="2"/>
        <v>50714276560</v>
      </c>
      <c r="B105" s="10">
        <v>1004052544</v>
      </c>
      <c r="C105" s="10">
        <v>507142765</v>
      </c>
      <c r="D105" s="10">
        <v>60</v>
      </c>
      <c r="E105" s="10" t="s">
        <v>10</v>
      </c>
      <c r="F105" s="10">
        <v>1398386</v>
      </c>
      <c r="G105" s="10" t="s">
        <v>184</v>
      </c>
      <c r="H105" s="11">
        <v>41283</v>
      </c>
      <c r="I105" s="10">
        <v>0</v>
      </c>
      <c r="J105" s="11">
        <f t="shared" si="3"/>
        <v>41283</v>
      </c>
      <c r="K105" s="12">
        <f>VLOOKUP(A105,[2]VA05!$A:$K,11,FALSE)</f>
        <v>45590</v>
      </c>
      <c r="L105" s="10" t="s">
        <v>12</v>
      </c>
      <c r="M105" s="10" t="s">
        <v>191</v>
      </c>
    </row>
    <row r="106" spans="1:13" x14ac:dyDescent="0.25">
      <c r="A106" s="13" t="str">
        <f t="shared" si="2"/>
        <v>50714276630</v>
      </c>
      <c r="B106" s="10">
        <v>1004053432</v>
      </c>
      <c r="C106" s="10">
        <v>507142766</v>
      </c>
      <c r="D106" s="10">
        <v>30</v>
      </c>
      <c r="E106" s="10" t="s">
        <v>10</v>
      </c>
      <c r="F106" s="10">
        <v>1398745</v>
      </c>
      <c r="G106" s="10" t="s">
        <v>212</v>
      </c>
      <c r="H106" s="11">
        <v>33640</v>
      </c>
      <c r="I106" s="11">
        <v>8957</v>
      </c>
      <c r="J106" s="11">
        <f t="shared" si="3"/>
        <v>24683</v>
      </c>
      <c r="K106" s="12">
        <f>VLOOKUP(A106,[2]VA05!$A:$K,11,FALSE)</f>
        <v>45597</v>
      </c>
      <c r="L106" s="10" t="s">
        <v>18</v>
      </c>
      <c r="M106" s="10" t="s">
        <v>195</v>
      </c>
    </row>
    <row r="107" spans="1:13" x14ac:dyDescent="0.25">
      <c r="A107" s="13" t="str">
        <f t="shared" si="2"/>
        <v>50714276630</v>
      </c>
      <c r="B107" s="10">
        <v>1004053439</v>
      </c>
      <c r="C107" s="10">
        <v>507142766</v>
      </c>
      <c r="D107" s="10">
        <v>30</v>
      </c>
      <c r="E107" s="10" t="s">
        <v>10</v>
      </c>
      <c r="F107" s="10">
        <v>1398746</v>
      </c>
      <c r="G107" s="10" t="s">
        <v>213</v>
      </c>
      <c r="H107" s="11">
        <v>34650</v>
      </c>
      <c r="I107" s="11">
        <v>1200</v>
      </c>
      <c r="J107" s="11">
        <f t="shared" si="3"/>
        <v>33450</v>
      </c>
      <c r="K107" s="12">
        <f>VLOOKUP(A107,[2]VA05!$A:$K,11,FALSE)</f>
        <v>45597</v>
      </c>
      <c r="L107" s="10" t="s">
        <v>18</v>
      </c>
      <c r="M107" s="10" t="s">
        <v>194</v>
      </c>
    </row>
    <row r="108" spans="1:13" hidden="1" x14ac:dyDescent="0.25">
      <c r="A108" s="13" t="str">
        <f t="shared" si="2"/>
        <v>50714276610</v>
      </c>
      <c r="B108" s="10">
        <v>1004053433</v>
      </c>
      <c r="C108" s="10">
        <v>507142766</v>
      </c>
      <c r="D108" s="10">
        <v>10</v>
      </c>
      <c r="E108" s="10" t="s">
        <v>10</v>
      </c>
      <c r="F108" s="10">
        <v>1398747</v>
      </c>
      <c r="G108" s="10" t="s">
        <v>214</v>
      </c>
      <c r="H108" s="11">
        <v>10568</v>
      </c>
      <c r="I108" s="11">
        <v>10568</v>
      </c>
      <c r="J108" s="11">
        <f t="shared" si="3"/>
        <v>0</v>
      </c>
      <c r="K108" s="12">
        <f>VLOOKUP(A108,[2]VA05!$A:$K,11,FALSE)</f>
        <v>45560</v>
      </c>
      <c r="L108" s="10" t="s">
        <v>113</v>
      </c>
      <c r="M108" s="10" t="s">
        <v>195</v>
      </c>
    </row>
    <row r="109" spans="1:13" x14ac:dyDescent="0.25">
      <c r="A109" s="13" t="str">
        <f t="shared" si="2"/>
        <v>50714276620</v>
      </c>
      <c r="B109" s="10">
        <v>1004053434</v>
      </c>
      <c r="C109" s="10">
        <v>507142766</v>
      </c>
      <c r="D109" s="10">
        <v>20</v>
      </c>
      <c r="E109" s="10" t="s">
        <v>10</v>
      </c>
      <c r="F109" s="10">
        <v>1398747</v>
      </c>
      <c r="G109" s="10" t="s">
        <v>214</v>
      </c>
      <c r="H109" s="11">
        <v>21136</v>
      </c>
      <c r="I109" s="11">
        <v>3848</v>
      </c>
      <c r="J109" s="11">
        <f t="shared" si="3"/>
        <v>17288</v>
      </c>
      <c r="K109" s="12">
        <f>VLOOKUP(A109,[2]VA05!$A:$K,11,FALSE)</f>
        <v>45562</v>
      </c>
      <c r="L109" s="10" t="s">
        <v>18</v>
      </c>
      <c r="M109" s="10" t="s">
        <v>154</v>
      </c>
    </row>
    <row r="110" spans="1:13" x14ac:dyDescent="0.25">
      <c r="A110" s="13" t="str">
        <f t="shared" si="2"/>
        <v>50714276630</v>
      </c>
      <c r="B110" s="10">
        <v>1004053435</v>
      </c>
      <c r="C110" s="10">
        <v>507142766</v>
      </c>
      <c r="D110" s="10">
        <v>30</v>
      </c>
      <c r="E110" s="10" t="s">
        <v>10</v>
      </c>
      <c r="F110" s="10">
        <v>1398747</v>
      </c>
      <c r="G110" s="10" t="s">
        <v>214</v>
      </c>
      <c r="H110" s="11">
        <v>31148</v>
      </c>
      <c r="I110" s="10">
        <v>0</v>
      </c>
      <c r="J110" s="11">
        <f t="shared" si="3"/>
        <v>31148</v>
      </c>
      <c r="K110" s="12">
        <f>VLOOKUP(A110,[2]VA05!$A:$K,11,FALSE)</f>
        <v>45597</v>
      </c>
      <c r="L110" s="10" t="s">
        <v>12</v>
      </c>
      <c r="M110" s="10" t="s">
        <v>154</v>
      </c>
    </row>
    <row r="111" spans="1:13" x14ac:dyDescent="0.25">
      <c r="A111" s="13" t="str">
        <f t="shared" si="2"/>
        <v>50714270610</v>
      </c>
      <c r="B111" s="10">
        <v>1004052545</v>
      </c>
      <c r="C111" s="10">
        <v>507142706</v>
      </c>
      <c r="D111" s="10">
        <v>10</v>
      </c>
      <c r="E111" s="10" t="s">
        <v>10</v>
      </c>
      <c r="F111" s="10">
        <v>1152845</v>
      </c>
      <c r="G111" s="10" t="s">
        <v>185</v>
      </c>
      <c r="H111" s="11">
        <v>10262</v>
      </c>
      <c r="I111" s="10">
        <v>0</v>
      </c>
      <c r="J111" s="11">
        <f t="shared" si="3"/>
        <v>10262</v>
      </c>
      <c r="K111" s="12">
        <f>VLOOKUP(A111,[2]VA05!$A:$K,11,FALSE)</f>
        <v>45567</v>
      </c>
      <c r="L111" s="10" t="s">
        <v>13</v>
      </c>
      <c r="M111" s="10" t="s">
        <v>195</v>
      </c>
    </row>
    <row r="112" spans="1:13" x14ac:dyDescent="0.25">
      <c r="A112" s="13" t="str">
        <f t="shared" si="2"/>
        <v>50714283610</v>
      </c>
      <c r="B112" s="10">
        <v>1004058753</v>
      </c>
      <c r="C112" s="10">
        <v>507142836</v>
      </c>
      <c r="D112" s="10">
        <v>10</v>
      </c>
      <c r="E112" s="10" t="s">
        <v>10</v>
      </c>
      <c r="F112" s="10">
        <v>1152845</v>
      </c>
      <c r="G112" s="10" t="s">
        <v>185</v>
      </c>
      <c r="H112" s="11">
        <v>25821</v>
      </c>
      <c r="I112" s="10">
        <v>0</v>
      </c>
      <c r="J112" s="11">
        <f t="shared" si="3"/>
        <v>25821</v>
      </c>
      <c r="K112" s="12">
        <f>VLOOKUP(A112,[2]VA05!$A:$K,11,FALSE)</f>
        <v>45588</v>
      </c>
      <c r="L112" s="10" t="s">
        <v>119</v>
      </c>
      <c r="M112" s="10" t="s">
        <v>216</v>
      </c>
    </row>
    <row r="113" spans="1:13" x14ac:dyDescent="0.25">
      <c r="A113" s="13" t="str">
        <f t="shared" si="2"/>
        <v>50714270610</v>
      </c>
      <c r="B113" s="10">
        <v>1004052546</v>
      </c>
      <c r="C113" s="10">
        <v>507142706</v>
      </c>
      <c r="D113" s="10">
        <v>10</v>
      </c>
      <c r="E113" s="10" t="s">
        <v>10</v>
      </c>
      <c r="F113" s="10">
        <v>1207631</v>
      </c>
      <c r="G113" s="10" t="s">
        <v>186</v>
      </c>
      <c r="H113" s="11">
        <v>10776</v>
      </c>
      <c r="I113" s="10">
        <v>0</v>
      </c>
      <c r="J113" s="11">
        <f t="shared" si="3"/>
        <v>10776</v>
      </c>
      <c r="K113" s="12">
        <f>VLOOKUP(A113,[2]VA05!$A:$K,11,FALSE)</f>
        <v>45567</v>
      </c>
      <c r="L113" s="10" t="s">
        <v>13</v>
      </c>
      <c r="M113" s="10" t="s">
        <v>195</v>
      </c>
    </row>
    <row r="114" spans="1:13" x14ac:dyDescent="0.25">
      <c r="A114" s="13" t="str">
        <f t="shared" si="2"/>
        <v>50714271310</v>
      </c>
      <c r="B114" s="10">
        <v>1004052555</v>
      </c>
      <c r="C114" s="10">
        <v>507142713</v>
      </c>
      <c r="D114" s="10">
        <v>10</v>
      </c>
      <c r="E114" s="10" t="s">
        <v>10</v>
      </c>
      <c r="F114" s="10">
        <v>1172472</v>
      </c>
      <c r="G114" s="10" t="s">
        <v>86</v>
      </c>
      <c r="H114" s="11">
        <v>10524</v>
      </c>
      <c r="I114" s="10">
        <v>246</v>
      </c>
      <c r="J114" s="11">
        <f t="shared" si="3"/>
        <v>10278</v>
      </c>
      <c r="K114" s="12">
        <f>VLOOKUP(A114,[2]VA05!$A:$K,11,FALSE)</f>
        <v>45591</v>
      </c>
      <c r="L114" s="10" t="s">
        <v>18</v>
      </c>
      <c r="M114" s="10" t="s">
        <v>203</v>
      </c>
    </row>
    <row r="115" spans="1:13" x14ac:dyDescent="0.25">
      <c r="A115" s="13" t="str">
        <f t="shared" si="2"/>
        <v>50714271340</v>
      </c>
      <c r="B115" s="10">
        <v>1004052556</v>
      </c>
      <c r="C115" s="10">
        <v>507142713</v>
      </c>
      <c r="D115" s="10">
        <v>40</v>
      </c>
      <c r="E115" s="10" t="s">
        <v>10</v>
      </c>
      <c r="F115" s="10">
        <v>1172472</v>
      </c>
      <c r="G115" s="10" t="s">
        <v>86</v>
      </c>
      <c r="H115" s="11">
        <v>10524</v>
      </c>
      <c r="I115" s="10">
        <v>0</v>
      </c>
      <c r="J115" s="11">
        <f t="shared" si="3"/>
        <v>10524</v>
      </c>
      <c r="K115" s="12">
        <f>VLOOKUP(A115,[2]VA05!$A:$K,11,FALSE)</f>
        <v>45591</v>
      </c>
      <c r="L115" s="10" t="s">
        <v>12</v>
      </c>
      <c r="M115" s="10" t="s">
        <v>203</v>
      </c>
    </row>
    <row r="116" spans="1:13" x14ac:dyDescent="0.25">
      <c r="A116" s="13" t="str">
        <f t="shared" si="2"/>
        <v>507142416100</v>
      </c>
      <c r="B116" s="10">
        <v>1004052560</v>
      </c>
      <c r="C116" s="10">
        <v>507142416</v>
      </c>
      <c r="D116" s="10">
        <v>100</v>
      </c>
      <c r="E116" s="10" t="s">
        <v>10</v>
      </c>
      <c r="F116" s="10">
        <v>1171177</v>
      </c>
      <c r="G116" s="10" t="s">
        <v>88</v>
      </c>
      <c r="H116" s="11">
        <v>10170</v>
      </c>
      <c r="I116" s="11">
        <v>1654</v>
      </c>
      <c r="J116" s="11">
        <f t="shared" si="3"/>
        <v>8516</v>
      </c>
      <c r="K116" s="12">
        <f>VLOOKUP(A116,[2]VA05!$A:$K,11,FALSE)</f>
        <v>45580</v>
      </c>
      <c r="L116" s="10" t="s">
        <v>18</v>
      </c>
      <c r="M116" s="10" t="s">
        <v>179</v>
      </c>
    </row>
    <row r="117" spans="1:13" x14ac:dyDescent="0.25">
      <c r="A117" s="13" t="str">
        <f t="shared" si="2"/>
        <v>507142416190</v>
      </c>
      <c r="B117" s="10">
        <v>1004052561</v>
      </c>
      <c r="C117" s="10">
        <v>507142416</v>
      </c>
      <c r="D117" s="10">
        <v>190</v>
      </c>
      <c r="E117" s="10" t="s">
        <v>10</v>
      </c>
      <c r="F117" s="10">
        <v>1171177</v>
      </c>
      <c r="G117" s="10" t="s">
        <v>88</v>
      </c>
      <c r="H117" s="11">
        <v>10170</v>
      </c>
      <c r="I117" s="10">
        <v>0</v>
      </c>
      <c r="J117" s="11">
        <f t="shared" si="3"/>
        <v>10170</v>
      </c>
      <c r="K117" s="12">
        <f>VLOOKUP(A117,[2]VA05!$A:$K,11,FALSE)</f>
        <v>45583</v>
      </c>
      <c r="L117" s="10" t="s">
        <v>12</v>
      </c>
      <c r="M117" s="10" t="s">
        <v>177</v>
      </c>
    </row>
    <row r="118" spans="1:13" x14ac:dyDescent="0.25">
      <c r="A118" s="13" t="str">
        <f t="shared" si="2"/>
        <v>507142416220</v>
      </c>
      <c r="B118" s="10">
        <v>1004052563</v>
      </c>
      <c r="C118" s="10">
        <v>507142416</v>
      </c>
      <c r="D118" s="10">
        <v>220</v>
      </c>
      <c r="E118" s="10" t="s">
        <v>10</v>
      </c>
      <c r="F118" s="10">
        <v>1171177</v>
      </c>
      <c r="G118" s="10" t="s">
        <v>88</v>
      </c>
      <c r="H118" s="11">
        <v>10170</v>
      </c>
      <c r="I118" s="10">
        <v>0</v>
      </c>
      <c r="J118" s="11">
        <f t="shared" si="3"/>
        <v>10170</v>
      </c>
      <c r="K118" s="12">
        <f>VLOOKUP(A118,[2]VA05!$A:$K,11,FALSE)</f>
        <v>45587</v>
      </c>
      <c r="L118" s="10" t="s">
        <v>12</v>
      </c>
      <c r="M118" s="10" t="s">
        <v>109</v>
      </c>
    </row>
    <row r="119" spans="1:13" x14ac:dyDescent="0.25">
      <c r="A119" s="13" t="str">
        <f t="shared" si="2"/>
        <v>50714271320</v>
      </c>
      <c r="B119" s="10">
        <v>1004052564</v>
      </c>
      <c r="C119" s="10">
        <v>507142713</v>
      </c>
      <c r="D119" s="10">
        <v>20</v>
      </c>
      <c r="E119" s="10" t="s">
        <v>10</v>
      </c>
      <c r="F119" s="10">
        <v>1171177</v>
      </c>
      <c r="G119" s="10" t="s">
        <v>88</v>
      </c>
      <c r="H119" s="11">
        <v>10170</v>
      </c>
      <c r="I119" s="10">
        <v>0</v>
      </c>
      <c r="J119" s="11">
        <f t="shared" si="3"/>
        <v>10170</v>
      </c>
      <c r="K119" s="12">
        <f>VLOOKUP(A119,[2]VA05!$A:$K,11,FALSE)</f>
        <v>45591</v>
      </c>
      <c r="L119" s="10" t="s">
        <v>12</v>
      </c>
      <c r="M119" s="10" t="s">
        <v>204</v>
      </c>
    </row>
    <row r="120" spans="1:13" x14ac:dyDescent="0.25">
      <c r="A120" s="13" t="str">
        <f t="shared" si="2"/>
        <v>50714271350</v>
      </c>
      <c r="B120" s="10">
        <v>1004052565</v>
      </c>
      <c r="C120" s="10">
        <v>507142713</v>
      </c>
      <c r="D120" s="10">
        <v>50</v>
      </c>
      <c r="E120" s="10" t="s">
        <v>10</v>
      </c>
      <c r="F120" s="10">
        <v>1171177</v>
      </c>
      <c r="G120" s="10" t="s">
        <v>88</v>
      </c>
      <c r="H120" s="11">
        <v>10170</v>
      </c>
      <c r="I120" s="10">
        <v>0</v>
      </c>
      <c r="J120" s="11">
        <f t="shared" si="3"/>
        <v>10170</v>
      </c>
      <c r="K120" s="12">
        <f>VLOOKUP(A120,[2]VA05!$A:$K,11,FALSE)</f>
        <v>45591</v>
      </c>
      <c r="L120" s="10" t="s">
        <v>12</v>
      </c>
      <c r="M120" s="10" t="s">
        <v>204</v>
      </c>
    </row>
    <row r="121" spans="1:13" x14ac:dyDescent="0.25">
      <c r="A121" s="13" t="str">
        <f t="shared" si="2"/>
        <v>50714241670</v>
      </c>
      <c r="B121" s="10">
        <v>1004052567</v>
      </c>
      <c r="C121" s="10">
        <v>507142416</v>
      </c>
      <c r="D121" s="10">
        <v>70</v>
      </c>
      <c r="E121" s="10" t="s">
        <v>10</v>
      </c>
      <c r="F121" s="10">
        <v>1171178</v>
      </c>
      <c r="G121" s="10" t="s">
        <v>87</v>
      </c>
      <c r="H121" s="11">
        <v>10170</v>
      </c>
      <c r="I121" s="10">
        <v>0</v>
      </c>
      <c r="J121" s="11">
        <f t="shared" si="3"/>
        <v>10170</v>
      </c>
      <c r="K121" s="12">
        <f>VLOOKUP(A121,[2]VA05!$A:$K,11,FALSE)</f>
        <v>45576</v>
      </c>
      <c r="L121" s="10" t="s">
        <v>25</v>
      </c>
      <c r="M121" s="10" t="s">
        <v>162</v>
      </c>
    </row>
    <row r="122" spans="1:13" x14ac:dyDescent="0.25">
      <c r="A122" s="13" t="str">
        <f t="shared" si="2"/>
        <v>507142416100</v>
      </c>
      <c r="B122" s="10">
        <v>1004052568</v>
      </c>
      <c r="C122" s="10">
        <v>507142416</v>
      </c>
      <c r="D122" s="10">
        <v>100</v>
      </c>
      <c r="E122" s="10" t="s">
        <v>10</v>
      </c>
      <c r="F122" s="10">
        <v>1171178</v>
      </c>
      <c r="G122" s="10" t="s">
        <v>87</v>
      </c>
      <c r="H122" s="11">
        <v>10170</v>
      </c>
      <c r="I122" s="10">
        <v>0</v>
      </c>
      <c r="J122" s="11">
        <f t="shared" si="3"/>
        <v>10170</v>
      </c>
      <c r="K122" s="12">
        <f>VLOOKUP(A122,[2]VA05!$A:$K,11,FALSE)</f>
        <v>45580</v>
      </c>
      <c r="L122" s="10" t="s">
        <v>12</v>
      </c>
      <c r="M122" s="10" t="s">
        <v>179</v>
      </c>
    </row>
    <row r="123" spans="1:13" x14ac:dyDescent="0.25">
      <c r="A123" s="13" t="str">
        <f t="shared" si="2"/>
        <v>507142416190</v>
      </c>
      <c r="B123" s="10">
        <v>1004052609</v>
      </c>
      <c r="C123" s="10">
        <v>507142416</v>
      </c>
      <c r="D123" s="10">
        <v>190</v>
      </c>
      <c r="E123" s="10" t="s">
        <v>10</v>
      </c>
      <c r="F123" s="10">
        <v>1171178</v>
      </c>
      <c r="G123" s="10" t="s">
        <v>87</v>
      </c>
      <c r="H123" s="11">
        <v>10170</v>
      </c>
      <c r="I123" s="10">
        <v>0</v>
      </c>
      <c r="J123" s="11">
        <f t="shared" si="3"/>
        <v>10170</v>
      </c>
      <c r="K123" s="12">
        <f>VLOOKUP(A123,[2]VA05!$A:$K,11,FALSE)</f>
        <v>45583</v>
      </c>
      <c r="L123" s="10" t="s">
        <v>12</v>
      </c>
      <c r="M123" s="10" t="s">
        <v>177</v>
      </c>
    </row>
    <row r="124" spans="1:13" x14ac:dyDescent="0.25">
      <c r="A124" s="13" t="str">
        <f t="shared" si="2"/>
        <v>507142416220</v>
      </c>
      <c r="B124" s="10">
        <v>1004052611</v>
      </c>
      <c r="C124" s="10">
        <v>507142416</v>
      </c>
      <c r="D124" s="10">
        <v>220</v>
      </c>
      <c r="E124" s="10" t="s">
        <v>10</v>
      </c>
      <c r="F124" s="10">
        <v>1171178</v>
      </c>
      <c r="G124" s="10" t="s">
        <v>87</v>
      </c>
      <c r="H124" s="11">
        <v>10170</v>
      </c>
      <c r="I124" s="10">
        <v>0</v>
      </c>
      <c r="J124" s="11">
        <f t="shared" si="3"/>
        <v>10170</v>
      </c>
      <c r="K124" s="12">
        <f>VLOOKUP(A124,[2]VA05!$A:$K,11,FALSE)</f>
        <v>45587</v>
      </c>
      <c r="L124" s="10" t="s">
        <v>12</v>
      </c>
      <c r="M124" s="10" t="s">
        <v>109</v>
      </c>
    </row>
    <row r="125" spans="1:13" x14ac:dyDescent="0.25">
      <c r="A125" s="13" t="str">
        <f t="shared" si="2"/>
        <v>50714271320</v>
      </c>
      <c r="B125" s="10">
        <v>1004052612</v>
      </c>
      <c r="C125" s="10">
        <v>507142713</v>
      </c>
      <c r="D125" s="10">
        <v>20</v>
      </c>
      <c r="E125" s="10" t="s">
        <v>10</v>
      </c>
      <c r="F125" s="10">
        <v>1171178</v>
      </c>
      <c r="G125" s="10" t="s">
        <v>87</v>
      </c>
      <c r="H125" s="11">
        <v>10170</v>
      </c>
      <c r="I125" s="10">
        <v>0</v>
      </c>
      <c r="J125" s="11">
        <f t="shared" si="3"/>
        <v>10170</v>
      </c>
      <c r="K125" s="12">
        <f>VLOOKUP(A125,[2]VA05!$A:$K,11,FALSE)</f>
        <v>45591</v>
      </c>
      <c r="L125" s="10" t="s">
        <v>12</v>
      </c>
      <c r="M125" s="10" t="s">
        <v>204</v>
      </c>
    </row>
    <row r="126" spans="1:13" x14ac:dyDescent="0.25">
      <c r="A126" s="13" t="str">
        <f t="shared" si="2"/>
        <v>50714271350</v>
      </c>
      <c r="B126" s="10">
        <v>1004052613</v>
      </c>
      <c r="C126" s="10">
        <v>507142713</v>
      </c>
      <c r="D126" s="10">
        <v>50</v>
      </c>
      <c r="E126" s="10" t="s">
        <v>10</v>
      </c>
      <c r="F126" s="10">
        <v>1171178</v>
      </c>
      <c r="G126" s="10" t="s">
        <v>87</v>
      </c>
      <c r="H126" s="11">
        <v>10170</v>
      </c>
      <c r="I126" s="10">
        <v>0</v>
      </c>
      <c r="J126" s="11">
        <f t="shared" si="3"/>
        <v>10170</v>
      </c>
      <c r="K126" s="12">
        <f>VLOOKUP(A126,[2]VA05!$A:$K,11,FALSE)</f>
        <v>45591</v>
      </c>
      <c r="L126" s="10" t="s">
        <v>12</v>
      </c>
      <c r="M126" s="10" t="s">
        <v>204</v>
      </c>
    </row>
    <row r="127" spans="1:13" x14ac:dyDescent="0.25">
      <c r="A127" s="13" t="str">
        <f t="shared" si="2"/>
        <v>50714262630</v>
      </c>
      <c r="B127" s="10">
        <v>1004052617</v>
      </c>
      <c r="C127" s="10">
        <v>507142626</v>
      </c>
      <c r="D127" s="10">
        <v>30</v>
      </c>
      <c r="E127" s="10" t="s">
        <v>10</v>
      </c>
      <c r="F127" s="10">
        <v>1172030</v>
      </c>
      <c r="G127" s="10" t="s">
        <v>112</v>
      </c>
      <c r="H127" s="11">
        <v>29055</v>
      </c>
      <c r="I127" s="10">
        <v>0</v>
      </c>
      <c r="J127" s="11">
        <f t="shared" si="3"/>
        <v>29055</v>
      </c>
      <c r="K127" s="12">
        <f>VLOOKUP(A127,[2]VA05!$A:$K,11,FALSE)</f>
        <v>45590</v>
      </c>
      <c r="L127" s="10" t="s">
        <v>12</v>
      </c>
      <c r="M127" s="10" t="s">
        <v>154</v>
      </c>
    </row>
    <row r="128" spans="1:13" x14ac:dyDescent="0.25">
      <c r="A128" s="13" t="str">
        <f t="shared" si="2"/>
        <v>50714226520</v>
      </c>
      <c r="B128" s="10">
        <v>1004058766</v>
      </c>
      <c r="C128" s="10">
        <v>507142265</v>
      </c>
      <c r="D128" s="10">
        <v>20</v>
      </c>
      <c r="E128" s="10" t="s">
        <v>10</v>
      </c>
      <c r="F128" s="10">
        <v>1172347</v>
      </c>
      <c r="G128" s="10" t="s">
        <v>237</v>
      </c>
      <c r="H128" s="11">
        <v>40524</v>
      </c>
      <c r="I128" s="10">
        <v>0</v>
      </c>
      <c r="J128" s="11">
        <f t="shared" si="3"/>
        <v>40524</v>
      </c>
      <c r="K128" s="12">
        <f>VLOOKUP(A128,[2]VA05!$A:$K,11,FALSE)</f>
        <v>45576</v>
      </c>
      <c r="L128" s="10" t="s">
        <v>13</v>
      </c>
      <c r="M128" s="10" t="s">
        <v>195</v>
      </c>
    </row>
    <row r="129" spans="1:13" x14ac:dyDescent="0.25">
      <c r="A129" s="13" t="str">
        <f t="shared" si="2"/>
        <v>50714276910</v>
      </c>
      <c r="B129" s="10">
        <v>1004052616</v>
      </c>
      <c r="C129" s="10">
        <v>507142769</v>
      </c>
      <c r="D129" s="10">
        <v>10</v>
      </c>
      <c r="E129" s="10" t="s">
        <v>10</v>
      </c>
      <c r="F129" s="10">
        <v>1167579</v>
      </c>
      <c r="G129" s="10" t="s">
        <v>19</v>
      </c>
      <c r="H129" s="11">
        <v>30683</v>
      </c>
      <c r="I129" s="11">
        <v>4770</v>
      </c>
      <c r="J129" s="11">
        <f t="shared" si="3"/>
        <v>25913</v>
      </c>
      <c r="K129" s="12">
        <f>VLOOKUP(A129,[2]VA05!$A:$K,11,FALSE)</f>
        <v>45575</v>
      </c>
      <c r="L129" s="10" t="s">
        <v>18</v>
      </c>
      <c r="M129" s="10" t="s">
        <v>155</v>
      </c>
    </row>
    <row r="130" spans="1:13" x14ac:dyDescent="0.25">
      <c r="A130" s="13" t="str">
        <f t="shared" si="2"/>
        <v>50714276920</v>
      </c>
      <c r="B130" s="10">
        <v>1004054833</v>
      </c>
      <c r="C130" s="10">
        <v>507142769</v>
      </c>
      <c r="D130" s="10">
        <v>20</v>
      </c>
      <c r="E130" s="10" t="s">
        <v>10</v>
      </c>
      <c r="F130" s="10">
        <v>1173995</v>
      </c>
      <c r="G130" s="10" t="s">
        <v>20</v>
      </c>
      <c r="H130" s="11">
        <v>34793</v>
      </c>
      <c r="I130" s="11">
        <v>4400</v>
      </c>
      <c r="J130" s="11">
        <f t="shared" si="3"/>
        <v>30393</v>
      </c>
      <c r="K130" s="12">
        <f>VLOOKUP(A130,[2]VA05!$A:$K,11,FALSE)</f>
        <v>45575</v>
      </c>
      <c r="L130" s="10" t="s">
        <v>18</v>
      </c>
      <c r="M130" s="10" t="s">
        <v>201</v>
      </c>
    </row>
    <row r="131" spans="1:13" x14ac:dyDescent="0.25">
      <c r="A131" s="13" t="str">
        <f t="shared" si="2"/>
        <v>50714262610</v>
      </c>
      <c r="B131" s="10">
        <v>1004050514</v>
      </c>
      <c r="C131" s="10">
        <v>507142626</v>
      </c>
      <c r="D131" s="10">
        <v>10</v>
      </c>
      <c r="E131" s="10" t="s">
        <v>10</v>
      </c>
      <c r="F131" s="10">
        <v>1212641</v>
      </c>
      <c r="G131" s="10" t="s">
        <v>99</v>
      </c>
      <c r="H131" s="11">
        <v>25858</v>
      </c>
      <c r="I131" s="10">
        <v>0</v>
      </c>
      <c r="J131" s="11">
        <f t="shared" si="3"/>
        <v>25858</v>
      </c>
      <c r="K131" s="12">
        <f>VLOOKUP(A131,[2]VA05!$A:$K,11,FALSE)</f>
        <v>45590</v>
      </c>
      <c r="L131" s="10" t="s">
        <v>27</v>
      </c>
      <c r="M131" s="10" t="s">
        <v>162</v>
      </c>
    </row>
    <row r="132" spans="1:13" x14ac:dyDescent="0.25">
      <c r="A132" s="13" t="str">
        <f t="shared" ref="A132:A195" si="4">C132&amp;D132</f>
        <v>50714226510</v>
      </c>
      <c r="B132" s="10">
        <v>1004050518</v>
      </c>
      <c r="C132" s="10">
        <v>507142265</v>
      </c>
      <c r="D132" s="10">
        <v>10</v>
      </c>
      <c r="E132" s="10" t="s">
        <v>10</v>
      </c>
      <c r="F132" s="10">
        <v>1172346</v>
      </c>
      <c r="G132" s="10" t="s">
        <v>158</v>
      </c>
      <c r="H132" s="11">
        <v>46376</v>
      </c>
      <c r="I132" s="11">
        <v>37708</v>
      </c>
      <c r="J132" s="11">
        <f t="shared" ref="J132:J195" si="5">H132-I132</f>
        <v>8668</v>
      </c>
      <c r="K132" s="12">
        <f>VLOOKUP(A132,[2]VA05!$A:$K,11,FALSE)</f>
        <v>45576</v>
      </c>
      <c r="L132" s="10" t="s">
        <v>11</v>
      </c>
      <c r="M132" s="10" t="s">
        <v>155</v>
      </c>
    </row>
    <row r="133" spans="1:13" x14ac:dyDescent="0.25">
      <c r="A133" s="13" t="str">
        <f t="shared" si="4"/>
        <v>50714270910</v>
      </c>
      <c r="B133" s="10">
        <v>1004058762</v>
      </c>
      <c r="C133" s="10">
        <v>507142709</v>
      </c>
      <c r="D133" s="10">
        <v>10</v>
      </c>
      <c r="E133" s="10" t="s">
        <v>10</v>
      </c>
      <c r="F133" s="10">
        <v>1172346</v>
      </c>
      <c r="G133" s="10" t="s">
        <v>158</v>
      </c>
      <c r="H133" s="11">
        <v>34782</v>
      </c>
      <c r="I133" s="10">
        <v>0</v>
      </c>
      <c r="J133" s="11">
        <f t="shared" si="5"/>
        <v>34782</v>
      </c>
      <c r="K133" s="12">
        <f>VLOOKUP(A133,[2]VA05!$A:$K,11,FALSE)</f>
        <v>45583</v>
      </c>
      <c r="L133" s="10" t="s">
        <v>12</v>
      </c>
      <c r="M133" s="10" t="s">
        <v>162</v>
      </c>
    </row>
    <row r="134" spans="1:13" x14ac:dyDescent="0.25">
      <c r="A134" s="13" t="str">
        <f t="shared" si="4"/>
        <v>50714271010</v>
      </c>
      <c r="B134" s="10">
        <v>1004058763</v>
      </c>
      <c r="C134" s="10">
        <v>507142710</v>
      </c>
      <c r="D134" s="10">
        <v>10</v>
      </c>
      <c r="E134" s="10" t="s">
        <v>10</v>
      </c>
      <c r="F134" s="10">
        <v>1172346</v>
      </c>
      <c r="G134" s="10" t="s">
        <v>158</v>
      </c>
      <c r="H134" s="11">
        <v>34782</v>
      </c>
      <c r="I134" s="10">
        <v>0</v>
      </c>
      <c r="J134" s="11">
        <f t="shared" si="5"/>
        <v>34782</v>
      </c>
      <c r="K134" s="12">
        <f>VLOOKUP(A134,[2]VA05!$A:$K,11,FALSE)</f>
        <v>45596</v>
      </c>
      <c r="L134" s="10" t="s">
        <v>12</v>
      </c>
      <c r="M134" s="10" t="s">
        <v>176</v>
      </c>
    </row>
    <row r="135" spans="1:13" x14ac:dyDescent="0.25">
      <c r="A135" s="13" t="str">
        <f t="shared" si="4"/>
        <v>50714239710</v>
      </c>
      <c r="B135" s="10">
        <v>1004054834</v>
      </c>
      <c r="C135" s="10">
        <v>507142397</v>
      </c>
      <c r="D135" s="10">
        <v>10</v>
      </c>
      <c r="E135" s="10" t="s">
        <v>10</v>
      </c>
      <c r="F135" s="10">
        <v>1195537</v>
      </c>
      <c r="G135" s="10" t="s">
        <v>220</v>
      </c>
      <c r="H135" s="11">
        <v>62346</v>
      </c>
      <c r="I135" s="10">
        <v>0</v>
      </c>
      <c r="J135" s="11">
        <f t="shared" si="5"/>
        <v>62346</v>
      </c>
      <c r="K135" s="12">
        <f>VLOOKUP(A135,[2]VA05!$A:$K,11,FALSE)</f>
        <v>45579</v>
      </c>
      <c r="L135" s="10" t="s">
        <v>12</v>
      </c>
      <c r="M135" s="10" t="s">
        <v>61</v>
      </c>
    </row>
    <row r="136" spans="1:13" x14ac:dyDescent="0.25">
      <c r="A136" s="13" t="str">
        <f t="shared" si="4"/>
        <v>50714247910</v>
      </c>
      <c r="B136" s="10">
        <v>1004054835</v>
      </c>
      <c r="C136" s="10">
        <v>507142479</v>
      </c>
      <c r="D136" s="10">
        <v>10</v>
      </c>
      <c r="E136" s="10" t="s">
        <v>10</v>
      </c>
      <c r="F136" s="10">
        <v>1195537</v>
      </c>
      <c r="G136" s="10" t="s">
        <v>220</v>
      </c>
      <c r="H136" s="11">
        <v>52994</v>
      </c>
      <c r="I136" s="10">
        <v>0</v>
      </c>
      <c r="J136" s="11">
        <f t="shared" si="5"/>
        <v>52994</v>
      </c>
      <c r="K136" s="12">
        <f>VLOOKUP(A136,[2]VA05!$A:$K,11,FALSE)</f>
        <v>45587</v>
      </c>
      <c r="L136" s="10" t="s">
        <v>12</v>
      </c>
      <c r="M136" s="10" t="s">
        <v>155</v>
      </c>
    </row>
    <row r="137" spans="1:13" x14ac:dyDescent="0.25">
      <c r="A137" s="13" t="str">
        <f t="shared" si="4"/>
        <v>50714248010</v>
      </c>
      <c r="B137" s="10">
        <v>1004052386</v>
      </c>
      <c r="C137" s="10">
        <v>507142480</v>
      </c>
      <c r="D137" s="10">
        <v>10</v>
      </c>
      <c r="E137" s="10" t="s">
        <v>10</v>
      </c>
      <c r="F137" s="10">
        <v>1191883</v>
      </c>
      <c r="G137" s="10" t="s">
        <v>125</v>
      </c>
      <c r="H137" s="11">
        <v>57584</v>
      </c>
      <c r="I137" s="11">
        <v>42089</v>
      </c>
      <c r="J137" s="11">
        <f t="shared" si="5"/>
        <v>15495</v>
      </c>
      <c r="K137" s="12">
        <f>VLOOKUP(A137,[2]VA05!$A:$K,11,FALSE)</f>
        <v>45587</v>
      </c>
      <c r="L137" s="10" t="s">
        <v>18</v>
      </c>
      <c r="M137" s="10" t="s">
        <v>195</v>
      </c>
    </row>
    <row r="138" spans="1:13" x14ac:dyDescent="0.25">
      <c r="A138" s="13" t="str">
        <f t="shared" si="4"/>
        <v>50714239810</v>
      </c>
      <c r="B138" s="10">
        <v>1004042839</v>
      </c>
      <c r="C138" s="10">
        <v>507142398</v>
      </c>
      <c r="D138" s="10">
        <v>10</v>
      </c>
      <c r="E138" s="10" t="s">
        <v>10</v>
      </c>
      <c r="F138" s="10">
        <v>1191882</v>
      </c>
      <c r="G138" s="10" t="s">
        <v>137</v>
      </c>
      <c r="H138" s="11">
        <v>62639</v>
      </c>
      <c r="I138" s="11">
        <v>27350</v>
      </c>
      <c r="J138" s="11">
        <f t="shared" si="5"/>
        <v>35289</v>
      </c>
      <c r="K138" s="12">
        <f>VLOOKUP(A138,[2]VA05!$A:$K,11,FALSE)</f>
        <v>45579</v>
      </c>
      <c r="L138" s="10" t="s">
        <v>11</v>
      </c>
      <c r="M138" s="10" t="s">
        <v>195</v>
      </c>
    </row>
    <row r="139" spans="1:13" x14ac:dyDescent="0.25">
      <c r="A139" s="13" t="str">
        <f t="shared" si="4"/>
        <v>50714248010</v>
      </c>
      <c r="B139" s="10">
        <v>1004042840</v>
      </c>
      <c r="C139" s="10">
        <v>507142480</v>
      </c>
      <c r="D139" s="10">
        <v>10</v>
      </c>
      <c r="E139" s="10" t="s">
        <v>10</v>
      </c>
      <c r="F139" s="10">
        <v>1191882</v>
      </c>
      <c r="G139" s="10" t="s">
        <v>137</v>
      </c>
      <c r="H139" s="11">
        <v>51677</v>
      </c>
      <c r="I139" s="10">
        <v>0</v>
      </c>
      <c r="J139" s="11">
        <f t="shared" si="5"/>
        <v>51677</v>
      </c>
      <c r="K139" s="12">
        <f>VLOOKUP(A139,[2]VA05!$A:$K,11,FALSE)</f>
        <v>45587</v>
      </c>
      <c r="L139" s="10" t="s">
        <v>13</v>
      </c>
      <c r="M139" s="10" t="s">
        <v>178</v>
      </c>
    </row>
    <row r="140" spans="1:13" x14ac:dyDescent="0.25">
      <c r="A140" s="13" t="str">
        <f t="shared" si="4"/>
        <v>50714248010</v>
      </c>
      <c r="B140" s="10">
        <v>1004056890</v>
      </c>
      <c r="C140" s="10">
        <v>507142480</v>
      </c>
      <c r="D140" s="10">
        <v>10</v>
      </c>
      <c r="E140" s="10" t="s">
        <v>10</v>
      </c>
      <c r="F140" s="10">
        <v>1191889</v>
      </c>
      <c r="G140" s="10" t="s">
        <v>126</v>
      </c>
      <c r="H140" s="11">
        <v>55990</v>
      </c>
      <c r="I140" s="11">
        <v>29331</v>
      </c>
      <c r="J140" s="11">
        <f t="shared" si="5"/>
        <v>26659</v>
      </c>
      <c r="K140" s="12">
        <f>VLOOKUP(A140,[2]VA05!$A:$K,11,FALSE)</f>
        <v>45587</v>
      </c>
      <c r="L140" s="10" t="s">
        <v>11</v>
      </c>
      <c r="M140" s="10" t="s">
        <v>201</v>
      </c>
    </row>
    <row r="141" spans="1:13" hidden="1" x14ac:dyDescent="0.25">
      <c r="A141" s="13" t="str">
        <f t="shared" si="4"/>
        <v>50714248010</v>
      </c>
      <c r="B141" s="10">
        <v>1004058760</v>
      </c>
      <c r="C141" s="10">
        <v>507142480</v>
      </c>
      <c r="D141" s="10">
        <v>10</v>
      </c>
      <c r="E141" s="10" t="s">
        <v>24</v>
      </c>
      <c r="F141" s="10">
        <v>1191889</v>
      </c>
      <c r="G141" s="10" t="s">
        <v>126</v>
      </c>
      <c r="H141" s="11">
        <v>8000</v>
      </c>
      <c r="I141" s="10">
        <v>0</v>
      </c>
      <c r="J141" s="11">
        <f t="shared" si="5"/>
        <v>8000</v>
      </c>
      <c r="K141" s="12">
        <f>VLOOKUP(A141,[2]VA05!$A:$K,11,FALSE)</f>
        <v>45587</v>
      </c>
      <c r="L141" s="10" t="s">
        <v>25</v>
      </c>
      <c r="M141" s="10" t="s">
        <v>195</v>
      </c>
    </row>
    <row r="142" spans="1:13" hidden="1" x14ac:dyDescent="0.25">
      <c r="A142" s="13" t="str">
        <f t="shared" si="4"/>
        <v>50714278320</v>
      </c>
      <c r="B142" s="10">
        <v>1004056039</v>
      </c>
      <c r="C142" s="10">
        <v>507142783</v>
      </c>
      <c r="D142" s="10">
        <v>20</v>
      </c>
      <c r="E142" s="10" t="s">
        <v>10</v>
      </c>
      <c r="F142" s="10">
        <v>1161035</v>
      </c>
      <c r="G142" s="10" t="s">
        <v>222</v>
      </c>
      <c r="H142" s="11">
        <v>25747</v>
      </c>
      <c r="I142" s="10">
        <v>0</v>
      </c>
      <c r="J142" s="11">
        <f t="shared" si="5"/>
        <v>25747</v>
      </c>
      <c r="K142" s="12">
        <f>VLOOKUP(A142,[2]VA05!$A:$K,11,FALSE)</f>
        <v>45582</v>
      </c>
      <c r="L142" s="10" t="s">
        <v>13</v>
      </c>
      <c r="M142" s="10" t="s">
        <v>202</v>
      </c>
    </row>
    <row r="143" spans="1:13" hidden="1" x14ac:dyDescent="0.25">
      <c r="A143" s="13" t="str">
        <f t="shared" si="4"/>
        <v>50714271610</v>
      </c>
      <c r="B143" s="10">
        <v>1004056047</v>
      </c>
      <c r="C143" s="10">
        <v>507142716</v>
      </c>
      <c r="D143" s="10">
        <v>10</v>
      </c>
      <c r="E143" s="10" t="s">
        <v>10</v>
      </c>
      <c r="F143" s="10">
        <v>1159340</v>
      </c>
      <c r="G143" s="10" t="s">
        <v>223</v>
      </c>
      <c r="H143" s="11">
        <v>18391</v>
      </c>
      <c r="I143" s="10">
        <v>0</v>
      </c>
      <c r="J143" s="11">
        <f t="shared" si="5"/>
        <v>18391</v>
      </c>
      <c r="K143" s="12">
        <f>VLOOKUP(A143,[2]VA05!$A:$K,11,FALSE)</f>
        <v>45569</v>
      </c>
      <c r="L143" s="10" t="s">
        <v>13</v>
      </c>
      <c r="M143" s="10" t="s">
        <v>180</v>
      </c>
    </row>
    <row r="144" spans="1:13" hidden="1" x14ac:dyDescent="0.25">
      <c r="A144" s="13" t="str">
        <f t="shared" si="4"/>
        <v>50714279710</v>
      </c>
      <c r="B144" s="10">
        <v>1004058006</v>
      </c>
      <c r="C144" s="10">
        <v>507142797</v>
      </c>
      <c r="D144" s="10">
        <v>10</v>
      </c>
      <c r="E144" s="10" t="s">
        <v>10</v>
      </c>
      <c r="F144" s="10">
        <v>1161417</v>
      </c>
      <c r="G144" s="10" t="s">
        <v>228</v>
      </c>
      <c r="H144" s="11">
        <v>25543</v>
      </c>
      <c r="I144" s="10">
        <v>0</v>
      </c>
      <c r="J144" s="11">
        <f t="shared" si="5"/>
        <v>25543</v>
      </c>
      <c r="K144" s="12">
        <f>VLOOKUP(A144,[2]VA05!$A:$K,11,FALSE)</f>
        <v>45588</v>
      </c>
      <c r="L144" s="10" t="s">
        <v>12</v>
      </c>
      <c r="M144" s="10" t="s">
        <v>177</v>
      </c>
    </row>
    <row r="145" spans="1:13" hidden="1" x14ac:dyDescent="0.25">
      <c r="A145" s="13" t="str">
        <f t="shared" si="4"/>
        <v>50714278110</v>
      </c>
      <c r="B145" s="10">
        <v>1004058007</v>
      </c>
      <c r="C145" s="10">
        <v>507142781</v>
      </c>
      <c r="D145" s="10">
        <v>10</v>
      </c>
      <c r="E145" s="10" t="s">
        <v>10</v>
      </c>
      <c r="F145" s="10">
        <v>1161417</v>
      </c>
      <c r="G145" s="10" t="s">
        <v>228</v>
      </c>
      <c r="H145" s="11">
        <v>5109</v>
      </c>
      <c r="I145" s="10">
        <v>0</v>
      </c>
      <c r="J145" s="11">
        <f t="shared" si="5"/>
        <v>5109</v>
      </c>
      <c r="K145" s="12">
        <f>VLOOKUP(A145,[2]VA05!$A:$K,11,FALSE)</f>
        <v>45595</v>
      </c>
      <c r="L145" s="10" t="s">
        <v>12</v>
      </c>
      <c r="M145" s="10" t="s">
        <v>196</v>
      </c>
    </row>
    <row r="146" spans="1:13" hidden="1" x14ac:dyDescent="0.25">
      <c r="A146" s="13" t="str">
        <f t="shared" si="4"/>
        <v>50714271120</v>
      </c>
      <c r="B146" s="10">
        <v>1004058008</v>
      </c>
      <c r="C146" s="10">
        <v>507142711</v>
      </c>
      <c r="D146" s="10">
        <v>20</v>
      </c>
      <c r="E146" s="10" t="s">
        <v>10</v>
      </c>
      <c r="F146" s="10">
        <v>1161417</v>
      </c>
      <c r="G146" s="10" t="s">
        <v>228</v>
      </c>
      <c r="H146" s="11">
        <v>6845</v>
      </c>
      <c r="I146" s="10">
        <v>0</v>
      </c>
      <c r="J146" s="11">
        <f t="shared" si="5"/>
        <v>6845</v>
      </c>
      <c r="K146" s="12">
        <f>VLOOKUP(A146,[2]VA05!$A:$K,11,FALSE)</f>
        <v>45565</v>
      </c>
      <c r="L146" s="10" t="s">
        <v>12</v>
      </c>
      <c r="M146" s="10" t="s">
        <v>155</v>
      </c>
    </row>
    <row r="147" spans="1:13" x14ac:dyDescent="0.25">
      <c r="A147" s="13" t="str">
        <f t="shared" si="4"/>
        <v>50714259410</v>
      </c>
      <c r="B147" s="10">
        <v>1004042029</v>
      </c>
      <c r="C147" s="10">
        <v>507142594</v>
      </c>
      <c r="D147" s="10">
        <v>10</v>
      </c>
      <c r="E147" s="10" t="s">
        <v>10</v>
      </c>
      <c r="F147" s="10">
        <v>1307502</v>
      </c>
      <c r="G147" s="10" t="s">
        <v>127</v>
      </c>
      <c r="H147" s="11">
        <v>5220</v>
      </c>
      <c r="I147" s="10">
        <v>0</v>
      </c>
      <c r="J147" s="11">
        <f t="shared" si="5"/>
        <v>5220</v>
      </c>
      <c r="K147" s="12">
        <f>VLOOKUP(A147,[2]VA05!$A:$K,11,FALSE)</f>
        <v>45552</v>
      </c>
      <c r="L147" s="10" t="s">
        <v>13</v>
      </c>
      <c r="M147" s="10" t="s">
        <v>95</v>
      </c>
    </row>
    <row r="148" spans="1:13" x14ac:dyDescent="0.25">
      <c r="A148" s="13" t="str">
        <f t="shared" si="4"/>
        <v>50714259420</v>
      </c>
      <c r="B148" s="10">
        <v>1004042030</v>
      </c>
      <c r="C148" s="10">
        <v>507142594</v>
      </c>
      <c r="D148" s="10">
        <v>20</v>
      </c>
      <c r="E148" s="10" t="s">
        <v>10</v>
      </c>
      <c r="F148" s="10">
        <v>1307502</v>
      </c>
      <c r="G148" s="10" t="s">
        <v>127</v>
      </c>
      <c r="H148" s="11">
        <v>5220</v>
      </c>
      <c r="I148" s="10">
        <v>0</v>
      </c>
      <c r="J148" s="11">
        <f t="shared" si="5"/>
        <v>5220</v>
      </c>
      <c r="K148" s="12">
        <f>VLOOKUP(A148,[2]VA05!$A:$K,11,FALSE)</f>
        <v>45552</v>
      </c>
      <c r="L148" s="10" t="s">
        <v>13</v>
      </c>
      <c r="M148" s="10" t="s">
        <v>95</v>
      </c>
    </row>
    <row r="149" spans="1:13" x14ac:dyDescent="0.25">
      <c r="A149" s="13" t="str">
        <f t="shared" si="4"/>
        <v>50714259410</v>
      </c>
      <c r="B149" s="10">
        <v>1004050305</v>
      </c>
      <c r="C149" s="10">
        <v>507142594</v>
      </c>
      <c r="D149" s="10">
        <v>10</v>
      </c>
      <c r="E149" s="10" t="s">
        <v>10</v>
      </c>
      <c r="F149" s="10">
        <v>1307503</v>
      </c>
      <c r="G149" s="10" t="s">
        <v>159</v>
      </c>
      <c r="H149" s="11">
        <v>5109</v>
      </c>
      <c r="I149" s="10">
        <v>0</v>
      </c>
      <c r="J149" s="11">
        <f t="shared" si="5"/>
        <v>5109</v>
      </c>
      <c r="K149" s="12">
        <f>VLOOKUP(A149,[2]VA05!$A:$K,11,FALSE)</f>
        <v>45552</v>
      </c>
      <c r="L149" s="10" t="s">
        <v>25</v>
      </c>
      <c r="M149" s="10" t="s">
        <v>154</v>
      </c>
    </row>
    <row r="150" spans="1:13" x14ac:dyDescent="0.25">
      <c r="A150" s="13" t="str">
        <f t="shared" si="4"/>
        <v>50714259420</v>
      </c>
      <c r="B150" s="10">
        <v>1004050306</v>
      </c>
      <c r="C150" s="10">
        <v>507142594</v>
      </c>
      <c r="D150" s="10">
        <v>20</v>
      </c>
      <c r="E150" s="10" t="s">
        <v>10</v>
      </c>
      <c r="F150" s="10">
        <v>1307503</v>
      </c>
      <c r="G150" s="10" t="s">
        <v>159</v>
      </c>
      <c r="H150" s="11">
        <v>5109</v>
      </c>
      <c r="I150" s="10">
        <v>0</v>
      </c>
      <c r="J150" s="11">
        <f t="shared" si="5"/>
        <v>5109</v>
      </c>
      <c r="K150" s="12">
        <f>VLOOKUP(A150,[2]VA05!$A:$K,11,FALSE)</f>
        <v>45552</v>
      </c>
      <c r="L150" s="10" t="s">
        <v>25</v>
      </c>
      <c r="M150" s="10" t="s">
        <v>154</v>
      </c>
    </row>
    <row r="151" spans="1:13" x14ac:dyDescent="0.25">
      <c r="A151" s="13" t="str">
        <f t="shared" si="4"/>
        <v>50714259410</v>
      </c>
      <c r="B151" s="10">
        <v>1004050308</v>
      </c>
      <c r="C151" s="10">
        <v>507142594</v>
      </c>
      <c r="D151" s="10">
        <v>10</v>
      </c>
      <c r="E151" s="10" t="s">
        <v>10</v>
      </c>
      <c r="F151" s="10">
        <v>1307501</v>
      </c>
      <c r="G151" s="10" t="s">
        <v>160</v>
      </c>
      <c r="H151" s="11">
        <v>5220</v>
      </c>
      <c r="I151" s="11">
        <v>1920</v>
      </c>
      <c r="J151" s="11">
        <f t="shared" si="5"/>
        <v>3300</v>
      </c>
      <c r="K151" s="12">
        <f>VLOOKUP(A151,[2]VA05!$A:$K,11,FALSE)</f>
        <v>45552</v>
      </c>
      <c r="L151" s="10" t="s">
        <v>18</v>
      </c>
      <c r="M151" s="10" t="s">
        <v>194</v>
      </c>
    </row>
    <row r="152" spans="1:13" x14ac:dyDescent="0.25">
      <c r="A152" s="13" t="str">
        <f t="shared" si="4"/>
        <v>50714259420</v>
      </c>
      <c r="B152" s="10">
        <v>1004050509</v>
      </c>
      <c r="C152" s="10">
        <v>507142594</v>
      </c>
      <c r="D152" s="10">
        <v>20</v>
      </c>
      <c r="E152" s="10" t="s">
        <v>10</v>
      </c>
      <c r="F152" s="10">
        <v>1307501</v>
      </c>
      <c r="G152" s="10" t="s">
        <v>160</v>
      </c>
      <c r="H152" s="11">
        <v>5220</v>
      </c>
      <c r="I152" s="10">
        <v>0</v>
      </c>
      <c r="J152" s="11">
        <f t="shared" si="5"/>
        <v>5220</v>
      </c>
      <c r="K152" s="12">
        <f>VLOOKUP(A152,[2]VA05!$A:$K,11,FALSE)</f>
        <v>45552</v>
      </c>
      <c r="L152" s="10" t="s">
        <v>56</v>
      </c>
      <c r="M152" s="10" t="s">
        <v>194</v>
      </c>
    </row>
    <row r="153" spans="1:13" x14ac:dyDescent="0.25">
      <c r="A153" s="13" t="str">
        <f t="shared" si="4"/>
        <v>50714255810</v>
      </c>
      <c r="B153" s="10">
        <v>1004042232</v>
      </c>
      <c r="C153" s="10">
        <v>507142558</v>
      </c>
      <c r="D153" s="10">
        <v>10</v>
      </c>
      <c r="E153" s="10" t="s">
        <v>10</v>
      </c>
      <c r="F153" s="10">
        <v>1209582</v>
      </c>
      <c r="G153" s="10" t="s">
        <v>128</v>
      </c>
      <c r="H153" s="11">
        <v>61302</v>
      </c>
      <c r="I153" s="10">
        <v>0</v>
      </c>
      <c r="J153" s="11">
        <f t="shared" si="5"/>
        <v>61302</v>
      </c>
      <c r="K153" s="12">
        <f>VLOOKUP(A153,[2]VA05!$A:$K,11,FALSE)</f>
        <v>45562</v>
      </c>
      <c r="L153" s="10" t="s">
        <v>25</v>
      </c>
      <c r="M153" s="10" t="s">
        <v>201</v>
      </c>
    </row>
    <row r="154" spans="1:13" x14ac:dyDescent="0.25">
      <c r="A154" s="13" t="str">
        <f t="shared" si="4"/>
        <v>50714255810</v>
      </c>
      <c r="B154" s="10">
        <v>1004035205</v>
      </c>
      <c r="C154" s="10">
        <v>507142558</v>
      </c>
      <c r="D154" s="10">
        <v>10</v>
      </c>
      <c r="E154" s="10" t="s">
        <v>10</v>
      </c>
      <c r="F154" s="10">
        <v>1209580</v>
      </c>
      <c r="G154" s="10" t="s">
        <v>100</v>
      </c>
      <c r="H154" s="11">
        <v>61302</v>
      </c>
      <c r="I154" s="11">
        <v>4800</v>
      </c>
      <c r="J154" s="11">
        <f t="shared" si="5"/>
        <v>56502</v>
      </c>
      <c r="K154" s="12">
        <f>VLOOKUP(A154,[2]VA05!$A:$K,11,FALSE)</f>
        <v>45562</v>
      </c>
      <c r="L154" s="10" t="s">
        <v>18</v>
      </c>
      <c r="M154" s="10" t="s">
        <v>194</v>
      </c>
    </row>
    <row r="155" spans="1:13" x14ac:dyDescent="0.25">
      <c r="A155" s="13" t="str">
        <f t="shared" si="4"/>
        <v>50714255810</v>
      </c>
      <c r="B155" s="10">
        <v>1004042231</v>
      </c>
      <c r="C155" s="10">
        <v>507142558</v>
      </c>
      <c r="D155" s="10">
        <v>10</v>
      </c>
      <c r="E155" s="10" t="s">
        <v>10</v>
      </c>
      <c r="F155" s="10">
        <v>1209581</v>
      </c>
      <c r="G155" s="10" t="s">
        <v>129</v>
      </c>
      <c r="H155" s="11">
        <v>61302</v>
      </c>
      <c r="I155" s="11">
        <v>43600</v>
      </c>
      <c r="J155" s="11">
        <f t="shared" si="5"/>
        <v>17702</v>
      </c>
      <c r="K155" s="12">
        <f>VLOOKUP(A155,[2]VA05!$A:$K,11,FALSE)</f>
        <v>45562</v>
      </c>
      <c r="L155" s="10" t="s">
        <v>18</v>
      </c>
      <c r="M155" s="10" t="s">
        <v>195</v>
      </c>
    </row>
    <row r="156" spans="1:13" x14ac:dyDescent="0.25">
      <c r="A156" s="13" t="str">
        <f t="shared" si="4"/>
        <v>50714244520</v>
      </c>
      <c r="B156" s="10">
        <v>1004053208</v>
      </c>
      <c r="C156" s="10">
        <v>507142445</v>
      </c>
      <c r="D156" s="10">
        <v>20</v>
      </c>
      <c r="E156" s="10" t="s">
        <v>10</v>
      </c>
      <c r="F156" s="10">
        <v>1210955</v>
      </c>
      <c r="G156" s="10" t="s">
        <v>215</v>
      </c>
      <c r="H156" s="11">
        <v>53210</v>
      </c>
      <c r="I156" s="10">
        <v>0</v>
      </c>
      <c r="J156" s="11">
        <f t="shared" si="5"/>
        <v>53210</v>
      </c>
      <c r="K156" s="12">
        <f>VLOOKUP(A156,[2]VA05!$A:$K,11,FALSE)</f>
        <v>45595</v>
      </c>
      <c r="L156" s="10" t="s">
        <v>239</v>
      </c>
      <c r="M156" s="10" t="s">
        <v>216</v>
      </c>
    </row>
    <row r="157" spans="1:13" x14ac:dyDescent="0.25">
      <c r="A157" s="13" t="str">
        <f t="shared" si="4"/>
        <v>50714244520</v>
      </c>
      <c r="B157" s="10">
        <v>1004052416</v>
      </c>
      <c r="C157" s="10">
        <v>507142445</v>
      </c>
      <c r="D157" s="10">
        <v>20</v>
      </c>
      <c r="E157" s="10" t="s">
        <v>10</v>
      </c>
      <c r="F157" s="10">
        <v>1259266</v>
      </c>
      <c r="G157" s="10" t="s">
        <v>64</v>
      </c>
      <c r="H157" s="11">
        <v>51912</v>
      </c>
      <c r="I157" s="10">
        <v>0</v>
      </c>
      <c r="J157" s="11">
        <f t="shared" si="5"/>
        <v>51912</v>
      </c>
      <c r="K157" s="12">
        <f>VLOOKUP(A157,[2]VA05!$A:$K,11,FALSE)</f>
        <v>45595</v>
      </c>
      <c r="L157" s="10" t="s">
        <v>239</v>
      </c>
      <c r="M157" s="10" t="s">
        <v>199</v>
      </c>
    </row>
    <row r="158" spans="1:13" x14ac:dyDescent="0.25">
      <c r="A158" s="13" t="str">
        <f t="shared" si="4"/>
        <v>50714244520</v>
      </c>
      <c r="B158" s="10">
        <v>1004052417</v>
      </c>
      <c r="C158" s="10">
        <v>507142445</v>
      </c>
      <c r="D158" s="10">
        <v>20</v>
      </c>
      <c r="E158" s="10" t="s">
        <v>10</v>
      </c>
      <c r="F158" s="10">
        <v>1259265</v>
      </c>
      <c r="G158" s="10" t="s">
        <v>187</v>
      </c>
      <c r="H158" s="11">
        <v>53210</v>
      </c>
      <c r="I158" s="10">
        <v>0</v>
      </c>
      <c r="J158" s="11">
        <f t="shared" si="5"/>
        <v>53210</v>
      </c>
      <c r="K158" s="12">
        <f>VLOOKUP(A158,[2]VA05!$A:$K,11,FALSE)</f>
        <v>45595</v>
      </c>
      <c r="L158" s="10" t="s">
        <v>12</v>
      </c>
      <c r="M158" s="10" t="s">
        <v>202</v>
      </c>
    </row>
    <row r="159" spans="1:13" x14ac:dyDescent="0.25">
      <c r="A159" s="13" t="str">
        <f t="shared" si="4"/>
        <v>50714264710</v>
      </c>
      <c r="B159" s="10">
        <v>1004045115</v>
      </c>
      <c r="C159" s="10">
        <v>507142647</v>
      </c>
      <c r="D159" s="10">
        <v>10</v>
      </c>
      <c r="E159" s="10" t="s">
        <v>10</v>
      </c>
      <c r="F159" s="10">
        <v>1168128</v>
      </c>
      <c r="G159" s="10" t="s">
        <v>77</v>
      </c>
      <c r="H159" s="11">
        <v>54355</v>
      </c>
      <c r="I159" s="10">
        <v>0</v>
      </c>
      <c r="J159" s="11">
        <f t="shared" si="5"/>
        <v>54355</v>
      </c>
      <c r="K159" s="12">
        <f>VLOOKUP(A159,[2]VA05!$A:$K,11,FALSE)</f>
        <v>45565</v>
      </c>
      <c r="L159" s="10" t="s">
        <v>25</v>
      </c>
      <c r="M159" s="10" t="s">
        <v>154</v>
      </c>
    </row>
    <row r="160" spans="1:13" x14ac:dyDescent="0.25">
      <c r="A160" s="13" t="str">
        <f t="shared" si="4"/>
        <v>50714278810</v>
      </c>
      <c r="B160" s="10">
        <v>1004053488</v>
      </c>
      <c r="C160" s="10">
        <v>507142788</v>
      </c>
      <c r="D160" s="10">
        <v>10</v>
      </c>
      <c r="E160" s="10" t="s">
        <v>10</v>
      </c>
      <c r="F160" s="10">
        <v>1168128</v>
      </c>
      <c r="G160" s="10" t="s">
        <v>77</v>
      </c>
      <c r="H160" s="11">
        <v>56529</v>
      </c>
      <c r="I160" s="10">
        <v>0</v>
      </c>
      <c r="J160" s="11">
        <f t="shared" si="5"/>
        <v>56529</v>
      </c>
      <c r="K160" s="12">
        <f>VLOOKUP(A160,[2]VA05!$A:$K,11,FALSE)</f>
        <v>45582</v>
      </c>
      <c r="L160" s="10" t="s">
        <v>12</v>
      </c>
      <c r="M160" s="10" t="s">
        <v>162</v>
      </c>
    </row>
    <row r="161" spans="1:13" x14ac:dyDescent="0.25">
      <c r="A161" s="13" t="str">
        <f t="shared" si="4"/>
        <v>50714264710</v>
      </c>
      <c r="B161" s="10">
        <v>1004038443</v>
      </c>
      <c r="C161" s="10">
        <v>507142647</v>
      </c>
      <c r="D161" s="10">
        <v>10</v>
      </c>
      <c r="E161" s="10" t="s">
        <v>10</v>
      </c>
      <c r="F161" s="10">
        <v>1168125</v>
      </c>
      <c r="G161" s="10" t="s">
        <v>32</v>
      </c>
      <c r="H161" s="11">
        <v>54355</v>
      </c>
      <c r="I161" s="11">
        <v>48706</v>
      </c>
      <c r="J161" s="11">
        <f t="shared" si="5"/>
        <v>5649</v>
      </c>
      <c r="K161" s="12">
        <f>VLOOKUP(A161,[2]VA05!$A:$K,11,FALSE)</f>
        <v>45565</v>
      </c>
      <c r="L161" s="10" t="s">
        <v>18</v>
      </c>
      <c r="M161" s="10" t="s">
        <v>180</v>
      </c>
    </row>
    <row r="162" spans="1:13" x14ac:dyDescent="0.25">
      <c r="A162" s="13" t="str">
        <f t="shared" si="4"/>
        <v>50714264910</v>
      </c>
      <c r="B162" s="10">
        <v>1004038445</v>
      </c>
      <c r="C162" s="10">
        <v>507142649</v>
      </c>
      <c r="D162" s="10">
        <v>10</v>
      </c>
      <c r="E162" s="10" t="s">
        <v>10</v>
      </c>
      <c r="F162" s="10">
        <v>1168125</v>
      </c>
      <c r="G162" s="10" t="s">
        <v>32</v>
      </c>
      <c r="H162" s="11">
        <v>51094</v>
      </c>
      <c r="I162" s="10">
        <v>0</v>
      </c>
      <c r="J162" s="11">
        <f t="shared" si="5"/>
        <v>51094</v>
      </c>
      <c r="K162" s="12" t="e">
        <f>VLOOKUP(A162,[2]VA05!$A:$K,11,FALSE)</f>
        <v>#N/A</v>
      </c>
      <c r="L162" s="10" t="s">
        <v>25</v>
      </c>
      <c r="M162" s="10" t="s">
        <v>154</v>
      </c>
    </row>
    <row r="163" spans="1:13" x14ac:dyDescent="0.25">
      <c r="A163" s="13" t="str">
        <f t="shared" si="4"/>
        <v>50714268810</v>
      </c>
      <c r="B163" s="10">
        <v>1004051400</v>
      </c>
      <c r="C163" s="10">
        <v>507142688</v>
      </c>
      <c r="D163" s="10">
        <v>10</v>
      </c>
      <c r="E163" s="10" t="s">
        <v>10</v>
      </c>
      <c r="F163" s="10">
        <v>1430111</v>
      </c>
      <c r="G163" s="10" t="s">
        <v>101</v>
      </c>
      <c r="H163" s="11">
        <v>122842</v>
      </c>
      <c r="I163" s="11">
        <v>8400</v>
      </c>
      <c r="J163" s="11">
        <f t="shared" si="5"/>
        <v>114442</v>
      </c>
      <c r="K163" s="12">
        <f>VLOOKUP(A163,[2]VA05!$A:$K,11,FALSE)</f>
        <v>45567</v>
      </c>
      <c r="L163" s="10" t="s">
        <v>18</v>
      </c>
      <c r="M163" s="10" t="s">
        <v>107</v>
      </c>
    </row>
    <row r="164" spans="1:13" x14ac:dyDescent="0.25">
      <c r="A164" s="13" t="str">
        <f t="shared" si="4"/>
        <v>50714239390</v>
      </c>
      <c r="B164" s="10">
        <v>1004032826</v>
      </c>
      <c r="C164" s="10">
        <v>507142393</v>
      </c>
      <c r="D164" s="10">
        <v>90</v>
      </c>
      <c r="E164" s="10" t="s">
        <v>10</v>
      </c>
      <c r="F164" s="10">
        <v>1416752</v>
      </c>
      <c r="G164" s="10" t="s">
        <v>52</v>
      </c>
      <c r="H164" s="11">
        <v>47012</v>
      </c>
      <c r="I164" s="11">
        <v>38740</v>
      </c>
      <c r="J164" s="11">
        <f t="shared" si="5"/>
        <v>8272</v>
      </c>
      <c r="K164" s="12" t="e">
        <f>VLOOKUP(A164,[2]VA05!$A:$K,11,FALSE)</f>
        <v>#N/A</v>
      </c>
      <c r="L164" s="10" t="s">
        <v>11</v>
      </c>
      <c r="M164" s="10" t="s">
        <v>73</v>
      </c>
    </row>
    <row r="165" spans="1:13" x14ac:dyDescent="0.25">
      <c r="A165" s="13" t="str">
        <f t="shared" si="4"/>
        <v>507142416150</v>
      </c>
      <c r="B165" s="10">
        <v>1004052419</v>
      </c>
      <c r="C165" s="10">
        <v>507142416</v>
      </c>
      <c r="D165" s="10">
        <v>150</v>
      </c>
      <c r="E165" s="10" t="s">
        <v>10</v>
      </c>
      <c r="F165" s="10">
        <v>1269350</v>
      </c>
      <c r="G165" s="10" t="s">
        <v>188</v>
      </c>
      <c r="H165" s="11">
        <v>10439</v>
      </c>
      <c r="I165" s="10">
        <v>0</v>
      </c>
      <c r="J165" s="11">
        <f t="shared" si="5"/>
        <v>10439</v>
      </c>
      <c r="K165" s="12">
        <f>VLOOKUP(A165,[2]VA05!$A:$K,11,FALSE)</f>
        <v>45576</v>
      </c>
      <c r="L165" s="10" t="s">
        <v>12</v>
      </c>
      <c r="M165" s="10" t="s">
        <v>156</v>
      </c>
    </row>
    <row r="166" spans="1:13" x14ac:dyDescent="0.25">
      <c r="A166" s="13" t="str">
        <f t="shared" si="4"/>
        <v>50714268820</v>
      </c>
      <c r="B166" s="10">
        <v>1004052420</v>
      </c>
      <c r="C166" s="10">
        <v>507142688</v>
      </c>
      <c r="D166" s="10">
        <v>20</v>
      </c>
      <c r="E166" s="10" t="s">
        <v>10</v>
      </c>
      <c r="F166" s="10">
        <v>1430096</v>
      </c>
      <c r="G166" s="10" t="s">
        <v>93</v>
      </c>
      <c r="H166" s="11">
        <v>134120</v>
      </c>
      <c r="I166" s="11">
        <v>24100</v>
      </c>
      <c r="J166" s="11">
        <f t="shared" si="5"/>
        <v>110020</v>
      </c>
      <c r="K166" s="12">
        <f>VLOOKUP(A166,[2]VA05!$A:$K,11,FALSE)</f>
        <v>45567</v>
      </c>
      <c r="L166" s="10" t="s">
        <v>18</v>
      </c>
      <c r="M166" s="10" t="s">
        <v>195</v>
      </c>
    </row>
    <row r="167" spans="1:13" x14ac:dyDescent="0.25">
      <c r="A167" s="13" t="str">
        <f t="shared" si="4"/>
        <v>50714264820</v>
      </c>
      <c r="B167" s="10">
        <v>1004034229</v>
      </c>
      <c r="C167" s="10">
        <v>507142648</v>
      </c>
      <c r="D167" s="10">
        <v>20</v>
      </c>
      <c r="E167" s="10" t="s">
        <v>10</v>
      </c>
      <c r="F167" s="10">
        <v>1421506</v>
      </c>
      <c r="G167" s="10" t="s">
        <v>75</v>
      </c>
      <c r="H167" s="11">
        <v>106418</v>
      </c>
      <c r="I167" s="11">
        <v>87176</v>
      </c>
      <c r="J167" s="11">
        <f t="shared" si="5"/>
        <v>19242</v>
      </c>
      <c r="K167" s="12" t="e">
        <f>VLOOKUP(A167,[2]VA05!$A:$K,11,FALSE)</f>
        <v>#N/A</v>
      </c>
      <c r="L167" s="10" t="s">
        <v>18</v>
      </c>
      <c r="M167" s="10" t="s">
        <v>96</v>
      </c>
    </row>
    <row r="168" spans="1:13" x14ac:dyDescent="0.25">
      <c r="A168" s="13" t="str">
        <f t="shared" si="4"/>
        <v>50714268920</v>
      </c>
      <c r="B168" s="10">
        <v>1004041355</v>
      </c>
      <c r="C168" s="10">
        <v>507142689</v>
      </c>
      <c r="D168" s="10">
        <v>20</v>
      </c>
      <c r="E168" s="10" t="s">
        <v>10</v>
      </c>
      <c r="F168" s="10">
        <v>1187156</v>
      </c>
      <c r="G168" s="10" t="s">
        <v>80</v>
      </c>
      <c r="H168" s="11">
        <v>85860</v>
      </c>
      <c r="I168" s="11">
        <v>28066</v>
      </c>
      <c r="J168" s="11">
        <f t="shared" si="5"/>
        <v>57794</v>
      </c>
      <c r="K168" s="12">
        <f>VLOOKUP(A168,[2]VA05!$A:$K,11,FALSE)</f>
        <v>45558</v>
      </c>
      <c r="L168" s="10" t="s">
        <v>18</v>
      </c>
      <c r="M168" s="10" t="s">
        <v>131</v>
      </c>
    </row>
    <row r="169" spans="1:13" x14ac:dyDescent="0.25">
      <c r="A169" s="13" t="str">
        <f t="shared" si="4"/>
        <v>50714278820</v>
      </c>
      <c r="B169" s="10">
        <v>1004058947</v>
      </c>
      <c r="C169" s="10">
        <v>507142788</v>
      </c>
      <c r="D169" s="10">
        <v>20</v>
      </c>
      <c r="E169" s="10" t="s">
        <v>10</v>
      </c>
      <c r="F169" s="10">
        <v>1187156</v>
      </c>
      <c r="G169" s="10" t="s">
        <v>80</v>
      </c>
      <c r="H169" s="11">
        <v>62884</v>
      </c>
      <c r="I169" s="10">
        <v>0</v>
      </c>
      <c r="J169" s="11">
        <f t="shared" si="5"/>
        <v>62884</v>
      </c>
      <c r="K169" s="12">
        <f>VLOOKUP(A169,[2]VA05!$A:$K,11,FALSE)</f>
        <v>45582</v>
      </c>
      <c r="L169" s="10" t="s">
        <v>12</v>
      </c>
      <c r="M169" s="10" t="s">
        <v>156</v>
      </c>
    </row>
    <row r="170" spans="1:13" x14ac:dyDescent="0.25">
      <c r="A170" s="13" t="str">
        <f t="shared" si="4"/>
        <v>507142416140</v>
      </c>
      <c r="B170" s="10">
        <v>1004051396</v>
      </c>
      <c r="C170" s="10">
        <v>507142416</v>
      </c>
      <c r="D170" s="10">
        <v>140</v>
      </c>
      <c r="E170" s="10" t="s">
        <v>10</v>
      </c>
      <c r="F170" s="10">
        <v>1269354</v>
      </c>
      <c r="G170" s="10" t="s">
        <v>169</v>
      </c>
      <c r="H170" s="11">
        <v>10217</v>
      </c>
      <c r="I170" s="10">
        <v>0</v>
      </c>
      <c r="J170" s="11">
        <f t="shared" si="5"/>
        <v>10217</v>
      </c>
      <c r="K170" s="12">
        <f>VLOOKUP(A170,[2]VA05!$A:$K,11,FALSE)</f>
        <v>45576</v>
      </c>
      <c r="L170" s="10" t="s">
        <v>25</v>
      </c>
      <c r="M170" s="10" t="s">
        <v>162</v>
      </c>
    </row>
    <row r="171" spans="1:13" x14ac:dyDescent="0.25">
      <c r="A171" s="13" t="str">
        <f t="shared" si="4"/>
        <v>507142416120</v>
      </c>
      <c r="B171" s="10">
        <v>1004058990</v>
      </c>
      <c r="C171" s="10">
        <v>507142416</v>
      </c>
      <c r="D171" s="10">
        <v>120</v>
      </c>
      <c r="E171" s="10" t="s">
        <v>10</v>
      </c>
      <c r="F171" s="10">
        <v>1255973</v>
      </c>
      <c r="G171" s="10" t="s">
        <v>238</v>
      </c>
      <c r="H171" s="11">
        <v>10217</v>
      </c>
      <c r="I171" s="10">
        <v>0</v>
      </c>
      <c r="J171" s="11">
        <f t="shared" si="5"/>
        <v>10217</v>
      </c>
      <c r="K171" s="12">
        <f>VLOOKUP(A171,[2]VA05!$A:$K,11,FALSE)</f>
        <v>45573</v>
      </c>
      <c r="L171" s="10" t="s">
        <v>12</v>
      </c>
      <c r="M171" s="10" t="s">
        <v>194</v>
      </c>
    </row>
    <row r="172" spans="1:13" x14ac:dyDescent="0.25">
      <c r="A172" s="13" t="str">
        <f t="shared" si="4"/>
        <v>50714271370</v>
      </c>
      <c r="B172" s="10">
        <v>1004042923</v>
      </c>
      <c r="C172" s="10">
        <v>507142713</v>
      </c>
      <c r="D172" s="10">
        <v>70</v>
      </c>
      <c r="E172" s="10" t="s">
        <v>10</v>
      </c>
      <c r="F172" s="10">
        <v>1256197</v>
      </c>
      <c r="G172" s="10" t="s">
        <v>139</v>
      </c>
      <c r="H172" s="11">
        <v>10217</v>
      </c>
      <c r="I172" s="10">
        <v>0</v>
      </c>
      <c r="J172" s="11">
        <f t="shared" si="5"/>
        <v>10217</v>
      </c>
      <c r="K172" s="12">
        <f>VLOOKUP(A172,[2]VA05!$A:$K,11,FALSE)</f>
        <v>45591</v>
      </c>
      <c r="L172" s="10" t="s">
        <v>13</v>
      </c>
      <c r="M172" s="10" t="s">
        <v>142</v>
      </c>
    </row>
    <row r="173" spans="1:13" x14ac:dyDescent="0.25">
      <c r="A173" s="13" t="str">
        <f t="shared" si="4"/>
        <v>50714264910</v>
      </c>
      <c r="B173" s="10">
        <v>1004037614</v>
      </c>
      <c r="C173" s="10">
        <v>507142649</v>
      </c>
      <c r="D173" s="10">
        <v>10</v>
      </c>
      <c r="E173" s="10" t="s">
        <v>10</v>
      </c>
      <c r="F173" s="10">
        <v>1168127</v>
      </c>
      <c r="G173" s="10" t="s">
        <v>21</v>
      </c>
      <c r="H173" s="11">
        <v>51094</v>
      </c>
      <c r="I173" s="11">
        <v>37000</v>
      </c>
      <c r="J173" s="11">
        <f t="shared" si="5"/>
        <v>14094</v>
      </c>
      <c r="K173" s="12" t="e">
        <f>VLOOKUP(A173,[2]VA05!$A:$K,11,FALSE)</f>
        <v>#N/A</v>
      </c>
      <c r="L173" s="10" t="s">
        <v>18</v>
      </c>
      <c r="M173" s="10" t="s">
        <v>154</v>
      </c>
    </row>
    <row r="174" spans="1:13" x14ac:dyDescent="0.25">
      <c r="A174" s="13" t="str">
        <f t="shared" si="4"/>
        <v>50714268810</v>
      </c>
      <c r="B174" s="10">
        <v>1004052619</v>
      </c>
      <c r="C174" s="10">
        <v>507142688</v>
      </c>
      <c r="D174" s="10">
        <v>10</v>
      </c>
      <c r="E174" s="10" t="s">
        <v>10</v>
      </c>
      <c r="F174" s="10">
        <v>1168127</v>
      </c>
      <c r="G174" s="10" t="s">
        <v>21</v>
      </c>
      <c r="H174" s="11">
        <v>122842</v>
      </c>
      <c r="I174" s="10">
        <v>0</v>
      </c>
      <c r="J174" s="11">
        <f t="shared" si="5"/>
        <v>122842</v>
      </c>
      <c r="K174" s="12">
        <f>VLOOKUP(A174,[2]VA05!$A:$K,11,FALSE)</f>
        <v>45567</v>
      </c>
      <c r="L174" s="10" t="s">
        <v>12</v>
      </c>
      <c r="M174" s="10" t="s">
        <v>97</v>
      </c>
    </row>
    <row r="175" spans="1:13" x14ac:dyDescent="0.25">
      <c r="A175" s="13" t="str">
        <f t="shared" si="4"/>
        <v>507142416130</v>
      </c>
      <c r="B175" s="10">
        <v>1004052620</v>
      </c>
      <c r="C175" s="10">
        <v>507142416</v>
      </c>
      <c r="D175" s="10">
        <v>130</v>
      </c>
      <c r="E175" s="10" t="s">
        <v>10</v>
      </c>
      <c r="F175" s="10">
        <v>1168127</v>
      </c>
      <c r="G175" s="10" t="s">
        <v>21</v>
      </c>
      <c r="H175" s="11">
        <v>10217</v>
      </c>
      <c r="I175" s="10">
        <v>0</v>
      </c>
      <c r="J175" s="11">
        <f t="shared" si="5"/>
        <v>10217</v>
      </c>
      <c r="K175" s="12">
        <f>VLOOKUP(A175,[2]VA05!$A:$K,11,FALSE)</f>
        <v>45573</v>
      </c>
      <c r="L175" s="10" t="s">
        <v>12</v>
      </c>
      <c r="M175" s="10" t="s">
        <v>194</v>
      </c>
    </row>
    <row r="176" spans="1:13" x14ac:dyDescent="0.25">
      <c r="A176" s="13" t="str">
        <f t="shared" si="4"/>
        <v>50714264830</v>
      </c>
      <c r="B176" s="10">
        <v>1004052621</v>
      </c>
      <c r="C176" s="10">
        <v>507142648</v>
      </c>
      <c r="D176" s="10">
        <v>30</v>
      </c>
      <c r="E176" s="10" t="s">
        <v>10</v>
      </c>
      <c r="F176" s="10">
        <v>1168127</v>
      </c>
      <c r="G176" s="10" t="s">
        <v>21</v>
      </c>
      <c r="H176" s="11">
        <v>71748</v>
      </c>
      <c r="I176" s="10">
        <v>0</v>
      </c>
      <c r="J176" s="11">
        <f t="shared" si="5"/>
        <v>71748</v>
      </c>
      <c r="K176" s="12">
        <f>VLOOKUP(A176,[2]VA05!$A:$K,11,FALSE)</f>
        <v>45581</v>
      </c>
      <c r="L176" s="10" t="s">
        <v>12</v>
      </c>
      <c r="M176" s="10" t="s">
        <v>194</v>
      </c>
    </row>
    <row r="177" spans="1:13" x14ac:dyDescent="0.25">
      <c r="A177" s="13" t="str">
        <f t="shared" si="4"/>
        <v>507142416150</v>
      </c>
      <c r="B177" s="10">
        <v>1004052622</v>
      </c>
      <c r="C177" s="10">
        <v>507142416</v>
      </c>
      <c r="D177" s="10">
        <v>150</v>
      </c>
      <c r="E177" s="10" t="s">
        <v>10</v>
      </c>
      <c r="F177" s="10">
        <v>1168127</v>
      </c>
      <c r="G177" s="10" t="s">
        <v>21</v>
      </c>
      <c r="H177" s="11">
        <v>10217</v>
      </c>
      <c r="I177" s="10">
        <v>0</v>
      </c>
      <c r="J177" s="11">
        <f t="shared" si="5"/>
        <v>10217</v>
      </c>
      <c r="K177" s="12">
        <f>VLOOKUP(A177,[2]VA05!$A:$K,11,FALSE)</f>
        <v>45576</v>
      </c>
      <c r="L177" s="10" t="s">
        <v>12</v>
      </c>
      <c r="M177" s="10" t="s">
        <v>162</v>
      </c>
    </row>
    <row r="178" spans="1:13" x14ac:dyDescent="0.25">
      <c r="A178" s="13" t="str">
        <f t="shared" si="4"/>
        <v>50714278810</v>
      </c>
      <c r="B178" s="10">
        <v>1004052623</v>
      </c>
      <c r="C178" s="10">
        <v>507142788</v>
      </c>
      <c r="D178" s="10">
        <v>10</v>
      </c>
      <c r="E178" s="10" t="s">
        <v>10</v>
      </c>
      <c r="F178" s="10">
        <v>1168127</v>
      </c>
      <c r="G178" s="10" t="s">
        <v>21</v>
      </c>
      <c r="H178" s="11">
        <v>56529</v>
      </c>
      <c r="I178" s="10">
        <v>0</v>
      </c>
      <c r="J178" s="11">
        <f t="shared" si="5"/>
        <v>56529</v>
      </c>
      <c r="K178" s="12">
        <f>VLOOKUP(A178,[2]VA05!$A:$K,11,FALSE)</f>
        <v>45582</v>
      </c>
      <c r="L178" s="10" t="s">
        <v>12</v>
      </c>
      <c r="M178" s="10" t="s">
        <v>162</v>
      </c>
    </row>
    <row r="179" spans="1:13" x14ac:dyDescent="0.25">
      <c r="A179" s="13" t="str">
        <f t="shared" si="4"/>
        <v>50714271380</v>
      </c>
      <c r="B179" s="10">
        <v>1004052624</v>
      </c>
      <c r="C179" s="10">
        <v>507142713</v>
      </c>
      <c r="D179" s="10">
        <v>80</v>
      </c>
      <c r="E179" s="10" t="s">
        <v>10</v>
      </c>
      <c r="F179" s="10">
        <v>1168127</v>
      </c>
      <c r="G179" s="10" t="s">
        <v>21</v>
      </c>
      <c r="H179" s="11">
        <v>10217</v>
      </c>
      <c r="I179" s="10">
        <v>0</v>
      </c>
      <c r="J179" s="11">
        <f t="shared" si="5"/>
        <v>10217</v>
      </c>
      <c r="K179" s="12">
        <f>VLOOKUP(A179,[2]VA05!$A:$K,11,FALSE)</f>
        <v>45591</v>
      </c>
      <c r="L179" s="10" t="s">
        <v>12</v>
      </c>
      <c r="M179" s="10" t="s">
        <v>204</v>
      </c>
    </row>
    <row r="180" spans="1:13" x14ac:dyDescent="0.25">
      <c r="A180" s="13" t="str">
        <f t="shared" si="4"/>
        <v>507142416150</v>
      </c>
      <c r="B180" s="10">
        <v>1004051561</v>
      </c>
      <c r="C180" s="10">
        <v>507142416</v>
      </c>
      <c r="D180" s="10">
        <v>150</v>
      </c>
      <c r="E180" s="10" t="s">
        <v>10</v>
      </c>
      <c r="F180" s="10">
        <v>1269318</v>
      </c>
      <c r="G180" s="10" t="s">
        <v>170</v>
      </c>
      <c r="H180" s="11">
        <v>10217</v>
      </c>
      <c r="I180" s="10">
        <v>0</v>
      </c>
      <c r="J180" s="11">
        <f t="shared" si="5"/>
        <v>10217</v>
      </c>
      <c r="K180" s="12">
        <f>VLOOKUP(A180,[2]VA05!$A:$K,11,FALSE)</f>
        <v>45576</v>
      </c>
      <c r="L180" s="10" t="s">
        <v>12</v>
      </c>
      <c r="M180" s="10" t="s">
        <v>162</v>
      </c>
    </row>
    <row r="181" spans="1:13" x14ac:dyDescent="0.25">
      <c r="A181" s="13" t="str">
        <f t="shared" si="4"/>
        <v>507142416130</v>
      </c>
      <c r="B181" s="10">
        <v>1004058014</v>
      </c>
      <c r="C181" s="10">
        <v>507142416</v>
      </c>
      <c r="D181" s="10">
        <v>130</v>
      </c>
      <c r="E181" s="10" t="s">
        <v>10</v>
      </c>
      <c r="F181" s="10">
        <v>1255976</v>
      </c>
      <c r="G181" s="10" t="s">
        <v>229</v>
      </c>
      <c r="H181" s="11">
        <v>10217</v>
      </c>
      <c r="I181" s="10">
        <v>0</v>
      </c>
      <c r="J181" s="11">
        <f t="shared" si="5"/>
        <v>10217</v>
      </c>
      <c r="K181" s="12">
        <f>VLOOKUP(A181,[2]VA05!$A:$K,11,FALSE)</f>
        <v>45573</v>
      </c>
      <c r="L181" s="10" t="s">
        <v>12</v>
      </c>
      <c r="M181" s="10" t="s">
        <v>194</v>
      </c>
    </row>
    <row r="182" spans="1:13" x14ac:dyDescent="0.25">
      <c r="A182" s="13" t="str">
        <f t="shared" si="4"/>
        <v>50714271380</v>
      </c>
      <c r="B182" s="10">
        <v>1004058015</v>
      </c>
      <c r="C182" s="10">
        <v>507142713</v>
      </c>
      <c r="D182" s="10">
        <v>80</v>
      </c>
      <c r="E182" s="10" t="s">
        <v>10</v>
      </c>
      <c r="F182" s="10">
        <v>1256193</v>
      </c>
      <c r="G182" s="10" t="s">
        <v>230</v>
      </c>
      <c r="H182" s="11">
        <v>10217</v>
      </c>
      <c r="I182" s="10">
        <v>0</v>
      </c>
      <c r="J182" s="11">
        <f t="shared" si="5"/>
        <v>10217</v>
      </c>
      <c r="K182" s="12">
        <f>VLOOKUP(A182,[2]VA05!$A:$K,11,FALSE)</f>
        <v>45591</v>
      </c>
      <c r="L182" s="10" t="s">
        <v>12</v>
      </c>
      <c r="M182" s="10" t="s">
        <v>204</v>
      </c>
    </row>
    <row r="183" spans="1:13" x14ac:dyDescent="0.25">
      <c r="A183" s="13" t="str">
        <f t="shared" si="4"/>
        <v>50714268810</v>
      </c>
      <c r="B183" s="10">
        <v>1004058016</v>
      </c>
      <c r="C183" s="10">
        <v>507142688</v>
      </c>
      <c r="D183" s="10">
        <v>10</v>
      </c>
      <c r="E183" s="10" t="s">
        <v>10</v>
      </c>
      <c r="F183" s="10">
        <v>1430110</v>
      </c>
      <c r="G183" s="10" t="s">
        <v>231</v>
      </c>
      <c r="H183" s="11">
        <v>81532</v>
      </c>
      <c r="I183" s="10">
        <v>0</v>
      </c>
      <c r="J183" s="11">
        <f t="shared" si="5"/>
        <v>81532</v>
      </c>
      <c r="K183" s="12">
        <f>VLOOKUP(A183,[2]VA05!$A:$K,11,FALSE)</f>
        <v>45567</v>
      </c>
      <c r="L183" s="10" t="s">
        <v>13</v>
      </c>
      <c r="M183" s="10" t="s">
        <v>155</v>
      </c>
    </row>
    <row r="184" spans="1:13" x14ac:dyDescent="0.25">
      <c r="A184" s="13" t="str">
        <f t="shared" si="4"/>
        <v>50714245510</v>
      </c>
      <c r="B184" s="10">
        <v>1004010713</v>
      </c>
      <c r="C184" s="10">
        <v>507142455</v>
      </c>
      <c r="D184" s="10">
        <v>10</v>
      </c>
      <c r="E184" s="10" t="s">
        <v>10</v>
      </c>
      <c r="F184" s="10">
        <v>1153314</v>
      </c>
      <c r="G184" s="10" t="s">
        <v>60</v>
      </c>
      <c r="H184" s="11">
        <v>26091</v>
      </c>
      <c r="I184" s="11">
        <v>22631</v>
      </c>
      <c r="J184" s="11">
        <f t="shared" si="5"/>
        <v>3460</v>
      </c>
      <c r="K184" s="12" t="e">
        <f>VLOOKUP(A184,[2]VA05!$A:$K,11,FALSE)</f>
        <v>#N/A</v>
      </c>
      <c r="L184" s="10" t="s">
        <v>18</v>
      </c>
      <c r="M184" s="10" t="s">
        <v>61</v>
      </c>
    </row>
    <row r="185" spans="1:13" x14ac:dyDescent="0.25">
      <c r="A185" s="13" t="str">
        <f t="shared" si="4"/>
        <v>50714239390</v>
      </c>
      <c r="B185" s="10">
        <v>1004032825</v>
      </c>
      <c r="C185" s="10">
        <v>507142393</v>
      </c>
      <c r="D185" s="10">
        <v>90</v>
      </c>
      <c r="E185" s="10" t="s">
        <v>10</v>
      </c>
      <c r="F185" s="10">
        <v>1416751</v>
      </c>
      <c r="G185" s="10" t="s">
        <v>57</v>
      </c>
      <c r="H185" s="11">
        <v>45642</v>
      </c>
      <c r="I185" s="10">
        <v>0</v>
      </c>
      <c r="J185" s="11">
        <f t="shared" si="5"/>
        <v>45642</v>
      </c>
      <c r="K185" s="12" t="e">
        <f>VLOOKUP(A185,[2]VA05!$A:$K,11,FALSE)</f>
        <v>#N/A</v>
      </c>
      <c r="L185" s="10" t="s">
        <v>12</v>
      </c>
      <c r="M185" s="10" t="s">
        <v>73</v>
      </c>
    </row>
    <row r="186" spans="1:13" x14ac:dyDescent="0.25">
      <c r="A186" s="13" t="str">
        <f t="shared" si="4"/>
        <v>50714256520</v>
      </c>
      <c r="B186" s="10">
        <v>1004041364</v>
      </c>
      <c r="C186" s="10">
        <v>507142565</v>
      </c>
      <c r="D186" s="10">
        <v>20</v>
      </c>
      <c r="E186" s="10" t="s">
        <v>10</v>
      </c>
      <c r="F186" s="10">
        <v>1170136</v>
      </c>
      <c r="G186" s="10" t="s">
        <v>81</v>
      </c>
      <c r="H186" s="11">
        <v>87480</v>
      </c>
      <c r="I186" s="11">
        <v>85349</v>
      </c>
      <c r="J186" s="11">
        <f t="shared" si="5"/>
        <v>2131</v>
      </c>
      <c r="K186" s="12">
        <f>VLOOKUP(A186,[2]VA05!$A:$K,11,FALSE)</f>
        <v>45561</v>
      </c>
      <c r="L186" s="10" t="s">
        <v>11</v>
      </c>
      <c r="M186" s="10" t="s">
        <v>74</v>
      </c>
    </row>
    <row r="187" spans="1:13" x14ac:dyDescent="0.25">
      <c r="A187" s="13" t="str">
        <f t="shared" si="4"/>
        <v>50714256610</v>
      </c>
      <c r="B187" s="10">
        <v>1004041365</v>
      </c>
      <c r="C187" s="10">
        <v>507142566</v>
      </c>
      <c r="D187" s="10">
        <v>10</v>
      </c>
      <c r="E187" s="10" t="s">
        <v>10</v>
      </c>
      <c r="F187" s="10">
        <v>1170136</v>
      </c>
      <c r="G187" s="10" t="s">
        <v>81</v>
      </c>
      <c r="H187" s="11">
        <v>23298</v>
      </c>
      <c r="I187" s="10">
        <v>0</v>
      </c>
      <c r="J187" s="11">
        <f t="shared" si="5"/>
        <v>23298</v>
      </c>
      <c r="K187" s="12">
        <f>VLOOKUP(A187,[2]VA05!$A:$K,11,FALSE)</f>
        <v>45561</v>
      </c>
      <c r="L187" s="10" t="s">
        <v>13</v>
      </c>
      <c r="M187" s="10" t="s">
        <v>195</v>
      </c>
    </row>
    <row r="188" spans="1:13" x14ac:dyDescent="0.25">
      <c r="A188" s="13" t="str">
        <f t="shared" si="4"/>
        <v>50714256730</v>
      </c>
      <c r="B188" s="10">
        <v>1004041366</v>
      </c>
      <c r="C188" s="10">
        <v>507142567</v>
      </c>
      <c r="D188" s="10">
        <v>30</v>
      </c>
      <c r="E188" s="10" t="s">
        <v>10</v>
      </c>
      <c r="F188" s="10">
        <v>1170136</v>
      </c>
      <c r="G188" s="10" t="s">
        <v>81</v>
      </c>
      <c r="H188" s="11">
        <v>17589</v>
      </c>
      <c r="I188" s="10">
        <v>0</v>
      </c>
      <c r="J188" s="11">
        <f t="shared" si="5"/>
        <v>17589</v>
      </c>
      <c r="K188" s="12">
        <f>VLOOKUP(A188,[2]VA05!$A:$K,11,FALSE)</f>
        <v>45561</v>
      </c>
      <c r="L188" s="10" t="s">
        <v>12</v>
      </c>
      <c r="M188" s="10" t="s">
        <v>85</v>
      </c>
    </row>
    <row r="189" spans="1:13" hidden="1" x14ac:dyDescent="0.25">
      <c r="A189" s="13" t="str">
        <f t="shared" si="4"/>
        <v>50714255610</v>
      </c>
      <c r="B189" s="10">
        <v>1004051403</v>
      </c>
      <c r="C189" s="10">
        <v>507142556</v>
      </c>
      <c r="D189" s="10">
        <v>10</v>
      </c>
      <c r="E189" s="10" t="s">
        <v>24</v>
      </c>
      <c r="F189" s="10">
        <v>1436161</v>
      </c>
      <c r="G189" s="10" t="s">
        <v>94</v>
      </c>
      <c r="H189" s="11">
        <v>1900</v>
      </c>
      <c r="I189" s="10">
        <v>0</v>
      </c>
      <c r="J189" s="11">
        <f t="shared" si="5"/>
        <v>1900</v>
      </c>
      <c r="K189" s="12">
        <f>VLOOKUP(A189,[2]VA05!$A:$K,11,FALSE)</f>
        <v>45538</v>
      </c>
      <c r="L189" s="10" t="s">
        <v>25</v>
      </c>
      <c r="M189" s="10" t="s">
        <v>97</v>
      </c>
    </row>
    <row r="190" spans="1:13" x14ac:dyDescent="0.25">
      <c r="A190" s="13" t="str">
        <f t="shared" si="4"/>
        <v>50714256230</v>
      </c>
      <c r="B190" s="10">
        <v>1004042741</v>
      </c>
      <c r="C190" s="10">
        <v>507142562</v>
      </c>
      <c r="D190" s="10">
        <v>30</v>
      </c>
      <c r="E190" s="10" t="s">
        <v>10</v>
      </c>
      <c r="F190" s="10">
        <v>1165028</v>
      </c>
      <c r="G190" s="10" t="s">
        <v>68</v>
      </c>
      <c r="H190" s="11">
        <v>85259</v>
      </c>
      <c r="I190" s="11">
        <v>45754</v>
      </c>
      <c r="J190" s="11">
        <f t="shared" si="5"/>
        <v>39505</v>
      </c>
      <c r="K190" s="12">
        <f>VLOOKUP(A190,[2]VA05!$A:$K,11,FALSE)</f>
        <v>45573</v>
      </c>
      <c r="L190" s="10" t="s">
        <v>18</v>
      </c>
      <c r="M190" s="10" t="s">
        <v>201</v>
      </c>
    </row>
    <row r="191" spans="1:13" x14ac:dyDescent="0.25">
      <c r="A191" s="13" t="str">
        <f t="shared" si="4"/>
        <v>50714256230</v>
      </c>
      <c r="B191" s="10">
        <v>1004035819</v>
      </c>
      <c r="C191" s="10">
        <v>507142562</v>
      </c>
      <c r="D191" s="10">
        <v>30</v>
      </c>
      <c r="E191" s="10" t="s">
        <v>10</v>
      </c>
      <c r="F191" s="10">
        <v>1176008</v>
      </c>
      <c r="G191" s="10" t="s">
        <v>65</v>
      </c>
      <c r="H191" s="11">
        <v>85259</v>
      </c>
      <c r="I191" s="11">
        <v>51783</v>
      </c>
      <c r="J191" s="11">
        <f t="shared" si="5"/>
        <v>33476</v>
      </c>
      <c r="K191" s="12">
        <f>VLOOKUP(A191,[2]VA05!$A:$K,11,FALSE)</f>
        <v>45573</v>
      </c>
      <c r="L191" s="10" t="s">
        <v>18</v>
      </c>
      <c r="M191" s="10" t="s">
        <v>201</v>
      </c>
    </row>
    <row r="192" spans="1:13" x14ac:dyDescent="0.25">
      <c r="A192" s="13" t="str">
        <f t="shared" si="4"/>
        <v>50714256230</v>
      </c>
      <c r="B192" s="10">
        <v>1004042025</v>
      </c>
      <c r="C192" s="10">
        <v>507142562</v>
      </c>
      <c r="D192" s="10">
        <v>30</v>
      </c>
      <c r="E192" s="10" t="s">
        <v>10</v>
      </c>
      <c r="F192" s="10">
        <v>1170133</v>
      </c>
      <c r="G192" s="10" t="s">
        <v>70</v>
      </c>
      <c r="H192" s="11">
        <v>85259</v>
      </c>
      <c r="I192" s="11">
        <v>69561</v>
      </c>
      <c r="J192" s="11">
        <f t="shared" si="5"/>
        <v>15698</v>
      </c>
      <c r="K192" s="12">
        <f>VLOOKUP(A192,[2]VA05!$A:$K,11,FALSE)</f>
        <v>45573</v>
      </c>
      <c r="L192" s="10" t="s">
        <v>18</v>
      </c>
      <c r="M192" s="10" t="s">
        <v>130</v>
      </c>
    </row>
    <row r="193" spans="1:13" x14ac:dyDescent="0.25">
      <c r="A193" s="13" t="str">
        <f t="shared" si="4"/>
        <v>50714256530</v>
      </c>
      <c r="B193" s="10">
        <v>1004044947</v>
      </c>
      <c r="C193" s="10">
        <v>507142565</v>
      </c>
      <c r="D193" s="10">
        <v>30</v>
      </c>
      <c r="E193" s="10" t="s">
        <v>10</v>
      </c>
      <c r="F193" s="10">
        <v>1169065</v>
      </c>
      <c r="G193" s="10" t="s">
        <v>83</v>
      </c>
      <c r="H193" s="11">
        <v>85895</v>
      </c>
      <c r="I193" s="11">
        <v>47109</v>
      </c>
      <c r="J193" s="11">
        <f t="shared" si="5"/>
        <v>38786</v>
      </c>
      <c r="K193" s="12">
        <f>VLOOKUP(A193,[2]VA05!$A:$K,11,FALSE)</f>
        <v>45561</v>
      </c>
      <c r="L193" s="10" t="s">
        <v>18</v>
      </c>
      <c r="M193" s="10" t="s">
        <v>142</v>
      </c>
    </row>
    <row r="194" spans="1:13" x14ac:dyDescent="0.25">
      <c r="A194" s="13" t="str">
        <f t="shared" si="4"/>
        <v>50714256720</v>
      </c>
      <c r="B194" s="10">
        <v>1004044948</v>
      </c>
      <c r="C194" s="10">
        <v>507142567</v>
      </c>
      <c r="D194" s="10">
        <v>20</v>
      </c>
      <c r="E194" s="10" t="s">
        <v>10</v>
      </c>
      <c r="F194" s="10">
        <v>1169065</v>
      </c>
      <c r="G194" s="10" t="s">
        <v>83</v>
      </c>
      <c r="H194" s="11">
        <v>17711</v>
      </c>
      <c r="I194" s="10">
        <v>0</v>
      </c>
      <c r="J194" s="11">
        <f t="shared" si="5"/>
        <v>17711</v>
      </c>
      <c r="K194" s="12">
        <f>VLOOKUP(A194,[2]VA05!$A:$K,11,FALSE)</f>
        <v>45561</v>
      </c>
      <c r="L194" s="10" t="s">
        <v>12</v>
      </c>
      <c r="M194" s="10" t="s">
        <v>98</v>
      </c>
    </row>
    <row r="195" spans="1:13" x14ac:dyDescent="0.25">
      <c r="A195" s="13" t="str">
        <f t="shared" si="4"/>
        <v>50714256730</v>
      </c>
      <c r="B195" s="10">
        <v>1004052387</v>
      </c>
      <c r="C195" s="10">
        <v>507142567</v>
      </c>
      <c r="D195" s="10">
        <v>30</v>
      </c>
      <c r="E195" s="10" t="s">
        <v>10</v>
      </c>
      <c r="F195" s="10">
        <v>1171801</v>
      </c>
      <c r="G195" s="10" t="s">
        <v>71</v>
      </c>
      <c r="H195" s="11">
        <v>16066</v>
      </c>
      <c r="I195" s="11">
        <v>10410</v>
      </c>
      <c r="J195" s="11">
        <f t="shared" si="5"/>
        <v>5656</v>
      </c>
      <c r="K195" s="12">
        <f>VLOOKUP(A195,[2]VA05!$A:$K,11,FALSE)</f>
        <v>45561</v>
      </c>
      <c r="L195" s="10" t="s">
        <v>18</v>
      </c>
      <c r="M195" s="10" t="s">
        <v>155</v>
      </c>
    </row>
    <row r="196" spans="1:13" x14ac:dyDescent="0.25">
      <c r="A196" s="13" t="str">
        <f t="shared" ref="A196:A259" si="6">C196&amp;D196</f>
        <v>50714256520</v>
      </c>
      <c r="B196" s="10">
        <v>1004052388</v>
      </c>
      <c r="C196" s="10">
        <v>507142565</v>
      </c>
      <c r="D196" s="10">
        <v>20</v>
      </c>
      <c r="E196" s="10" t="s">
        <v>10</v>
      </c>
      <c r="F196" s="10">
        <v>1171801</v>
      </c>
      <c r="G196" s="10" t="s">
        <v>71</v>
      </c>
      <c r="H196" s="11">
        <v>79905</v>
      </c>
      <c r="I196" s="10">
        <v>0</v>
      </c>
      <c r="J196" s="11">
        <f t="shared" ref="J196:J259" si="7">H196-I196</f>
        <v>79905</v>
      </c>
      <c r="K196" s="12">
        <f>VLOOKUP(A196,[2]VA05!$A:$K,11,FALSE)</f>
        <v>45561</v>
      </c>
      <c r="L196" s="10" t="s">
        <v>13</v>
      </c>
      <c r="M196" s="10" t="s">
        <v>180</v>
      </c>
    </row>
    <row r="197" spans="1:13" x14ac:dyDescent="0.25">
      <c r="A197" s="13" t="str">
        <f t="shared" si="6"/>
        <v>50714276210</v>
      </c>
      <c r="B197" s="10">
        <v>1004051397</v>
      </c>
      <c r="C197" s="10">
        <v>507142762</v>
      </c>
      <c r="D197" s="10">
        <v>10</v>
      </c>
      <c r="E197" s="10" t="s">
        <v>10</v>
      </c>
      <c r="F197" s="10">
        <v>1162016</v>
      </c>
      <c r="G197" s="10" t="s">
        <v>172</v>
      </c>
      <c r="H197" s="11">
        <v>40900</v>
      </c>
      <c r="I197" s="11">
        <v>14525</v>
      </c>
      <c r="J197" s="11">
        <f t="shared" si="7"/>
        <v>26375</v>
      </c>
      <c r="K197" s="12">
        <f>VLOOKUP(A197,[2]VA05!$A:$K,11,FALSE)</f>
        <v>45570</v>
      </c>
      <c r="L197" s="10" t="s">
        <v>11</v>
      </c>
      <c r="M197" s="10" t="s">
        <v>154</v>
      </c>
    </row>
    <row r="198" spans="1:13" x14ac:dyDescent="0.25">
      <c r="A198" s="13" t="str">
        <f t="shared" si="6"/>
        <v>50714263610</v>
      </c>
      <c r="B198" s="10">
        <v>1004040222</v>
      </c>
      <c r="C198" s="10">
        <v>507142636</v>
      </c>
      <c r="D198" s="10">
        <v>10</v>
      </c>
      <c r="E198" s="10" t="s">
        <v>10</v>
      </c>
      <c r="F198" s="10">
        <v>1437043</v>
      </c>
      <c r="G198" s="10" t="s">
        <v>115</v>
      </c>
      <c r="H198" s="11">
        <v>51125</v>
      </c>
      <c r="I198" s="11">
        <v>43670</v>
      </c>
      <c r="J198" s="11">
        <f t="shared" si="7"/>
        <v>7455</v>
      </c>
      <c r="K198" s="12">
        <f>VLOOKUP(A198,[2]VA05!$A:$K,11,FALSE)</f>
        <v>45566</v>
      </c>
      <c r="L198" s="10" t="s">
        <v>11</v>
      </c>
      <c r="M198" s="10" t="s">
        <v>116</v>
      </c>
    </row>
    <row r="199" spans="1:13" x14ac:dyDescent="0.25">
      <c r="A199" s="13" t="str">
        <f t="shared" si="6"/>
        <v>50714276210</v>
      </c>
      <c r="B199" s="10">
        <v>1004051398</v>
      </c>
      <c r="C199" s="10">
        <v>507142762</v>
      </c>
      <c r="D199" s="10">
        <v>10</v>
      </c>
      <c r="E199" s="10" t="s">
        <v>10</v>
      </c>
      <c r="F199" s="10">
        <v>1162012</v>
      </c>
      <c r="G199" s="10" t="s">
        <v>173</v>
      </c>
      <c r="H199" s="11">
        <v>40900</v>
      </c>
      <c r="I199" s="10">
        <v>0</v>
      </c>
      <c r="J199" s="11">
        <f t="shared" si="7"/>
        <v>40900</v>
      </c>
      <c r="K199" s="12">
        <f>VLOOKUP(A199,[2]VA05!$A:$K,11,FALSE)</f>
        <v>45570</v>
      </c>
      <c r="L199" s="10" t="s">
        <v>25</v>
      </c>
      <c r="M199" s="10" t="s">
        <v>201</v>
      </c>
    </row>
    <row r="200" spans="1:13" x14ac:dyDescent="0.25">
      <c r="A200" s="13" t="str">
        <f t="shared" si="6"/>
        <v>50714276210</v>
      </c>
      <c r="B200" s="10">
        <v>1004051399</v>
      </c>
      <c r="C200" s="10">
        <v>507142762</v>
      </c>
      <c r="D200" s="10">
        <v>10</v>
      </c>
      <c r="E200" s="10" t="s">
        <v>10</v>
      </c>
      <c r="F200" s="10">
        <v>1163168</v>
      </c>
      <c r="G200" s="10" t="s">
        <v>174</v>
      </c>
      <c r="H200" s="11">
        <v>40900</v>
      </c>
      <c r="I200" s="10">
        <v>0</v>
      </c>
      <c r="J200" s="11">
        <f t="shared" si="7"/>
        <v>40900</v>
      </c>
      <c r="K200" s="12">
        <f>VLOOKUP(A200,[2]VA05!$A:$K,11,FALSE)</f>
        <v>45570</v>
      </c>
      <c r="L200" s="10" t="s">
        <v>13</v>
      </c>
      <c r="M200" s="10" t="s">
        <v>201</v>
      </c>
    </row>
    <row r="201" spans="1:13" hidden="1" x14ac:dyDescent="0.25">
      <c r="A201" s="13" t="str">
        <f t="shared" si="6"/>
        <v>50714263850</v>
      </c>
      <c r="B201" s="10">
        <v>1004049841</v>
      </c>
      <c r="C201" s="10">
        <v>507142638</v>
      </c>
      <c r="D201" s="10">
        <v>50</v>
      </c>
      <c r="E201" s="10" t="s">
        <v>10</v>
      </c>
      <c r="F201" s="10">
        <v>1361170</v>
      </c>
      <c r="G201" s="10" t="s">
        <v>103</v>
      </c>
      <c r="H201" s="11">
        <v>27540</v>
      </c>
      <c r="I201" s="11">
        <v>27540</v>
      </c>
      <c r="J201" s="11">
        <f t="shared" si="7"/>
        <v>0</v>
      </c>
      <c r="K201" s="12">
        <f>VLOOKUP(A201,[2]VA05!$A:$K,11,FALSE)</f>
        <v>45560</v>
      </c>
      <c r="L201" s="10" t="s">
        <v>224</v>
      </c>
      <c r="M201" s="10" t="s">
        <v>143</v>
      </c>
    </row>
    <row r="202" spans="1:13" x14ac:dyDescent="0.25">
      <c r="A202" s="13" t="str">
        <f t="shared" si="6"/>
        <v>50714263850</v>
      </c>
      <c r="B202" s="10">
        <v>1004049842</v>
      </c>
      <c r="C202" s="10">
        <v>507142638</v>
      </c>
      <c r="D202" s="10">
        <v>50</v>
      </c>
      <c r="E202" s="10" t="s">
        <v>10</v>
      </c>
      <c r="F202" s="10">
        <v>1361170</v>
      </c>
      <c r="G202" s="10" t="s">
        <v>103</v>
      </c>
      <c r="H202" s="11">
        <v>27540</v>
      </c>
      <c r="I202" s="11">
        <v>14050</v>
      </c>
      <c r="J202" s="11">
        <f t="shared" si="7"/>
        <v>13490</v>
      </c>
      <c r="K202" s="12">
        <f>VLOOKUP(A202,[2]VA05!$A:$K,11,FALSE)</f>
        <v>45560</v>
      </c>
      <c r="L202" s="10" t="s">
        <v>11</v>
      </c>
      <c r="M202" s="10" t="s">
        <v>195</v>
      </c>
    </row>
    <row r="203" spans="1:13" x14ac:dyDescent="0.25">
      <c r="A203" s="13" t="str">
        <f t="shared" si="6"/>
        <v>50714263850</v>
      </c>
      <c r="B203" s="10">
        <v>1004049843</v>
      </c>
      <c r="C203" s="10">
        <v>507142638</v>
      </c>
      <c r="D203" s="10">
        <v>50</v>
      </c>
      <c r="E203" s="10" t="s">
        <v>10</v>
      </c>
      <c r="F203" s="10">
        <v>1361170</v>
      </c>
      <c r="G203" s="10" t="s">
        <v>103</v>
      </c>
      <c r="H203" s="11">
        <v>27270</v>
      </c>
      <c r="I203" s="10">
        <v>0</v>
      </c>
      <c r="J203" s="11">
        <f t="shared" si="7"/>
        <v>27270</v>
      </c>
      <c r="K203" s="12">
        <f>VLOOKUP(A203,[2]VA05!$A:$K,11,FALSE)</f>
        <v>45560</v>
      </c>
      <c r="L203" s="10" t="s">
        <v>117</v>
      </c>
      <c r="M203" s="10" t="s">
        <v>143</v>
      </c>
    </row>
    <row r="204" spans="1:13" x14ac:dyDescent="0.25">
      <c r="A204" s="13" t="str">
        <f t="shared" si="6"/>
        <v>50714273810</v>
      </c>
      <c r="B204" s="10">
        <v>1004051551</v>
      </c>
      <c r="C204" s="10">
        <v>507142738</v>
      </c>
      <c r="D204" s="10">
        <v>10</v>
      </c>
      <c r="E204" s="10" t="s">
        <v>10</v>
      </c>
      <c r="F204" s="10">
        <v>1361170</v>
      </c>
      <c r="G204" s="10" t="s">
        <v>103</v>
      </c>
      <c r="H204" s="11">
        <v>27540</v>
      </c>
      <c r="I204" s="10">
        <v>0</v>
      </c>
      <c r="J204" s="11">
        <f t="shared" si="7"/>
        <v>27540</v>
      </c>
      <c r="K204" s="12">
        <f>VLOOKUP(A204,[2]VA05!$A:$K,11,FALSE)</f>
        <v>45567</v>
      </c>
      <c r="L204" s="10" t="s">
        <v>12</v>
      </c>
      <c r="M204" s="10" t="s">
        <v>180</v>
      </c>
    </row>
    <row r="205" spans="1:13" x14ac:dyDescent="0.25">
      <c r="A205" s="13" t="str">
        <f t="shared" si="6"/>
        <v>50714273810</v>
      </c>
      <c r="B205" s="10">
        <v>1004051552</v>
      </c>
      <c r="C205" s="10">
        <v>507142738</v>
      </c>
      <c r="D205" s="10">
        <v>10</v>
      </c>
      <c r="E205" s="10" t="s">
        <v>10</v>
      </c>
      <c r="F205" s="10">
        <v>1361170</v>
      </c>
      <c r="G205" s="10" t="s">
        <v>103</v>
      </c>
      <c r="H205" s="11">
        <v>27540</v>
      </c>
      <c r="I205" s="10">
        <v>0</v>
      </c>
      <c r="J205" s="11">
        <f t="shared" si="7"/>
        <v>27540</v>
      </c>
      <c r="K205" s="12">
        <f>VLOOKUP(A205,[2]VA05!$A:$K,11,FALSE)</f>
        <v>45567</v>
      </c>
      <c r="L205" s="10" t="s">
        <v>12</v>
      </c>
      <c r="M205" s="10" t="s">
        <v>180</v>
      </c>
    </row>
    <row r="206" spans="1:13" x14ac:dyDescent="0.25">
      <c r="A206" s="13" t="str">
        <f t="shared" si="6"/>
        <v>50714273810</v>
      </c>
      <c r="B206" s="10">
        <v>1004051553</v>
      </c>
      <c r="C206" s="10">
        <v>507142738</v>
      </c>
      <c r="D206" s="10">
        <v>10</v>
      </c>
      <c r="E206" s="10" t="s">
        <v>10</v>
      </c>
      <c r="F206" s="10">
        <v>1361170</v>
      </c>
      <c r="G206" s="10" t="s">
        <v>103</v>
      </c>
      <c r="H206" s="11">
        <v>27540</v>
      </c>
      <c r="I206" s="10">
        <v>0</v>
      </c>
      <c r="J206" s="11">
        <f t="shared" si="7"/>
        <v>27540</v>
      </c>
      <c r="K206" s="12">
        <f>VLOOKUP(A206,[2]VA05!$A:$K,11,FALSE)</f>
        <v>45567</v>
      </c>
      <c r="L206" s="10" t="s">
        <v>12</v>
      </c>
      <c r="M206" s="10" t="s">
        <v>180</v>
      </c>
    </row>
    <row r="207" spans="1:13" x14ac:dyDescent="0.25">
      <c r="A207" s="13" t="str">
        <f t="shared" si="6"/>
        <v>50714273810</v>
      </c>
      <c r="B207" s="10">
        <v>1004051554</v>
      </c>
      <c r="C207" s="10">
        <v>507142738</v>
      </c>
      <c r="D207" s="10">
        <v>10</v>
      </c>
      <c r="E207" s="10" t="s">
        <v>10</v>
      </c>
      <c r="F207" s="10">
        <v>1361170</v>
      </c>
      <c r="G207" s="10" t="s">
        <v>103</v>
      </c>
      <c r="H207" s="11">
        <v>27540</v>
      </c>
      <c r="I207" s="10">
        <v>0</v>
      </c>
      <c r="J207" s="11">
        <f t="shared" si="7"/>
        <v>27540</v>
      </c>
      <c r="K207" s="12">
        <f>VLOOKUP(A207,[2]VA05!$A:$K,11,FALSE)</f>
        <v>45567</v>
      </c>
      <c r="L207" s="10" t="s">
        <v>12</v>
      </c>
      <c r="M207" s="10" t="s">
        <v>180</v>
      </c>
    </row>
    <row r="208" spans="1:13" hidden="1" x14ac:dyDescent="0.25">
      <c r="A208" s="13" t="str">
        <f t="shared" si="6"/>
        <v>50714263930</v>
      </c>
      <c r="B208" s="10">
        <v>1004043109</v>
      </c>
      <c r="C208" s="10">
        <v>507142639</v>
      </c>
      <c r="D208" s="10">
        <v>30</v>
      </c>
      <c r="E208" s="10" t="s">
        <v>10</v>
      </c>
      <c r="F208" s="10">
        <v>1367372</v>
      </c>
      <c r="G208" s="10" t="s">
        <v>62</v>
      </c>
      <c r="H208" s="11">
        <v>20250</v>
      </c>
      <c r="I208" s="11">
        <v>20250</v>
      </c>
      <c r="J208" s="11">
        <f t="shared" si="7"/>
        <v>0</v>
      </c>
      <c r="K208" s="12" t="e">
        <f>VLOOKUP(A208,[2]VA05!$A:$K,11,FALSE)</f>
        <v>#N/A</v>
      </c>
      <c r="L208" s="10" t="s">
        <v>34</v>
      </c>
      <c r="M208" s="10" t="s">
        <v>180</v>
      </c>
    </row>
    <row r="209" spans="1:13" hidden="1" x14ac:dyDescent="0.25">
      <c r="A209" s="13" t="str">
        <f t="shared" si="6"/>
        <v>50714269210</v>
      </c>
      <c r="B209" s="10">
        <v>1004057890</v>
      </c>
      <c r="C209" s="10">
        <v>507142692</v>
      </c>
      <c r="D209" s="10">
        <v>10</v>
      </c>
      <c r="E209" s="10" t="s">
        <v>10</v>
      </c>
      <c r="F209" s="10">
        <v>1367372</v>
      </c>
      <c r="G209" s="10" t="s">
        <v>62</v>
      </c>
      <c r="H209" s="11">
        <v>27540</v>
      </c>
      <c r="I209" s="11">
        <v>27540</v>
      </c>
      <c r="J209" s="11">
        <f t="shared" si="7"/>
        <v>0</v>
      </c>
      <c r="K209" s="12">
        <f>VLOOKUP(A209,[2]VA05!$A:$K,11,FALSE)</f>
        <v>45566</v>
      </c>
      <c r="L209" s="10" t="s">
        <v>248</v>
      </c>
      <c r="M209" s="10" t="s">
        <v>155</v>
      </c>
    </row>
    <row r="210" spans="1:13" hidden="1" x14ac:dyDescent="0.25">
      <c r="A210" s="13" t="str">
        <f t="shared" si="6"/>
        <v>50714269210</v>
      </c>
      <c r="B210" s="10">
        <v>1004057891</v>
      </c>
      <c r="C210" s="10">
        <v>507142692</v>
      </c>
      <c r="D210" s="10">
        <v>10</v>
      </c>
      <c r="E210" s="10" t="s">
        <v>10</v>
      </c>
      <c r="F210" s="10">
        <v>1367372</v>
      </c>
      <c r="G210" s="10" t="s">
        <v>62</v>
      </c>
      <c r="H210" s="11">
        <v>27540</v>
      </c>
      <c r="I210" s="11">
        <v>36500</v>
      </c>
      <c r="J210" s="11">
        <f t="shared" si="7"/>
        <v>-8960</v>
      </c>
      <c r="K210" s="12">
        <f>VLOOKUP(A210,[2]VA05!$A:$K,11,FALSE)</f>
        <v>45566</v>
      </c>
      <c r="L210" s="10" t="s">
        <v>18</v>
      </c>
      <c r="M210" s="10" t="s">
        <v>154</v>
      </c>
    </row>
    <row r="211" spans="1:13" x14ac:dyDescent="0.25">
      <c r="A211" s="13" t="str">
        <f t="shared" si="6"/>
        <v>50714269210</v>
      </c>
      <c r="B211" s="10">
        <v>1004057892</v>
      </c>
      <c r="C211" s="10">
        <v>507142692</v>
      </c>
      <c r="D211" s="10">
        <v>10</v>
      </c>
      <c r="E211" s="10" t="s">
        <v>10</v>
      </c>
      <c r="F211" s="10">
        <v>1367372</v>
      </c>
      <c r="G211" s="10" t="s">
        <v>62</v>
      </c>
      <c r="H211" s="11">
        <v>27540</v>
      </c>
      <c r="I211" s="10">
        <v>8960</v>
      </c>
      <c r="J211" s="11">
        <f t="shared" si="7"/>
        <v>18580</v>
      </c>
      <c r="K211" s="12">
        <f>VLOOKUP(A211,[2]VA05!$A:$K,11,FALSE)</f>
        <v>45566</v>
      </c>
      <c r="L211" s="10" t="s">
        <v>249</v>
      </c>
      <c r="M211" s="10" t="s">
        <v>154</v>
      </c>
    </row>
    <row r="212" spans="1:13" x14ac:dyDescent="0.25">
      <c r="A212" s="13" t="str">
        <f t="shared" si="6"/>
        <v>50714269230</v>
      </c>
      <c r="B212" s="10">
        <v>1004059598</v>
      </c>
      <c r="C212" s="10">
        <v>507142692</v>
      </c>
      <c r="D212" s="10">
        <v>30</v>
      </c>
      <c r="E212" s="10" t="s">
        <v>10</v>
      </c>
      <c r="F212" s="10">
        <v>1367372</v>
      </c>
      <c r="G212" s="10" t="s">
        <v>62</v>
      </c>
      <c r="H212" s="11">
        <v>25110</v>
      </c>
      <c r="I212" s="10">
        <v>0</v>
      </c>
      <c r="J212" s="11">
        <f t="shared" si="7"/>
        <v>25110</v>
      </c>
      <c r="K212" s="12">
        <f>VLOOKUP(A212,[2]VA05!$A:$K,11,FALSE)</f>
        <v>45567</v>
      </c>
      <c r="L212" s="10" t="s">
        <v>12</v>
      </c>
      <c r="M212" s="10" t="s">
        <v>154</v>
      </c>
    </row>
    <row r="213" spans="1:13" x14ac:dyDescent="0.25">
      <c r="A213" s="13" t="str">
        <f t="shared" si="6"/>
        <v>50714269230</v>
      </c>
      <c r="B213" s="10">
        <v>1004059599</v>
      </c>
      <c r="C213" s="10">
        <v>507142692</v>
      </c>
      <c r="D213" s="10">
        <v>30</v>
      </c>
      <c r="E213" s="10" t="s">
        <v>10</v>
      </c>
      <c r="F213" s="10">
        <v>1367372</v>
      </c>
      <c r="G213" s="10" t="s">
        <v>62</v>
      </c>
      <c r="H213" s="11">
        <v>25110</v>
      </c>
      <c r="I213" s="10">
        <v>0</v>
      </c>
      <c r="J213" s="11">
        <f t="shared" si="7"/>
        <v>25110</v>
      </c>
      <c r="K213" s="12">
        <f>VLOOKUP(A213,[2]VA05!$A:$K,11,FALSE)</f>
        <v>45567</v>
      </c>
      <c r="L213" s="10" t="s">
        <v>12</v>
      </c>
      <c r="M213" s="10" t="s">
        <v>154</v>
      </c>
    </row>
    <row r="214" spans="1:13" x14ac:dyDescent="0.25">
      <c r="A214" s="13" t="str">
        <f t="shared" si="6"/>
        <v>50714269230</v>
      </c>
      <c r="B214" s="10">
        <v>1004059600</v>
      </c>
      <c r="C214" s="10">
        <v>507142692</v>
      </c>
      <c r="D214" s="10">
        <v>30</v>
      </c>
      <c r="E214" s="10" t="s">
        <v>10</v>
      </c>
      <c r="F214" s="10">
        <v>1367372</v>
      </c>
      <c r="G214" s="10" t="s">
        <v>62</v>
      </c>
      <c r="H214" s="11">
        <v>25110</v>
      </c>
      <c r="I214" s="10">
        <v>0</v>
      </c>
      <c r="J214" s="11">
        <f t="shared" si="7"/>
        <v>25110</v>
      </c>
      <c r="K214" s="12">
        <f>VLOOKUP(A214,[2]VA05!$A:$K,11,FALSE)</f>
        <v>45567</v>
      </c>
      <c r="L214" s="10" t="s">
        <v>12</v>
      </c>
      <c r="M214" s="10" t="s">
        <v>154</v>
      </c>
    </row>
    <row r="215" spans="1:13" x14ac:dyDescent="0.25">
      <c r="A215" s="13" t="str">
        <f t="shared" si="6"/>
        <v>50714269230</v>
      </c>
      <c r="B215" s="10">
        <v>1004059601</v>
      </c>
      <c r="C215" s="10">
        <v>507142692</v>
      </c>
      <c r="D215" s="10">
        <v>30</v>
      </c>
      <c r="E215" s="10" t="s">
        <v>10</v>
      </c>
      <c r="F215" s="10">
        <v>1367372</v>
      </c>
      <c r="G215" s="10" t="s">
        <v>62</v>
      </c>
      <c r="H215" s="11">
        <v>24570</v>
      </c>
      <c r="I215" s="10">
        <v>0</v>
      </c>
      <c r="J215" s="11">
        <f t="shared" si="7"/>
        <v>24570</v>
      </c>
      <c r="K215" s="12">
        <f>VLOOKUP(A215,[2]VA05!$A:$K,11,FALSE)</f>
        <v>45567</v>
      </c>
      <c r="L215" s="10" t="s">
        <v>12</v>
      </c>
      <c r="M215" s="10" t="s">
        <v>154</v>
      </c>
    </row>
    <row r="216" spans="1:13" x14ac:dyDescent="0.25">
      <c r="A216" s="13" t="str">
        <f t="shared" si="6"/>
        <v>50714263860</v>
      </c>
      <c r="B216" s="10">
        <v>1004049845</v>
      </c>
      <c r="C216" s="10">
        <v>507142638</v>
      </c>
      <c r="D216" s="10">
        <v>60</v>
      </c>
      <c r="E216" s="10" t="s">
        <v>10</v>
      </c>
      <c r="F216" s="10">
        <v>1361175</v>
      </c>
      <c r="G216" s="10" t="s">
        <v>22</v>
      </c>
      <c r="H216" s="11">
        <v>36850</v>
      </c>
      <c r="I216" s="11">
        <v>4576</v>
      </c>
      <c r="J216" s="11">
        <f t="shared" si="7"/>
        <v>32274</v>
      </c>
      <c r="K216" s="12">
        <f>VLOOKUP(A216,[2]VA05!$A:$K,11,FALSE)</f>
        <v>45560</v>
      </c>
      <c r="L216" s="10" t="s">
        <v>132</v>
      </c>
      <c r="M216" s="10" t="s">
        <v>143</v>
      </c>
    </row>
    <row r="217" spans="1:13" x14ac:dyDescent="0.25">
      <c r="A217" s="13" t="str">
        <f t="shared" si="6"/>
        <v>50714263860</v>
      </c>
      <c r="B217" s="10">
        <v>1004049846</v>
      </c>
      <c r="C217" s="10">
        <v>507142638</v>
      </c>
      <c r="D217" s="10">
        <v>60</v>
      </c>
      <c r="E217" s="10" t="s">
        <v>10</v>
      </c>
      <c r="F217" s="10">
        <v>1361175</v>
      </c>
      <c r="G217" s="10" t="s">
        <v>22</v>
      </c>
      <c r="H217" s="11">
        <v>36190</v>
      </c>
      <c r="I217" s="10">
        <v>0</v>
      </c>
      <c r="J217" s="11">
        <f t="shared" si="7"/>
        <v>36190</v>
      </c>
      <c r="K217" s="12">
        <f>VLOOKUP(A217,[2]VA05!$A:$K,11,FALSE)</f>
        <v>45560</v>
      </c>
      <c r="L217" s="10" t="s">
        <v>241</v>
      </c>
      <c r="M217" s="10" t="s">
        <v>97</v>
      </c>
    </row>
    <row r="218" spans="1:13" hidden="1" x14ac:dyDescent="0.25">
      <c r="A218" s="13" t="str">
        <f t="shared" si="6"/>
        <v>50714263940</v>
      </c>
      <c r="B218" s="10">
        <v>1004046968</v>
      </c>
      <c r="C218" s="10">
        <v>507142639</v>
      </c>
      <c r="D218" s="10">
        <v>40</v>
      </c>
      <c r="E218" s="10" t="s">
        <v>10</v>
      </c>
      <c r="F218" s="10">
        <v>1367370</v>
      </c>
      <c r="G218" s="10" t="s">
        <v>63</v>
      </c>
      <c r="H218" s="11">
        <v>33048</v>
      </c>
      <c r="I218" s="11">
        <v>33048</v>
      </c>
      <c r="J218" s="11">
        <f t="shared" si="7"/>
        <v>0</v>
      </c>
      <c r="K218" s="12" t="e">
        <f>VLOOKUP(A218,[2]VA05!$A:$K,11,FALSE)</f>
        <v>#N/A</v>
      </c>
      <c r="L218" s="10" t="s">
        <v>34</v>
      </c>
      <c r="M218" s="10" t="s">
        <v>180</v>
      </c>
    </row>
    <row r="219" spans="1:13" hidden="1" x14ac:dyDescent="0.25">
      <c r="A219" s="13" t="str">
        <f t="shared" si="6"/>
        <v>50714269220</v>
      </c>
      <c r="B219" s="10">
        <v>1004057896</v>
      </c>
      <c r="C219" s="10">
        <v>507142692</v>
      </c>
      <c r="D219" s="10">
        <v>20</v>
      </c>
      <c r="E219" s="10" t="s">
        <v>10</v>
      </c>
      <c r="F219" s="10">
        <v>1367370</v>
      </c>
      <c r="G219" s="10" t="s">
        <v>63</v>
      </c>
      <c r="H219" s="11">
        <v>25920</v>
      </c>
      <c r="I219" s="11">
        <v>25920</v>
      </c>
      <c r="J219" s="11">
        <f t="shared" si="7"/>
        <v>0</v>
      </c>
      <c r="K219" s="12">
        <f>VLOOKUP(A219,[2]VA05!$A:$K,11,FALSE)</f>
        <v>45567</v>
      </c>
      <c r="L219" s="10" t="s">
        <v>28</v>
      </c>
      <c r="M219" s="10" t="s">
        <v>154</v>
      </c>
    </row>
    <row r="220" spans="1:13" x14ac:dyDescent="0.25">
      <c r="A220" s="13" t="str">
        <f t="shared" si="6"/>
        <v>50714269220</v>
      </c>
      <c r="B220" s="10">
        <v>1004057897</v>
      </c>
      <c r="C220" s="10">
        <v>507142692</v>
      </c>
      <c r="D220" s="10">
        <v>20</v>
      </c>
      <c r="E220" s="10" t="s">
        <v>10</v>
      </c>
      <c r="F220" s="10">
        <v>1367370</v>
      </c>
      <c r="G220" s="10" t="s">
        <v>63</v>
      </c>
      <c r="H220" s="11">
        <v>32400</v>
      </c>
      <c r="I220" s="11">
        <v>6300</v>
      </c>
      <c r="J220" s="11">
        <f t="shared" si="7"/>
        <v>26100</v>
      </c>
      <c r="K220" s="12">
        <f>VLOOKUP(A220,[2]VA05!$A:$K,11,FALSE)</f>
        <v>45567</v>
      </c>
      <c r="L220" s="10" t="s">
        <v>205</v>
      </c>
      <c r="M220" s="10" t="s">
        <v>194</v>
      </c>
    </row>
    <row r="221" spans="1:13" x14ac:dyDescent="0.25">
      <c r="A221" s="13" t="str">
        <f t="shared" si="6"/>
        <v>50714263830</v>
      </c>
      <c r="B221" s="10">
        <v>1004043125</v>
      </c>
      <c r="C221" s="10">
        <v>507142638</v>
      </c>
      <c r="D221" s="10">
        <v>30</v>
      </c>
      <c r="E221" s="10" t="s">
        <v>10</v>
      </c>
      <c r="F221" s="10">
        <v>1361213</v>
      </c>
      <c r="G221" s="10" t="s">
        <v>23</v>
      </c>
      <c r="H221" s="11">
        <v>113465</v>
      </c>
      <c r="I221" s="11">
        <v>44000</v>
      </c>
      <c r="J221" s="11">
        <f t="shared" si="7"/>
        <v>69465</v>
      </c>
      <c r="K221" s="12" t="e">
        <f>VLOOKUP(A221,[2]VA05!$A:$K,11,FALSE)</f>
        <v>#N/A</v>
      </c>
      <c r="L221" s="10" t="s">
        <v>18</v>
      </c>
      <c r="M221" s="10" t="s">
        <v>195</v>
      </c>
    </row>
    <row r="222" spans="1:13" x14ac:dyDescent="0.25">
      <c r="A222" s="13" t="str">
        <f t="shared" si="6"/>
        <v>50714263850</v>
      </c>
      <c r="B222" s="10">
        <v>1004043126</v>
      </c>
      <c r="C222" s="10">
        <v>507142638</v>
      </c>
      <c r="D222" s="10">
        <v>50</v>
      </c>
      <c r="E222" s="10" t="s">
        <v>10</v>
      </c>
      <c r="F222" s="10">
        <v>1361213</v>
      </c>
      <c r="G222" s="10" t="s">
        <v>23</v>
      </c>
      <c r="H222" s="11">
        <v>113187</v>
      </c>
      <c r="I222" s="10">
        <v>0</v>
      </c>
      <c r="J222" s="11">
        <f t="shared" si="7"/>
        <v>113187</v>
      </c>
      <c r="K222" s="12">
        <f>VLOOKUP(A222,[2]VA05!$A:$K,11,FALSE)</f>
        <v>45560</v>
      </c>
      <c r="L222" s="10" t="s">
        <v>12</v>
      </c>
      <c r="M222" s="10" t="s">
        <v>111</v>
      </c>
    </row>
    <row r="223" spans="1:13" x14ac:dyDescent="0.25">
      <c r="A223" s="13" t="str">
        <f t="shared" si="6"/>
        <v>50714273810</v>
      </c>
      <c r="B223" s="10">
        <v>1004053617</v>
      </c>
      <c r="C223" s="10">
        <v>507142738</v>
      </c>
      <c r="D223" s="10">
        <v>10</v>
      </c>
      <c r="E223" s="10" t="s">
        <v>10</v>
      </c>
      <c r="F223" s="10">
        <v>1361213</v>
      </c>
      <c r="G223" s="10" t="s">
        <v>23</v>
      </c>
      <c r="H223" s="11">
        <v>113468</v>
      </c>
      <c r="I223" s="10">
        <v>0</v>
      </c>
      <c r="J223" s="11">
        <f t="shared" si="7"/>
        <v>113468</v>
      </c>
      <c r="K223" s="12">
        <f>VLOOKUP(A223,[2]VA05!$A:$K,11,FALSE)</f>
        <v>45567</v>
      </c>
      <c r="L223" s="10" t="s">
        <v>12</v>
      </c>
      <c r="M223" s="10" t="s">
        <v>130</v>
      </c>
    </row>
    <row r="224" spans="1:13" x14ac:dyDescent="0.25">
      <c r="A224" s="13" t="str">
        <f t="shared" si="6"/>
        <v>50714279010</v>
      </c>
      <c r="B224" s="10">
        <v>1004053618</v>
      </c>
      <c r="C224" s="10">
        <v>507142790</v>
      </c>
      <c r="D224" s="10">
        <v>10</v>
      </c>
      <c r="E224" s="10" t="s">
        <v>10</v>
      </c>
      <c r="F224" s="10">
        <v>1361213</v>
      </c>
      <c r="G224" s="10" t="s">
        <v>23</v>
      </c>
      <c r="H224" s="11">
        <v>113465</v>
      </c>
      <c r="I224" s="10">
        <v>0</v>
      </c>
      <c r="J224" s="11">
        <f t="shared" si="7"/>
        <v>113465</v>
      </c>
      <c r="K224" s="12">
        <f>VLOOKUP(A224,[2]VA05!$A:$K,11,FALSE)</f>
        <v>45583</v>
      </c>
      <c r="L224" s="10" t="s">
        <v>12</v>
      </c>
      <c r="M224" s="10" t="s">
        <v>180</v>
      </c>
    </row>
    <row r="225" spans="1:13" hidden="1" x14ac:dyDescent="0.25">
      <c r="A225" s="13" t="str">
        <f t="shared" si="6"/>
        <v>50714263750</v>
      </c>
      <c r="B225" s="10">
        <v>1004053626</v>
      </c>
      <c r="C225" s="10">
        <v>507142637</v>
      </c>
      <c r="D225" s="10">
        <v>50</v>
      </c>
      <c r="E225" s="10" t="s">
        <v>10</v>
      </c>
      <c r="F225" s="10">
        <v>1408740</v>
      </c>
      <c r="G225" s="10" t="s">
        <v>104</v>
      </c>
      <c r="H225" s="11">
        <v>27540</v>
      </c>
      <c r="I225" s="11">
        <v>27540</v>
      </c>
      <c r="J225" s="11">
        <f t="shared" si="7"/>
        <v>0</v>
      </c>
      <c r="K225" s="12">
        <f>VLOOKUP(A225,[2]VA05!$A:$K,11,FALSE)</f>
        <v>45552</v>
      </c>
      <c r="L225" s="10" t="s">
        <v>18</v>
      </c>
      <c r="M225" s="10" t="s">
        <v>154</v>
      </c>
    </row>
    <row r="226" spans="1:13" x14ac:dyDescent="0.25">
      <c r="A226" s="13" t="str">
        <f t="shared" si="6"/>
        <v>50714263750</v>
      </c>
      <c r="B226" s="10">
        <v>1004053627</v>
      </c>
      <c r="C226" s="10">
        <v>507142637</v>
      </c>
      <c r="D226" s="10">
        <v>50</v>
      </c>
      <c r="E226" s="10" t="s">
        <v>10</v>
      </c>
      <c r="F226" s="10">
        <v>1408740</v>
      </c>
      <c r="G226" s="10" t="s">
        <v>104</v>
      </c>
      <c r="H226" s="11">
        <v>27540</v>
      </c>
      <c r="I226" s="11">
        <v>7000</v>
      </c>
      <c r="J226" s="11">
        <f t="shared" si="7"/>
        <v>20540</v>
      </c>
      <c r="K226" s="12">
        <f>VLOOKUP(A226,[2]VA05!$A:$K,11,FALSE)</f>
        <v>45552</v>
      </c>
      <c r="L226" s="10" t="s">
        <v>240</v>
      </c>
      <c r="M226" s="10" t="s">
        <v>194</v>
      </c>
    </row>
    <row r="227" spans="1:13" x14ac:dyDescent="0.25">
      <c r="A227" s="13" t="str">
        <f t="shared" si="6"/>
        <v>50714263750</v>
      </c>
      <c r="B227" s="10">
        <v>1004053628</v>
      </c>
      <c r="C227" s="10">
        <v>507142637</v>
      </c>
      <c r="D227" s="10">
        <v>50</v>
      </c>
      <c r="E227" s="10" t="s">
        <v>10</v>
      </c>
      <c r="F227" s="10">
        <v>1408740</v>
      </c>
      <c r="G227" s="10" t="s">
        <v>104</v>
      </c>
      <c r="H227" s="11">
        <v>27540</v>
      </c>
      <c r="I227" s="10">
        <v>0</v>
      </c>
      <c r="J227" s="11">
        <f t="shared" si="7"/>
        <v>27540</v>
      </c>
      <c r="K227" s="12">
        <f>VLOOKUP(A227,[2]VA05!$A:$K,11,FALSE)</f>
        <v>45552</v>
      </c>
      <c r="L227" s="10" t="s">
        <v>25</v>
      </c>
      <c r="M227" s="10" t="s">
        <v>154</v>
      </c>
    </row>
    <row r="228" spans="1:13" x14ac:dyDescent="0.25">
      <c r="A228" s="13" t="str">
        <f t="shared" si="6"/>
        <v>50714263750</v>
      </c>
      <c r="B228" s="10">
        <v>1004053629</v>
      </c>
      <c r="C228" s="10">
        <v>507142637</v>
      </c>
      <c r="D228" s="10">
        <v>50</v>
      </c>
      <c r="E228" s="10" t="s">
        <v>10</v>
      </c>
      <c r="F228" s="10">
        <v>1408740</v>
      </c>
      <c r="G228" s="10" t="s">
        <v>104</v>
      </c>
      <c r="H228" s="11">
        <v>27270</v>
      </c>
      <c r="I228" s="10">
        <v>0</v>
      </c>
      <c r="J228" s="11">
        <f t="shared" si="7"/>
        <v>27270</v>
      </c>
      <c r="K228" s="12">
        <f>VLOOKUP(A228,[2]VA05!$A:$K,11,FALSE)</f>
        <v>45552</v>
      </c>
      <c r="L228" s="10" t="s">
        <v>25</v>
      </c>
      <c r="M228" s="10" t="s">
        <v>154</v>
      </c>
    </row>
    <row r="229" spans="1:13" hidden="1" x14ac:dyDescent="0.25">
      <c r="A229" s="13" t="str">
        <f t="shared" si="6"/>
        <v>50714263760</v>
      </c>
      <c r="B229" s="10">
        <v>1004053631</v>
      </c>
      <c r="C229" s="10">
        <v>507142637</v>
      </c>
      <c r="D229" s="10">
        <v>60</v>
      </c>
      <c r="E229" s="10" t="s">
        <v>10</v>
      </c>
      <c r="F229" s="10">
        <v>1408739</v>
      </c>
      <c r="G229" s="10" t="s">
        <v>37</v>
      </c>
      <c r="H229" s="11">
        <v>27864</v>
      </c>
      <c r="I229" s="11">
        <v>27864</v>
      </c>
      <c r="J229" s="11">
        <f t="shared" si="7"/>
        <v>0</v>
      </c>
      <c r="K229" s="12">
        <f>VLOOKUP(A229,[2]VA05!$A:$K,11,FALSE)</f>
        <v>45553</v>
      </c>
      <c r="L229" s="10" t="s">
        <v>233</v>
      </c>
      <c r="M229" s="10" t="s">
        <v>61</v>
      </c>
    </row>
    <row r="230" spans="1:13" hidden="1" x14ac:dyDescent="0.25">
      <c r="A230" s="13" t="str">
        <f t="shared" si="6"/>
        <v>50714263760</v>
      </c>
      <c r="B230" s="10">
        <v>1004053632</v>
      </c>
      <c r="C230" s="10">
        <v>507142637</v>
      </c>
      <c r="D230" s="10">
        <v>60</v>
      </c>
      <c r="E230" s="10" t="s">
        <v>10</v>
      </c>
      <c r="F230" s="10">
        <v>1408739</v>
      </c>
      <c r="G230" s="10" t="s">
        <v>37</v>
      </c>
      <c r="H230" s="11">
        <v>27864</v>
      </c>
      <c r="I230" s="11">
        <v>27864</v>
      </c>
      <c r="J230" s="11">
        <f t="shared" si="7"/>
        <v>0</v>
      </c>
      <c r="K230" s="12">
        <f>VLOOKUP(A230,[2]VA05!$A:$K,11,FALSE)</f>
        <v>45553</v>
      </c>
      <c r="L230" s="10" t="s">
        <v>132</v>
      </c>
      <c r="M230" s="10" t="s">
        <v>155</v>
      </c>
    </row>
    <row r="231" spans="1:13" hidden="1" x14ac:dyDescent="0.25">
      <c r="A231" s="13" t="str">
        <f t="shared" si="6"/>
        <v>50714263760</v>
      </c>
      <c r="B231" s="10">
        <v>1004053633</v>
      </c>
      <c r="C231" s="10">
        <v>507142637</v>
      </c>
      <c r="D231" s="10">
        <v>60</v>
      </c>
      <c r="E231" s="10" t="s">
        <v>10</v>
      </c>
      <c r="F231" s="10">
        <v>1408739</v>
      </c>
      <c r="G231" s="10" t="s">
        <v>37</v>
      </c>
      <c r="H231" s="11">
        <v>26298</v>
      </c>
      <c r="I231" s="11">
        <v>26298</v>
      </c>
      <c r="J231" s="11">
        <f t="shared" si="7"/>
        <v>0</v>
      </c>
      <c r="K231" s="12">
        <f>VLOOKUP(A231,[2]VA05!$A:$K,11,FALSE)</f>
        <v>45553</v>
      </c>
      <c r="L231" s="10" t="s">
        <v>132</v>
      </c>
      <c r="M231" s="10" t="s">
        <v>195</v>
      </c>
    </row>
    <row r="232" spans="1:13" x14ac:dyDescent="0.25">
      <c r="A232" s="13" t="str">
        <f t="shared" si="6"/>
        <v>50714269820</v>
      </c>
      <c r="B232" s="10">
        <v>1004059594</v>
      </c>
      <c r="C232" s="10">
        <v>507142698</v>
      </c>
      <c r="D232" s="10">
        <v>20</v>
      </c>
      <c r="E232" s="10" t="s">
        <v>10</v>
      </c>
      <c r="F232" s="10">
        <v>1408739</v>
      </c>
      <c r="G232" s="10" t="s">
        <v>37</v>
      </c>
      <c r="H232" s="11">
        <v>27864</v>
      </c>
      <c r="I232" s="11">
        <v>11872</v>
      </c>
      <c r="J232" s="11">
        <f t="shared" si="7"/>
        <v>15992</v>
      </c>
      <c r="K232" s="12">
        <f>VLOOKUP(A232,[2]VA05!$A:$K,11,FALSE)</f>
        <v>45553</v>
      </c>
      <c r="L232" s="10" t="s">
        <v>240</v>
      </c>
      <c r="M232" s="10" t="s">
        <v>194</v>
      </c>
    </row>
    <row r="233" spans="1:13" x14ac:dyDescent="0.25">
      <c r="A233" s="13" t="str">
        <f t="shared" si="6"/>
        <v>50714269820</v>
      </c>
      <c r="B233" s="10">
        <v>1004059595</v>
      </c>
      <c r="C233" s="10">
        <v>507142698</v>
      </c>
      <c r="D233" s="10">
        <v>20</v>
      </c>
      <c r="E233" s="10" t="s">
        <v>10</v>
      </c>
      <c r="F233" s="10">
        <v>1408739</v>
      </c>
      <c r="G233" s="10" t="s">
        <v>37</v>
      </c>
      <c r="H233" s="11">
        <v>27864</v>
      </c>
      <c r="I233" s="10">
        <v>0</v>
      </c>
      <c r="J233" s="11">
        <f t="shared" si="7"/>
        <v>27864</v>
      </c>
      <c r="K233" s="12">
        <f>VLOOKUP(A233,[2]VA05!$A:$K,11,FALSE)</f>
        <v>45553</v>
      </c>
      <c r="L233" s="10" t="s">
        <v>12</v>
      </c>
      <c r="M233" s="10" t="s">
        <v>154</v>
      </c>
    </row>
    <row r="234" spans="1:13" x14ac:dyDescent="0.25">
      <c r="A234" s="13" t="str">
        <f t="shared" si="6"/>
        <v>50714269820</v>
      </c>
      <c r="B234" s="10">
        <v>1004059596</v>
      </c>
      <c r="C234" s="10">
        <v>507142698</v>
      </c>
      <c r="D234" s="10">
        <v>20</v>
      </c>
      <c r="E234" s="10" t="s">
        <v>10</v>
      </c>
      <c r="F234" s="10">
        <v>1408739</v>
      </c>
      <c r="G234" s="10" t="s">
        <v>37</v>
      </c>
      <c r="H234" s="11">
        <v>27864</v>
      </c>
      <c r="I234" s="10">
        <v>0</v>
      </c>
      <c r="J234" s="11">
        <f t="shared" si="7"/>
        <v>27864</v>
      </c>
      <c r="K234" s="12">
        <f>VLOOKUP(A234,[2]VA05!$A:$K,11,FALSE)</f>
        <v>45553</v>
      </c>
      <c r="L234" s="10" t="s">
        <v>12</v>
      </c>
      <c r="M234" s="10" t="s">
        <v>154</v>
      </c>
    </row>
    <row r="235" spans="1:13" x14ac:dyDescent="0.25">
      <c r="A235" s="13" t="str">
        <f t="shared" si="6"/>
        <v>50714269820</v>
      </c>
      <c r="B235" s="10">
        <v>1004059597</v>
      </c>
      <c r="C235" s="10">
        <v>507142698</v>
      </c>
      <c r="D235" s="10">
        <v>20</v>
      </c>
      <c r="E235" s="10" t="s">
        <v>10</v>
      </c>
      <c r="F235" s="10">
        <v>1408739</v>
      </c>
      <c r="G235" s="10" t="s">
        <v>37</v>
      </c>
      <c r="H235" s="11">
        <v>26568</v>
      </c>
      <c r="I235" s="10">
        <v>0</v>
      </c>
      <c r="J235" s="11">
        <f t="shared" si="7"/>
        <v>26568</v>
      </c>
      <c r="K235" s="12">
        <f>VLOOKUP(A235,[2]VA05!$A:$K,11,FALSE)</f>
        <v>45553</v>
      </c>
      <c r="L235" s="10" t="s">
        <v>12</v>
      </c>
      <c r="M235" s="10" t="s">
        <v>154</v>
      </c>
    </row>
    <row r="236" spans="1:13" x14ac:dyDescent="0.25">
      <c r="A236" s="13" t="str">
        <f t="shared" si="6"/>
        <v>50714269810</v>
      </c>
      <c r="B236" s="10">
        <v>1004041361</v>
      </c>
      <c r="C236" s="10">
        <v>507142698</v>
      </c>
      <c r="D236" s="10">
        <v>10</v>
      </c>
      <c r="E236" s="10" t="s">
        <v>10</v>
      </c>
      <c r="F236" s="10">
        <v>1408742</v>
      </c>
      <c r="G236" s="10" t="s">
        <v>38</v>
      </c>
      <c r="H236" s="11">
        <v>113465</v>
      </c>
      <c r="I236" s="11">
        <v>28100</v>
      </c>
      <c r="J236" s="11">
        <f t="shared" si="7"/>
        <v>85365</v>
      </c>
      <c r="K236" s="12">
        <f>VLOOKUP(A236,[2]VA05!$A:$K,11,FALSE)</f>
        <v>45553</v>
      </c>
      <c r="L236" s="10" t="s">
        <v>18</v>
      </c>
      <c r="M236" s="10" t="s">
        <v>154</v>
      </c>
    </row>
    <row r="237" spans="1:13" x14ac:dyDescent="0.25">
      <c r="A237" s="13" t="str">
        <f t="shared" si="6"/>
        <v>50714275710</v>
      </c>
      <c r="B237" s="10">
        <v>1004054925</v>
      </c>
      <c r="C237" s="10">
        <v>507142757</v>
      </c>
      <c r="D237" s="10">
        <v>10</v>
      </c>
      <c r="E237" s="10" t="s">
        <v>10</v>
      </c>
      <c r="F237" s="10">
        <v>1411702</v>
      </c>
      <c r="G237" s="10" t="s">
        <v>221</v>
      </c>
      <c r="H237" s="11">
        <v>74055</v>
      </c>
      <c r="I237" s="11">
        <v>33660</v>
      </c>
      <c r="J237" s="11">
        <f t="shared" si="7"/>
        <v>40395</v>
      </c>
      <c r="K237" s="12">
        <f>VLOOKUP(A237,[2]VA05!$A:$K,11,FALSE)</f>
        <v>45567</v>
      </c>
      <c r="L237" s="10" t="s">
        <v>11</v>
      </c>
      <c r="M237" s="10" t="s">
        <v>61</v>
      </c>
    </row>
    <row r="238" spans="1:13" x14ac:dyDescent="0.25">
      <c r="A238" s="13" t="str">
        <f t="shared" si="6"/>
        <v>50714275730</v>
      </c>
      <c r="B238" s="10">
        <v>1004054926</v>
      </c>
      <c r="C238" s="10">
        <v>507142757</v>
      </c>
      <c r="D238" s="10">
        <v>30</v>
      </c>
      <c r="E238" s="10" t="s">
        <v>10</v>
      </c>
      <c r="F238" s="10">
        <v>1411702</v>
      </c>
      <c r="G238" s="10" t="s">
        <v>221</v>
      </c>
      <c r="H238" s="11">
        <v>126758</v>
      </c>
      <c r="I238" s="10">
        <v>0</v>
      </c>
      <c r="J238" s="11">
        <f t="shared" si="7"/>
        <v>126758</v>
      </c>
      <c r="K238" s="12">
        <f>VLOOKUP(A238,[2]VA05!$A:$K,11,FALSE)</f>
        <v>45574</v>
      </c>
      <c r="L238" s="10" t="s">
        <v>12</v>
      </c>
      <c r="M238" s="10" t="s">
        <v>61</v>
      </c>
    </row>
    <row r="239" spans="1:13" x14ac:dyDescent="0.25">
      <c r="A239" s="13" t="str">
        <f t="shared" si="6"/>
        <v>50714275750</v>
      </c>
      <c r="B239" s="10">
        <v>1004054927</v>
      </c>
      <c r="C239" s="10">
        <v>507142757</v>
      </c>
      <c r="D239" s="10">
        <v>50</v>
      </c>
      <c r="E239" s="10" t="s">
        <v>10</v>
      </c>
      <c r="F239" s="10">
        <v>1411702</v>
      </c>
      <c r="G239" s="10" t="s">
        <v>221</v>
      </c>
      <c r="H239" s="11">
        <v>63514</v>
      </c>
      <c r="I239" s="10">
        <v>0</v>
      </c>
      <c r="J239" s="11">
        <f t="shared" si="7"/>
        <v>63514</v>
      </c>
      <c r="K239" s="12">
        <f>VLOOKUP(A239,[2]VA05!$A:$K,11,FALSE)</f>
        <v>45587</v>
      </c>
      <c r="L239" s="10" t="s">
        <v>12</v>
      </c>
      <c r="M239" s="10" t="s">
        <v>156</v>
      </c>
    </row>
    <row r="240" spans="1:13" x14ac:dyDescent="0.25">
      <c r="A240" s="13" t="str">
        <f t="shared" si="6"/>
        <v>50714275670</v>
      </c>
      <c r="B240" s="10">
        <v>1004052383</v>
      </c>
      <c r="C240" s="10">
        <v>507142756</v>
      </c>
      <c r="D240" s="10">
        <v>70</v>
      </c>
      <c r="E240" s="10" t="s">
        <v>10</v>
      </c>
      <c r="F240" s="10">
        <v>1411902</v>
      </c>
      <c r="G240" s="10" t="s">
        <v>151</v>
      </c>
      <c r="H240" s="11">
        <v>126758</v>
      </c>
      <c r="I240" s="11">
        <v>51462</v>
      </c>
      <c r="J240" s="11">
        <f t="shared" si="7"/>
        <v>75296</v>
      </c>
      <c r="K240" s="12">
        <f>VLOOKUP(A240,[2]VA05!$A:$K,11,FALSE)</f>
        <v>45582</v>
      </c>
      <c r="L240" s="10" t="s">
        <v>18</v>
      </c>
      <c r="M240" s="10" t="s">
        <v>201</v>
      </c>
    </row>
    <row r="241" spans="1:13" x14ac:dyDescent="0.25">
      <c r="A241" s="13" t="str">
        <f t="shared" si="6"/>
        <v>50714275690</v>
      </c>
      <c r="B241" s="10">
        <v>1004052384</v>
      </c>
      <c r="C241" s="10">
        <v>507142756</v>
      </c>
      <c r="D241" s="10">
        <v>90</v>
      </c>
      <c r="E241" s="10" t="s">
        <v>10</v>
      </c>
      <c r="F241" s="10">
        <v>1411902</v>
      </c>
      <c r="G241" s="10" t="s">
        <v>151</v>
      </c>
      <c r="H241" s="11">
        <v>68920</v>
      </c>
      <c r="I241" s="10">
        <v>0</v>
      </c>
      <c r="J241" s="11">
        <f t="shared" si="7"/>
        <v>68920</v>
      </c>
      <c r="K241" s="12">
        <f>VLOOKUP(A241,[2]VA05!$A:$K,11,FALSE)</f>
        <v>45588</v>
      </c>
      <c r="L241" s="10" t="s">
        <v>12</v>
      </c>
      <c r="M241" s="10" t="s">
        <v>194</v>
      </c>
    </row>
    <row r="242" spans="1:13" x14ac:dyDescent="0.25">
      <c r="A242" s="13" t="str">
        <f t="shared" si="6"/>
        <v>50714275720</v>
      </c>
      <c r="B242" s="10">
        <v>1004052373</v>
      </c>
      <c r="C242" s="10">
        <v>507142757</v>
      </c>
      <c r="D242" s="10">
        <v>20</v>
      </c>
      <c r="E242" s="10" t="s">
        <v>10</v>
      </c>
      <c r="F242" s="10">
        <v>1411705</v>
      </c>
      <c r="G242" s="10" t="s">
        <v>189</v>
      </c>
      <c r="H242" s="11">
        <v>75493</v>
      </c>
      <c r="I242" s="11">
        <v>25600</v>
      </c>
      <c r="J242" s="11">
        <f t="shared" si="7"/>
        <v>49893</v>
      </c>
      <c r="K242" s="12">
        <f>VLOOKUP(A242,[2]VA05!$A:$K,11,FALSE)</f>
        <v>45567</v>
      </c>
      <c r="L242" s="10" t="s">
        <v>11</v>
      </c>
      <c r="M242" s="10" t="s">
        <v>143</v>
      </c>
    </row>
    <row r="243" spans="1:13" x14ac:dyDescent="0.25">
      <c r="A243" s="13" t="str">
        <f t="shared" si="6"/>
        <v>50714275740</v>
      </c>
      <c r="B243" s="10">
        <v>1004052374</v>
      </c>
      <c r="C243" s="10">
        <v>507142757</v>
      </c>
      <c r="D243" s="10">
        <v>40</v>
      </c>
      <c r="E243" s="10" t="s">
        <v>10</v>
      </c>
      <c r="F243" s="10">
        <v>1411705</v>
      </c>
      <c r="G243" s="10" t="s">
        <v>189</v>
      </c>
      <c r="H243" s="11">
        <v>129220</v>
      </c>
      <c r="I243" s="10">
        <v>0</v>
      </c>
      <c r="J243" s="11">
        <f t="shared" si="7"/>
        <v>129220</v>
      </c>
      <c r="K243" s="12">
        <f>VLOOKUP(A243,[2]VA05!$A:$K,11,FALSE)</f>
        <v>45574</v>
      </c>
      <c r="L243" s="10" t="s">
        <v>12</v>
      </c>
      <c r="M243" s="10" t="s">
        <v>143</v>
      </c>
    </row>
    <row r="244" spans="1:13" x14ac:dyDescent="0.25">
      <c r="A244" s="13" t="str">
        <f t="shared" si="6"/>
        <v>50714275760</v>
      </c>
      <c r="B244" s="10">
        <v>1004052375</v>
      </c>
      <c r="C244" s="10">
        <v>507142757</v>
      </c>
      <c r="D244" s="10">
        <v>60</v>
      </c>
      <c r="E244" s="10" t="s">
        <v>10</v>
      </c>
      <c r="F244" s="10">
        <v>1411705</v>
      </c>
      <c r="G244" s="10" t="s">
        <v>189</v>
      </c>
      <c r="H244" s="11">
        <v>64748</v>
      </c>
      <c r="I244" s="10">
        <v>0</v>
      </c>
      <c r="J244" s="11">
        <f t="shared" si="7"/>
        <v>64748</v>
      </c>
      <c r="K244" s="12">
        <f>VLOOKUP(A244,[2]VA05!$A:$K,11,FALSE)</f>
        <v>45587</v>
      </c>
      <c r="L244" s="10" t="s">
        <v>12</v>
      </c>
      <c r="M244" s="10" t="s">
        <v>156</v>
      </c>
    </row>
    <row r="245" spans="1:13" x14ac:dyDescent="0.25">
      <c r="A245" s="13" t="str">
        <f t="shared" si="6"/>
        <v>50714275780</v>
      </c>
      <c r="B245" s="10">
        <v>1004052376</v>
      </c>
      <c r="C245" s="10">
        <v>507142757</v>
      </c>
      <c r="D245" s="10">
        <v>80</v>
      </c>
      <c r="E245" s="10" t="s">
        <v>10</v>
      </c>
      <c r="F245" s="10">
        <v>1411705</v>
      </c>
      <c r="G245" s="10" t="s">
        <v>189</v>
      </c>
      <c r="H245" s="11">
        <v>23145</v>
      </c>
      <c r="I245" s="10">
        <v>0</v>
      </c>
      <c r="J245" s="11">
        <f t="shared" si="7"/>
        <v>23145</v>
      </c>
      <c r="K245" s="12">
        <f>VLOOKUP(A245,[2]VA05!$A:$K,11,FALSE)</f>
        <v>45594</v>
      </c>
      <c r="L245" s="10" t="s">
        <v>12</v>
      </c>
      <c r="M245" s="10" t="s">
        <v>176</v>
      </c>
    </row>
    <row r="246" spans="1:13" x14ac:dyDescent="0.25">
      <c r="A246" s="13" t="str">
        <f t="shared" si="6"/>
        <v>50714275680</v>
      </c>
      <c r="B246" s="10">
        <v>1004052371</v>
      </c>
      <c r="C246" s="10">
        <v>507142756</v>
      </c>
      <c r="D246" s="10">
        <v>80</v>
      </c>
      <c r="E246" s="10" t="s">
        <v>10</v>
      </c>
      <c r="F246" s="10">
        <v>1411900</v>
      </c>
      <c r="G246" s="10" t="s">
        <v>152</v>
      </c>
      <c r="H246" s="11">
        <v>129220</v>
      </c>
      <c r="I246" s="11">
        <v>40422</v>
      </c>
      <c r="J246" s="11">
        <f t="shared" si="7"/>
        <v>88798</v>
      </c>
      <c r="K246" s="12">
        <f>VLOOKUP(A246,[2]VA05!$A:$K,11,FALSE)</f>
        <v>45582</v>
      </c>
      <c r="L246" s="10" t="s">
        <v>18</v>
      </c>
      <c r="M246" s="10" t="s">
        <v>180</v>
      </c>
    </row>
    <row r="247" spans="1:13" x14ac:dyDescent="0.25">
      <c r="A247" s="13" t="str">
        <f t="shared" si="6"/>
        <v>507142756100</v>
      </c>
      <c r="B247" s="10">
        <v>1004052372</v>
      </c>
      <c r="C247" s="10">
        <v>507142756</v>
      </c>
      <c r="D247" s="10">
        <v>100</v>
      </c>
      <c r="E247" s="10" t="s">
        <v>10</v>
      </c>
      <c r="F247" s="10">
        <v>1411900</v>
      </c>
      <c r="G247" s="10" t="s">
        <v>152</v>
      </c>
      <c r="H247" s="11">
        <v>70258</v>
      </c>
      <c r="I247" s="10">
        <v>0</v>
      </c>
      <c r="J247" s="11">
        <f t="shared" si="7"/>
        <v>70258</v>
      </c>
      <c r="K247" s="12">
        <f>VLOOKUP(A247,[2]VA05!$A:$K,11,FALSE)</f>
        <v>45588</v>
      </c>
      <c r="L247" s="10" t="s">
        <v>12</v>
      </c>
      <c r="M247" s="10" t="s">
        <v>178</v>
      </c>
    </row>
    <row r="248" spans="1:13" x14ac:dyDescent="0.25">
      <c r="A248" s="13" t="str">
        <f t="shared" si="6"/>
        <v>50714275710</v>
      </c>
      <c r="B248" s="10">
        <v>1004052377</v>
      </c>
      <c r="C248" s="10">
        <v>507142757</v>
      </c>
      <c r="D248" s="10">
        <v>10</v>
      </c>
      <c r="E248" s="10" t="s">
        <v>10</v>
      </c>
      <c r="F248" s="10">
        <v>1411703</v>
      </c>
      <c r="G248" s="10" t="s">
        <v>190</v>
      </c>
      <c r="H248" s="11">
        <v>71898</v>
      </c>
      <c r="I248" s="11">
        <v>15270</v>
      </c>
      <c r="J248" s="11">
        <f t="shared" si="7"/>
        <v>56628</v>
      </c>
      <c r="K248" s="12">
        <f>VLOOKUP(A248,[2]VA05!$A:$K,11,FALSE)</f>
        <v>45567</v>
      </c>
      <c r="L248" s="10" t="s">
        <v>11</v>
      </c>
      <c r="M248" s="10" t="s">
        <v>143</v>
      </c>
    </row>
    <row r="249" spans="1:13" x14ac:dyDescent="0.25">
      <c r="A249" s="13" t="str">
        <f t="shared" si="6"/>
        <v>50714275730</v>
      </c>
      <c r="B249" s="10">
        <v>1004052378</v>
      </c>
      <c r="C249" s="10">
        <v>507142757</v>
      </c>
      <c r="D249" s="10">
        <v>30</v>
      </c>
      <c r="E249" s="10" t="s">
        <v>10</v>
      </c>
      <c r="F249" s="10">
        <v>1411703</v>
      </c>
      <c r="G249" s="10" t="s">
        <v>190</v>
      </c>
      <c r="H249" s="11">
        <v>123066</v>
      </c>
      <c r="I249" s="10">
        <v>0</v>
      </c>
      <c r="J249" s="11">
        <f t="shared" si="7"/>
        <v>123066</v>
      </c>
      <c r="K249" s="12">
        <f>VLOOKUP(A249,[2]VA05!$A:$K,11,FALSE)</f>
        <v>45574</v>
      </c>
      <c r="L249" s="10" t="s">
        <v>12</v>
      </c>
      <c r="M249" s="10" t="s">
        <v>97</v>
      </c>
    </row>
    <row r="250" spans="1:13" x14ac:dyDescent="0.25">
      <c r="A250" s="13" t="str">
        <f t="shared" si="6"/>
        <v>50714275750</v>
      </c>
      <c r="B250" s="10">
        <v>1004052379</v>
      </c>
      <c r="C250" s="10">
        <v>507142757</v>
      </c>
      <c r="D250" s="10">
        <v>50</v>
      </c>
      <c r="E250" s="10" t="s">
        <v>10</v>
      </c>
      <c r="F250" s="10">
        <v>1411703</v>
      </c>
      <c r="G250" s="10" t="s">
        <v>190</v>
      </c>
      <c r="H250" s="11">
        <v>61664</v>
      </c>
      <c r="I250" s="10">
        <v>0</v>
      </c>
      <c r="J250" s="11">
        <f t="shared" si="7"/>
        <v>61664</v>
      </c>
      <c r="K250" s="12">
        <f>VLOOKUP(A250,[2]VA05!$A:$K,11,FALSE)</f>
        <v>45587</v>
      </c>
      <c r="L250" s="10" t="s">
        <v>12</v>
      </c>
      <c r="M250" s="10" t="s">
        <v>156</v>
      </c>
    </row>
    <row r="251" spans="1:13" x14ac:dyDescent="0.25">
      <c r="A251" s="13" t="str">
        <f t="shared" si="6"/>
        <v>50714275770</v>
      </c>
      <c r="B251" s="10">
        <v>1004052380</v>
      </c>
      <c r="C251" s="10">
        <v>507142757</v>
      </c>
      <c r="D251" s="10">
        <v>70</v>
      </c>
      <c r="E251" s="10" t="s">
        <v>10</v>
      </c>
      <c r="F251" s="10">
        <v>1411703</v>
      </c>
      <c r="G251" s="10" t="s">
        <v>190</v>
      </c>
      <c r="H251" s="11">
        <v>22042</v>
      </c>
      <c r="I251" s="10">
        <v>0</v>
      </c>
      <c r="J251" s="11">
        <f t="shared" si="7"/>
        <v>22042</v>
      </c>
      <c r="K251" s="12">
        <f>VLOOKUP(A251,[2]VA05!$A:$K,11,FALSE)</f>
        <v>45594</v>
      </c>
      <c r="L251" s="10" t="s">
        <v>12</v>
      </c>
      <c r="M251" s="10" t="s">
        <v>176</v>
      </c>
    </row>
    <row r="252" spans="1:13" x14ac:dyDescent="0.25">
      <c r="A252" s="13" t="str">
        <f t="shared" si="6"/>
        <v>50714275670</v>
      </c>
      <c r="B252" s="10">
        <v>1004052381</v>
      </c>
      <c r="C252" s="10">
        <v>507142756</v>
      </c>
      <c r="D252" s="10">
        <v>70</v>
      </c>
      <c r="E252" s="10" t="s">
        <v>10</v>
      </c>
      <c r="F252" s="10">
        <v>1411901</v>
      </c>
      <c r="G252" s="10" t="s">
        <v>153</v>
      </c>
      <c r="H252" s="11">
        <v>123066</v>
      </c>
      <c r="I252" s="11">
        <v>1660</v>
      </c>
      <c r="J252" s="11">
        <f t="shared" si="7"/>
        <v>121406</v>
      </c>
      <c r="K252" s="12">
        <f>VLOOKUP(A252,[2]VA05!$A:$K,11,FALSE)</f>
        <v>45582</v>
      </c>
      <c r="L252" s="10" t="s">
        <v>18</v>
      </c>
      <c r="M252" s="10" t="s">
        <v>154</v>
      </c>
    </row>
    <row r="253" spans="1:13" x14ac:dyDescent="0.25">
      <c r="A253" s="13" t="str">
        <f t="shared" si="6"/>
        <v>50714275690</v>
      </c>
      <c r="B253" s="10">
        <v>1004052382</v>
      </c>
      <c r="C253" s="10">
        <v>507142756</v>
      </c>
      <c r="D253" s="10">
        <v>90</v>
      </c>
      <c r="E253" s="10" t="s">
        <v>10</v>
      </c>
      <c r="F253" s="10">
        <v>1411901</v>
      </c>
      <c r="G253" s="10" t="s">
        <v>153</v>
      </c>
      <c r="H253" s="11">
        <v>66912</v>
      </c>
      <c r="I253" s="10">
        <v>0</v>
      </c>
      <c r="J253" s="11">
        <f t="shared" si="7"/>
        <v>66912</v>
      </c>
      <c r="K253" s="12">
        <f>VLOOKUP(A253,[2]VA05!$A:$K,11,FALSE)</f>
        <v>45588</v>
      </c>
      <c r="L253" s="10" t="s">
        <v>12</v>
      </c>
      <c r="M253" s="10" t="s">
        <v>156</v>
      </c>
    </row>
    <row r="254" spans="1:13" x14ac:dyDescent="0.25">
      <c r="A254" s="13" t="str">
        <f t="shared" si="6"/>
        <v>50714241650</v>
      </c>
      <c r="B254" s="10">
        <v>1004053565</v>
      </c>
      <c r="C254" s="10">
        <v>507142416</v>
      </c>
      <c r="D254" s="10">
        <v>50</v>
      </c>
      <c r="E254" s="10" t="s">
        <v>10</v>
      </c>
      <c r="F254" s="10">
        <v>1172059</v>
      </c>
      <c r="G254" s="10" t="s">
        <v>59</v>
      </c>
      <c r="H254" s="11">
        <v>10195</v>
      </c>
      <c r="I254" s="11">
        <v>7544</v>
      </c>
      <c r="J254" s="11">
        <f t="shared" si="7"/>
        <v>2651</v>
      </c>
      <c r="K254" s="12">
        <f>VLOOKUP(A254,[2]VA05!$A:$K,11,FALSE)</f>
        <v>45573</v>
      </c>
      <c r="L254" s="10" t="s">
        <v>18</v>
      </c>
      <c r="M254" s="10" t="s">
        <v>154</v>
      </c>
    </row>
    <row r="255" spans="1:13" x14ac:dyDescent="0.25">
      <c r="A255" s="13" t="str">
        <f t="shared" si="6"/>
        <v>50714241680</v>
      </c>
      <c r="B255" s="10">
        <v>1004053566</v>
      </c>
      <c r="C255" s="10">
        <v>507142416</v>
      </c>
      <c r="D255" s="10">
        <v>80</v>
      </c>
      <c r="E255" s="10" t="s">
        <v>10</v>
      </c>
      <c r="F255" s="10">
        <v>1172059</v>
      </c>
      <c r="G255" s="10" t="s">
        <v>59</v>
      </c>
      <c r="H255" s="11">
        <v>10195</v>
      </c>
      <c r="I255" s="10">
        <v>0</v>
      </c>
      <c r="J255" s="11">
        <f t="shared" si="7"/>
        <v>10195</v>
      </c>
      <c r="K255" s="12">
        <f>VLOOKUP(A255,[2]VA05!$A:$K,11,FALSE)</f>
        <v>45576</v>
      </c>
      <c r="L255" s="10" t="s">
        <v>12</v>
      </c>
      <c r="M255" s="10" t="s">
        <v>197</v>
      </c>
    </row>
    <row r="256" spans="1:13" x14ac:dyDescent="0.25">
      <c r="A256" s="13" t="str">
        <f t="shared" si="6"/>
        <v>507142416110</v>
      </c>
      <c r="B256" s="10">
        <v>1004053567</v>
      </c>
      <c r="C256" s="10">
        <v>507142416</v>
      </c>
      <c r="D256" s="10">
        <v>110</v>
      </c>
      <c r="E256" s="10" t="s">
        <v>10</v>
      </c>
      <c r="F256" s="10">
        <v>1172059</v>
      </c>
      <c r="G256" s="10" t="s">
        <v>59</v>
      </c>
      <c r="H256" s="11">
        <v>10195</v>
      </c>
      <c r="I256" s="10">
        <v>0</v>
      </c>
      <c r="J256" s="11">
        <f t="shared" si="7"/>
        <v>10195</v>
      </c>
      <c r="K256" s="12">
        <f>VLOOKUP(A256,[2]VA05!$A:$K,11,FALSE)</f>
        <v>45580</v>
      </c>
      <c r="L256" s="10" t="s">
        <v>12</v>
      </c>
      <c r="M256" s="10" t="s">
        <v>202</v>
      </c>
    </row>
    <row r="257" spans="1:13" x14ac:dyDescent="0.25">
      <c r="A257" s="13" t="str">
        <f t="shared" si="6"/>
        <v>507142416200</v>
      </c>
      <c r="B257" s="10">
        <v>1004053568</v>
      </c>
      <c r="C257" s="10">
        <v>507142416</v>
      </c>
      <c r="D257" s="10">
        <v>200</v>
      </c>
      <c r="E257" s="10" t="s">
        <v>10</v>
      </c>
      <c r="F257" s="10">
        <v>1172059</v>
      </c>
      <c r="G257" s="10" t="s">
        <v>59</v>
      </c>
      <c r="H257" s="11">
        <v>10195</v>
      </c>
      <c r="I257" s="10">
        <v>0</v>
      </c>
      <c r="J257" s="11">
        <f t="shared" si="7"/>
        <v>10195</v>
      </c>
      <c r="K257" s="12">
        <f>VLOOKUP(A257,[2]VA05!$A:$K,11,FALSE)</f>
        <v>45582</v>
      </c>
      <c r="L257" s="10" t="s">
        <v>12</v>
      </c>
      <c r="M257" s="10" t="s">
        <v>179</v>
      </c>
    </row>
    <row r="258" spans="1:13" x14ac:dyDescent="0.25">
      <c r="A258" s="13" t="str">
        <f t="shared" si="6"/>
        <v>507142416230</v>
      </c>
      <c r="B258" s="10">
        <v>1004053609</v>
      </c>
      <c r="C258" s="10">
        <v>507142416</v>
      </c>
      <c r="D258" s="10">
        <v>230</v>
      </c>
      <c r="E258" s="10" t="s">
        <v>10</v>
      </c>
      <c r="F258" s="10">
        <v>1172059</v>
      </c>
      <c r="G258" s="10" t="s">
        <v>59</v>
      </c>
      <c r="H258" s="11">
        <v>10195</v>
      </c>
      <c r="I258" s="10">
        <v>0</v>
      </c>
      <c r="J258" s="11">
        <f t="shared" si="7"/>
        <v>10195</v>
      </c>
      <c r="K258" s="12">
        <f>VLOOKUP(A258,[2]VA05!$A:$K,11,FALSE)</f>
        <v>45587</v>
      </c>
      <c r="L258" s="10" t="s">
        <v>12</v>
      </c>
      <c r="M258" s="10" t="s">
        <v>191</v>
      </c>
    </row>
    <row r="259" spans="1:13" x14ac:dyDescent="0.25">
      <c r="A259" s="13" t="str">
        <f t="shared" si="6"/>
        <v>50714267980</v>
      </c>
      <c r="B259" s="10">
        <v>1004053550</v>
      </c>
      <c r="C259" s="10">
        <v>507142679</v>
      </c>
      <c r="D259" s="10">
        <v>80</v>
      </c>
      <c r="E259" s="10" t="s">
        <v>10</v>
      </c>
      <c r="F259" s="10">
        <v>1167435</v>
      </c>
      <c r="G259" s="10" t="s">
        <v>26</v>
      </c>
      <c r="H259" s="11">
        <v>20260</v>
      </c>
      <c r="I259" s="11">
        <v>7390</v>
      </c>
      <c r="J259" s="11">
        <f t="shared" si="7"/>
        <v>12870</v>
      </c>
      <c r="K259" s="12" t="e">
        <f>VLOOKUP(A259,[2]VA05!$A:$K,11,FALSE)</f>
        <v>#N/A</v>
      </c>
      <c r="L259" s="10" t="s">
        <v>18</v>
      </c>
      <c r="M259" s="10" t="s">
        <v>195</v>
      </c>
    </row>
    <row r="260" spans="1:13" x14ac:dyDescent="0.25">
      <c r="A260" s="13" t="str">
        <f t="shared" ref="A260:A262" si="8">C260&amp;D260</f>
        <v>50714268040</v>
      </c>
      <c r="B260" s="10">
        <v>1004053551</v>
      </c>
      <c r="C260" s="10">
        <v>507142680</v>
      </c>
      <c r="D260" s="10">
        <v>40</v>
      </c>
      <c r="E260" s="10" t="s">
        <v>10</v>
      </c>
      <c r="F260" s="10">
        <v>1167435</v>
      </c>
      <c r="G260" s="10" t="s">
        <v>26</v>
      </c>
      <c r="H260" s="11">
        <v>25287</v>
      </c>
      <c r="I260" s="10">
        <v>0</v>
      </c>
      <c r="J260" s="11">
        <f>H260-I260</f>
        <v>25287</v>
      </c>
      <c r="K260" s="12">
        <f>VLOOKUP(A260,[2]VA05!$A:$K,11,FALSE)</f>
        <v>45569</v>
      </c>
      <c r="L260" s="10" t="s">
        <v>12</v>
      </c>
      <c r="M260" s="10" t="s">
        <v>180</v>
      </c>
    </row>
    <row r="261" spans="1:13" x14ac:dyDescent="0.25">
      <c r="A261" s="13" t="str">
        <f t="shared" si="8"/>
        <v>50714275420</v>
      </c>
      <c r="B261" s="10">
        <v>1004053562</v>
      </c>
      <c r="C261" s="10">
        <v>507142754</v>
      </c>
      <c r="D261" s="10">
        <v>20</v>
      </c>
      <c r="E261" s="10" t="s">
        <v>10</v>
      </c>
      <c r="F261" s="10">
        <v>1167435</v>
      </c>
      <c r="G261" s="10" t="s">
        <v>26</v>
      </c>
      <c r="H261" s="11">
        <v>20390</v>
      </c>
      <c r="I261" s="10">
        <v>0</v>
      </c>
      <c r="J261" s="11">
        <f>H261-I261</f>
        <v>20390</v>
      </c>
      <c r="K261" s="12">
        <f>VLOOKUP(A261,[2]VA05!$A:$K,11,FALSE)</f>
        <v>45611</v>
      </c>
      <c r="L261" s="10" t="s">
        <v>12</v>
      </c>
      <c r="M261" s="10" t="s">
        <v>217</v>
      </c>
    </row>
    <row r="262" spans="1:13" x14ac:dyDescent="0.25">
      <c r="A262" s="13" t="str">
        <f t="shared" si="8"/>
        <v>50714276930</v>
      </c>
      <c r="B262" s="10">
        <v>1004053564</v>
      </c>
      <c r="C262" s="10">
        <v>507142769</v>
      </c>
      <c r="D262" s="10">
        <v>30</v>
      </c>
      <c r="E262" s="10" t="s">
        <v>10</v>
      </c>
      <c r="F262" s="10">
        <v>1167435</v>
      </c>
      <c r="G262" s="10" t="s">
        <v>26</v>
      </c>
      <c r="H262" s="11">
        <v>30683</v>
      </c>
      <c r="I262" s="10">
        <v>0</v>
      </c>
      <c r="J262" s="11">
        <f>H262-I262</f>
        <v>30683</v>
      </c>
      <c r="K262" s="12">
        <f>VLOOKUP(A262,[2]VA05!$A:$K,11,FALSE)</f>
        <v>45575</v>
      </c>
      <c r="L262" s="10" t="s">
        <v>12</v>
      </c>
      <c r="M262" s="10" t="s">
        <v>155</v>
      </c>
    </row>
  </sheetData>
  <pageMargins left="0.17" right="0.17" top="0.42" bottom="0.27" header="0.3" footer="0.17"/>
  <pageSetup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1B8D-FF1C-41B1-98B2-72588CCF4293}">
  <dimension ref="A1:Q266"/>
  <sheetViews>
    <sheetView topLeftCell="A181" workbookViewId="0">
      <selection activeCell="B194" sqref="B194"/>
    </sheetView>
  </sheetViews>
  <sheetFormatPr defaultRowHeight="15" x14ac:dyDescent="0.25"/>
  <cols>
    <col min="2" max="2" width="12.42578125" bestFit="1" customWidth="1"/>
    <col min="3" max="3" width="11.28515625" bestFit="1" customWidth="1"/>
    <col min="4" max="4" width="4.42578125" bestFit="1" customWidth="1"/>
    <col min="5" max="5" width="6.42578125" bestFit="1" customWidth="1"/>
    <col min="6" max="6" width="9" bestFit="1" customWidth="1"/>
    <col min="7" max="7" width="40.28515625" customWidth="1"/>
    <col min="8" max="8" width="10.140625" bestFit="1" customWidth="1"/>
    <col min="9" max="10" width="9" customWidth="1"/>
    <col min="11" max="11" width="7.5703125" customWidth="1"/>
    <col min="12" max="12" width="5" customWidth="1"/>
    <col min="13" max="13" width="11.28515625" bestFit="1" customWidth="1"/>
    <col min="16" max="17" width="9.140625" style="13"/>
  </cols>
  <sheetData>
    <row r="1" spans="1:13" s="13" customFormat="1" ht="23.25" x14ac:dyDescent="0.35">
      <c r="B1" s="1" t="s">
        <v>250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hidden="1" x14ac:dyDescent="0.25">
      <c r="A3" t="str">
        <f>C3&amp;D3</f>
        <v>50714248620</v>
      </c>
      <c r="B3" s="10">
        <v>1004020485</v>
      </c>
      <c r="C3" s="10">
        <v>507142486</v>
      </c>
      <c r="D3" s="10">
        <v>20</v>
      </c>
      <c r="E3" s="10" t="s">
        <v>10</v>
      </c>
      <c r="F3" s="10">
        <v>1225729</v>
      </c>
      <c r="G3" s="10" t="s">
        <v>251</v>
      </c>
      <c r="H3" s="11">
        <v>26198</v>
      </c>
      <c r="I3" s="11">
        <v>3300</v>
      </c>
      <c r="J3" s="11">
        <f>H3-I3</f>
        <v>22898</v>
      </c>
      <c r="K3" s="12">
        <f>VLOOKUP(A3,[2]VA05!$A:$K,11,FALSE)</f>
        <v>45566</v>
      </c>
      <c r="L3" s="10" t="s">
        <v>11</v>
      </c>
      <c r="M3" s="10" t="s">
        <v>154</v>
      </c>
    </row>
    <row r="4" spans="1:13" x14ac:dyDescent="0.25">
      <c r="A4" s="13" t="str">
        <f t="shared" ref="A4:A67" si="0">C4&amp;D4</f>
        <v>50714271810</v>
      </c>
      <c r="B4" s="10">
        <v>1004051716</v>
      </c>
      <c r="C4" s="10">
        <v>507142718</v>
      </c>
      <c r="D4" s="10">
        <v>10</v>
      </c>
      <c r="E4" s="10" t="s">
        <v>10</v>
      </c>
      <c r="F4" s="10">
        <v>1175676</v>
      </c>
      <c r="G4" s="10" t="s">
        <v>163</v>
      </c>
      <c r="H4" s="11">
        <v>10773</v>
      </c>
      <c r="I4" s="10">
        <v>0</v>
      </c>
      <c r="J4" s="11">
        <f t="shared" ref="J4:J67" si="1">H4-I4</f>
        <v>10773</v>
      </c>
      <c r="K4" s="12">
        <f>VLOOKUP(A4,[2]VA05!$A:$K,11,FALSE)</f>
        <v>45593</v>
      </c>
      <c r="L4" s="10" t="s">
        <v>56</v>
      </c>
      <c r="M4" s="10" t="s">
        <v>142</v>
      </c>
    </row>
    <row r="5" spans="1:13" x14ac:dyDescent="0.25">
      <c r="A5" s="13" t="str">
        <f t="shared" si="0"/>
        <v>50714271810</v>
      </c>
      <c r="B5" s="10">
        <v>1004051717</v>
      </c>
      <c r="C5" s="10">
        <v>507142718</v>
      </c>
      <c r="D5" s="10">
        <v>10</v>
      </c>
      <c r="E5" s="10" t="s">
        <v>10</v>
      </c>
      <c r="F5" s="10">
        <v>1175673</v>
      </c>
      <c r="G5" s="10" t="s">
        <v>164</v>
      </c>
      <c r="H5" s="11">
        <v>11111</v>
      </c>
      <c r="I5" s="10">
        <v>0</v>
      </c>
      <c r="J5" s="11">
        <f t="shared" si="1"/>
        <v>11111</v>
      </c>
      <c r="K5" s="12">
        <f>VLOOKUP(A5,[2]VA05!$A:$K,11,FALSE)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1004051718</v>
      </c>
      <c r="C6" s="10">
        <v>507142718</v>
      </c>
      <c r="D6" s="10">
        <v>10</v>
      </c>
      <c r="E6" s="10" t="s">
        <v>10</v>
      </c>
      <c r="F6" s="10">
        <v>1175672</v>
      </c>
      <c r="G6" s="10" t="s">
        <v>165</v>
      </c>
      <c r="H6" s="11">
        <v>11111</v>
      </c>
      <c r="I6" s="10">
        <v>0</v>
      </c>
      <c r="J6" s="11">
        <f t="shared" si="1"/>
        <v>11111</v>
      </c>
      <c r="K6" s="12">
        <f>VLOOKUP(A6,[2]VA05!$A:$K,11,FALSE)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1004051719</v>
      </c>
      <c r="C7" s="10">
        <v>507142718</v>
      </c>
      <c r="D7" s="10">
        <v>10</v>
      </c>
      <c r="E7" s="10" t="s">
        <v>10</v>
      </c>
      <c r="F7" s="10">
        <v>1175608</v>
      </c>
      <c r="G7" s="10" t="s">
        <v>166</v>
      </c>
      <c r="H7" s="11">
        <v>10394</v>
      </c>
      <c r="I7" s="10">
        <v>0</v>
      </c>
      <c r="J7" s="11">
        <f t="shared" si="1"/>
        <v>10394</v>
      </c>
      <c r="K7" s="12">
        <f>VLOOKUP(A7,[2]VA05!$A:$K,11,FALSE)</f>
        <v>45593</v>
      </c>
      <c r="L7" s="10" t="s">
        <v>12</v>
      </c>
      <c r="M7" s="10" t="s">
        <v>175</v>
      </c>
    </row>
    <row r="8" spans="1:13" x14ac:dyDescent="0.25">
      <c r="A8" s="13" t="str">
        <f t="shared" si="0"/>
        <v>50714271810</v>
      </c>
      <c r="B8" s="10">
        <v>1004051720</v>
      </c>
      <c r="C8" s="10">
        <v>507142718</v>
      </c>
      <c r="D8" s="10">
        <v>10</v>
      </c>
      <c r="E8" s="10" t="s">
        <v>10</v>
      </c>
      <c r="F8" s="10">
        <v>1175605</v>
      </c>
      <c r="G8" s="10" t="s">
        <v>167</v>
      </c>
      <c r="H8" s="11">
        <v>10454</v>
      </c>
      <c r="I8" s="10">
        <v>0</v>
      </c>
      <c r="J8" s="11">
        <f t="shared" si="1"/>
        <v>10454</v>
      </c>
      <c r="K8" s="12">
        <f>VLOOKUP(A8,[2]VA05!$A:$K,11,FALSE)</f>
        <v>45593</v>
      </c>
      <c r="L8" s="10" t="s">
        <v>12</v>
      </c>
      <c r="M8" s="10" t="s">
        <v>140</v>
      </c>
    </row>
    <row r="9" spans="1:13" x14ac:dyDescent="0.25">
      <c r="A9" s="13" t="str">
        <f t="shared" si="0"/>
        <v>50714272610</v>
      </c>
      <c r="B9" s="10">
        <v>1004052385</v>
      </c>
      <c r="C9" s="10">
        <v>507142726</v>
      </c>
      <c r="D9" s="10">
        <v>10</v>
      </c>
      <c r="E9" s="10" t="s">
        <v>10</v>
      </c>
      <c r="F9" s="10">
        <v>1412577</v>
      </c>
      <c r="G9" s="10" t="s">
        <v>181</v>
      </c>
      <c r="H9" s="11">
        <v>12094</v>
      </c>
      <c r="I9" s="11">
        <v>11960</v>
      </c>
      <c r="J9" s="11">
        <f t="shared" si="1"/>
        <v>134</v>
      </c>
      <c r="K9" s="12">
        <f>VLOOKUP(A9,[2]VA05!$A:$K,11,FALSE)</f>
        <v>45567</v>
      </c>
      <c r="L9" s="10" t="s">
        <v>18</v>
      </c>
      <c r="M9" s="10" t="s">
        <v>194</v>
      </c>
    </row>
    <row r="10" spans="1:13" x14ac:dyDescent="0.25">
      <c r="A10" s="13" t="str">
        <f t="shared" si="0"/>
        <v>50800513010</v>
      </c>
      <c r="B10" s="10">
        <v>1004054829</v>
      </c>
      <c r="C10" s="10">
        <v>508005130</v>
      </c>
      <c r="D10" s="10">
        <v>10</v>
      </c>
      <c r="E10" s="10" t="s">
        <v>10</v>
      </c>
      <c r="F10" s="10">
        <v>1200941</v>
      </c>
      <c r="G10" s="10" t="s">
        <v>48</v>
      </c>
      <c r="H10" s="11">
        <v>20400</v>
      </c>
      <c r="I10" s="10">
        <v>0</v>
      </c>
      <c r="J10" s="11">
        <f t="shared" si="1"/>
        <v>20400</v>
      </c>
      <c r="K10" s="12" t="e">
        <f>VLOOKUP(A10,[2]VA05!$A:$K,11,FALSE)</f>
        <v>#N/A</v>
      </c>
      <c r="L10" s="10" t="s">
        <v>12</v>
      </c>
      <c r="M10" s="10" t="s">
        <v>61</v>
      </c>
    </row>
    <row r="11" spans="1:13" x14ac:dyDescent="0.25">
      <c r="A11" s="13" t="str">
        <f t="shared" si="0"/>
        <v>50714156910</v>
      </c>
      <c r="B11" s="10">
        <v>1004003998</v>
      </c>
      <c r="C11" s="10">
        <v>507141569</v>
      </c>
      <c r="D11" s="10">
        <v>10</v>
      </c>
      <c r="E11" s="10" t="s">
        <v>10</v>
      </c>
      <c r="F11" s="10">
        <v>1175312</v>
      </c>
      <c r="G11" s="10" t="s">
        <v>51</v>
      </c>
      <c r="H11" s="11">
        <v>25845</v>
      </c>
      <c r="I11" s="10">
        <v>0</v>
      </c>
      <c r="J11" s="11">
        <f t="shared" si="1"/>
        <v>25845</v>
      </c>
      <c r="K11" s="12">
        <f>VLOOKUP(A11,[2]VA05!$A:$K,11,FALSE)</f>
        <v>45611</v>
      </c>
      <c r="L11" s="10" t="s">
        <v>117</v>
      </c>
      <c r="M11" s="10" t="s">
        <v>78</v>
      </c>
    </row>
    <row r="12" spans="1:13" x14ac:dyDescent="0.25">
      <c r="A12" s="13" t="str">
        <f t="shared" si="0"/>
        <v>50714156910</v>
      </c>
      <c r="B12" s="10">
        <v>1004017074</v>
      </c>
      <c r="C12" s="10">
        <v>507141569</v>
      </c>
      <c r="D12" s="10">
        <v>10</v>
      </c>
      <c r="E12" s="10" t="s">
        <v>10</v>
      </c>
      <c r="F12" s="10">
        <v>1175311</v>
      </c>
      <c r="G12" s="10" t="s">
        <v>67</v>
      </c>
      <c r="H12" s="11">
        <v>25845</v>
      </c>
      <c r="I12" s="10">
        <v>0</v>
      </c>
      <c r="J12" s="11">
        <f t="shared" si="1"/>
        <v>25845</v>
      </c>
      <c r="K12" s="12">
        <f>VLOOKUP(A12,[2]VA05!$A:$K,11,FALSE)</f>
        <v>45611</v>
      </c>
      <c r="L12" s="10" t="s">
        <v>12</v>
      </c>
      <c r="M12" s="10" t="s">
        <v>50</v>
      </c>
    </row>
    <row r="13" spans="1:13" x14ac:dyDescent="0.25">
      <c r="A13" s="13" t="str">
        <f t="shared" si="0"/>
        <v>50714270810</v>
      </c>
      <c r="B13" s="10">
        <v>1004052045</v>
      </c>
      <c r="C13" s="10">
        <v>507142708</v>
      </c>
      <c r="D13" s="10">
        <v>10</v>
      </c>
      <c r="E13" s="10" t="s">
        <v>10</v>
      </c>
      <c r="F13" s="10">
        <v>1215664</v>
      </c>
      <c r="G13" s="10" t="s">
        <v>90</v>
      </c>
      <c r="H13" s="11">
        <v>11159</v>
      </c>
      <c r="I13" s="10">
        <v>0</v>
      </c>
      <c r="J13" s="11">
        <f t="shared" si="1"/>
        <v>11159</v>
      </c>
      <c r="K13" s="12">
        <f>VLOOKUP(A13,[2]VA05!$A:$K,11,FALSE)</f>
        <v>45588</v>
      </c>
      <c r="L13" s="10" t="s">
        <v>12</v>
      </c>
      <c r="M13" s="10" t="s">
        <v>191</v>
      </c>
    </row>
    <row r="14" spans="1:13" x14ac:dyDescent="0.25">
      <c r="A14" s="13" t="str">
        <f t="shared" si="0"/>
        <v>50714273210</v>
      </c>
      <c r="B14" s="10">
        <v>1004052164</v>
      </c>
      <c r="C14" s="10">
        <v>507142732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28402</v>
      </c>
      <c r="I14" s="11">
        <v>14046</v>
      </c>
      <c r="J14" s="11">
        <f t="shared" si="1"/>
        <v>14356</v>
      </c>
      <c r="K14" s="12">
        <f>VLOOKUP(A14,[2]VA05!$A:$K,11,FALSE)</f>
        <v>45572</v>
      </c>
      <c r="L14" s="10" t="s">
        <v>18</v>
      </c>
      <c r="M14" s="10" t="s">
        <v>140</v>
      </c>
    </row>
    <row r="15" spans="1:13" x14ac:dyDescent="0.25">
      <c r="A15" s="13" t="str">
        <f t="shared" si="0"/>
        <v>50714278910</v>
      </c>
      <c r="B15" s="10">
        <v>1004052165</v>
      </c>
      <c r="C15" s="10">
        <v>507142789</v>
      </c>
      <c r="D15" s="10">
        <v>10</v>
      </c>
      <c r="E15" s="10" t="s">
        <v>10</v>
      </c>
      <c r="F15" s="10">
        <v>1411198</v>
      </c>
      <c r="G15" s="10" t="s">
        <v>41</v>
      </c>
      <c r="H15" s="11">
        <v>14201</v>
      </c>
      <c r="I15" s="10">
        <v>0</v>
      </c>
      <c r="J15" s="11">
        <f t="shared" si="1"/>
        <v>14201</v>
      </c>
      <c r="K15" s="12">
        <f>VLOOKUP(A15,[2]VA05!$A:$K,11,FALSE)</f>
        <v>45583</v>
      </c>
      <c r="L15" s="10" t="s">
        <v>12</v>
      </c>
      <c r="M15" s="10" t="s">
        <v>156</v>
      </c>
    </row>
    <row r="16" spans="1:13" x14ac:dyDescent="0.25">
      <c r="A16" s="13" t="str">
        <f t="shared" si="0"/>
        <v>50714270810</v>
      </c>
      <c r="B16" s="10">
        <v>1004052046</v>
      </c>
      <c r="C16" s="10">
        <v>507142708</v>
      </c>
      <c r="D16" s="10">
        <v>10</v>
      </c>
      <c r="E16" s="10" t="s">
        <v>10</v>
      </c>
      <c r="F16" s="10">
        <v>1215668</v>
      </c>
      <c r="G16" s="10" t="s">
        <v>108</v>
      </c>
      <c r="H16" s="11">
        <v>11349</v>
      </c>
      <c r="I16" s="10">
        <v>0</v>
      </c>
      <c r="J16" s="11">
        <f t="shared" si="1"/>
        <v>11349</v>
      </c>
      <c r="K16" s="12">
        <f>VLOOKUP(A16,[2]VA05!$A:$K,11,FALSE)</f>
        <v>45588</v>
      </c>
      <c r="L16" s="10" t="s">
        <v>12</v>
      </c>
      <c r="M16" s="10" t="s">
        <v>192</v>
      </c>
    </row>
    <row r="17" spans="1:13" x14ac:dyDescent="0.25">
      <c r="A17" s="13" t="str">
        <f t="shared" si="0"/>
        <v>50714270810</v>
      </c>
      <c r="B17" s="10">
        <v>1004052048</v>
      </c>
      <c r="C17" s="10">
        <v>507142708</v>
      </c>
      <c r="D17" s="10">
        <v>10</v>
      </c>
      <c r="E17" s="10" t="s">
        <v>10</v>
      </c>
      <c r="F17" s="10">
        <v>1215666</v>
      </c>
      <c r="G17" s="10" t="s">
        <v>182</v>
      </c>
      <c r="H17" s="11">
        <v>11159</v>
      </c>
      <c r="I17" s="10">
        <v>0</v>
      </c>
      <c r="J17" s="11">
        <f t="shared" si="1"/>
        <v>11159</v>
      </c>
      <c r="K17" s="12">
        <f>VLOOKUP(A17,[2]VA05!$A:$K,11,FALSE)</f>
        <v>45588</v>
      </c>
      <c r="L17" s="10" t="s">
        <v>12</v>
      </c>
      <c r="M17" s="10" t="s">
        <v>191</v>
      </c>
    </row>
    <row r="18" spans="1:13" x14ac:dyDescent="0.25">
      <c r="A18" s="13" t="str">
        <f t="shared" si="0"/>
        <v>50714273210</v>
      </c>
      <c r="B18" s="10">
        <v>1004052167</v>
      </c>
      <c r="C18" s="10">
        <v>507142732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20598</v>
      </c>
      <c r="I18" s="11">
        <v>13024</v>
      </c>
      <c r="J18" s="11">
        <f t="shared" si="1"/>
        <v>7574</v>
      </c>
      <c r="K18" s="12">
        <f>VLOOKUP(A18,[2]VA05!$A:$K,11,FALSE)</f>
        <v>45572</v>
      </c>
      <c r="L18" s="10" t="s">
        <v>18</v>
      </c>
      <c r="M18" s="10" t="s">
        <v>155</v>
      </c>
    </row>
    <row r="19" spans="1:13" x14ac:dyDescent="0.25">
      <c r="A19" s="13" t="str">
        <f t="shared" si="0"/>
        <v>50714278910</v>
      </c>
      <c r="B19" s="10">
        <v>1004052168</v>
      </c>
      <c r="C19" s="10">
        <v>507142789</v>
      </c>
      <c r="D19" s="10">
        <v>10</v>
      </c>
      <c r="E19" s="10" t="s">
        <v>10</v>
      </c>
      <c r="F19" s="10">
        <v>1411194</v>
      </c>
      <c r="G19" s="10" t="s">
        <v>46</v>
      </c>
      <c r="H19" s="11">
        <v>10299</v>
      </c>
      <c r="I19" s="10">
        <v>0</v>
      </c>
      <c r="J19" s="11">
        <f t="shared" si="1"/>
        <v>10299</v>
      </c>
      <c r="K19" s="12">
        <f>VLOOKUP(A19,[2]VA05!$A:$K,11,FALSE)</f>
        <v>45583</v>
      </c>
      <c r="L19" s="10" t="s">
        <v>12</v>
      </c>
      <c r="M19" s="10" t="s">
        <v>193</v>
      </c>
    </row>
    <row r="20" spans="1:13" x14ac:dyDescent="0.25">
      <c r="A20" s="13" t="str">
        <f t="shared" si="0"/>
        <v>50714277910</v>
      </c>
      <c r="B20" s="10">
        <v>1004053444</v>
      </c>
      <c r="C20" s="10">
        <v>507142779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10928</v>
      </c>
      <c r="I20" s="11">
        <v>2090</v>
      </c>
      <c r="J20" s="11">
        <f t="shared" si="1"/>
        <v>8838</v>
      </c>
      <c r="K20" s="12">
        <f>VLOOKUP(A20,[2]VA05!$A:$K,11,FALSE)</f>
        <v>45580</v>
      </c>
      <c r="L20" s="10" t="s">
        <v>18</v>
      </c>
      <c r="M20" s="10" t="s">
        <v>162</v>
      </c>
    </row>
    <row r="21" spans="1:13" x14ac:dyDescent="0.25">
      <c r="A21" s="13" t="str">
        <f t="shared" si="0"/>
        <v>50714278410</v>
      </c>
      <c r="B21" s="10">
        <v>1004053445</v>
      </c>
      <c r="C21" s="10">
        <v>507142784</v>
      </c>
      <c r="D21" s="10">
        <v>10</v>
      </c>
      <c r="E21" s="10" t="s">
        <v>10</v>
      </c>
      <c r="F21" s="10">
        <v>1173944</v>
      </c>
      <c r="G21" s="10" t="s">
        <v>91</v>
      </c>
      <c r="H21" s="11">
        <v>11020</v>
      </c>
      <c r="I21" s="10">
        <v>0</v>
      </c>
      <c r="J21" s="11">
        <f t="shared" si="1"/>
        <v>11020</v>
      </c>
      <c r="K21" s="12">
        <f>VLOOKUP(A21,[2]VA05!$A:$K,11,FALSE)</f>
        <v>45580</v>
      </c>
      <c r="L21" s="10" t="s">
        <v>12</v>
      </c>
      <c r="M21" s="10" t="s">
        <v>162</v>
      </c>
    </row>
    <row r="22" spans="1:13" x14ac:dyDescent="0.25">
      <c r="A22" s="13" t="str">
        <f t="shared" si="0"/>
        <v>50714227020</v>
      </c>
      <c r="B22" s="10">
        <v>1004034399</v>
      </c>
      <c r="C22" s="10">
        <v>507142270</v>
      </c>
      <c r="D22" s="10">
        <v>20</v>
      </c>
      <c r="E22" s="10" t="s">
        <v>10</v>
      </c>
      <c r="F22" s="10">
        <v>1187764</v>
      </c>
      <c r="G22" s="10" t="s">
        <v>92</v>
      </c>
      <c r="H22" s="11">
        <v>17325</v>
      </c>
      <c r="I22" s="10">
        <v>0</v>
      </c>
      <c r="J22" s="11">
        <f t="shared" si="1"/>
        <v>17325</v>
      </c>
      <c r="K22" s="12">
        <f>VLOOKUP(A22,[2]VA05!$A:$K,11,FALSE)</f>
        <v>45565</v>
      </c>
      <c r="L22" s="10" t="s">
        <v>56</v>
      </c>
      <c r="M22" s="10" t="s">
        <v>97</v>
      </c>
    </row>
    <row r="23" spans="1:13" x14ac:dyDescent="0.25">
      <c r="A23" s="13" t="str">
        <f t="shared" si="0"/>
        <v>50714227010</v>
      </c>
      <c r="B23" s="10">
        <v>1004057062</v>
      </c>
      <c r="C23" s="10">
        <v>507142270</v>
      </c>
      <c r="D23" s="10">
        <v>10</v>
      </c>
      <c r="E23" s="10" t="s">
        <v>10</v>
      </c>
      <c r="F23" s="10">
        <v>1187764</v>
      </c>
      <c r="G23" s="10" t="s">
        <v>92</v>
      </c>
      <c r="H23" s="11">
        <v>5776</v>
      </c>
      <c r="I23" s="10">
        <v>0</v>
      </c>
      <c r="J23" s="11">
        <f t="shared" si="1"/>
        <v>5776</v>
      </c>
      <c r="K23" s="12">
        <f>VLOOKUP(A23,[2]VA05!$A:$K,11,FALSE)</f>
        <v>45565</v>
      </c>
      <c r="L23" s="10" t="s">
        <v>12</v>
      </c>
      <c r="M23" s="10" t="s">
        <v>180</v>
      </c>
    </row>
    <row r="24" spans="1:13" x14ac:dyDescent="0.25">
      <c r="A24" s="13" t="str">
        <f t="shared" si="0"/>
        <v>50714269620</v>
      </c>
      <c r="B24" s="10">
        <v>1004042037</v>
      </c>
      <c r="C24" s="10">
        <v>507142696</v>
      </c>
      <c r="D24" s="10">
        <v>20</v>
      </c>
      <c r="E24" s="10" t="s">
        <v>10</v>
      </c>
      <c r="F24" s="10">
        <v>1173947</v>
      </c>
      <c r="G24" s="10" t="s">
        <v>36</v>
      </c>
      <c r="H24" s="11">
        <v>12384</v>
      </c>
      <c r="I24" s="11">
        <v>3839</v>
      </c>
      <c r="J24" s="11">
        <f t="shared" si="1"/>
        <v>8545</v>
      </c>
      <c r="K24" s="12">
        <f>VLOOKUP(A24,[2]VA05!$A:$K,11,FALSE)</f>
        <v>45566</v>
      </c>
      <c r="L24" s="10" t="s">
        <v>18</v>
      </c>
      <c r="M24" s="10" t="s">
        <v>84</v>
      </c>
    </row>
    <row r="25" spans="1:13" x14ac:dyDescent="0.25">
      <c r="A25" s="13" t="str">
        <f t="shared" si="0"/>
        <v>50714274010</v>
      </c>
      <c r="B25" s="10">
        <v>1004052269</v>
      </c>
      <c r="C25" s="10">
        <v>507142740</v>
      </c>
      <c r="D25" s="10">
        <v>10</v>
      </c>
      <c r="E25" s="10" t="s">
        <v>10</v>
      </c>
      <c r="F25" s="10">
        <v>1173947</v>
      </c>
      <c r="G25" s="10" t="s">
        <v>36</v>
      </c>
      <c r="H25" s="11">
        <v>12384</v>
      </c>
      <c r="I25" s="10">
        <v>0</v>
      </c>
      <c r="J25" s="11">
        <f t="shared" si="1"/>
        <v>12384</v>
      </c>
      <c r="K25" s="12">
        <f>VLOOKUP(A25,[2]VA05!$A:$K,11,FALSE)</f>
        <v>45573</v>
      </c>
      <c r="L25" s="10" t="s">
        <v>12</v>
      </c>
      <c r="M25" s="10" t="s">
        <v>97</v>
      </c>
    </row>
    <row r="26" spans="1:13" x14ac:dyDescent="0.25">
      <c r="A26" s="13" t="str">
        <f t="shared" si="0"/>
        <v>50714277910</v>
      </c>
      <c r="B26" s="10">
        <v>1004052270</v>
      </c>
      <c r="C26" s="10">
        <v>507142779</v>
      </c>
      <c r="D26" s="10">
        <v>10</v>
      </c>
      <c r="E26" s="10" t="s">
        <v>10</v>
      </c>
      <c r="F26" s="10">
        <v>1173947</v>
      </c>
      <c r="G26" s="10" t="s">
        <v>36</v>
      </c>
      <c r="H26" s="11">
        <v>11922</v>
      </c>
      <c r="I26" s="10">
        <v>0</v>
      </c>
      <c r="J26" s="11">
        <f t="shared" si="1"/>
        <v>11922</v>
      </c>
      <c r="K26" s="12">
        <f>VLOOKUP(A26,[2]VA05!$A:$K,11,FALSE)</f>
        <v>45580</v>
      </c>
      <c r="L26" s="10" t="s">
        <v>12</v>
      </c>
      <c r="M26" s="10" t="s">
        <v>194</v>
      </c>
    </row>
    <row r="27" spans="1:13" x14ac:dyDescent="0.25">
      <c r="A27" s="13" t="str">
        <f t="shared" si="0"/>
        <v>50714278410</v>
      </c>
      <c r="B27" s="10">
        <v>1004052271</v>
      </c>
      <c r="C27" s="10">
        <v>507142784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12384</v>
      </c>
      <c r="I27" s="10">
        <v>0</v>
      </c>
      <c r="J27" s="11">
        <f t="shared" si="1"/>
        <v>12384</v>
      </c>
      <c r="K27" s="12">
        <f>VLOOKUP(A27,[2]VA05!$A:$K,11,FALSE)</f>
        <v>45580</v>
      </c>
      <c r="L27" s="10" t="s">
        <v>12</v>
      </c>
      <c r="M27" s="10" t="s">
        <v>97</v>
      </c>
    </row>
    <row r="28" spans="1:13" x14ac:dyDescent="0.25">
      <c r="A28" s="13" t="str">
        <f t="shared" si="0"/>
        <v>50800514030</v>
      </c>
      <c r="B28" s="10">
        <v>1004050510</v>
      </c>
      <c r="C28" s="10">
        <v>508005140</v>
      </c>
      <c r="D28" s="10">
        <v>30</v>
      </c>
      <c r="E28" s="10" t="s">
        <v>10</v>
      </c>
      <c r="F28" s="10">
        <v>1171793</v>
      </c>
      <c r="G28" s="10" t="s">
        <v>33</v>
      </c>
      <c r="H28" s="11">
        <v>43162</v>
      </c>
      <c r="I28" s="10">
        <v>0</v>
      </c>
      <c r="J28" s="11">
        <f t="shared" si="1"/>
        <v>43162</v>
      </c>
      <c r="K28" s="12">
        <f>VLOOKUP(A28,[2]VA05!$A:$K,11,FALSE)</f>
        <v>45609</v>
      </c>
      <c r="L28" s="10" t="s">
        <v>119</v>
      </c>
      <c r="M28" s="10" t="s">
        <v>161</v>
      </c>
    </row>
    <row r="29" spans="1:13" x14ac:dyDescent="0.25">
      <c r="A29" s="13" t="str">
        <f t="shared" si="0"/>
        <v>50714277910</v>
      </c>
      <c r="B29" s="10">
        <v>1004053448</v>
      </c>
      <c r="C29" s="10">
        <v>507142779</v>
      </c>
      <c r="D29" s="10">
        <v>10</v>
      </c>
      <c r="E29" s="10" t="s">
        <v>10</v>
      </c>
      <c r="F29" s="10">
        <v>1171793</v>
      </c>
      <c r="G29" s="10" t="s">
        <v>33</v>
      </c>
      <c r="H29" s="11">
        <v>10792</v>
      </c>
      <c r="I29" s="10">
        <v>0</v>
      </c>
      <c r="J29" s="11">
        <f t="shared" si="1"/>
        <v>10792</v>
      </c>
      <c r="K29" s="12">
        <f>VLOOKUP(A29,[2]VA05!$A:$K,11,FALSE)</f>
        <v>45580</v>
      </c>
      <c r="L29" s="10" t="s">
        <v>12</v>
      </c>
      <c r="M29" s="10" t="s">
        <v>162</v>
      </c>
    </row>
    <row r="30" spans="1:13" x14ac:dyDescent="0.25">
      <c r="A30" s="13" t="str">
        <f t="shared" si="0"/>
        <v>50714227020</v>
      </c>
      <c r="B30" s="10">
        <v>1004057063</v>
      </c>
      <c r="C30" s="10">
        <v>507142270</v>
      </c>
      <c r="D30" s="10">
        <v>20</v>
      </c>
      <c r="E30" s="10" t="s">
        <v>10</v>
      </c>
      <c r="F30" s="10">
        <v>1187765</v>
      </c>
      <c r="G30" s="10" t="s">
        <v>147</v>
      </c>
      <c r="H30" s="11">
        <v>17325</v>
      </c>
      <c r="I30" s="11">
        <v>9475</v>
      </c>
      <c r="J30" s="11">
        <f t="shared" si="1"/>
        <v>7850</v>
      </c>
      <c r="K30" s="12">
        <f>VLOOKUP(A30,[2]VA05!$A:$K,11,FALSE)</f>
        <v>45565</v>
      </c>
      <c r="L30" s="10" t="s">
        <v>11</v>
      </c>
      <c r="M30" s="10" t="s">
        <v>195</v>
      </c>
    </row>
    <row r="31" spans="1:13" x14ac:dyDescent="0.25">
      <c r="A31" s="13" t="str">
        <f t="shared" si="0"/>
        <v>50714265410</v>
      </c>
      <c r="B31" s="10">
        <v>1004036495</v>
      </c>
      <c r="C31" s="10">
        <v>507142654</v>
      </c>
      <c r="D31" s="10">
        <v>10</v>
      </c>
      <c r="E31" s="10" t="s">
        <v>10</v>
      </c>
      <c r="F31" s="10">
        <v>1420608</v>
      </c>
      <c r="G31" s="10" t="s">
        <v>110</v>
      </c>
      <c r="H31" s="11">
        <v>16376</v>
      </c>
      <c r="I31" s="10">
        <v>0</v>
      </c>
      <c r="J31" s="11">
        <f t="shared" si="1"/>
        <v>16376</v>
      </c>
      <c r="K31" s="12">
        <f>VLOOKUP(A31,[2]VA05!$A:$K,11,FALSE)</f>
        <v>45573</v>
      </c>
      <c r="L31" s="10" t="s">
        <v>25</v>
      </c>
      <c r="M31" s="10" t="s">
        <v>194</v>
      </c>
    </row>
    <row r="32" spans="1:13" x14ac:dyDescent="0.25">
      <c r="A32" s="13" t="str">
        <f t="shared" si="0"/>
        <v>50714272510</v>
      </c>
      <c r="B32" s="10">
        <v>1004060450</v>
      </c>
      <c r="C32" s="10">
        <v>507142725</v>
      </c>
      <c r="D32" s="10">
        <v>10</v>
      </c>
      <c r="E32" s="10" t="s">
        <v>10</v>
      </c>
      <c r="F32" s="10">
        <v>1420608</v>
      </c>
      <c r="G32" s="10" t="s">
        <v>110</v>
      </c>
      <c r="H32" s="11">
        <v>16376</v>
      </c>
      <c r="I32" s="10">
        <v>0</v>
      </c>
      <c r="J32" s="11">
        <f t="shared" si="1"/>
        <v>16376</v>
      </c>
      <c r="K32" s="12">
        <f>VLOOKUP(A32,[2]VA05!$A:$K,11,FALSE)</f>
        <v>45573</v>
      </c>
      <c r="L32" s="10" t="s">
        <v>12</v>
      </c>
      <c r="M32" s="10" t="s">
        <v>194</v>
      </c>
    </row>
    <row r="33" spans="1:13" x14ac:dyDescent="0.25">
      <c r="A33" s="13" t="str">
        <f t="shared" si="0"/>
        <v>50714278610</v>
      </c>
      <c r="B33" s="10">
        <v>1004059422</v>
      </c>
      <c r="C33" s="10">
        <v>507142786</v>
      </c>
      <c r="D33" s="10">
        <v>10</v>
      </c>
      <c r="E33" s="10" t="s">
        <v>10</v>
      </c>
      <c r="F33" s="10">
        <v>1149455</v>
      </c>
      <c r="G33" s="10" t="s">
        <v>44</v>
      </c>
      <c r="H33" s="11">
        <v>27228</v>
      </c>
      <c r="I33" s="10">
        <v>0</v>
      </c>
      <c r="J33" s="11">
        <f t="shared" si="1"/>
        <v>27228</v>
      </c>
      <c r="K33" s="12">
        <f>VLOOKUP(A33,[2]VA05!$A:$K,11,FALSE)</f>
        <v>45581</v>
      </c>
      <c r="L33" s="10" t="s">
        <v>27</v>
      </c>
      <c r="M33" s="10" t="s">
        <v>194</v>
      </c>
    </row>
    <row r="34" spans="1:13" hidden="1" x14ac:dyDescent="0.25">
      <c r="A34" s="13" t="str">
        <f t="shared" si="0"/>
        <v>50714265120</v>
      </c>
      <c r="B34" s="10">
        <v>1004059425</v>
      </c>
      <c r="C34" s="10">
        <v>507142651</v>
      </c>
      <c r="D34" s="10">
        <v>20</v>
      </c>
      <c r="E34" s="10" t="s">
        <v>24</v>
      </c>
      <c r="F34" s="10">
        <v>1149455</v>
      </c>
      <c r="G34" s="10" t="s">
        <v>44</v>
      </c>
      <c r="H34" s="11">
        <v>10000</v>
      </c>
      <c r="I34" s="10">
        <v>0</v>
      </c>
      <c r="J34" s="11">
        <f t="shared" si="1"/>
        <v>10000</v>
      </c>
      <c r="K34" s="12">
        <f>VLOOKUP(A34,[2]VA05!$A:$K,11,FALSE)</f>
        <v>45567</v>
      </c>
      <c r="L34" s="10" t="s">
        <v>13</v>
      </c>
      <c r="M34" s="10" t="s">
        <v>154</v>
      </c>
    </row>
    <row r="35" spans="1:13" hidden="1" x14ac:dyDescent="0.25">
      <c r="A35" s="13" t="str">
        <f t="shared" si="0"/>
        <v>50714248510</v>
      </c>
      <c r="B35" s="10">
        <v>1004052273</v>
      </c>
      <c r="C35" s="10">
        <v>507142485</v>
      </c>
      <c r="D35" s="10">
        <v>10</v>
      </c>
      <c r="E35" s="10" t="s">
        <v>24</v>
      </c>
      <c r="F35" s="10">
        <v>1193509</v>
      </c>
      <c r="G35" s="10" t="s">
        <v>31</v>
      </c>
      <c r="H35" s="11">
        <v>10000</v>
      </c>
      <c r="I35" s="10">
        <v>0</v>
      </c>
      <c r="J35" s="11">
        <f t="shared" si="1"/>
        <v>10000</v>
      </c>
      <c r="K35" s="12" t="e">
        <f>VLOOKUP(A35,[2]VA05!$A:$K,11,FALSE)</f>
        <v>#N/A</v>
      </c>
      <c r="L35" s="10" t="s">
        <v>13</v>
      </c>
      <c r="M35" s="10" t="s">
        <v>97</v>
      </c>
    </row>
    <row r="36" spans="1:13" x14ac:dyDescent="0.25">
      <c r="A36" s="13" t="str">
        <f t="shared" si="0"/>
        <v>50714235110</v>
      </c>
      <c r="B36" s="10">
        <v>1004042803</v>
      </c>
      <c r="C36" s="10">
        <v>507142351</v>
      </c>
      <c r="D36" s="10">
        <v>10</v>
      </c>
      <c r="E36" s="10" t="s">
        <v>10</v>
      </c>
      <c r="F36" s="10">
        <v>1192909</v>
      </c>
      <c r="G36" s="10" t="s">
        <v>35</v>
      </c>
      <c r="H36" s="11">
        <v>16753</v>
      </c>
      <c r="I36" s="11">
        <v>9187</v>
      </c>
      <c r="J36" s="11">
        <f t="shared" si="1"/>
        <v>7566</v>
      </c>
      <c r="K36" s="12">
        <f>VLOOKUP(A36,[2]VA05!$A:$K,11,FALSE)</f>
        <v>45545</v>
      </c>
      <c r="L36" s="10" t="s">
        <v>18</v>
      </c>
      <c r="M36" s="10" t="s">
        <v>111</v>
      </c>
    </row>
    <row r="37" spans="1:13" x14ac:dyDescent="0.25">
      <c r="A37" s="13" t="str">
        <f t="shared" si="0"/>
        <v>50714265410</v>
      </c>
      <c r="B37" s="10">
        <v>1004042744</v>
      </c>
      <c r="C37" s="10">
        <v>507142654</v>
      </c>
      <c r="D37" s="10">
        <v>10</v>
      </c>
      <c r="E37" s="10" t="s">
        <v>10</v>
      </c>
      <c r="F37" s="10">
        <v>1420609</v>
      </c>
      <c r="G37" s="10" t="s">
        <v>133</v>
      </c>
      <c r="H37" s="11">
        <v>16868</v>
      </c>
      <c r="I37" s="11">
        <v>4900</v>
      </c>
      <c r="J37" s="11">
        <f t="shared" si="1"/>
        <v>11968</v>
      </c>
      <c r="K37" s="12">
        <f>VLOOKUP(A37,[2]VA05!$A:$K,11,FALSE)</f>
        <v>45573</v>
      </c>
      <c r="L37" s="10" t="s">
        <v>18</v>
      </c>
      <c r="M37" s="10" t="s">
        <v>84</v>
      </c>
    </row>
    <row r="38" spans="1:13" x14ac:dyDescent="0.25">
      <c r="A38" s="13" t="str">
        <f t="shared" si="0"/>
        <v>50714272510</v>
      </c>
      <c r="B38" s="10">
        <v>1004060387</v>
      </c>
      <c r="C38" s="10">
        <v>507142725</v>
      </c>
      <c r="D38" s="10">
        <v>10</v>
      </c>
      <c r="E38" s="10" t="s">
        <v>10</v>
      </c>
      <c r="F38" s="10">
        <v>1420609</v>
      </c>
      <c r="G38" s="10" t="s">
        <v>133</v>
      </c>
      <c r="H38" s="11">
        <v>16868</v>
      </c>
      <c r="I38" s="10">
        <v>0</v>
      </c>
      <c r="J38" s="11">
        <f t="shared" si="1"/>
        <v>16868</v>
      </c>
      <c r="K38" s="12">
        <f>VLOOKUP(A38,[2]VA05!$A:$K,11,FALSE)</f>
        <v>45573</v>
      </c>
      <c r="L38" s="10" t="s">
        <v>12</v>
      </c>
      <c r="M38" s="10" t="s">
        <v>194</v>
      </c>
    </row>
    <row r="39" spans="1:13" x14ac:dyDescent="0.25">
      <c r="A39" s="13" t="str">
        <f t="shared" si="0"/>
        <v>50714278610</v>
      </c>
      <c r="B39" s="10">
        <v>1004056892</v>
      </c>
      <c r="C39" s="10">
        <v>507142786</v>
      </c>
      <c r="D39" s="10">
        <v>10</v>
      </c>
      <c r="E39" s="10" t="s">
        <v>10</v>
      </c>
      <c r="F39" s="10">
        <v>1304095</v>
      </c>
      <c r="G39" s="10" t="s">
        <v>76</v>
      </c>
      <c r="H39" s="11">
        <v>26709</v>
      </c>
      <c r="I39" s="11">
        <v>6452</v>
      </c>
      <c r="J39" s="11">
        <f t="shared" si="1"/>
        <v>20257</v>
      </c>
      <c r="K39" s="12">
        <f>VLOOKUP(A39,[2]VA05!$A:$K,11,FALSE)</f>
        <v>45581</v>
      </c>
      <c r="L39" s="10" t="s">
        <v>18</v>
      </c>
      <c r="M39" s="10" t="s">
        <v>154</v>
      </c>
    </row>
    <row r="40" spans="1:13" x14ac:dyDescent="0.25">
      <c r="A40" s="13" t="str">
        <f t="shared" si="0"/>
        <v>50714265410</v>
      </c>
      <c r="B40" s="10">
        <v>1004045686</v>
      </c>
      <c r="C40" s="10">
        <v>507142654</v>
      </c>
      <c r="D40" s="10">
        <v>10</v>
      </c>
      <c r="E40" s="10" t="s">
        <v>10</v>
      </c>
      <c r="F40" s="10">
        <v>1420607</v>
      </c>
      <c r="G40" s="10" t="s">
        <v>149</v>
      </c>
      <c r="H40" s="11">
        <v>16376</v>
      </c>
      <c r="I40" s="10">
        <v>0</v>
      </c>
      <c r="J40" s="11">
        <f t="shared" si="1"/>
        <v>16376</v>
      </c>
      <c r="K40" s="12">
        <f>VLOOKUP(A40,[2]VA05!$A:$K,11,FALSE)</f>
        <v>45573</v>
      </c>
      <c r="L40" s="10" t="s">
        <v>25</v>
      </c>
      <c r="M40" s="10" t="s">
        <v>194</v>
      </c>
    </row>
    <row r="41" spans="1:13" x14ac:dyDescent="0.25">
      <c r="A41" s="13" t="str">
        <f t="shared" si="0"/>
        <v>50714272510</v>
      </c>
      <c r="B41" s="10">
        <v>1004060451</v>
      </c>
      <c r="C41" s="10">
        <v>507142725</v>
      </c>
      <c r="D41" s="10">
        <v>10</v>
      </c>
      <c r="E41" s="10" t="s">
        <v>10</v>
      </c>
      <c r="F41" s="10">
        <v>1420607</v>
      </c>
      <c r="G41" s="10" t="s">
        <v>149</v>
      </c>
      <c r="H41" s="11">
        <v>16376</v>
      </c>
      <c r="I41" s="10">
        <v>0</v>
      </c>
      <c r="J41" s="11">
        <f t="shared" si="1"/>
        <v>16376</v>
      </c>
      <c r="K41" s="12">
        <f>VLOOKUP(A41,[2]VA05!$A:$K,11,FALSE)</f>
        <v>45573</v>
      </c>
      <c r="L41" s="10" t="s">
        <v>12</v>
      </c>
      <c r="M41" s="10" t="s">
        <v>194</v>
      </c>
    </row>
    <row r="42" spans="1:13" x14ac:dyDescent="0.25">
      <c r="A42" s="13" t="str">
        <f t="shared" si="0"/>
        <v>50714278610</v>
      </c>
      <c r="B42" s="10">
        <v>1004059423</v>
      </c>
      <c r="C42" s="10">
        <v>507142786</v>
      </c>
      <c r="D42" s="10">
        <v>10</v>
      </c>
      <c r="E42" s="10" t="s">
        <v>10</v>
      </c>
      <c r="F42" s="10">
        <v>1149454</v>
      </c>
      <c r="G42" s="10" t="s">
        <v>246</v>
      </c>
      <c r="H42" s="11">
        <v>27228</v>
      </c>
      <c r="I42" s="11">
        <v>14040</v>
      </c>
      <c r="J42" s="11">
        <f t="shared" si="1"/>
        <v>13188</v>
      </c>
      <c r="K42" s="12">
        <f>VLOOKUP(A42,[2]VA05!$A:$K,11,FALSE)</f>
        <v>45581</v>
      </c>
      <c r="L42" s="10" t="s">
        <v>11</v>
      </c>
      <c r="M42" s="10" t="s">
        <v>154</v>
      </c>
    </row>
    <row r="43" spans="1:13" x14ac:dyDescent="0.25">
      <c r="A43" s="13" t="str">
        <f t="shared" si="0"/>
        <v>50714265120</v>
      </c>
      <c r="B43" s="10">
        <v>1004059424</v>
      </c>
      <c r="C43" s="10">
        <v>507142651</v>
      </c>
      <c r="D43" s="10">
        <v>20</v>
      </c>
      <c r="E43" s="10" t="s">
        <v>10</v>
      </c>
      <c r="F43" s="10">
        <v>1149454</v>
      </c>
      <c r="G43" s="10" t="s">
        <v>246</v>
      </c>
      <c r="H43" s="11">
        <v>28966</v>
      </c>
      <c r="I43" s="10">
        <v>0</v>
      </c>
      <c r="J43" s="11">
        <f t="shared" si="1"/>
        <v>28966</v>
      </c>
      <c r="K43" s="12">
        <f>VLOOKUP(A43,[2]VA05!$A:$K,11,FALSE)</f>
        <v>45567</v>
      </c>
      <c r="L43" s="10" t="s">
        <v>27</v>
      </c>
      <c r="M43" s="10" t="s">
        <v>194</v>
      </c>
    </row>
    <row r="44" spans="1:13" x14ac:dyDescent="0.25">
      <c r="A44" s="13" t="str">
        <f t="shared" si="0"/>
        <v>50714273410</v>
      </c>
      <c r="B44" s="10">
        <v>1004054830</v>
      </c>
      <c r="C44" s="10">
        <v>507142734</v>
      </c>
      <c r="D44" s="10">
        <v>10</v>
      </c>
      <c r="E44" s="10" t="s">
        <v>10</v>
      </c>
      <c r="F44" s="10">
        <v>1193508</v>
      </c>
      <c r="G44" s="10" t="s">
        <v>134</v>
      </c>
      <c r="H44" s="11">
        <v>16753</v>
      </c>
      <c r="I44" s="11">
        <v>13900</v>
      </c>
      <c r="J44" s="11">
        <f t="shared" si="1"/>
        <v>2853</v>
      </c>
      <c r="K44" s="12">
        <f>VLOOKUP(A44,[2]VA05!$A:$K,11,FALSE)</f>
        <v>45572</v>
      </c>
      <c r="L44" s="10" t="s">
        <v>18</v>
      </c>
      <c r="M44" s="10" t="s">
        <v>195</v>
      </c>
    </row>
    <row r="45" spans="1:13" x14ac:dyDescent="0.25">
      <c r="A45" s="13" t="str">
        <f t="shared" si="0"/>
        <v>50714274310</v>
      </c>
      <c r="B45" s="10">
        <v>1004054831</v>
      </c>
      <c r="C45" s="10">
        <v>507142743</v>
      </c>
      <c r="D45" s="10">
        <v>10</v>
      </c>
      <c r="E45" s="10" t="s">
        <v>10</v>
      </c>
      <c r="F45" s="10">
        <v>1193508</v>
      </c>
      <c r="G45" s="10" t="s">
        <v>134</v>
      </c>
      <c r="H45" s="11">
        <v>16753</v>
      </c>
      <c r="I45" s="10">
        <v>0</v>
      </c>
      <c r="J45" s="11">
        <f t="shared" si="1"/>
        <v>16753</v>
      </c>
      <c r="K45" s="12">
        <f>VLOOKUP(A45,[2]VA05!$A:$K,11,FALSE)</f>
        <v>45575</v>
      </c>
      <c r="L45" s="10" t="s">
        <v>27</v>
      </c>
      <c r="M45" s="10" t="s">
        <v>195</v>
      </c>
    </row>
    <row r="46" spans="1:13" x14ac:dyDescent="0.25">
      <c r="A46" s="13" t="str">
        <f t="shared" si="0"/>
        <v>50714258410</v>
      </c>
      <c r="B46" s="10">
        <v>1004025718</v>
      </c>
      <c r="C46" s="10">
        <v>507142584</v>
      </c>
      <c r="D46" s="10">
        <v>10</v>
      </c>
      <c r="E46" s="10" t="s">
        <v>10</v>
      </c>
      <c r="F46" s="10">
        <v>1192705</v>
      </c>
      <c r="G46" s="10" t="s">
        <v>45</v>
      </c>
      <c r="H46" s="11">
        <v>29915</v>
      </c>
      <c r="I46" s="11">
        <v>15280</v>
      </c>
      <c r="J46" s="11">
        <f t="shared" si="1"/>
        <v>14635</v>
      </c>
      <c r="K46" s="12">
        <f>VLOOKUP(A46,[2]VA05!$A:$K,11,FALSE)</f>
        <v>45565</v>
      </c>
      <c r="L46" s="10" t="s">
        <v>18</v>
      </c>
      <c r="M46" s="10" t="s">
        <v>66</v>
      </c>
    </row>
    <row r="47" spans="1:13" x14ac:dyDescent="0.25">
      <c r="A47" s="13" t="str">
        <f t="shared" si="0"/>
        <v>50714259810</v>
      </c>
      <c r="B47" s="10">
        <v>1004042031</v>
      </c>
      <c r="C47" s="10">
        <v>507142598</v>
      </c>
      <c r="D47" s="10">
        <v>10</v>
      </c>
      <c r="E47" s="10" t="s">
        <v>10</v>
      </c>
      <c r="F47" s="10">
        <v>1233459</v>
      </c>
      <c r="G47" s="10" t="s">
        <v>121</v>
      </c>
      <c r="H47" s="11">
        <v>15449</v>
      </c>
      <c r="I47" s="11">
        <v>6640</v>
      </c>
      <c r="J47" s="11">
        <f t="shared" si="1"/>
        <v>8809</v>
      </c>
      <c r="K47" s="12">
        <f>VLOOKUP(A47,[2]VA05!$A:$K,11,FALSE)</f>
        <v>45560</v>
      </c>
      <c r="L47" s="10" t="s">
        <v>11</v>
      </c>
      <c r="M47" s="10" t="s">
        <v>106</v>
      </c>
    </row>
    <row r="48" spans="1:13" x14ac:dyDescent="0.25">
      <c r="A48" s="13" t="str">
        <f t="shared" si="0"/>
        <v>50714272410</v>
      </c>
      <c r="B48" s="10">
        <v>1004051405</v>
      </c>
      <c r="C48" s="10">
        <v>507142724</v>
      </c>
      <c r="D48" s="10">
        <v>10</v>
      </c>
      <c r="E48" s="10" t="s">
        <v>10</v>
      </c>
      <c r="F48" s="10">
        <v>1233459</v>
      </c>
      <c r="G48" s="10" t="s">
        <v>121</v>
      </c>
      <c r="H48" s="11">
        <v>10299</v>
      </c>
      <c r="I48" s="10">
        <v>0</v>
      </c>
      <c r="J48" s="11">
        <f t="shared" si="1"/>
        <v>10299</v>
      </c>
      <c r="K48" s="12">
        <f>VLOOKUP(A48,[2]VA05!$A:$K,11,FALSE)</f>
        <v>45594</v>
      </c>
      <c r="L48" s="10" t="s">
        <v>12</v>
      </c>
      <c r="M48" s="10" t="s">
        <v>176</v>
      </c>
    </row>
    <row r="49" spans="1:13" hidden="1" x14ac:dyDescent="0.25">
      <c r="A49" s="13" t="str">
        <f t="shared" si="0"/>
        <v>50714259810</v>
      </c>
      <c r="B49" s="10">
        <v>1004058765</v>
      </c>
      <c r="C49" s="10">
        <v>507142598</v>
      </c>
      <c r="D49" s="10">
        <v>10</v>
      </c>
      <c r="E49" s="10" t="s">
        <v>24</v>
      </c>
      <c r="F49" s="10">
        <v>1233459</v>
      </c>
      <c r="G49" s="10" t="s">
        <v>121</v>
      </c>
      <c r="H49" s="11">
        <v>5000</v>
      </c>
      <c r="I49" s="10">
        <v>0</v>
      </c>
      <c r="J49" s="11">
        <f t="shared" si="1"/>
        <v>5000</v>
      </c>
      <c r="K49" s="12">
        <f>VLOOKUP(A49,[2]VA05!$A:$K,11,FALSE)</f>
        <v>45560</v>
      </c>
      <c r="L49" s="10" t="s">
        <v>27</v>
      </c>
      <c r="M49" s="10" t="s">
        <v>194</v>
      </c>
    </row>
    <row r="50" spans="1:13" x14ac:dyDescent="0.25">
      <c r="A50" s="13" t="str">
        <f t="shared" si="0"/>
        <v>50714272410</v>
      </c>
      <c r="B50" s="10">
        <v>1004058756</v>
      </c>
      <c r="C50" s="10">
        <v>507142724</v>
      </c>
      <c r="D50" s="10">
        <v>10</v>
      </c>
      <c r="E50" s="10" t="s">
        <v>10</v>
      </c>
      <c r="F50" s="10">
        <v>1233477</v>
      </c>
      <c r="G50" s="10" t="s">
        <v>236</v>
      </c>
      <c r="H50" s="11">
        <v>11006</v>
      </c>
      <c r="I50" s="10">
        <v>0</v>
      </c>
      <c r="J50" s="11">
        <f t="shared" si="1"/>
        <v>11006</v>
      </c>
      <c r="K50" s="12">
        <f>VLOOKUP(A50,[2]VA05!$A:$K,11,FALSE)</f>
        <v>45594</v>
      </c>
      <c r="L50" s="10" t="s">
        <v>12</v>
      </c>
      <c r="M50" s="10" t="s">
        <v>109</v>
      </c>
    </row>
    <row r="51" spans="1:13" hidden="1" x14ac:dyDescent="0.25">
      <c r="A51" s="13" t="str">
        <f t="shared" si="0"/>
        <v>507142721110</v>
      </c>
      <c r="B51" s="10">
        <v>1004052516</v>
      </c>
      <c r="C51" s="10">
        <v>507142721</v>
      </c>
      <c r="D51" s="10">
        <v>110</v>
      </c>
      <c r="E51" s="10" t="s">
        <v>10</v>
      </c>
      <c r="F51" s="10">
        <v>1209335</v>
      </c>
      <c r="G51" s="10" t="s">
        <v>150</v>
      </c>
      <c r="H51" s="11">
        <v>6695</v>
      </c>
      <c r="I51" s="11">
        <v>6695</v>
      </c>
      <c r="J51" s="11">
        <f t="shared" si="1"/>
        <v>0</v>
      </c>
      <c r="K51" s="12">
        <f>VLOOKUP(A51,[2]VA05!$A:$K,11,FALSE)</f>
        <v>45576</v>
      </c>
      <c r="L51" s="10" t="s">
        <v>113</v>
      </c>
      <c r="M51" s="10" t="s">
        <v>141</v>
      </c>
    </row>
    <row r="52" spans="1:13" x14ac:dyDescent="0.25">
      <c r="A52" s="13" t="str">
        <f t="shared" si="0"/>
        <v>50714274210</v>
      </c>
      <c r="B52" s="10">
        <v>1004052517</v>
      </c>
      <c r="C52" s="10">
        <v>507142742</v>
      </c>
      <c r="D52" s="10">
        <v>10</v>
      </c>
      <c r="E52" s="10" t="s">
        <v>10</v>
      </c>
      <c r="F52" s="10">
        <v>1209335</v>
      </c>
      <c r="G52" s="10" t="s">
        <v>150</v>
      </c>
      <c r="H52" s="11">
        <v>25576</v>
      </c>
      <c r="I52" s="10">
        <v>0</v>
      </c>
      <c r="J52" s="11">
        <f t="shared" si="1"/>
        <v>25576</v>
      </c>
      <c r="K52" s="12">
        <f>VLOOKUP(A52,[2]VA05!$A:$K,11,FALSE)</f>
        <v>45580</v>
      </c>
      <c r="L52" s="10" t="s">
        <v>25</v>
      </c>
      <c r="M52" s="10" t="s">
        <v>194</v>
      </c>
    </row>
    <row r="53" spans="1:13" x14ac:dyDescent="0.25">
      <c r="A53" s="13" t="str">
        <f t="shared" si="0"/>
        <v>50714274240</v>
      </c>
      <c r="B53" s="10">
        <v>1004052518</v>
      </c>
      <c r="C53" s="10">
        <v>507142742</v>
      </c>
      <c r="D53" s="10">
        <v>40</v>
      </c>
      <c r="E53" s="10" t="s">
        <v>10</v>
      </c>
      <c r="F53" s="10">
        <v>1209335</v>
      </c>
      <c r="G53" s="10" t="s">
        <v>150</v>
      </c>
      <c r="H53" s="11">
        <v>25576</v>
      </c>
      <c r="I53" s="10">
        <v>0</v>
      </c>
      <c r="J53" s="11">
        <f t="shared" si="1"/>
        <v>25576</v>
      </c>
      <c r="K53" s="12">
        <f>VLOOKUP(A53,[2]VA05!$A:$K,11,FALSE)</f>
        <v>45587</v>
      </c>
      <c r="L53" s="10" t="s">
        <v>12</v>
      </c>
      <c r="M53" s="10" t="s">
        <v>179</v>
      </c>
    </row>
    <row r="54" spans="1:13" x14ac:dyDescent="0.25">
      <c r="A54" s="13" t="str">
        <f t="shared" si="0"/>
        <v>50714274270</v>
      </c>
      <c r="B54" s="10">
        <v>1004052519</v>
      </c>
      <c r="C54" s="10">
        <v>507142742</v>
      </c>
      <c r="D54" s="10">
        <v>70</v>
      </c>
      <c r="E54" s="10" t="s">
        <v>10</v>
      </c>
      <c r="F54" s="10">
        <v>1209335</v>
      </c>
      <c r="G54" s="10" t="s">
        <v>150</v>
      </c>
      <c r="H54" s="11">
        <v>25576</v>
      </c>
      <c r="I54" s="10">
        <v>0</v>
      </c>
      <c r="J54" s="11">
        <f t="shared" si="1"/>
        <v>25576</v>
      </c>
      <c r="K54" s="12">
        <f>VLOOKUP(A54,[2]VA05!$A:$K,11,FALSE)</f>
        <v>45594</v>
      </c>
      <c r="L54" s="10" t="s">
        <v>12</v>
      </c>
      <c r="M54" s="10" t="s">
        <v>109</v>
      </c>
    </row>
    <row r="55" spans="1:13" x14ac:dyDescent="0.25">
      <c r="A55" s="13" t="str">
        <f t="shared" si="0"/>
        <v>507142742100</v>
      </c>
      <c r="B55" s="10">
        <v>1004052522</v>
      </c>
      <c r="C55" s="10">
        <v>507142742</v>
      </c>
      <c r="D55" s="10">
        <v>100</v>
      </c>
      <c r="E55" s="10" t="s">
        <v>10</v>
      </c>
      <c r="F55" s="10">
        <v>1209335</v>
      </c>
      <c r="G55" s="10" t="s">
        <v>150</v>
      </c>
      <c r="H55" s="11">
        <v>25576</v>
      </c>
      <c r="I55" s="10">
        <v>0</v>
      </c>
      <c r="J55" s="11">
        <f t="shared" si="1"/>
        <v>25576</v>
      </c>
      <c r="K55" s="12">
        <f>VLOOKUP(A55,[2]VA05!$A:$K,11,FALSE)</f>
        <v>45601</v>
      </c>
      <c r="L55" s="10" t="s">
        <v>12</v>
      </c>
      <c r="M55" s="10" t="s">
        <v>196</v>
      </c>
    </row>
    <row r="56" spans="1:13" x14ac:dyDescent="0.25">
      <c r="A56" s="13" t="str">
        <f t="shared" si="0"/>
        <v>50714274240</v>
      </c>
      <c r="B56" s="10">
        <v>1004052625</v>
      </c>
      <c r="C56" s="10">
        <v>507142742</v>
      </c>
      <c r="D56" s="10">
        <v>40</v>
      </c>
      <c r="E56" s="10" t="s">
        <v>10</v>
      </c>
      <c r="F56" s="10">
        <v>1437142</v>
      </c>
      <c r="G56" s="10" t="s">
        <v>145</v>
      </c>
      <c r="H56" s="11">
        <v>27661</v>
      </c>
      <c r="I56" s="10">
        <v>0</v>
      </c>
      <c r="J56" s="11">
        <f t="shared" si="1"/>
        <v>27661</v>
      </c>
      <c r="K56" s="12">
        <f>VLOOKUP(A56,[2]VA05!$A:$K,11,FALSE)</f>
        <v>45587</v>
      </c>
      <c r="L56" s="10" t="s">
        <v>12</v>
      </c>
      <c r="M56" s="10" t="s">
        <v>194</v>
      </c>
    </row>
    <row r="57" spans="1:13" x14ac:dyDescent="0.25">
      <c r="A57" s="13" t="str">
        <f t="shared" si="0"/>
        <v>50714274270</v>
      </c>
      <c r="B57" s="10">
        <v>1004052626</v>
      </c>
      <c r="C57" s="10">
        <v>507142742</v>
      </c>
      <c r="D57" s="10">
        <v>70</v>
      </c>
      <c r="E57" s="10" t="s">
        <v>10</v>
      </c>
      <c r="F57" s="10">
        <v>1437142</v>
      </c>
      <c r="G57" s="10" t="s">
        <v>145</v>
      </c>
      <c r="H57" s="11">
        <v>27661</v>
      </c>
      <c r="I57" s="10">
        <v>0</v>
      </c>
      <c r="J57" s="11">
        <f t="shared" si="1"/>
        <v>27661</v>
      </c>
      <c r="K57" s="12">
        <f>VLOOKUP(A57,[2]VA05!$A:$K,11,FALSE)</f>
        <v>45594</v>
      </c>
      <c r="L57" s="10" t="s">
        <v>12</v>
      </c>
      <c r="M57" s="10" t="s">
        <v>179</v>
      </c>
    </row>
    <row r="58" spans="1:13" x14ac:dyDescent="0.25">
      <c r="A58" s="13" t="str">
        <f t="shared" si="0"/>
        <v>507142742100</v>
      </c>
      <c r="B58" s="10">
        <v>1004052627</v>
      </c>
      <c r="C58" s="10">
        <v>507142742</v>
      </c>
      <c r="D58" s="10">
        <v>100</v>
      </c>
      <c r="E58" s="10" t="s">
        <v>10</v>
      </c>
      <c r="F58" s="10">
        <v>1437142</v>
      </c>
      <c r="G58" s="10" t="s">
        <v>145</v>
      </c>
      <c r="H58" s="11">
        <v>27661</v>
      </c>
      <c r="I58" s="10">
        <v>0</v>
      </c>
      <c r="J58" s="11">
        <f t="shared" si="1"/>
        <v>27661</v>
      </c>
      <c r="K58" s="12">
        <f>VLOOKUP(A58,[2]VA05!$A:$K,11,FALSE)</f>
        <v>45601</v>
      </c>
      <c r="L58" s="10" t="s">
        <v>12</v>
      </c>
      <c r="M58" s="10" t="s">
        <v>109</v>
      </c>
    </row>
    <row r="59" spans="1:13" x14ac:dyDescent="0.25">
      <c r="A59" s="13" t="str">
        <f t="shared" si="0"/>
        <v>50714274210</v>
      </c>
      <c r="B59" s="10">
        <v>1004054341</v>
      </c>
      <c r="C59" s="10">
        <v>507142742</v>
      </c>
      <c r="D59" s="10">
        <v>10</v>
      </c>
      <c r="E59" s="10" t="s">
        <v>10</v>
      </c>
      <c r="F59" s="10">
        <v>1437142</v>
      </c>
      <c r="G59" s="10" t="s">
        <v>145</v>
      </c>
      <c r="H59" s="11">
        <v>27661</v>
      </c>
      <c r="I59" s="11">
        <v>10300</v>
      </c>
      <c r="J59" s="11">
        <f t="shared" si="1"/>
        <v>17361</v>
      </c>
      <c r="K59" s="12">
        <f>VLOOKUP(A59,[2]VA05!$A:$K,11,FALSE)</f>
        <v>45580</v>
      </c>
      <c r="L59" s="10" t="s">
        <v>11</v>
      </c>
      <c r="M59" s="10" t="s">
        <v>155</v>
      </c>
    </row>
    <row r="60" spans="1:13" x14ac:dyDescent="0.25">
      <c r="A60" s="13" t="str">
        <f t="shared" si="0"/>
        <v>50714268230</v>
      </c>
      <c r="B60" s="10">
        <v>1004059556</v>
      </c>
      <c r="C60" s="10">
        <v>507142682</v>
      </c>
      <c r="D60" s="10">
        <v>30</v>
      </c>
      <c r="E60" s="10" t="s">
        <v>10</v>
      </c>
      <c r="F60" s="10">
        <v>1440080</v>
      </c>
      <c r="G60" s="10" t="s">
        <v>247</v>
      </c>
      <c r="H60" s="11">
        <v>10524</v>
      </c>
      <c r="I60" s="10">
        <v>0</v>
      </c>
      <c r="J60" s="11">
        <f t="shared" si="1"/>
        <v>10524</v>
      </c>
      <c r="K60" s="12">
        <f>VLOOKUP(A60,[2]VA05!$A:$K,11,FALSE)</f>
        <v>45595</v>
      </c>
      <c r="L60" s="10" t="s">
        <v>12</v>
      </c>
      <c r="M60" s="10" t="s">
        <v>176</v>
      </c>
    </row>
    <row r="61" spans="1:13" x14ac:dyDescent="0.25">
      <c r="A61" s="13" t="str">
        <f t="shared" si="0"/>
        <v>50714242450</v>
      </c>
      <c r="B61" s="10">
        <v>1004019633</v>
      </c>
      <c r="C61" s="10">
        <v>507142424</v>
      </c>
      <c r="D61" s="10">
        <v>50</v>
      </c>
      <c r="E61" s="10" t="s">
        <v>10</v>
      </c>
      <c r="F61" s="10">
        <v>1212309</v>
      </c>
      <c r="G61" s="10" t="s">
        <v>16</v>
      </c>
      <c r="H61" s="11">
        <v>30725</v>
      </c>
      <c r="I61" s="10">
        <v>0</v>
      </c>
      <c r="J61" s="11">
        <f t="shared" si="1"/>
        <v>30725</v>
      </c>
      <c r="K61" s="12" t="e">
        <f>VLOOKUP(A61,[2]VA05!$A:$K,11,FALSE)</f>
        <v>#N/A</v>
      </c>
      <c r="L61" s="10" t="s">
        <v>12</v>
      </c>
      <c r="M61" s="10" t="s">
        <v>82</v>
      </c>
    </row>
    <row r="62" spans="1:13" x14ac:dyDescent="0.25">
      <c r="A62" s="13" t="str">
        <f t="shared" si="0"/>
        <v>50714274220</v>
      </c>
      <c r="B62" s="10">
        <v>1004052511</v>
      </c>
      <c r="C62" s="10">
        <v>507142742</v>
      </c>
      <c r="D62" s="10">
        <v>20</v>
      </c>
      <c r="E62" s="10" t="s">
        <v>10</v>
      </c>
      <c r="F62" s="10">
        <v>1209351</v>
      </c>
      <c r="G62" s="10" t="s">
        <v>135</v>
      </c>
      <c r="H62" s="11">
        <v>25576</v>
      </c>
      <c r="I62" s="11">
        <v>2837</v>
      </c>
      <c r="J62" s="11">
        <f t="shared" si="1"/>
        <v>22739</v>
      </c>
      <c r="K62" s="12">
        <f>VLOOKUP(A62,[2]VA05!$A:$K,11,FALSE)</f>
        <v>45580</v>
      </c>
      <c r="L62" s="10" t="s">
        <v>18</v>
      </c>
      <c r="M62" s="10" t="s">
        <v>197</v>
      </c>
    </row>
    <row r="63" spans="1:13" x14ac:dyDescent="0.25">
      <c r="A63" s="13" t="str">
        <f t="shared" si="0"/>
        <v>50714274250</v>
      </c>
      <c r="B63" s="10">
        <v>1004052512</v>
      </c>
      <c r="C63" s="10">
        <v>507142742</v>
      </c>
      <c r="D63" s="10">
        <v>50</v>
      </c>
      <c r="E63" s="10" t="s">
        <v>10</v>
      </c>
      <c r="F63" s="10">
        <v>1209351</v>
      </c>
      <c r="G63" s="10" t="s">
        <v>135</v>
      </c>
      <c r="H63" s="11">
        <v>25576</v>
      </c>
      <c r="I63" s="10">
        <v>0</v>
      </c>
      <c r="J63" s="11">
        <f t="shared" si="1"/>
        <v>25576</v>
      </c>
      <c r="K63" s="12">
        <f>VLOOKUP(A63,[2]VA05!$A:$K,11,FALSE)</f>
        <v>45587</v>
      </c>
      <c r="L63" s="10" t="s">
        <v>12</v>
      </c>
      <c r="M63" s="10" t="s">
        <v>192</v>
      </c>
    </row>
    <row r="64" spans="1:13" x14ac:dyDescent="0.25">
      <c r="A64" s="13" t="str">
        <f t="shared" si="0"/>
        <v>50714274280</v>
      </c>
      <c r="B64" s="10">
        <v>1004052513</v>
      </c>
      <c r="C64" s="10">
        <v>507142742</v>
      </c>
      <c r="D64" s="10">
        <v>80</v>
      </c>
      <c r="E64" s="10" t="s">
        <v>10</v>
      </c>
      <c r="F64" s="10">
        <v>1209351</v>
      </c>
      <c r="G64" s="10" t="s">
        <v>135</v>
      </c>
      <c r="H64" s="11">
        <v>25576</v>
      </c>
      <c r="I64" s="10">
        <v>0</v>
      </c>
      <c r="J64" s="11">
        <f t="shared" si="1"/>
        <v>25576</v>
      </c>
      <c r="K64" s="12">
        <f>VLOOKUP(A64,[2]VA05!$A:$K,11,FALSE)</f>
        <v>45594</v>
      </c>
      <c r="L64" s="10" t="s">
        <v>12</v>
      </c>
      <c r="M64" s="10" t="s">
        <v>176</v>
      </c>
    </row>
    <row r="65" spans="1:13" x14ac:dyDescent="0.25">
      <c r="A65" s="13" t="str">
        <f t="shared" si="0"/>
        <v>507142742110</v>
      </c>
      <c r="B65" s="10">
        <v>1004052514</v>
      </c>
      <c r="C65" s="10">
        <v>507142742</v>
      </c>
      <c r="D65" s="10">
        <v>110</v>
      </c>
      <c r="E65" s="10" t="s">
        <v>10</v>
      </c>
      <c r="F65" s="10">
        <v>1209351</v>
      </c>
      <c r="G65" s="10" t="s">
        <v>135</v>
      </c>
      <c r="H65" s="11">
        <v>25576</v>
      </c>
      <c r="I65" s="10">
        <v>0</v>
      </c>
      <c r="J65" s="11">
        <f t="shared" si="1"/>
        <v>25576</v>
      </c>
      <c r="K65" s="12">
        <f>VLOOKUP(A65,[2]VA05!$A:$K,11,FALSE)</f>
        <v>45601</v>
      </c>
      <c r="L65" s="10" t="s">
        <v>12</v>
      </c>
      <c r="M65" s="10" t="s">
        <v>198</v>
      </c>
    </row>
    <row r="66" spans="1:13" x14ac:dyDescent="0.25">
      <c r="A66" s="13" t="str">
        <f t="shared" si="0"/>
        <v>50900099220</v>
      </c>
      <c r="B66" s="10">
        <v>1004021332</v>
      </c>
      <c r="C66" s="10">
        <v>509000992</v>
      </c>
      <c r="D66" s="10">
        <v>20</v>
      </c>
      <c r="E66" s="10" t="s">
        <v>10</v>
      </c>
      <c r="F66" s="10">
        <v>1279716</v>
      </c>
      <c r="G66" s="10" t="s">
        <v>54</v>
      </c>
      <c r="H66" s="11">
        <v>10299</v>
      </c>
      <c r="I66" s="10">
        <v>0</v>
      </c>
      <c r="J66" s="11">
        <f t="shared" si="1"/>
        <v>10299</v>
      </c>
      <c r="K66" s="12" t="e">
        <f>VLOOKUP(A66,[2]VA05!$A:$K,11,FALSE)</f>
        <v>#N/A</v>
      </c>
      <c r="L66" s="10" t="s">
        <v>25</v>
      </c>
      <c r="M66" s="10" t="s">
        <v>66</v>
      </c>
    </row>
    <row r="67" spans="1:13" x14ac:dyDescent="0.25">
      <c r="A67" s="13" t="str">
        <f t="shared" si="0"/>
        <v>50714242410</v>
      </c>
      <c r="B67" s="10">
        <v>1004019563</v>
      </c>
      <c r="C67" s="10">
        <v>507142424</v>
      </c>
      <c r="D67" s="10">
        <v>10</v>
      </c>
      <c r="E67" s="10" t="s">
        <v>10</v>
      </c>
      <c r="F67" s="10">
        <v>1212320</v>
      </c>
      <c r="G67" s="10" t="s">
        <v>17</v>
      </c>
      <c r="H67" s="11">
        <v>19568</v>
      </c>
      <c r="I67" s="10">
        <v>0</v>
      </c>
      <c r="J67" s="11">
        <f t="shared" si="1"/>
        <v>19568</v>
      </c>
      <c r="K67" s="12" t="e">
        <f>VLOOKUP(A67,[2]VA05!$A:$K,11,FALSE)</f>
        <v>#N/A</v>
      </c>
      <c r="L67" s="10" t="s">
        <v>239</v>
      </c>
      <c r="M67" s="10" t="s">
        <v>72</v>
      </c>
    </row>
    <row r="68" spans="1:13" x14ac:dyDescent="0.25">
      <c r="A68" s="13" t="str">
        <f t="shared" ref="A68:A131" si="2">C68&amp;D68</f>
        <v>50714242430</v>
      </c>
      <c r="B68" s="10">
        <v>1004019564</v>
      </c>
      <c r="C68" s="10">
        <v>507142424</v>
      </c>
      <c r="D68" s="10">
        <v>30</v>
      </c>
      <c r="E68" s="10" t="s">
        <v>10</v>
      </c>
      <c r="F68" s="10">
        <v>1212320</v>
      </c>
      <c r="G68" s="10" t="s">
        <v>17</v>
      </c>
      <c r="H68" s="11">
        <v>19568</v>
      </c>
      <c r="I68" s="10">
        <v>0</v>
      </c>
      <c r="J68" s="11">
        <f t="shared" ref="J68:J131" si="3">H68-I68</f>
        <v>19568</v>
      </c>
      <c r="K68" s="12" t="e">
        <f>VLOOKUP(A68,[2]VA05!$A:$K,11,FALSE)</f>
        <v>#N/A</v>
      </c>
      <c r="L68" s="10" t="s">
        <v>13</v>
      </c>
      <c r="M68" s="10" t="s">
        <v>69</v>
      </c>
    </row>
    <row r="69" spans="1:13" x14ac:dyDescent="0.25">
      <c r="A69" s="13" t="str">
        <f t="shared" si="2"/>
        <v>50714242450</v>
      </c>
      <c r="B69" s="10">
        <v>1004019566</v>
      </c>
      <c r="C69" s="10">
        <v>507142424</v>
      </c>
      <c r="D69" s="10">
        <v>50</v>
      </c>
      <c r="E69" s="10" t="s">
        <v>10</v>
      </c>
      <c r="F69" s="10">
        <v>1212320</v>
      </c>
      <c r="G69" s="10" t="s">
        <v>17</v>
      </c>
      <c r="H69" s="11">
        <v>30725</v>
      </c>
      <c r="I69" s="10">
        <v>0</v>
      </c>
      <c r="J69" s="11">
        <f t="shared" si="3"/>
        <v>30725</v>
      </c>
      <c r="K69" s="12" t="e">
        <f>VLOOKUP(A69,[2]VA05!$A:$K,11,FALSE)</f>
        <v>#N/A</v>
      </c>
      <c r="L69" s="10" t="s">
        <v>13</v>
      </c>
      <c r="M69" s="10" t="s">
        <v>73</v>
      </c>
    </row>
    <row r="70" spans="1:13" x14ac:dyDescent="0.25">
      <c r="A70" s="13" t="str">
        <f t="shared" si="2"/>
        <v>50714274220</v>
      </c>
      <c r="B70" s="10">
        <v>1004052428</v>
      </c>
      <c r="C70" s="10">
        <v>507142742</v>
      </c>
      <c r="D70" s="10">
        <v>20</v>
      </c>
      <c r="E70" s="10" t="s">
        <v>10</v>
      </c>
      <c r="F70" s="10">
        <v>1437172</v>
      </c>
      <c r="G70" s="10" t="s">
        <v>123</v>
      </c>
      <c r="H70" s="11">
        <v>25576</v>
      </c>
      <c r="I70" s="11">
        <v>7183</v>
      </c>
      <c r="J70" s="11">
        <f t="shared" si="3"/>
        <v>18393</v>
      </c>
      <c r="K70" s="12">
        <f>VLOOKUP(A70,[2]VA05!$A:$K,11,FALSE)</f>
        <v>45580</v>
      </c>
      <c r="L70" s="10" t="s">
        <v>18</v>
      </c>
      <c r="M70" s="10" t="s">
        <v>197</v>
      </c>
    </row>
    <row r="71" spans="1:13" x14ac:dyDescent="0.25">
      <c r="A71" s="13" t="str">
        <f t="shared" si="2"/>
        <v>50714274280</v>
      </c>
      <c r="B71" s="10">
        <v>1004052509</v>
      </c>
      <c r="C71" s="10">
        <v>507142742</v>
      </c>
      <c r="D71" s="10">
        <v>80</v>
      </c>
      <c r="E71" s="10" t="s">
        <v>10</v>
      </c>
      <c r="F71" s="10">
        <v>1437172</v>
      </c>
      <c r="G71" s="10" t="s">
        <v>123</v>
      </c>
      <c r="H71" s="11">
        <v>25576</v>
      </c>
      <c r="I71" s="10">
        <v>0</v>
      </c>
      <c r="J71" s="11">
        <f t="shared" si="3"/>
        <v>25576</v>
      </c>
      <c r="K71" s="12">
        <f>VLOOKUP(A71,[2]VA05!$A:$K,11,FALSE)</f>
        <v>45594</v>
      </c>
      <c r="L71" s="10" t="s">
        <v>12</v>
      </c>
      <c r="M71" s="10" t="s">
        <v>176</v>
      </c>
    </row>
    <row r="72" spans="1:13" x14ac:dyDescent="0.25">
      <c r="A72" s="13" t="str">
        <f t="shared" si="2"/>
        <v>507142742110</v>
      </c>
      <c r="B72" s="10">
        <v>1004052510</v>
      </c>
      <c r="C72" s="10">
        <v>507142742</v>
      </c>
      <c r="D72" s="10">
        <v>110</v>
      </c>
      <c r="E72" s="10" t="s">
        <v>10</v>
      </c>
      <c r="F72" s="10">
        <v>1437172</v>
      </c>
      <c r="G72" s="10" t="s">
        <v>123</v>
      </c>
      <c r="H72" s="11">
        <v>25576</v>
      </c>
      <c r="I72" s="10">
        <v>0</v>
      </c>
      <c r="J72" s="11">
        <f t="shared" si="3"/>
        <v>25576</v>
      </c>
      <c r="K72" s="12">
        <f>VLOOKUP(A72,[2]VA05!$A:$K,11,FALSE)</f>
        <v>45601</v>
      </c>
      <c r="L72" s="10" t="s">
        <v>12</v>
      </c>
      <c r="M72" s="10" t="s">
        <v>198</v>
      </c>
    </row>
    <row r="73" spans="1:13" x14ac:dyDescent="0.25">
      <c r="A73" s="13" t="str">
        <f t="shared" si="2"/>
        <v>50900099220</v>
      </c>
      <c r="B73" s="10">
        <v>1004016985</v>
      </c>
      <c r="C73" s="10">
        <v>509000992</v>
      </c>
      <c r="D73" s="10">
        <v>20</v>
      </c>
      <c r="E73" s="10" t="s">
        <v>10</v>
      </c>
      <c r="F73" s="10">
        <v>1279713</v>
      </c>
      <c r="G73" s="10" t="s">
        <v>55</v>
      </c>
      <c r="H73" s="11">
        <v>10299</v>
      </c>
      <c r="I73" s="10">
        <v>0</v>
      </c>
      <c r="J73" s="11">
        <f t="shared" si="3"/>
        <v>10299</v>
      </c>
      <c r="K73" s="12" t="e">
        <f>VLOOKUP(A73,[2]VA05!$A:$K,11,FALSE)</f>
        <v>#N/A</v>
      </c>
      <c r="L73" s="10" t="s">
        <v>13</v>
      </c>
      <c r="M73" s="10" t="s">
        <v>58</v>
      </c>
    </row>
    <row r="74" spans="1:13" x14ac:dyDescent="0.25">
      <c r="A74" s="13" t="str">
        <f t="shared" si="2"/>
        <v>50900099320</v>
      </c>
      <c r="B74" s="10">
        <v>1004016986</v>
      </c>
      <c r="C74" s="10">
        <v>509000993</v>
      </c>
      <c r="D74" s="10">
        <v>20</v>
      </c>
      <c r="E74" s="10" t="s">
        <v>10</v>
      </c>
      <c r="F74" s="10">
        <v>1279713</v>
      </c>
      <c r="G74" s="10" t="s">
        <v>55</v>
      </c>
      <c r="H74" s="11">
        <v>3262</v>
      </c>
      <c r="I74" s="10">
        <v>0</v>
      </c>
      <c r="J74" s="11">
        <f t="shared" si="3"/>
        <v>3262</v>
      </c>
      <c r="K74" s="12" t="e">
        <f>VLOOKUP(A74,[2]VA05!$A:$K,11,FALSE)</f>
        <v>#N/A</v>
      </c>
      <c r="L74" s="10" t="s">
        <v>12</v>
      </c>
      <c r="M74" s="10" t="s">
        <v>50</v>
      </c>
    </row>
    <row r="75" spans="1:13" x14ac:dyDescent="0.25">
      <c r="A75" s="13" t="str">
        <f t="shared" si="2"/>
        <v>50714274240</v>
      </c>
      <c r="B75" s="10">
        <v>1004049969</v>
      </c>
      <c r="C75" s="10">
        <v>507142742</v>
      </c>
      <c r="D75" s="10">
        <v>40</v>
      </c>
      <c r="E75" s="10" t="s">
        <v>10</v>
      </c>
      <c r="F75" s="10">
        <v>1209336</v>
      </c>
      <c r="G75" s="10" t="s">
        <v>124</v>
      </c>
      <c r="H75" s="11">
        <v>25576</v>
      </c>
      <c r="I75" s="11">
        <v>1312</v>
      </c>
      <c r="J75" s="11">
        <f t="shared" si="3"/>
        <v>24264</v>
      </c>
      <c r="K75" s="12">
        <f>VLOOKUP(A75,[2]VA05!$A:$K,11,FALSE)</f>
        <v>45587</v>
      </c>
      <c r="L75" s="10" t="s">
        <v>18</v>
      </c>
      <c r="M75" s="10" t="s">
        <v>157</v>
      </c>
    </row>
    <row r="76" spans="1:13" x14ac:dyDescent="0.25">
      <c r="A76" s="13" t="str">
        <f t="shared" si="2"/>
        <v>50714274270</v>
      </c>
      <c r="B76" s="10">
        <v>1004052425</v>
      </c>
      <c r="C76" s="10">
        <v>507142742</v>
      </c>
      <c r="D76" s="10">
        <v>70</v>
      </c>
      <c r="E76" s="10" t="s">
        <v>10</v>
      </c>
      <c r="F76" s="10">
        <v>1209336</v>
      </c>
      <c r="G76" s="10" t="s">
        <v>124</v>
      </c>
      <c r="H76" s="11">
        <v>25576</v>
      </c>
      <c r="I76" s="10">
        <v>0</v>
      </c>
      <c r="J76" s="11">
        <f t="shared" si="3"/>
        <v>25576</v>
      </c>
      <c r="K76" s="12">
        <f>VLOOKUP(A76,[2]VA05!$A:$K,11,FALSE)</f>
        <v>45594</v>
      </c>
      <c r="L76" s="10" t="s">
        <v>12</v>
      </c>
      <c r="M76" s="10" t="s">
        <v>199</v>
      </c>
    </row>
    <row r="77" spans="1:13" x14ac:dyDescent="0.25">
      <c r="A77" s="13" t="str">
        <f t="shared" si="2"/>
        <v>507142742100</v>
      </c>
      <c r="B77" s="10">
        <v>1004052426</v>
      </c>
      <c r="C77" s="10">
        <v>507142742</v>
      </c>
      <c r="D77" s="10">
        <v>100</v>
      </c>
      <c r="E77" s="10" t="s">
        <v>10</v>
      </c>
      <c r="F77" s="10">
        <v>1209336</v>
      </c>
      <c r="G77" s="10" t="s">
        <v>124</v>
      </c>
      <c r="H77" s="11">
        <v>25576</v>
      </c>
      <c r="I77" s="10">
        <v>0</v>
      </c>
      <c r="J77" s="11">
        <f t="shared" si="3"/>
        <v>25576</v>
      </c>
      <c r="K77" s="12">
        <f>VLOOKUP(A77,[2]VA05!$A:$K,11,FALSE)</f>
        <v>45601</v>
      </c>
      <c r="L77" s="10" t="s">
        <v>12</v>
      </c>
      <c r="M77" s="10" t="s">
        <v>200</v>
      </c>
    </row>
    <row r="78" spans="1:13" x14ac:dyDescent="0.25">
      <c r="A78" s="13" t="str">
        <f t="shared" si="2"/>
        <v>50714246960</v>
      </c>
      <c r="B78" s="10">
        <v>1004016982</v>
      </c>
      <c r="C78" s="10">
        <v>507142469</v>
      </c>
      <c r="D78" s="10">
        <v>60</v>
      </c>
      <c r="E78" s="10" t="s">
        <v>10</v>
      </c>
      <c r="F78" s="10">
        <v>1212321</v>
      </c>
      <c r="G78" s="10" t="s">
        <v>30</v>
      </c>
      <c r="H78" s="11">
        <v>71577</v>
      </c>
      <c r="I78" s="11">
        <v>8540</v>
      </c>
      <c r="J78" s="11">
        <f t="shared" si="3"/>
        <v>63037</v>
      </c>
      <c r="K78" s="12" t="e">
        <f>VLOOKUP(A78,[2]VA05!$A:$K,11,FALSE)</f>
        <v>#N/A</v>
      </c>
      <c r="L78" s="10" t="s">
        <v>18</v>
      </c>
      <c r="M78" s="10" t="s">
        <v>49</v>
      </c>
    </row>
    <row r="79" spans="1:13" x14ac:dyDescent="0.25">
      <c r="A79" s="13" t="str">
        <f t="shared" si="2"/>
        <v>50714274230</v>
      </c>
      <c r="B79" s="10">
        <v>1004052421</v>
      </c>
      <c r="C79" s="10">
        <v>507142742</v>
      </c>
      <c r="D79" s="10">
        <v>30</v>
      </c>
      <c r="E79" s="10" t="s">
        <v>10</v>
      </c>
      <c r="F79" s="10">
        <v>1209347</v>
      </c>
      <c r="G79" s="10" t="s">
        <v>136</v>
      </c>
      <c r="H79" s="11">
        <v>25576</v>
      </c>
      <c r="I79" s="10">
        <v>0</v>
      </c>
      <c r="J79" s="11">
        <f t="shared" si="3"/>
        <v>25576</v>
      </c>
      <c r="K79" s="12">
        <f>VLOOKUP(A79,[2]VA05!$A:$K,11,FALSE)</f>
        <v>45580</v>
      </c>
      <c r="L79" s="10" t="s">
        <v>12</v>
      </c>
      <c r="M79" s="10" t="s">
        <v>197</v>
      </c>
    </row>
    <row r="80" spans="1:13" x14ac:dyDescent="0.25">
      <c r="A80" s="13" t="str">
        <f t="shared" si="2"/>
        <v>50714274260</v>
      </c>
      <c r="B80" s="10">
        <v>1004052422</v>
      </c>
      <c r="C80" s="10">
        <v>507142742</v>
      </c>
      <c r="D80" s="10">
        <v>60</v>
      </c>
      <c r="E80" s="10" t="s">
        <v>10</v>
      </c>
      <c r="F80" s="10">
        <v>1209347</v>
      </c>
      <c r="G80" s="10" t="s">
        <v>136</v>
      </c>
      <c r="H80" s="11">
        <v>25576</v>
      </c>
      <c r="I80" s="10">
        <v>0</v>
      </c>
      <c r="J80" s="11">
        <f t="shared" si="3"/>
        <v>25576</v>
      </c>
      <c r="K80" s="12">
        <f>VLOOKUP(A80,[2]VA05!$A:$K,11,FALSE)</f>
        <v>45587</v>
      </c>
      <c r="L80" s="10" t="s">
        <v>12</v>
      </c>
      <c r="M80" s="10" t="s">
        <v>192</v>
      </c>
    </row>
    <row r="81" spans="1:13" x14ac:dyDescent="0.25">
      <c r="A81" s="13" t="str">
        <f t="shared" si="2"/>
        <v>50714274290</v>
      </c>
      <c r="B81" s="10">
        <v>1004052423</v>
      </c>
      <c r="C81" s="10">
        <v>507142742</v>
      </c>
      <c r="D81" s="10">
        <v>90</v>
      </c>
      <c r="E81" s="10" t="s">
        <v>10</v>
      </c>
      <c r="F81" s="10">
        <v>1209347</v>
      </c>
      <c r="G81" s="10" t="s">
        <v>136</v>
      </c>
      <c r="H81" s="11">
        <v>25576</v>
      </c>
      <c r="I81" s="10">
        <v>0</v>
      </c>
      <c r="J81" s="11">
        <f t="shared" si="3"/>
        <v>25576</v>
      </c>
      <c r="K81" s="12">
        <f>VLOOKUP(A81,[2]VA05!$A:$K,11,FALSE)</f>
        <v>45594</v>
      </c>
      <c r="L81" s="10" t="s">
        <v>12</v>
      </c>
      <c r="M81" s="10" t="s">
        <v>176</v>
      </c>
    </row>
    <row r="82" spans="1:13" x14ac:dyDescent="0.25">
      <c r="A82" s="13" t="str">
        <f t="shared" si="2"/>
        <v>507142742120</v>
      </c>
      <c r="B82" s="10">
        <v>1004052424</v>
      </c>
      <c r="C82" s="10">
        <v>507142742</v>
      </c>
      <c r="D82" s="10">
        <v>120</v>
      </c>
      <c r="E82" s="10" t="s">
        <v>10</v>
      </c>
      <c r="F82" s="10">
        <v>1209347</v>
      </c>
      <c r="G82" s="10" t="s">
        <v>136</v>
      </c>
      <c r="H82" s="11">
        <v>25576</v>
      </c>
      <c r="I82" s="10">
        <v>0</v>
      </c>
      <c r="J82" s="11">
        <f t="shared" si="3"/>
        <v>25576</v>
      </c>
      <c r="K82" s="12">
        <f>VLOOKUP(A82,[2]VA05!$A:$K,11,FALSE)</f>
        <v>45601</v>
      </c>
      <c r="L82" s="10" t="s">
        <v>12</v>
      </c>
      <c r="M82" s="10" t="s">
        <v>198</v>
      </c>
    </row>
    <row r="83" spans="1:13" x14ac:dyDescent="0.25">
      <c r="A83" s="13" t="str">
        <f t="shared" si="2"/>
        <v>50714273910</v>
      </c>
      <c r="B83" s="10">
        <v>1004051713</v>
      </c>
      <c r="C83" s="10">
        <v>507142739</v>
      </c>
      <c r="D83" s="10">
        <v>10</v>
      </c>
      <c r="E83" s="10" t="s">
        <v>10</v>
      </c>
      <c r="F83" s="10">
        <v>1409882</v>
      </c>
      <c r="G83" s="10" t="s">
        <v>39</v>
      </c>
      <c r="H83" s="11">
        <v>22415</v>
      </c>
      <c r="I83" s="11">
        <v>8029</v>
      </c>
      <c r="J83" s="11">
        <f t="shared" si="3"/>
        <v>14386</v>
      </c>
      <c r="K83" s="12">
        <f>VLOOKUP(A83,[2]VA05!$A:$K,11,FALSE)</f>
        <v>45568</v>
      </c>
      <c r="L83" s="10" t="s">
        <v>18</v>
      </c>
      <c r="M83" s="10" t="s">
        <v>61</v>
      </c>
    </row>
    <row r="84" spans="1:13" x14ac:dyDescent="0.25">
      <c r="A84" s="13" t="str">
        <f t="shared" si="2"/>
        <v>50714273920</v>
      </c>
      <c r="B84" s="10">
        <v>1004051714</v>
      </c>
      <c r="C84" s="10">
        <v>507142739</v>
      </c>
      <c r="D84" s="10">
        <v>20</v>
      </c>
      <c r="E84" s="10" t="s">
        <v>10</v>
      </c>
      <c r="F84" s="10">
        <v>1409882</v>
      </c>
      <c r="G84" s="10" t="s">
        <v>39</v>
      </c>
      <c r="H84" s="11">
        <v>51460</v>
      </c>
      <c r="I84" s="10">
        <v>0</v>
      </c>
      <c r="J84" s="11">
        <f t="shared" si="3"/>
        <v>51460</v>
      </c>
      <c r="K84" s="12">
        <f>VLOOKUP(A84,[2]VA05!$A:$K,11,FALSE)</f>
        <v>45573</v>
      </c>
      <c r="L84" s="10" t="s">
        <v>12</v>
      </c>
      <c r="M84" s="10" t="s">
        <v>97</v>
      </c>
    </row>
    <row r="85" spans="1:13" x14ac:dyDescent="0.25">
      <c r="A85" s="13" t="str">
        <f t="shared" si="2"/>
        <v>50714273920</v>
      </c>
      <c r="B85" s="10">
        <v>1004056941</v>
      </c>
      <c r="C85" s="10">
        <v>507142739</v>
      </c>
      <c r="D85" s="10">
        <v>20</v>
      </c>
      <c r="E85" s="10" t="s">
        <v>10</v>
      </c>
      <c r="F85" s="10">
        <v>1409883</v>
      </c>
      <c r="G85" s="10" t="s">
        <v>40</v>
      </c>
      <c r="H85" s="11">
        <v>54066</v>
      </c>
      <c r="I85" s="11">
        <v>11630</v>
      </c>
      <c r="J85" s="11">
        <f t="shared" si="3"/>
        <v>42436</v>
      </c>
      <c r="K85" s="12">
        <f>VLOOKUP(A85,[2]VA05!$A:$K,11,FALSE)</f>
        <v>45573</v>
      </c>
      <c r="L85" s="10" t="s">
        <v>11</v>
      </c>
      <c r="M85" s="10" t="s">
        <v>194</v>
      </c>
    </row>
    <row r="86" spans="1:13" x14ac:dyDescent="0.25">
      <c r="A86" s="13" t="str">
        <f t="shared" si="2"/>
        <v>50714273930</v>
      </c>
      <c r="B86" s="10">
        <v>1004057977</v>
      </c>
      <c r="C86" s="10">
        <v>507142739</v>
      </c>
      <c r="D86" s="10">
        <v>30</v>
      </c>
      <c r="E86" s="10" t="s">
        <v>10</v>
      </c>
      <c r="F86" s="10">
        <v>1409883</v>
      </c>
      <c r="G86" s="10" t="s">
        <v>40</v>
      </c>
      <c r="H86" s="11">
        <v>30185</v>
      </c>
      <c r="I86" s="10">
        <v>0</v>
      </c>
      <c r="J86" s="11">
        <f t="shared" si="3"/>
        <v>30185</v>
      </c>
      <c r="K86" s="12">
        <f>VLOOKUP(A86,[2]VA05!$A:$K,11,FALSE)</f>
        <v>45580</v>
      </c>
      <c r="L86" s="10" t="s">
        <v>119</v>
      </c>
      <c r="M86" s="10" t="s">
        <v>155</v>
      </c>
    </row>
    <row r="87" spans="1:13" x14ac:dyDescent="0.25">
      <c r="A87" s="13" t="str">
        <f t="shared" si="2"/>
        <v>50714278010</v>
      </c>
      <c r="B87" s="10">
        <v>1004058757</v>
      </c>
      <c r="C87" s="10">
        <v>507142780</v>
      </c>
      <c r="D87" s="10">
        <v>10</v>
      </c>
      <c r="E87" s="10" t="s">
        <v>10</v>
      </c>
      <c r="F87" s="10">
        <v>1409883</v>
      </c>
      <c r="G87" s="10" t="s">
        <v>40</v>
      </c>
      <c r="H87" s="11">
        <v>34165</v>
      </c>
      <c r="I87" s="10">
        <v>0</v>
      </c>
      <c r="J87" s="11">
        <f t="shared" si="3"/>
        <v>34165</v>
      </c>
      <c r="K87" s="12">
        <f>VLOOKUP(A87,[2]VA05!$A:$K,11,FALSE)</f>
        <v>45580</v>
      </c>
      <c r="L87" s="10" t="s">
        <v>12</v>
      </c>
      <c r="M87" s="10" t="s">
        <v>195</v>
      </c>
    </row>
    <row r="88" spans="1:13" x14ac:dyDescent="0.25">
      <c r="A88" s="13" t="str">
        <f t="shared" si="2"/>
        <v>50714278020</v>
      </c>
      <c r="B88" s="10">
        <v>1004058758</v>
      </c>
      <c r="C88" s="10">
        <v>507142780</v>
      </c>
      <c r="D88" s="10">
        <v>20</v>
      </c>
      <c r="E88" s="10" t="s">
        <v>10</v>
      </c>
      <c r="F88" s="10">
        <v>1409883</v>
      </c>
      <c r="G88" s="10" t="s">
        <v>40</v>
      </c>
      <c r="H88" s="11">
        <v>54066</v>
      </c>
      <c r="I88" s="10">
        <v>0</v>
      </c>
      <c r="J88" s="11">
        <f t="shared" si="3"/>
        <v>54066</v>
      </c>
      <c r="K88" s="12">
        <f>VLOOKUP(A88,[2]VA05!$A:$K,11,FALSE)</f>
        <v>45587</v>
      </c>
      <c r="L88" s="10" t="s">
        <v>12</v>
      </c>
      <c r="M88" s="10" t="s">
        <v>195</v>
      </c>
    </row>
    <row r="89" spans="1:13" x14ac:dyDescent="0.25">
      <c r="A89" s="13" t="str">
        <f t="shared" si="2"/>
        <v>50714278030</v>
      </c>
      <c r="B89" s="10">
        <v>1004058759</v>
      </c>
      <c r="C89" s="10">
        <v>507142780</v>
      </c>
      <c r="D89" s="10">
        <v>30</v>
      </c>
      <c r="E89" s="10" t="s">
        <v>10</v>
      </c>
      <c r="F89" s="10">
        <v>1409883</v>
      </c>
      <c r="G89" s="10" t="s">
        <v>40</v>
      </c>
      <c r="H89" s="11">
        <v>19571</v>
      </c>
      <c r="I89" s="10">
        <v>0</v>
      </c>
      <c r="J89" s="11">
        <f t="shared" si="3"/>
        <v>19571</v>
      </c>
      <c r="K89" s="12">
        <f>VLOOKUP(A89,[2]VA05!$A:$K,11,FALSE)</f>
        <v>45594</v>
      </c>
      <c r="L89" s="10" t="s">
        <v>12</v>
      </c>
      <c r="M89" s="10" t="s">
        <v>192</v>
      </c>
    </row>
    <row r="90" spans="1:13" x14ac:dyDescent="0.25">
      <c r="A90" s="13" t="str">
        <f t="shared" si="2"/>
        <v>50714276510</v>
      </c>
      <c r="B90" s="10">
        <v>1004051406</v>
      </c>
      <c r="C90" s="10">
        <v>507142765</v>
      </c>
      <c r="D90" s="10">
        <v>10</v>
      </c>
      <c r="E90" s="10" t="s">
        <v>10</v>
      </c>
      <c r="F90" s="10">
        <v>1398384</v>
      </c>
      <c r="G90" s="10" t="s">
        <v>168</v>
      </c>
      <c r="H90" s="11">
        <v>11422</v>
      </c>
      <c r="I90" s="11">
        <v>1896</v>
      </c>
      <c r="J90" s="11">
        <f t="shared" si="3"/>
        <v>9526</v>
      </c>
      <c r="K90" s="12">
        <f>VLOOKUP(A90,[2]VA05!$A:$K,11,FALSE)</f>
        <v>45560</v>
      </c>
      <c r="L90" s="10" t="s">
        <v>11</v>
      </c>
      <c r="M90" s="10" t="s">
        <v>180</v>
      </c>
    </row>
    <row r="91" spans="1:13" x14ac:dyDescent="0.25">
      <c r="A91" s="13" t="str">
        <f t="shared" si="2"/>
        <v>50714276520</v>
      </c>
      <c r="B91" s="10">
        <v>1004051407</v>
      </c>
      <c r="C91" s="10">
        <v>507142765</v>
      </c>
      <c r="D91" s="10">
        <v>20</v>
      </c>
      <c r="E91" s="10" t="s">
        <v>10</v>
      </c>
      <c r="F91" s="10">
        <v>1398384</v>
      </c>
      <c r="G91" s="10" t="s">
        <v>168</v>
      </c>
      <c r="H91" s="11">
        <v>22842</v>
      </c>
      <c r="I91" s="10">
        <v>0</v>
      </c>
      <c r="J91" s="11">
        <f t="shared" si="3"/>
        <v>22842</v>
      </c>
      <c r="K91" s="12" t="e">
        <f>VLOOKUP(A91,[2]VA05!$A:$K,11,FALSE)</f>
        <v>#N/A</v>
      </c>
      <c r="L91" s="10" t="s">
        <v>12</v>
      </c>
      <c r="M91" s="10" t="s">
        <v>97</v>
      </c>
    </row>
    <row r="92" spans="1:13" x14ac:dyDescent="0.25">
      <c r="A92" s="13" t="str">
        <f t="shared" si="2"/>
        <v>50714276530</v>
      </c>
      <c r="B92" s="10">
        <v>1004051408</v>
      </c>
      <c r="C92" s="10">
        <v>507142765</v>
      </c>
      <c r="D92" s="10">
        <v>30</v>
      </c>
      <c r="E92" s="10" t="s">
        <v>10</v>
      </c>
      <c r="F92" s="10">
        <v>1398384</v>
      </c>
      <c r="G92" s="10" t="s">
        <v>168</v>
      </c>
      <c r="H92" s="11">
        <v>34807</v>
      </c>
      <c r="I92" s="10">
        <v>0</v>
      </c>
      <c r="J92" s="11">
        <f t="shared" si="3"/>
        <v>34807</v>
      </c>
      <c r="K92" s="12">
        <f>VLOOKUP(A92,[2]VA05!$A:$K,11,FALSE)</f>
        <v>45569</v>
      </c>
      <c r="L92" s="10" t="s">
        <v>12</v>
      </c>
      <c r="M92" s="10" t="s">
        <v>143</v>
      </c>
    </row>
    <row r="93" spans="1:13" x14ac:dyDescent="0.25">
      <c r="A93" s="13" t="str">
        <f t="shared" si="2"/>
        <v>50714276540</v>
      </c>
      <c r="B93" s="10">
        <v>1004052528</v>
      </c>
      <c r="C93" s="10">
        <v>507142765</v>
      </c>
      <c r="D93" s="10">
        <v>40</v>
      </c>
      <c r="E93" s="10" t="s">
        <v>10</v>
      </c>
      <c r="F93" s="10">
        <v>1398384</v>
      </c>
      <c r="G93" s="10" t="s">
        <v>168</v>
      </c>
      <c r="H93" s="11">
        <v>35078</v>
      </c>
      <c r="I93" s="10">
        <v>0</v>
      </c>
      <c r="J93" s="11">
        <f t="shared" si="3"/>
        <v>35078</v>
      </c>
      <c r="K93" s="12">
        <f>VLOOKUP(A93,[2]VA05!$A:$K,11,FALSE)</f>
        <v>45576</v>
      </c>
      <c r="L93" s="10" t="s">
        <v>12</v>
      </c>
      <c r="M93" s="10" t="s">
        <v>195</v>
      </c>
    </row>
    <row r="94" spans="1:13" x14ac:dyDescent="0.25">
      <c r="A94" s="13" t="str">
        <f t="shared" si="2"/>
        <v>50714276550</v>
      </c>
      <c r="B94" s="10">
        <v>1004052529</v>
      </c>
      <c r="C94" s="10">
        <v>507142765</v>
      </c>
      <c r="D94" s="10">
        <v>50</v>
      </c>
      <c r="E94" s="10" t="s">
        <v>10</v>
      </c>
      <c r="F94" s="10">
        <v>1398384</v>
      </c>
      <c r="G94" s="10" t="s">
        <v>168</v>
      </c>
      <c r="H94" s="11">
        <v>45412</v>
      </c>
      <c r="I94" s="10">
        <v>0</v>
      </c>
      <c r="J94" s="11">
        <f t="shared" si="3"/>
        <v>45412</v>
      </c>
      <c r="K94" s="12">
        <f>VLOOKUP(A94,[2]VA05!$A:$K,11,FALSE)</f>
        <v>45583</v>
      </c>
      <c r="L94" s="10" t="s">
        <v>12</v>
      </c>
      <c r="M94" s="10" t="s">
        <v>194</v>
      </c>
    </row>
    <row r="95" spans="1:13" x14ac:dyDescent="0.25">
      <c r="A95" s="13" t="str">
        <f t="shared" si="2"/>
        <v>50714276560</v>
      </c>
      <c r="B95" s="10">
        <v>1004052530</v>
      </c>
      <c r="C95" s="10">
        <v>507142765</v>
      </c>
      <c r="D95" s="10">
        <v>60</v>
      </c>
      <c r="E95" s="10" t="s">
        <v>10</v>
      </c>
      <c r="F95" s="10">
        <v>1398384</v>
      </c>
      <c r="G95" s="10" t="s">
        <v>168</v>
      </c>
      <c r="H95" s="11">
        <v>45412</v>
      </c>
      <c r="I95" s="10">
        <v>0</v>
      </c>
      <c r="J95" s="11">
        <f t="shared" si="3"/>
        <v>45412</v>
      </c>
      <c r="K95" s="12">
        <f>VLOOKUP(A95,[2]VA05!$A:$K,11,FALSE)</f>
        <v>45590</v>
      </c>
      <c r="L95" s="10" t="s">
        <v>12</v>
      </c>
      <c r="M95" s="10" t="s">
        <v>179</v>
      </c>
    </row>
    <row r="96" spans="1:13" x14ac:dyDescent="0.25">
      <c r="A96" s="13" t="str">
        <f t="shared" si="2"/>
        <v>50714276510</v>
      </c>
      <c r="B96" s="10">
        <v>1004052532</v>
      </c>
      <c r="C96" s="10">
        <v>507142765</v>
      </c>
      <c r="D96" s="10">
        <v>10</v>
      </c>
      <c r="E96" s="10" t="s">
        <v>10</v>
      </c>
      <c r="F96" s="10">
        <v>1398385</v>
      </c>
      <c r="G96" s="10" t="s">
        <v>183</v>
      </c>
      <c r="H96" s="11">
        <v>11765</v>
      </c>
      <c r="I96" s="10">
        <v>0</v>
      </c>
      <c r="J96" s="11">
        <f t="shared" si="3"/>
        <v>11765</v>
      </c>
      <c r="K96" s="12">
        <f>VLOOKUP(A96,[2]VA05!$A:$K,11,FALSE)</f>
        <v>45560</v>
      </c>
      <c r="L96" s="10" t="s">
        <v>25</v>
      </c>
      <c r="M96" s="10" t="s">
        <v>180</v>
      </c>
    </row>
    <row r="97" spans="1:13" x14ac:dyDescent="0.25">
      <c r="A97" s="13" t="str">
        <f t="shared" si="2"/>
        <v>50714276520</v>
      </c>
      <c r="B97" s="10">
        <v>1004052533</v>
      </c>
      <c r="C97" s="10">
        <v>507142765</v>
      </c>
      <c r="D97" s="10">
        <v>20</v>
      </c>
      <c r="E97" s="10" t="s">
        <v>10</v>
      </c>
      <c r="F97" s="10">
        <v>1398385</v>
      </c>
      <c r="G97" s="10" t="s">
        <v>183</v>
      </c>
      <c r="H97" s="11">
        <v>23528</v>
      </c>
      <c r="I97" s="10">
        <v>0</v>
      </c>
      <c r="J97" s="11">
        <f t="shared" si="3"/>
        <v>23528</v>
      </c>
      <c r="K97" s="12" t="e">
        <f>VLOOKUP(A97,[2]VA05!$A:$K,11,FALSE)</f>
        <v>#N/A</v>
      </c>
      <c r="L97" s="10" t="s">
        <v>12</v>
      </c>
      <c r="M97" s="10" t="s">
        <v>97</v>
      </c>
    </row>
    <row r="98" spans="1:13" x14ac:dyDescent="0.25">
      <c r="A98" s="13" t="str">
        <f t="shared" si="2"/>
        <v>50714276530</v>
      </c>
      <c r="B98" s="10">
        <v>1004052534</v>
      </c>
      <c r="C98" s="10">
        <v>507142765</v>
      </c>
      <c r="D98" s="10">
        <v>30</v>
      </c>
      <c r="E98" s="10" t="s">
        <v>10</v>
      </c>
      <c r="F98" s="10">
        <v>1398385</v>
      </c>
      <c r="G98" s="10" t="s">
        <v>183</v>
      </c>
      <c r="H98" s="11">
        <v>35852</v>
      </c>
      <c r="I98" s="10">
        <v>0</v>
      </c>
      <c r="J98" s="11">
        <f t="shared" si="3"/>
        <v>35852</v>
      </c>
      <c r="K98" s="12">
        <f>VLOOKUP(A98,[2]VA05!$A:$K,11,FALSE)</f>
        <v>45569</v>
      </c>
      <c r="L98" s="10" t="s">
        <v>12</v>
      </c>
      <c r="M98" s="10" t="s">
        <v>97</v>
      </c>
    </row>
    <row r="99" spans="1:13" x14ac:dyDescent="0.25">
      <c r="A99" s="13" t="str">
        <f t="shared" si="2"/>
        <v>50714276540</v>
      </c>
      <c r="B99" s="10">
        <v>1004052535</v>
      </c>
      <c r="C99" s="10">
        <v>507142765</v>
      </c>
      <c r="D99" s="10">
        <v>40</v>
      </c>
      <c r="E99" s="10" t="s">
        <v>10</v>
      </c>
      <c r="F99" s="10">
        <v>1398385</v>
      </c>
      <c r="G99" s="10" t="s">
        <v>183</v>
      </c>
      <c r="H99" s="11">
        <v>36131</v>
      </c>
      <c r="I99" s="10">
        <v>0</v>
      </c>
      <c r="J99" s="11">
        <f t="shared" si="3"/>
        <v>36131</v>
      </c>
      <c r="K99" s="12">
        <f>VLOOKUP(A99,[2]VA05!$A:$K,11,FALSE)</f>
        <v>45576</v>
      </c>
      <c r="L99" s="10" t="s">
        <v>12</v>
      </c>
      <c r="M99" s="10" t="s">
        <v>180</v>
      </c>
    </row>
    <row r="100" spans="1:13" x14ac:dyDescent="0.25">
      <c r="A100" s="13" t="str">
        <f t="shared" si="2"/>
        <v>50714276550</v>
      </c>
      <c r="B100" s="10">
        <v>1004052536</v>
      </c>
      <c r="C100" s="10">
        <v>507142765</v>
      </c>
      <c r="D100" s="10">
        <v>50</v>
      </c>
      <c r="E100" s="10" t="s">
        <v>10</v>
      </c>
      <c r="F100" s="10">
        <v>1398385</v>
      </c>
      <c r="G100" s="10" t="s">
        <v>183</v>
      </c>
      <c r="H100" s="11">
        <v>46775</v>
      </c>
      <c r="I100" s="10">
        <v>0</v>
      </c>
      <c r="J100" s="11">
        <f t="shared" si="3"/>
        <v>46775</v>
      </c>
      <c r="K100" s="12">
        <f>VLOOKUP(A100,[2]VA05!$A:$K,11,FALSE)</f>
        <v>45583</v>
      </c>
      <c r="L100" s="10" t="s">
        <v>12</v>
      </c>
      <c r="M100" s="10" t="s">
        <v>201</v>
      </c>
    </row>
    <row r="101" spans="1:13" x14ac:dyDescent="0.25">
      <c r="A101" s="13" t="str">
        <f t="shared" si="2"/>
        <v>50714276560</v>
      </c>
      <c r="B101" s="10">
        <v>1004052537</v>
      </c>
      <c r="C101" s="10">
        <v>507142765</v>
      </c>
      <c r="D101" s="10">
        <v>60</v>
      </c>
      <c r="E101" s="10" t="s">
        <v>10</v>
      </c>
      <c r="F101" s="10">
        <v>1398385</v>
      </c>
      <c r="G101" s="10" t="s">
        <v>183</v>
      </c>
      <c r="H101" s="11">
        <v>46775</v>
      </c>
      <c r="I101" s="10">
        <v>0</v>
      </c>
      <c r="J101" s="11">
        <f t="shared" si="3"/>
        <v>46775</v>
      </c>
      <c r="K101" s="12">
        <f>VLOOKUP(A101,[2]VA05!$A:$K,11,FALSE)</f>
        <v>45590</v>
      </c>
      <c r="L101" s="10" t="s">
        <v>12</v>
      </c>
      <c r="M101" s="10" t="s">
        <v>178</v>
      </c>
    </row>
    <row r="102" spans="1:13" x14ac:dyDescent="0.25">
      <c r="A102" s="13" t="str">
        <f t="shared" si="2"/>
        <v>50714276510</v>
      </c>
      <c r="B102" s="10">
        <v>1004052538</v>
      </c>
      <c r="C102" s="10">
        <v>507142765</v>
      </c>
      <c r="D102" s="10">
        <v>10</v>
      </c>
      <c r="E102" s="10" t="s">
        <v>10</v>
      </c>
      <c r="F102" s="10">
        <v>1398386</v>
      </c>
      <c r="G102" s="10" t="s">
        <v>184</v>
      </c>
      <c r="H102" s="11">
        <v>10383</v>
      </c>
      <c r="I102" s="11">
        <v>6480</v>
      </c>
      <c r="J102" s="11">
        <f t="shared" si="3"/>
        <v>3903</v>
      </c>
      <c r="K102" s="12">
        <f>VLOOKUP(A102,[2]VA05!$A:$K,11,FALSE)</f>
        <v>45560</v>
      </c>
      <c r="L102" s="10" t="s">
        <v>18</v>
      </c>
      <c r="M102" s="10" t="s">
        <v>194</v>
      </c>
    </row>
    <row r="103" spans="1:13" x14ac:dyDescent="0.25">
      <c r="A103" s="13" t="str">
        <f t="shared" si="2"/>
        <v>50714276520</v>
      </c>
      <c r="B103" s="10">
        <v>1004052539</v>
      </c>
      <c r="C103" s="10">
        <v>507142765</v>
      </c>
      <c r="D103" s="10">
        <v>20</v>
      </c>
      <c r="E103" s="10" t="s">
        <v>10</v>
      </c>
      <c r="F103" s="10">
        <v>1398386</v>
      </c>
      <c r="G103" s="10" t="s">
        <v>184</v>
      </c>
      <c r="H103" s="11">
        <v>20765</v>
      </c>
      <c r="I103" s="10">
        <v>0</v>
      </c>
      <c r="J103" s="11">
        <f t="shared" si="3"/>
        <v>20765</v>
      </c>
      <c r="K103" s="12" t="e">
        <f>VLOOKUP(A103,[2]VA05!$A:$K,11,FALSE)</f>
        <v>#N/A</v>
      </c>
      <c r="L103" s="10" t="s">
        <v>25</v>
      </c>
      <c r="M103" s="10" t="s">
        <v>194</v>
      </c>
    </row>
    <row r="104" spans="1:13" x14ac:dyDescent="0.25">
      <c r="A104" s="13" t="str">
        <f t="shared" si="2"/>
        <v>50714276530</v>
      </c>
      <c r="B104" s="10">
        <v>1004052540</v>
      </c>
      <c r="C104" s="10">
        <v>507142765</v>
      </c>
      <c r="D104" s="10">
        <v>30</v>
      </c>
      <c r="E104" s="10" t="s">
        <v>10</v>
      </c>
      <c r="F104" s="10">
        <v>1398386</v>
      </c>
      <c r="G104" s="10" t="s">
        <v>184</v>
      </c>
      <c r="H104" s="11">
        <v>31642</v>
      </c>
      <c r="I104" s="10">
        <v>0</v>
      </c>
      <c r="J104" s="11">
        <f t="shared" si="3"/>
        <v>31642</v>
      </c>
      <c r="K104" s="12">
        <f>VLOOKUP(A104,[2]VA05!$A:$K,11,FALSE)</f>
        <v>45569</v>
      </c>
      <c r="L104" s="10" t="s">
        <v>12</v>
      </c>
      <c r="M104" s="10" t="s">
        <v>180</v>
      </c>
    </row>
    <row r="105" spans="1:13" x14ac:dyDescent="0.25">
      <c r="A105" s="13" t="str">
        <f t="shared" si="2"/>
        <v>50714276540</v>
      </c>
      <c r="B105" s="10">
        <v>1004052541</v>
      </c>
      <c r="C105" s="10">
        <v>507142765</v>
      </c>
      <c r="D105" s="10">
        <v>40</v>
      </c>
      <c r="E105" s="10" t="s">
        <v>10</v>
      </c>
      <c r="F105" s="10">
        <v>1398386</v>
      </c>
      <c r="G105" s="10" t="s">
        <v>184</v>
      </c>
      <c r="H105" s="11">
        <v>31889</v>
      </c>
      <c r="I105" s="10">
        <v>0</v>
      </c>
      <c r="J105" s="11">
        <f t="shared" si="3"/>
        <v>31889</v>
      </c>
      <c r="K105" s="12">
        <f>VLOOKUP(A105,[2]VA05!$A:$K,11,FALSE)</f>
        <v>45576</v>
      </c>
      <c r="L105" s="10" t="s">
        <v>12</v>
      </c>
      <c r="M105" s="10" t="s">
        <v>156</v>
      </c>
    </row>
    <row r="106" spans="1:13" x14ac:dyDescent="0.25">
      <c r="A106" s="13" t="str">
        <f t="shared" si="2"/>
        <v>50714276550</v>
      </c>
      <c r="B106" s="10">
        <v>1004052543</v>
      </c>
      <c r="C106" s="10">
        <v>507142765</v>
      </c>
      <c r="D106" s="10">
        <v>50</v>
      </c>
      <c r="E106" s="10" t="s">
        <v>10</v>
      </c>
      <c r="F106" s="10">
        <v>1398386</v>
      </c>
      <c r="G106" s="10" t="s">
        <v>184</v>
      </c>
      <c r="H106" s="11">
        <v>41283</v>
      </c>
      <c r="I106" s="10">
        <v>0</v>
      </c>
      <c r="J106" s="11">
        <f t="shared" si="3"/>
        <v>41283</v>
      </c>
      <c r="K106" s="12">
        <f>VLOOKUP(A106,[2]VA05!$A:$K,11,FALSE)</f>
        <v>45583</v>
      </c>
      <c r="L106" s="10" t="s">
        <v>12</v>
      </c>
      <c r="M106" s="10" t="s">
        <v>202</v>
      </c>
    </row>
    <row r="107" spans="1:13" x14ac:dyDescent="0.25">
      <c r="A107" s="13" t="str">
        <f t="shared" si="2"/>
        <v>50714276560</v>
      </c>
      <c r="B107" s="10">
        <v>1004052544</v>
      </c>
      <c r="C107" s="10">
        <v>507142765</v>
      </c>
      <c r="D107" s="10">
        <v>60</v>
      </c>
      <c r="E107" s="10" t="s">
        <v>10</v>
      </c>
      <c r="F107" s="10">
        <v>1398386</v>
      </c>
      <c r="G107" s="10" t="s">
        <v>184</v>
      </c>
      <c r="H107" s="11">
        <v>41283</v>
      </c>
      <c r="I107" s="10">
        <v>0</v>
      </c>
      <c r="J107" s="11">
        <f t="shared" si="3"/>
        <v>41283</v>
      </c>
      <c r="K107" s="12">
        <f>VLOOKUP(A107,[2]VA05!$A:$K,11,FALSE)</f>
        <v>45590</v>
      </c>
      <c r="L107" s="10" t="s">
        <v>12</v>
      </c>
      <c r="M107" s="10" t="s">
        <v>191</v>
      </c>
    </row>
    <row r="108" spans="1:13" x14ac:dyDescent="0.25">
      <c r="A108" s="13" t="str">
        <f t="shared" si="2"/>
        <v>50714276630</v>
      </c>
      <c r="B108" s="10">
        <v>1004053432</v>
      </c>
      <c r="C108" s="10">
        <v>507142766</v>
      </c>
      <c r="D108" s="10">
        <v>30</v>
      </c>
      <c r="E108" s="10" t="s">
        <v>10</v>
      </c>
      <c r="F108" s="10">
        <v>1398745</v>
      </c>
      <c r="G108" s="10" t="s">
        <v>212</v>
      </c>
      <c r="H108" s="11">
        <v>33640</v>
      </c>
      <c r="I108" s="11">
        <v>15957</v>
      </c>
      <c r="J108" s="11">
        <f t="shared" si="3"/>
        <v>17683</v>
      </c>
      <c r="K108" s="12">
        <f>VLOOKUP(A108,[2]VA05!$A:$K,11,FALSE)</f>
        <v>45597</v>
      </c>
      <c r="L108" s="10" t="s">
        <v>18</v>
      </c>
      <c r="M108" s="10" t="s">
        <v>195</v>
      </c>
    </row>
    <row r="109" spans="1:13" x14ac:dyDescent="0.25">
      <c r="A109" s="13" t="str">
        <f t="shared" si="2"/>
        <v>50714276630</v>
      </c>
      <c r="B109" s="10">
        <v>1004053439</v>
      </c>
      <c r="C109" s="10">
        <v>507142766</v>
      </c>
      <c r="D109" s="10">
        <v>30</v>
      </c>
      <c r="E109" s="10" t="s">
        <v>10</v>
      </c>
      <c r="F109" s="10">
        <v>1398746</v>
      </c>
      <c r="G109" s="10" t="s">
        <v>213</v>
      </c>
      <c r="H109" s="11">
        <v>34650</v>
      </c>
      <c r="I109" s="11">
        <v>10400</v>
      </c>
      <c r="J109" s="11">
        <f t="shared" si="3"/>
        <v>24250</v>
      </c>
      <c r="K109" s="12">
        <f>VLOOKUP(A109,[2]VA05!$A:$K,11,FALSE)</f>
        <v>45597</v>
      </c>
      <c r="L109" s="10" t="s">
        <v>18</v>
      </c>
      <c r="M109" s="10" t="s">
        <v>194</v>
      </c>
    </row>
    <row r="110" spans="1:13" x14ac:dyDescent="0.25">
      <c r="A110" s="13" t="str">
        <f t="shared" si="2"/>
        <v>50714276620</v>
      </c>
      <c r="B110" s="10">
        <v>1004053434</v>
      </c>
      <c r="C110" s="10">
        <v>507142766</v>
      </c>
      <c r="D110" s="10">
        <v>20</v>
      </c>
      <c r="E110" s="10" t="s">
        <v>10</v>
      </c>
      <c r="F110" s="10">
        <v>1398747</v>
      </c>
      <c r="G110" s="10" t="s">
        <v>214</v>
      </c>
      <c r="H110" s="11">
        <v>21136</v>
      </c>
      <c r="I110" s="11">
        <v>13648</v>
      </c>
      <c r="J110" s="11">
        <f t="shared" si="3"/>
        <v>7488</v>
      </c>
      <c r="K110" s="12">
        <f>VLOOKUP(A110,[2]VA05!$A:$K,11,FALSE)</f>
        <v>45562</v>
      </c>
      <c r="L110" s="10" t="s">
        <v>18</v>
      </c>
      <c r="M110" s="10" t="s">
        <v>154</v>
      </c>
    </row>
    <row r="111" spans="1:13" x14ac:dyDescent="0.25">
      <c r="A111" s="13" t="str">
        <f t="shared" si="2"/>
        <v>50714276630</v>
      </c>
      <c r="B111" s="10">
        <v>1004053435</v>
      </c>
      <c r="C111" s="10">
        <v>507142766</v>
      </c>
      <c r="D111" s="10">
        <v>30</v>
      </c>
      <c r="E111" s="10" t="s">
        <v>10</v>
      </c>
      <c r="F111" s="10">
        <v>1398747</v>
      </c>
      <c r="G111" s="10" t="s">
        <v>214</v>
      </c>
      <c r="H111" s="11">
        <v>31148</v>
      </c>
      <c r="I111" s="10">
        <v>0</v>
      </c>
      <c r="J111" s="11">
        <f t="shared" si="3"/>
        <v>31148</v>
      </c>
      <c r="K111" s="12">
        <f>VLOOKUP(A111,[2]VA05!$A:$K,11,FALSE)</f>
        <v>45597</v>
      </c>
      <c r="L111" s="10" t="s">
        <v>12</v>
      </c>
      <c r="M111" s="10" t="s">
        <v>154</v>
      </c>
    </row>
    <row r="112" spans="1:13" x14ac:dyDescent="0.25">
      <c r="A112" s="13" t="str">
        <f t="shared" si="2"/>
        <v>50714270610</v>
      </c>
      <c r="B112" s="10">
        <v>1004052545</v>
      </c>
      <c r="C112" s="10">
        <v>507142706</v>
      </c>
      <c r="D112" s="10">
        <v>10</v>
      </c>
      <c r="E112" s="10" t="s">
        <v>10</v>
      </c>
      <c r="F112" s="10">
        <v>1152845</v>
      </c>
      <c r="G112" s="10" t="s">
        <v>185</v>
      </c>
      <c r="H112" s="11">
        <v>10262</v>
      </c>
      <c r="I112" s="10">
        <v>0</v>
      </c>
      <c r="J112" s="11">
        <f t="shared" si="3"/>
        <v>10262</v>
      </c>
      <c r="K112" s="12">
        <f>VLOOKUP(A112,[2]VA05!$A:$K,11,FALSE)</f>
        <v>45567</v>
      </c>
      <c r="L112" s="10" t="s">
        <v>13</v>
      </c>
      <c r="M112" s="10" t="s">
        <v>195</v>
      </c>
    </row>
    <row r="113" spans="1:13" x14ac:dyDescent="0.25">
      <c r="A113" s="13" t="str">
        <f t="shared" si="2"/>
        <v>50714283610</v>
      </c>
      <c r="B113" s="10">
        <v>1004058753</v>
      </c>
      <c r="C113" s="10">
        <v>507142836</v>
      </c>
      <c r="D113" s="10">
        <v>10</v>
      </c>
      <c r="E113" s="10" t="s">
        <v>10</v>
      </c>
      <c r="F113" s="10">
        <v>1152845</v>
      </c>
      <c r="G113" s="10" t="s">
        <v>185</v>
      </c>
      <c r="H113" s="11">
        <v>25821</v>
      </c>
      <c r="I113" s="10">
        <v>0</v>
      </c>
      <c r="J113" s="11">
        <f t="shared" si="3"/>
        <v>25821</v>
      </c>
      <c r="K113" s="12">
        <f>VLOOKUP(A113,[2]VA05!$A:$K,11,FALSE)</f>
        <v>45588</v>
      </c>
      <c r="L113" s="10" t="s">
        <v>119</v>
      </c>
      <c r="M113" s="10" t="s">
        <v>216</v>
      </c>
    </row>
    <row r="114" spans="1:13" x14ac:dyDescent="0.25">
      <c r="A114" s="13" t="str">
        <f t="shared" si="2"/>
        <v>50714270610</v>
      </c>
      <c r="B114" s="10">
        <v>1004052546</v>
      </c>
      <c r="C114" s="10">
        <v>507142706</v>
      </c>
      <c r="D114" s="10">
        <v>10</v>
      </c>
      <c r="E114" s="10" t="s">
        <v>10</v>
      </c>
      <c r="F114" s="10">
        <v>1207631</v>
      </c>
      <c r="G114" s="10" t="s">
        <v>186</v>
      </c>
      <c r="H114" s="11">
        <v>10776</v>
      </c>
      <c r="I114" s="11">
        <v>3200</v>
      </c>
      <c r="J114" s="11">
        <f t="shared" si="3"/>
        <v>7576</v>
      </c>
      <c r="K114" s="12">
        <f>VLOOKUP(A114,[2]VA05!$A:$K,11,FALSE)</f>
        <v>45567</v>
      </c>
      <c r="L114" s="10" t="s">
        <v>11</v>
      </c>
      <c r="M114" s="10" t="s">
        <v>195</v>
      </c>
    </row>
    <row r="115" spans="1:13" hidden="1" x14ac:dyDescent="0.25">
      <c r="A115" s="13" t="str">
        <f t="shared" si="2"/>
        <v>50714270610</v>
      </c>
      <c r="B115" s="10">
        <v>1004060364</v>
      </c>
      <c r="C115" s="10">
        <v>507142706</v>
      </c>
      <c r="D115" s="10">
        <v>10</v>
      </c>
      <c r="E115" s="10" t="s">
        <v>24</v>
      </c>
      <c r="F115" s="10">
        <v>1207631</v>
      </c>
      <c r="G115" s="10" t="s">
        <v>186</v>
      </c>
      <c r="H115" s="11">
        <v>5000</v>
      </c>
      <c r="I115" s="10">
        <v>0</v>
      </c>
      <c r="J115" s="11">
        <f t="shared" si="3"/>
        <v>5000</v>
      </c>
      <c r="K115" s="12">
        <f>VLOOKUP(A115,[2]VA05!$A:$K,11,FALSE)</f>
        <v>45567</v>
      </c>
      <c r="L115" s="10" t="s">
        <v>13</v>
      </c>
      <c r="M115" s="10" t="s">
        <v>156</v>
      </c>
    </row>
    <row r="116" spans="1:13" x14ac:dyDescent="0.25">
      <c r="A116" s="13" t="str">
        <f t="shared" si="2"/>
        <v>50714271310</v>
      </c>
      <c r="B116" s="10">
        <v>1004052555</v>
      </c>
      <c r="C116" s="10">
        <v>507142713</v>
      </c>
      <c r="D116" s="10">
        <v>10</v>
      </c>
      <c r="E116" s="10" t="s">
        <v>10</v>
      </c>
      <c r="F116" s="10">
        <v>1172472</v>
      </c>
      <c r="G116" s="10" t="s">
        <v>86</v>
      </c>
      <c r="H116" s="11">
        <v>10524</v>
      </c>
      <c r="I116" s="10">
        <v>246</v>
      </c>
      <c r="J116" s="11">
        <f t="shared" si="3"/>
        <v>10278</v>
      </c>
      <c r="K116" s="12">
        <f>VLOOKUP(A116,[2]VA05!$A:$K,11,FALSE)</f>
        <v>45591</v>
      </c>
      <c r="L116" s="10" t="s">
        <v>18</v>
      </c>
      <c r="M116" s="10" t="s">
        <v>203</v>
      </c>
    </row>
    <row r="117" spans="1:13" x14ac:dyDescent="0.25">
      <c r="A117" s="13" t="str">
        <f t="shared" si="2"/>
        <v>50714271340</v>
      </c>
      <c r="B117" s="10">
        <v>1004052556</v>
      </c>
      <c r="C117" s="10">
        <v>507142713</v>
      </c>
      <c r="D117" s="10">
        <v>40</v>
      </c>
      <c r="E117" s="10" t="s">
        <v>10</v>
      </c>
      <c r="F117" s="10">
        <v>1172472</v>
      </c>
      <c r="G117" s="10" t="s">
        <v>86</v>
      </c>
      <c r="H117" s="11">
        <v>10524</v>
      </c>
      <c r="I117" s="10">
        <v>0</v>
      </c>
      <c r="J117" s="11">
        <f t="shared" si="3"/>
        <v>10524</v>
      </c>
      <c r="K117" s="12">
        <f>VLOOKUP(A117,[2]VA05!$A:$K,11,FALSE)</f>
        <v>45591</v>
      </c>
      <c r="L117" s="10" t="s">
        <v>12</v>
      </c>
      <c r="M117" s="10" t="s">
        <v>203</v>
      </c>
    </row>
    <row r="118" spans="1:13" x14ac:dyDescent="0.25">
      <c r="A118" s="13" t="str">
        <f t="shared" si="2"/>
        <v>507142416100</v>
      </c>
      <c r="B118" s="10">
        <v>1004052560</v>
      </c>
      <c r="C118" s="10">
        <v>507142416</v>
      </c>
      <c r="D118" s="10">
        <v>100</v>
      </c>
      <c r="E118" s="10" t="s">
        <v>10</v>
      </c>
      <c r="F118" s="10">
        <v>1171177</v>
      </c>
      <c r="G118" s="10" t="s">
        <v>88</v>
      </c>
      <c r="H118" s="11">
        <v>10170</v>
      </c>
      <c r="I118" s="11">
        <v>1654</v>
      </c>
      <c r="J118" s="11">
        <f t="shared" si="3"/>
        <v>8516</v>
      </c>
      <c r="K118" s="12">
        <f>VLOOKUP(A118,[2]VA05!$A:$K,11,FALSE)</f>
        <v>45580</v>
      </c>
      <c r="L118" s="10" t="s">
        <v>18</v>
      </c>
      <c r="M118" s="10" t="s">
        <v>179</v>
      </c>
    </row>
    <row r="119" spans="1:13" x14ac:dyDescent="0.25">
      <c r="A119" s="13" t="str">
        <f t="shared" si="2"/>
        <v>507142416190</v>
      </c>
      <c r="B119" s="10">
        <v>1004052561</v>
      </c>
      <c r="C119" s="10">
        <v>507142416</v>
      </c>
      <c r="D119" s="10">
        <v>190</v>
      </c>
      <c r="E119" s="10" t="s">
        <v>10</v>
      </c>
      <c r="F119" s="10">
        <v>1171177</v>
      </c>
      <c r="G119" s="10" t="s">
        <v>88</v>
      </c>
      <c r="H119" s="11">
        <v>10170</v>
      </c>
      <c r="I119" s="10">
        <v>0</v>
      </c>
      <c r="J119" s="11">
        <f t="shared" si="3"/>
        <v>10170</v>
      </c>
      <c r="K119" s="12">
        <f>VLOOKUP(A119,[2]VA05!$A:$K,11,FALSE)</f>
        <v>45583</v>
      </c>
      <c r="L119" s="10" t="s">
        <v>12</v>
      </c>
      <c r="M119" s="10" t="s">
        <v>177</v>
      </c>
    </row>
    <row r="120" spans="1:13" x14ac:dyDescent="0.25">
      <c r="A120" s="13" t="str">
        <f t="shared" si="2"/>
        <v>507142416220</v>
      </c>
      <c r="B120" s="10">
        <v>1004052563</v>
      </c>
      <c r="C120" s="10">
        <v>507142416</v>
      </c>
      <c r="D120" s="10">
        <v>220</v>
      </c>
      <c r="E120" s="10" t="s">
        <v>10</v>
      </c>
      <c r="F120" s="10">
        <v>1171177</v>
      </c>
      <c r="G120" s="10" t="s">
        <v>88</v>
      </c>
      <c r="H120" s="11">
        <v>10170</v>
      </c>
      <c r="I120" s="10">
        <v>0</v>
      </c>
      <c r="J120" s="11">
        <f t="shared" si="3"/>
        <v>10170</v>
      </c>
      <c r="K120" s="12">
        <f>VLOOKUP(A120,[2]VA05!$A:$K,11,FALSE)</f>
        <v>45587</v>
      </c>
      <c r="L120" s="10" t="s">
        <v>12</v>
      </c>
      <c r="M120" s="10" t="s">
        <v>109</v>
      </c>
    </row>
    <row r="121" spans="1:13" x14ac:dyDescent="0.25">
      <c r="A121" s="13" t="str">
        <f t="shared" si="2"/>
        <v>50714271320</v>
      </c>
      <c r="B121" s="10">
        <v>1004052564</v>
      </c>
      <c r="C121" s="10">
        <v>507142713</v>
      </c>
      <c r="D121" s="10">
        <v>20</v>
      </c>
      <c r="E121" s="10" t="s">
        <v>10</v>
      </c>
      <c r="F121" s="10">
        <v>1171177</v>
      </c>
      <c r="G121" s="10" t="s">
        <v>88</v>
      </c>
      <c r="H121" s="11">
        <v>10170</v>
      </c>
      <c r="I121" s="10">
        <v>0</v>
      </c>
      <c r="J121" s="11">
        <f t="shared" si="3"/>
        <v>10170</v>
      </c>
      <c r="K121" s="12">
        <f>VLOOKUP(A121,[2]VA05!$A:$K,11,FALSE)</f>
        <v>45591</v>
      </c>
      <c r="L121" s="10" t="s">
        <v>12</v>
      </c>
      <c r="M121" s="10" t="s">
        <v>204</v>
      </c>
    </row>
    <row r="122" spans="1:13" x14ac:dyDescent="0.25">
      <c r="A122" s="13" t="str">
        <f t="shared" si="2"/>
        <v>50714271350</v>
      </c>
      <c r="B122" s="10">
        <v>1004052565</v>
      </c>
      <c r="C122" s="10">
        <v>507142713</v>
      </c>
      <c r="D122" s="10">
        <v>50</v>
      </c>
      <c r="E122" s="10" t="s">
        <v>10</v>
      </c>
      <c r="F122" s="10">
        <v>1171177</v>
      </c>
      <c r="G122" s="10" t="s">
        <v>88</v>
      </c>
      <c r="H122" s="11">
        <v>10170</v>
      </c>
      <c r="I122" s="10">
        <v>0</v>
      </c>
      <c r="J122" s="11">
        <f t="shared" si="3"/>
        <v>10170</v>
      </c>
      <c r="K122" s="12">
        <f>VLOOKUP(A122,[2]VA05!$A:$K,11,FALSE)</f>
        <v>45591</v>
      </c>
      <c r="L122" s="10" t="s">
        <v>12</v>
      </c>
      <c r="M122" s="10" t="s">
        <v>204</v>
      </c>
    </row>
    <row r="123" spans="1:13" x14ac:dyDescent="0.25">
      <c r="A123" s="13" t="str">
        <f t="shared" si="2"/>
        <v>50714241670</v>
      </c>
      <c r="B123" s="10">
        <v>1004052567</v>
      </c>
      <c r="C123" s="10">
        <v>507142416</v>
      </c>
      <c r="D123" s="10">
        <v>70</v>
      </c>
      <c r="E123" s="10" t="s">
        <v>10</v>
      </c>
      <c r="F123" s="10">
        <v>1171178</v>
      </c>
      <c r="G123" s="10" t="s">
        <v>87</v>
      </c>
      <c r="H123" s="11">
        <v>10170</v>
      </c>
      <c r="I123" s="11">
        <v>8400</v>
      </c>
      <c r="J123" s="11">
        <f t="shared" si="3"/>
        <v>1770</v>
      </c>
      <c r="K123" s="12">
        <f>VLOOKUP(A123,[2]VA05!$A:$K,11,FALSE)</f>
        <v>45576</v>
      </c>
      <c r="L123" s="10" t="s">
        <v>18</v>
      </c>
      <c r="M123" s="10" t="s">
        <v>156</v>
      </c>
    </row>
    <row r="124" spans="1:13" x14ac:dyDescent="0.25">
      <c r="A124" s="13" t="str">
        <f t="shared" si="2"/>
        <v>507142416100</v>
      </c>
      <c r="B124" s="10">
        <v>1004052568</v>
      </c>
      <c r="C124" s="10">
        <v>507142416</v>
      </c>
      <c r="D124" s="10">
        <v>100</v>
      </c>
      <c r="E124" s="10" t="s">
        <v>10</v>
      </c>
      <c r="F124" s="10">
        <v>1171178</v>
      </c>
      <c r="G124" s="10" t="s">
        <v>87</v>
      </c>
      <c r="H124" s="11">
        <v>10170</v>
      </c>
      <c r="I124" s="10">
        <v>0</v>
      </c>
      <c r="J124" s="11">
        <f t="shared" si="3"/>
        <v>10170</v>
      </c>
      <c r="K124" s="12">
        <f>VLOOKUP(A124,[2]VA05!$A:$K,11,FALSE)</f>
        <v>45580</v>
      </c>
      <c r="L124" s="10" t="s">
        <v>12</v>
      </c>
      <c r="M124" s="10" t="s">
        <v>179</v>
      </c>
    </row>
    <row r="125" spans="1:13" x14ac:dyDescent="0.25">
      <c r="A125" s="13" t="str">
        <f t="shared" si="2"/>
        <v>507142416190</v>
      </c>
      <c r="B125" s="10">
        <v>1004052609</v>
      </c>
      <c r="C125" s="10">
        <v>507142416</v>
      </c>
      <c r="D125" s="10">
        <v>190</v>
      </c>
      <c r="E125" s="10" t="s">
        <v>10</v>
      </c>
      <c r="F125" s="10">
        <v>1171178</v>
      </c>
      <c r="G125" s="10" t="s">
        <v>87</v>
      </c>
      <c r="H125" s="11">
        <v>10170</v>
      </c>
      <c r="I125" s="10">
        <v>0</v>
      </c>
      <c r="J125" s="11">
        <f t="shared" si="3"/>
        <v>10170</v>
      </c>
      <c r="K125" s="12">
        <f>VLOOKUP(A125,[2]VA05!$A:$K,11,FALSE)</f>
        <v>45583</v>
      </c>
      <c r="L125" s="10" t="s">
        <v>12</v>
      </c>
      <c r="M125" s="10" t="s">
        <v>177</v>
      </c>
    </row>
    <row r="126" spans="1:13" x14ac:dyDescent="0.25">
      <c r="A126" s="13" t="str">
        <f t="shared" si="2"/>
        <v>507142416220</v>
      </c>
      <c r="B126" s="10">
        <v>1004052611</v>
      </c>
      <c r="C126" s="10">
        <v>507142416</v>
      </c>
      <c r="D126" s="10">
        <v>220</v>
      </c>
      <c r="E126" s="10" t="s">
        <v>10</v>
      </c>
      <c r="F126" s="10">
        <v>1171178</v>
      </c>
      <c r="G126" s="10" t="s">
        <v>87</v>
      </c>
      <c r="H126" s="11">
        <v>10170</v>
      </c>
      <c r="I126" s="10">
        <v>0</v>
      </c>
      <c r="J126" s="11">
        <f t="shared" si="3"/>
        <v>10170</v>
      </c>
      <c r="K126" s="12">
        <f>VLOOKUP(A126,[2]VA05!$A:$K,11,FALSE)</f>
        <v>45587</v>
      </c>
      <c r="L126" s="10" t="s">
        <v>12</v>
      </c>
      <c r="M126" s="10" t="s">
        <v>109</v>
      </c>
    </row>
    <row r="127" spans="1:13" x14ac:dyDescent="0.25">
      <c r="A127" s="13" t="str">
        <f t="shared" si="2"/>
        <v>50714271320</v>
      </c>
      <c r="B127" s="10">
        <v>1004052612</v>
      </c>
      <c r="C127" s="10">
        <v>507142713</v>
      </c>
      <c r="D127" s="10">
        <v>20</v>
      </c>
      <c r="E127" s="10" t="s">
        <v>10</v>
      </c>
      <c r="F127" s="10">
        <v>1171178</v>
      </c>
      <c r="G127" s="10" t="s">
        <v>87</v>
      </c>
      <c r="H127" s="11">
        <v>10170</v>
      </c>
      <c r="I127" s="10">
        <v>0</v>
      </c>
      <c r="J127" s="11">
        <f t="shared" si="3"/>
        <v>10170</v>
      </c>
      <c r="K127" s="12">
        <f>VLOOKUP(A127,[2]VA05!$A:$K,11,FALSE)</f>
        <v>45591</v>
      </c>
      <c r="L127" s="10" t="s">
        <v>12</v>
      </c>
      <c r="M127" s="10" t="s">
        <v>204</v>
      </c>
    </row>
    <row r="128" spans="1:13" x14ac:dyDescent="0.25">
      <c r="A128" s="13" t="str">
        <f t="shared" si="2"/>
        <v>50714271350</v>
      </c>
      <c r="B128" s="10">
        <v>1004052613</v>
      </c>
      <c r="C128" s="10">
        <v>507142713</v>
      </c>
      <c r="D128" s="10">
        <v>50</v>
      </c>
      <c r="E128" s="10" t="s">
        <v>10</v>
      </c>
      <c r="F128" s="10">
        <v>1171178</v>
      </c>
      <c r="G128" s="10" t="s">
        <v>87</v>
      </c>
      <c r="H128" s="11">
        <v>10170</v>
      </c>
      <c r="I128" s="10">
        <v>0</v>
      </c>
      <c r="J128" s="11">
        <f t="shared" si="3"/>
        <v>10170</v>
      </c>
      <c r="K128" s="12">
        <f>VLOOKUP(A128,[2]VA05!$A:$K,11,FALSE)</f>
        <v>45591</v>
      </c>
      <c r="L128" s="10" t="s">
        <v>12</v>
      </c>
      <c r="M128" s="10" t="s">
        <v>204</v>
      </c>
    </row>
    <row r="129" spans="1:13" x14ac:dyDescent="0.25">
      <c r="A129" s="13" t="str">
        <f t="shared" si="2"/>
        <v>50714262630</v>
      </c>
      <c r="B129" s="10">
        <v>1004052617</v>
      </c>
      <c r="C129" s="10">
        <v>507142626</v>
      </c>
      <c r="D129" s="10">
        <v>30</v>
      </c>
      <c r="E129" s="10" t="s">
        <v>10</v>
      </c>
      <c r="F129" s="10">
        <v>1172030</v>
      </c>
      <c r="G129" s="10" t="s">
        <v>112</v>
      </c>
      <c r="H129" s="11">
        <v>29055</v>
      </c>
      <c r="I129" s="10">
        <v>0</v>
      </c>
      <c r="J129" s="11">
        <f t="shared" si="3"/>
        <v>29055</v>
      </c>
      <c r="K129" s="12">
        <f>VLOOKUP(A129,[2]VA05!$A:$K,11,FALSE)</f>
        <v>45590</v>
      </c>
      <c r="L129" s="10" t="s">
        <v>12</v>
      </c>
      <c r="M129" s="10" t="s">
        <v>154</v>
      </c>
    </row>
    <row r="130" spans="1:13" x14ac:dyDescent="0.25">
      <c r="A130" s="13" t="str">
        <f t="shared" si="2"/>
        <v>50714226520</v>
      </c>
      <c r="B130" s="10">
        <v>1004058766</v>
      </c>
      <c r="C130" s="10">
        <v>507142265</v>
      </c>
      <c r="D130" s="10">
        <v>20</v>
      </c>
      <c r="E130" s="10" t="s">
        <v>10</v>
      </c>
      <c r="F130" s="10">
        <v>1172347</v>
      </c>
      <c r="G130" s="10" t="s">
        <v>237</v>
      </c>
      <c r="H130" s="11">
        <v>40524</v>
      </c>
      <c r="I130" s="10">
        <v>0</v>
      </c>
      <c r="J130" s="11">
        <f t="shared" si="3"/>
        <v>40524</v>
      </c>
      <c r="K130" s="12">
        <f>VLOOKUP(A130,[2]VA05!$A:$K,11,FALSE)</f>
        <v>45576</v>
      </c>
      <c r="L130" s="10" t="s">
        <v>13</v>
      </c>
      <c r="M130" s="10" t="s">
        <v>195</v>
      </c>
    </row>
    <row r="131" spans="1:13" x14ac:dyDescent="0.25">
      <c r="A131" s="13" t="str">
        <f t="shared" si="2"/>
        <v>50714276910</v>
      </c>
      <c r="B131" s="10">
        <v>1004052616</v>
      </c>
      <c r="C131" s="10">
        <v>507142769</v>
      </c>
      <c r="D131" s="10">
        <v>10</v>
      </c>
      <c r="E131" s="10" t="s">
        <v>10</v>
      </c>
      <c r="F131" s="10">
        <v>1167579</v>
      </c>
      <c r="G131" s="10" t="s">
        <v>19</v>
      </c>
      <c r="H131" s="11">
        <v>30683</v>
      </c>
      <c r="I131" s="11">
        <v>11394</v>
      </c>
      <c r="J131" s="11">
        <f t="shared" si="3"/>
        <v>19289</v>
      </c>
      <c r="K131" s="12">
        <f>VLOOKUP(A131,[2]VA05!$A:$K,11,FALSE)</f>
        <v>45575</v>
      </c>
      <c r="L131" s="10" t="s">
        <v>18</v>
      </c>
      <c r="M131" s="10" t="s">
        <v>155</v>
      </c>
    </row>
    <row r="132" spans="1:13" x14ac:dyDescent="0.25">
      <c r="A132" s="13" t="str">
        <f t="shared" ref="A132:A195" si="4">C132&amp;D132</f>
        <v>50714276920</v>
      </c>
      <c r="B132" s="10">
        <v>1004054833</v>
      </c>
      <c r="C132" s="10">
        <v>507142769</v>
      </c>
      <c r="D132" s="10">
        <v>20</v>
      </c>
      <c r="E132" s="10" t="s">
        <v>10</v>
      </c>
      <c r="F132" s="10">
        <v>1173995</v>
      </c>
      <c r="G132" s="10" t="s">
        <v>20</v>
      </c>
      <c r="H132" s="11">
        <v>34793</v>
      </c>
      <c r="I132" s="11">
        <v>4400</v>
      </c>
      <c r="J132" s="11">
        <f t="shared" ref="J132:J195" si="5">H132-I132</f>
        <v>30393</v>
      </c>
      <c r="K132" s="12">
        <f>VLOOKUP(A132,[2]VA05!$A:$K,11,FALSE)</f>
        <v>45575</v>
      </c>
      <c r="L132" s="10" t="s">
        <v>18</v>
      </c>
      <c r="M132" s="10" t="s">
        <v>201</v>
      </c>
    </row>
    <row r="133" spans="1:13" x14ac:dyDescent="0.25">
      <c r="A133" s="13" t="str">
        <f t="shared" si="4"/>
        <v>50714262610</v>
      </c>
      <c r="B133" s="10">
        <v>1004050514</v>
      </c>
      <c r="C133" s="10">
        <v>507142626</v>
      </c>
      <c r="D133" s="10">
        <v>10</v>
      </c>
      <c r="E133" s="10" t="s">
        <v>10</v>
      </c>
      <c r="F133" s="10">
        <v>1212641</v>
      </c>
      <c r="G133" s="10" t="s">
        <v>99</v>
      </c>
      <c r="H133" s="11">
        <v>25858</v>
      </c>
      <c r="I133" s="10">
        <v>0</v>
      </c>
      <c r="J133" s="11">
        <f t="shared" si="5"/>
        <v>25858</v>
      </c>
      <c r="K133" s="12">
        <f>VLOOKUP(A133,[2]VA05!$A:$K,11,FALSE)</f>
        <v>45590</v>
      </c>
      <c r="L133" s="10" t="s">
        <v>27</v>
      </c>
      <c r="M133" s="10" t="s">
        <v>162</v>
      </c>
    </row>
    <row r="134" spans="1:13" x14ac:dyDescent="0.25">
      <c r="A134" s="13" t="str">
        <f t="shared" si="4"/>
        <v>50714270910</v>
      </c>
      <c r="B134" s="10">
        <v>1004058762</v>
      </c>
      <c r="C134" s="10">
        <v>507142709</v>
      </c>
      <c r="D134" s="10">
        <v>10</v>
      </c>
      <c r="E134" s="10" t="s">
        <v>10</v>
      </c>
      <c r="F134" s="10">
        <v>1172346</v>
      </c>
      <c r="G134" s="10" t="s">
        <v>158</v>
      </c>
      <c r="H134" s="11">
        <v>34782</v>
      </c>
      <c r="I134" s="10">
        <v>932</v>
      </c>
      <c r="J134" s="11">
        <f t="shared" si="5"/>
        <v>33850</v>
      </c>
      <c r="K134" s="12">
        <f>VLOOKUP(A134,[2]VA05!$A:$K,11,FALSE)</f>
        <v>45583</v>
      </c>
      <c r="L134" s="10" t="s">
        <v>18</v>
      </c>
      <c r="M134" s="10" t="s">
        <v>162</v>
      </c>
    </row>
    <row r="135" spans="1:13" x14ac:dyDescent="0.25">
      <c r="A135" s="13" t="str">
        <f t="shared" si="4"/>
        <v>50714271010</v>
      </c>
      <c r="B135" s="10">
        <v>1004058763</v>
      </c>
      <c r="C135" s="10">
        <v>507142710</v>
      </c>
      <c r="D135" s="10">
        <v>10</v>
      </c>
      <c r="E135" s="10" t="s">
        <v>10</v>
      </c>
      <c r="F135" s="10">
        <v>1172346</v>
      </c>
      <c r="G135" s="10" t="s">
        <v>158</v>
      </c>
      <c r="H135" s="11">
        <v>34782</v>
      </c>
      <c r="I135" s="10">
        <v>0</v>
      </c>
      <c r="J135" s="11">
        <f t="shared" si="5"/>
        <v>34782</v>
      </c>
      <c r="K135" s="12">
        <f>VLOOKUP(A135,[2]VA05!$A:$K,11,FALSE)</f>
        <v>45596</v>
      </c>
      <c r="L135" s="10" t="s">
        <v>12</v>
      </c>
      <c r="M135" s="10" t="s">
        <v>176</v>
      </c>
    </row>
    <row r="136" spans="1:13" x14ac:dyDescent="0.25">
      <c r="A136" s="13" t="str">
        <f t="shared" si="4"/>
        <v>50714239710</v>
      </c>
      <c r="B136" s="10">
        <v>1004054834</v>
      </c>
      <c r="C136" s="10">
        <v>507142397</v>
      </c>
      <c r="D136" s="10">
        <v>10</v>
      </c>
      <c r="E136" s="10" t="s">
        <v>10</v>
      </c>
      <c r="F136" s="10">
        <v>1195537</v>
      </c>
      <c r="G136" s="10" t="s">
        <v>220</v>
      </c>
      <c r="H136" s="11">
        <v>62346</v>
      </c>
      <c r="I136" s="10">
        <v>0</v>
      </c>
      <c r="J136" s="11">
        <f t="shared" si="5"/>
        <v>62346</v>
      </c>
      <c r="K136" s="12">
        <f>VLOOKUP(A136,[2]VA05!$A:$K,11,FALSE)</f>
        <v>45579</v>
      </c>
      <c r="L136" s="10" t="s">
        <v>12</v>
      </c>
      <c r="M136" s="10" t="s">
        <v>61</v>
      </c>
    </row>
    <row r="137" spans="1:13" x14ac:dyDescent="0.25">
      <c r="A137" s="13" t="str">
        <f t="shared" si="4"/>
        <v>50714247910</v>
      </c>
      <c r="B137" s="10">
        <v>1004054835</v>
      </c>
      <c r="C137" s="10">
        <v>507142479</v>
      </c>
      <c r="D137" s="10">
        <v>10</v>
      </c>
      <c r="E137" s="10" t="s">
        <v>10</v>
      </c>
      <c r="F137" s="10">
        <v>1195537</v>
      </c>
      <c r="G137" s="10" t="s">
        <v>220</v>
      </c>
      <c r="H137" s="11">
        <v>52994</v>
      </c>
      <c r="I137" s="10">
        <v>0</v>
      </c>
      <c r="J137" s="11">
        <f t="shared" si="5"/>
        <v>52994</v>
      </c>
      <c r="K137" s="12">
        <f>VLOOKUP(A137,[2]VA05!$A:$K,11,FALSE)</f>
        <v>45587</v>
      </c>
      <c r="L137" s="10" t="s">
        <v>12</v>
      </c>
      <c r="M137" s="10" t="s">
        <v>155</v>
      </c>
    </row>
    <row r="138" spans="1:13" x14ac:dyDescent="0.25">
      <c r="A138" s="13" t="str">
        <f t="shared" si="4"/>
        <v>50714248010</v>
      </c>
      <c r="B138" s="10">
        <v>1004052386</v>
      </c>
      <c r="C138" s="10">
        <v>507142480</v>
      </c>
      <c r="D138" s="10">
        <v>10</v>
      </c>
      <c r="E138" s="10" t="s">
        <v>10</v>
      </c>
      <c r="F138" s="10">
        <v>1191883</v>
      </c>
      <c r="G138" s="10" t="s">
        <v>125</v>
      </c>
      <c r="H138" s="11">
        <v>57584</v>
      </c>
      <c r="I138" s="11">
        <v>42089</v>
      </c>
      <c r="J138" s="11">
        <f t="shared" si="5"/>
        <v>15495</v>
      </c>
      <c r="K138" s="12">
        <f>VLOOKUP(A138,[2]VA05!$A:$K,11,FALSE)</f>
        <v>45587</v>
      </c>
      <c r="L138" s="10" t="s">
        <v>18</v>
      </c>
      <c r="M138" s="10" t="s">
        <v>195</v>
      </c>
    </row>
    <row r="139" spans="1:13" x14ac:dyDescent="0.25">
      <c r="A139" s="13" t="str">
        <f t="shared" si="4"/>
        <v>50714239810</v>
      </c>
      <c r="B139" s="10">
        <v>1004042839</v>
      </c>
      <c r="C139" s="10">
        <v>507142398</v>
      </c>
      <c r="D139" s="10">
        <v>10</v>
      </c>
      <c r="E139" s="10" t="s">
        <v>10</v>
      </c>
      <c r="F139" s="10">
        <v>1191882</v>
      </c>
      <c r="G139" s="10" t="s">
        <v>137</v>
      </c>
      <c r="H139" s="11">
        <v>62639</v>
      </c>
      <c r="I139" s="11">
        <v>46150</v>
      </c>
      <c r="J139" s="11">
        <f t="shared" si="5"/>
        <v>16489</v>
      </c>
      <c r="K139" s="12">
        <f>VLOOKUP(A139,[2]VA05!$A:$K,11,FALSE)</f>
        <v>45579</v>
      </c>
      <c r="L139" s="10" t="s">
        <v>11</v>
      </c>
      <c r="M139" s="10" t="s">
        <v>195</v>
      </c>
    </row>
    <row r="140" spans="1:13" x14ac:dyDescent="0.25">
      <c r="A140" s="13" t="str">
        <f t="shared" si="4"/>
        <v>50714248010</v>
      </c>
      <c r="B140" s="10">
        <v>1004042840</v>
      </c>
      <c r="C140" s="10">
        <v>507142480</v>
      </c>
      <c r="D140" s="10">
        <v>10</v>
      </c>
      <c r="E140" s="10" t="s">
        <v>10</v>
      </c>
      <c r="F140" s="10">
        <v>1191882</v>
      </c>
      <c r="G140" s="10" t="s">
        <v>137</v>
      </c>
      <c r="H140" s="11">
        <v>51677</v>
      </c>
      <c r="I140" s="10">
        <v>0</v>
      </c>
      <c r="J140" s="11">
        <f t="shared" si="5"/>
        <v>51677</v>
      </c>
      <c r="K140" s="12">
        <f>VLOOKUP(A140,[2]VA05!$A:$K,11,FALSE)</f>
        <v>45587</v>
      </c>
      <c r="L140" s="10" t="s">
        <v>13</v>
      </c>
      <c r="M140" s="10" t="s">
        <v>178</v>
      </c>
    </row>
    <row r="141" spans="1:13" x14ac:dyDescent="0.25">
      <c r="A141" s="13" t="str">
        <f t="shared" si="4"/>
        <v>50714248010</v>
      </c>
      <c r="B141" s="10">
        <v>1004056890</v>
      </c>
      <c r="C141" s="10">
        <v>507142480</v>
      </c>
      <c r="D141" s="10">
        <v>10</v>
      </c>
      <c r="E141" s="10" t="s">
        <v>10</v>
      </c>
      <c r="F141" s="10">
        <v>1191889</v>
      </c>
      <c r="G141" s="10" t="s">
        <v>126</v>
      </c>
      <c r="H141" s="11">
        <v>55990</v>
      </c>
      <c r="I141" s="11">
        <v>38993</v>
      </c>
      <c r="J141" s="11">
        <f t="shared" si="5"/>
        <v>16997</v>
      </c>
      <c r="K141" s="12">
        <f>VLOOKUP(A141,[2]VA05!$A:$K,11,FALSE)</f>
        <v>45587</v>
      </c>
      <c r="L141" s="10" t="s">
        <v>11</v>
      </c>
      <c r="M141" s="10" t="s">
        <v>201</v>
      </c>
    </row>
    <row r="142" spans="1:13" hidden="1" x14ac:dyDescent="0.25">
      <c r="A142" s="13" t="str">
        <f t="shared" si="4"/>
        <v>50714278320</v>
      </c>
      <c r="B142" s="10">
        <v>1004056039</v>
      </c>
      <c r="C142" s="10">
        <v>507142783</v>
      </c>
      <c r="D142" s="10">
        <v>20</v>
      </c>
      <c r="E142" s="10" t="s">
        <v>10</v>
      </c>
      <c r="F142" s="10">
        <v>1161035</v>
      </c>
      <c r="G142" s="10" t="s">
        <v>222</v>
      </c>
      <c r="H142" s="11">
        <v>25747</v>
      </c>
      <c r="I142" s="10">
        <v>0</v>
      </c>
      <c r="J142" s="11">
        <f t="shared" si="5"/>
        <v>25747</v>
      </c>
      <c r="K142" s="12">
        <f>VLOOKUP(A142,[2]VA05!$A:$K,11,FALSE)</f>
        <v>45582</v>
      </c>
      <c r="L142" s="10" t="s">
        <v>13</v>
      </c>
      <c r="M142" s="10" t="s">
        <v>202</v>
      </c>
    </row>
    <row r="143" spans="1:13" hidden="1" x14ac:dyDescent="0.25">
      <c r="A143" s="13" t="str">
        <f t="shared" si="4"/>
        <v>50714271610</v>
      </c>
      <c r="B143" s="10">
        <v>1004056047</v>
      </c>
      <c r="C143" s="10">
        <v>507142716</v>
      </c>
      <c r="D143" s="10">
        <v>10</v>
      </c>
      <c r="E143" s="10" t="s">
        <v>10</v>
      </c>
      <c r="F143" s="10">
        <v>1159340</v>
      </c>
      <c r="G143" s="10" t="s">
        <v>223</v>
      </c>
      <c r="H143" s="11">
        <v>18391</v>
      </c>
      <c r="I143" s="10">
        <v>0</v>
      </c>
      <c r="J143" s="11">
        <f t="shared" si="5"/>
        <v>18391</v>
      </c>
      <c r="K143" s="12">
        <f>VLOOKUP(A143,[2]VA05!$A:$K,11,FALSE)</f>
        <v>45569</v>
      </c>
      <c r="L143" s="10" t="s">
        <v>13</v>
      </c>
      <c r="M143" s="10" t="s">
        <v>180</v>
      </c>
    </row>
    <row r="144" spans="1:13" hidden="1" x14ac:dyDescent="0.25">
      <c r="A144" s="13" t="str">
        <f t="shared" si="4"/>
        <v>50714279710</v>
      </c>
      <c r="B144" s="10">
        <v>1004058006</v>
      </c>
      <c r="C144" s="10">
        <v>507142797</v>
      </c>
      <c r="D144" s="10">
        <v>10</v>
      </c>
      <c r="E144" s="10" t="s">
        <v>10</v>
      </c>
      <c r="F144" s="10">
        <v>1161417</v>
      </c>
      <c r="G144" s="10" t="s">
        <v>228</v>
      </c>
      <c r="H144" s="11">
        <v>25543</v>
      </c>
      <c r="I144" s="10">
        <v>0</v>
      </c>
      <c r="J144" s="11">
        <f t="shared" si="5"/>
        <v>25543</v>
      </c>
      <c r="K144" s="12">
        <f>VLOOKUP(A144,[2]VA05!$A:$K,11,FALSE)</f>
        <v>45588</v>
      </c>
      <c r="L144" s="10" t="s">
        <v>12</v>
      </c>
      <c r="M144" s="10" t="s">
        <v>177</v>
      </c>
    </row>
    <row r="145" spans="1:13" hidden="1" x14ac:dyDescent="0.25">
      <c r="A145" s="13" t="str">
        <f t="shared" si="4"/>
        <v>50714278110</v>
      </c>
      <c r="B145" s="10">
        <v>1004058007</v>
      </c>
      <c r="C145" s="10">
        <v>507142781</v>
      </c>
      <c r="D145" s="10">
        <v>10</v>
      </c>
      <c r="E145" s="10" t="s">
        <v>10</v>
      </c>
      <c r="F145" s="10">
        <v>1161417</v>
      </c>
      <c r="G145" s="10" t="s">
        <v>228</v>
      </c>
      <c r="H145" s="11">
        <v>5109</v>
      </c>
      <c r="I145" s="10">
        <v>0</v>
      </c>
      <c r="J145" s="11">
        <f t="shared" si="5"/>
        <v>5109</v>
      </c>
      <c r="K145" s="12">
        <f>VLOOKUP(A145,[2]VA05!$A:$K,11,FALSE)</f>
        <v>45595</v>
      </c>
      <c r="L145" s="10" t="s">
        <v>12</v>
      </c>
      <c r="M145" s="10" t="s">
        <v>196</v>
      </c>
    </row>
    <row r="146" spans="1:13" hidden="1" x14ac:dyDescent="0.25">
      <c r="A146" s="13" t="str">
        <f t="shared" si="4"/>
        <v>50714271120</v>
      </c>
      <c r="B146" s="10">
        <v>1004058008</v>
      </c>
      <c r="C146" s="10">
        <v>507142711</v>
      </c>
      <c r="D146" s="10">
        <v>20</v>
      </c>
      <c r="E146" s="10" t="s">
        <v>10</v>
      </c>
      <c r="F146" s="10">
        <v>1161417</v>
      </c>
      <c r="G146" s="10" t="s">
        <v>228</v>
      </c>
      <c r="H146" s="11">
        <v>6845</v>
      </c>
      <c r="I146" s="10">
        <v>0</v>
      </c>
      <c r="J146" s="11">
        <f t="shared" si="5"/>
        <v>6845</v>
      </c>
      <c r="K146" s="12">
        <f>VLOOKUP(A146,[2]VA05!$A:$K,11,FALSE)</f>
        <v>45565</v>
      </c>
      <c r="L146" s="10" t="s">
        <v>12</v>
      </c>
      <c r="M146" s="10" t="s">
        <v>155</v>
      </c>
    </row>
    <row r="147" spans="1:13" x14ac:dyDescent="0.25">
      <c r="A147" s="13" t="str">
        <f t="shared" si="4"/>
        <v>50714259410</v>
      </c>
      <c r="B147" s="10">
        <v>1004042029</v>
      </c>
      <c r="C147" s="10">
        <v>507142594</v>
      </c>
      <c r="D147" s="10">
        <v>10</v>
      </c>
      <c r="E147" s="10" t="s">
        <v>10</v>
      </c>
      <c r="F147" s="10">
        <v>1307502</v>
      </c>
      <c r="G147" s="10" t="s">
        <v>127</v>
      </c>
      <c r="H147" s="11">
        <v>5220</v>
      </c>
      <c r="I147" s="10">
        <v>0</v>
      </c>
      <c r="J147" s="11">
        <f t="shared" si="5"/>
        <v>5220</v>
      </c>
      <c r="K147" s="12">
        <f>VLOOKUP(A147,[2]VA05!$A:$K,11,FALSE)</f>
        <v>45552</v>
      </c>
      <c r="L147" s="10" t="s">
        <v>13</v>
      </c>
      <c r="M147" s="10" t="s">
        <v>95</v>
      </c>
    </row>
    <row r="148" spans="1:13" x14ac:dyDescent="0.25">
      <c r="A148" s="13" t="str">
        <f t="shared" si="4"/>
        <v>50714259420</v>
      </c>
      <c r="B148" s="10">
        <v>1004042030</v>
      </c>
      <c r="C148" s="10">
        <v>507142594</v>
      </c>
      <c r="D148" s="10">
        <v>20</v>
      </c>
      <c r="E148" s="10" t="s">
        <v>10</v>
      </c>
      <c r="F148" s="10">
        <v>1307502</v>
      </c>
      <c r="G148" s="10" t="s">
        <v>127</v>
      </c>
      <c r="H148" s="11">
        <v>5220</v>
      </c>
      <c r="I148" s="10">
        <v>0</v>
      </c>
      <c r="J148" s="11">
        <f t="shared" si="5"/>
        <v>5220</v>
      </c>
      <c r="K148" s="12">
        <f>VLOOKUP(A148,[2]VA05!$A:$K,11,FALSE)</f>
        <v>45552</v>
      </c>
      <c r="L148" s="10" t="s">
        <v>13</v>
      </c>
      <c r="M148" s="10" t="s">
        <v>95</v>
      </c>
    </row>
    <row r="149" spans="1:13" hidden="1" x14ac:dyDescent="0.25">
      <c r="A149" s="13" t="str">
        <f t="shared" si="4"/>
        <v>50714259410</v>
      </c>
      <c r="B149" s="10">
        <v>1004060365</v>
      </c>
      <c r="C149" s="10">
        <v>507142594</v>
      </c>
      <c r="D149" s="10">
        <v>10</v>
      </c>
      <c r="E149" s="10" t="s">
        <v>24</v>
      </c>
      <c r="F149" s="10">
        <v>1307502</v>
      </c>
      <c r="G149" s="10" t="s">
        <v>127</v>
      </c>
      <c r="H149" s="11">
        <v>5000</v>
      </c>
      <c r="I149" s="10">
        <v>0</v>
      </c>
      <c r="J149" s="11">
        <f t="shared" si="5"/>
        <v>5000</v>
      </c>
      <c r="K149" s="12">
        <f>VLOOKUP(A149,[2]VA05!$A:$K,11,FALSE)</f>
        <v>45552</v>
      </c>
      <c r="L149" s="10" t="s">
        <v>13</v>
      </c>
      <c r="M149" s="10" t="s">
        <v>156</v>
      </c>
    </row>
    <row r="150" spans="1:13" x14ac:dyDescent="0.25">
      <c r="A150" s="13" t="str">
        <f t="shared" si="4"/>
        <v>50714259410</v>
      </c>
      <c r="B150" s="10">
        <v>1004050305</v>
      </c>
      <c r="C150" s="10">
        <v>507142594</v>
      </c>
      <c r="D150" s="10">
        <v>10</v>
      </c>
      <c r="E150" s="10" t="s">
        <v>10</v>
      </c>
      <c r="F150" s="10">
        <v>1307503</v>
      </c>
      <c r="G150" s="10" t="s">
        <v>159</v>
      </c>
      <c r="H150" s="11">
        <v>5109</v>
      </c>
      <c r="I150" s="10">
        <v>0</v>
      </c>
      <c r="J150" s="11">
        <f t="shared" si="5"/>
        <v>5109</v>
      </c>
      <c r="K150" s="12">
        <f>VLOOKUP(A150,[2]VA05!$A:$K,11,FALSE)</f>
        <v>45552</v>
      </c>
      <c r="L150" s="10" t="s">
        <v>25</v>
      </c>
      <c r="M150" s="10" t="s">
        <v>154</v>
      </c>
    </row>
    <row r="151" spans="1:13" x14ac:dyDescent="0.25">
      <c r="A151" s="13" t="str">
        <f t="shared" si="4"/>
        <v>50714259420</v>
      </c>
      <c r="B151" s="10">
        <v>1004050306</v>
      </c>
      <c r="C151" s="10">
        <v>507142594</v>
      </c>
      <c r="D151" s="10">
        <v>20</v>
      </c>
      <c r="E151" s="10" t="s">
        <v>10</v>
      </c>
      <c r="F151" s="10">
        <v>1307503</v>
      </c>
      <c r="G151" s="10" t="s">
        <v>159</v>
      </c>
      <c r="H151" s="11">
        <v>5109</v>
      </c>
      <c r="I151" s="10">
        <v>0</v>
      </c>
      <c r="J151" s="11">
        <f t="shared" si="5"/>
        <v>5109</v>
      </c>
      <c r="K151" s="12">
        <f>VLOOKUP(A151,[2]VA05!$A:$K,11,FALSE)</f>
        <v>45552</v>
      </c>
      <c r="L151" s="10" t="s">
        <v>25</v>
      </c>
      <c r="M151" s="10" t="s">
        <v>154</v>
      </c>
    </row>
    <row r="152" spans="1:13" x14ac:dyDescent="0.25">
      <c r="A152" s="13" t="str">
        <f t="shared" si="4"/>
        <v>50714259410</v>
      </c>
      <c r="B152" s="10">
        <v>1004050308</v>
      </c>
      <c r="C152" s="10">
        <v>507142594</v>
      </c>
      <c r="D152" s="10">
        <v>10</v>
      </c>
      <c r="E152" s="10" t="s">
        <v>10</v>
      </c>
      <c r="F152" s="10">
        <v>1307501</v>
      </c>
      <c r="G152" s="10" t="s">
        <v>160</v>
      </c>
      <c r="H152" s="11">
        <v>5220</v>
      </c>
      <c r="I152" s="11">
        <v>1920</v>
      </c>
      <c r="J152" s="11">
        <f t="shared" si="5"/>
        <v>3300</v>
      </c>
      <c r="K152" s="12">
        <f>VLOOKUP(A152,[2]VA05!$A:$K,11,FALSE)</f>
        <v>45552</v>
      </c>
      <c r="L152" s="10" t="s">
        <v>18</v>
      </c>
      <c r="M152" s="10" t="s">
        <v>194</v>
      </c>
    </row>
    <row r="153" spans="1:13" x14ac:dyDescent="0.25">
      <c r="A153" s="13" t="str">
        <f t="shared" si="4"/>
        <v>50714259420</v>
      </c>
      <c r="B153" s="10">
        <v>1004050509</v>
      </c>
      <c r="C153" s="10">
        <v>507142594</v>
      </c>
      <c r="D153" s="10">
        <v>20</v>
      </c>
      <c r="E153" s="10" t="s">
        <v>10</v>
      </c>
      <c r="F153" s="10">
        <v>1307501</v>
      </c>
      <c r="G153" s="10" t="s">
        <v>160</v>
      </c>
      <c r="H153" s="11">
        <v>5220</v>
      </c>
      <c r="I153" s="10">
        <v>0</v>
      </c>
      <c r="J153" s="11">
        <f t="shared" si="5"/>
        <v>5220</v>
      </c>
      <c r="K153" s="12">
        <f>VLOOKUP(A153,[2]VA05!$A:$K,11,FALSE)</f>
        <v>45552</v>
      </c>
      <c r="L153" s="10" t="s">
        <v>56</v>
      </c>
      <c r="M153" s="10" t="s">
        <v>194</v>
      </c>
    </row>
    <row r="154" spans="1:13" x14ac:dyDescent="0.25">
      <c r="A154" s="13" t="str">
        <f t="shared" si="4"/>
        <v>50714255810</v>
      </c>
      <c r="B154" s="10">
        <v>1004042232</v>
      </c>
      <c r="C154" s="10">
        <v>507142558</v>
      </c>
      <c r="D154" s="10">
        <v>10</v>
      </c>
      <c r="E154" s="10" t="s">
        <v>10</v>
      </c>
      <c r="F154" s="10">
        <v>1209582</v>
      </c>
      <c r="G154" s="10" t="s">
        <v>128</v>
      </c>
      <c r="H154" s="11">
        <v>61302</v>
      </c>
      <c r="I154" s="11">
        <v>14400</v>
      </c>
      <c r="J154" s="11">
        <f t="shared" si="5"/>
        <v>46902</v>
      </c>
      <c r="K154" s="12">
        <f>VLOOKUP(A154,[2]VA05!$A:$K,11,FALSE)</f>
        <v>45562</v>
      </c>
      <c r="L154" s="10" t="s">
        <v>18</v>
      </c>
      <c r="M154" s="10" t="s">
        <v>156</v>
      </c>
    </row>
    <row r="155" spans="1:13" x14ac:dyDescent="0.25">
      <c r="A155" s="13" t="str">
        <f t="shared" si="4"/>
        <v>50714255810</v>
      </c>
      <c r="B155" s="10">
        <v>1004060350</v>
      </c>
      <c r="C155" s="10">
        <v>507142558</v>
      </c>
      <c r="D155" s="10">
        <v>10</v>
      </c>
      <c r="E155" s="10" t="s">
        <v>10</v>
      </c>
      <c r="F155" s="10">
        <v>1209582</v>
      </c>
      <c r="G155" s="10" t="s">
        <v>128</v>
      </c>
      <c r="H155" s="11">
        <v>30000</v>
      </c>
      <c r="I155" s="10">
        <v>0</v>
      </c>
      <c r="J155" s="11">
        <f t="shared" si="5"/>
        <v>30000</v>
      </c>
      <c r="K155" s="12">
        <f>VLOOKUP(A155,[2]VA05!$A:$K,11,FALSE)</f>
        <v>45562</v>
      </c>
      <c r="L155" s="10" t="s">
        <v>12</v>
      </c>
      <c r="M155" s="10" t="s">
        <v>194</v>
      </c>
    </row>
    <row r="156" spans="1:13" hidden="1" x14ac:dyDescent="0.25">
      <c r="A156" s="13" t="str">
        <f t="shared" si="4"/>
        <v>50714255810</v>
      </c>
      <c r="B156" s="10">
        <v>1004060363</v>
      </c>
      <c r="C156" s="10">
        <v>507142558</v>
      </c>
      <c r="D156" s="10">
        <v>10</v>
      </c>
      <c r="E156" s="10" t="s">
        <v>24</v>
      </c>
      <c r="F156" s="10">
        <v>1209582</v>
      </c>
      <c r="G156" s="10" t="s">
        <v>128</v>
      </c>
      <c r="H156" s="11">
        <v>10000</v>
      </c>
      <c r="I156" s="10">
        <v>0</v>
      </c>
      <c r="J156" s="11">
        <f t="shared" si="5"/>
        <v>10000</v>
      </c>
      <c r="K156" s="12">
        <f>VLOOKUP(A156,[2]VA05!$A:$K,11,FALSE)</f>
        <v>45562</v>
      </c>
      <c r="L156" s="10" t="s">
        <v>12</v>
      </c>
      <c r="M156" s="10" t="s">
        <v>156</v>
      </c>
    </row>
    <row r="157" spans="1:13" x14ac:dyDescent="0.25">
      <c r="A157" s="13" t="str">
        <f t="shared" si="4"/>
        <v>50714255810</v>
      </c>
      <c r="B157" s="10">
        <v>1004035205</v>
      </c>
      <c r="C157" s="10">
        <v>507142558</v>
      </c>
      <c r="D157" s="10">
        <v>10</v>
      </c>
      <c r="E157" s="10" t="s">
        <v>10</v>
      </c>
      <c r="F157" s="10">
        <v>1209580</v>
      </c>
      <c r="G157" s="10" t="s">
        <v>100</v>
      </c>
      <c r="H157" s="11">
        <v>61302</v>
      </c>
      <c r="I157" s="11">
        <v>13000</v>
      </c>
      <c r="J157" s="11">
        <f t="shared" si="5"/>
        <v>48302</v>
      </c>
      <c r="K157" s="12">
        <f>VLOOKUP(A157,[2]VA05!$A:$K,11,FALSE)</f>
        <v>45562</v>
      </c>
      <c r="L157" s="10" t="s">
        <v>18</v>
      </c>
      <c r="M157" s="10" t="s">
        <v>194</v>
      </c>
    </row>
    <row r="158" spans="1:13" x14ac:dyDescent="0.25">
      <c r="A158" s="13" t="str">
        <f t="shared" si="4"/>
        <v>50714255810</v>
      </c>
      <c r="B158" s="10">
        <v>1004060357</v>
      </c>
      <c r="C158" s="10">
        <v>507142558</v>
      </c>
      <c r="D158" s="10">
        <v>10</v>
      </c>
      <c r="E158" s="10" t="s">
        <v>10</v>
      </c>
      <c r="F158" s="10">
        <v>1209580</v>
      </c>
      <c r="G158" s="10" t="s">
        <v>100</v>
      </c>
      <c r="H158" s="11">
        <v>50000</v>
      </c>
      <c r="I158" s="10">
        <v>0</v>
      </c>
      <c r="J158" s="11">
        <f t="shared" si="5"/>
        <v>50000</v>
      </c>
      <c r="K158" s="12">
        <f>VLOOKUP(A158,[2]VA05!$A:$K,11,FALSE)</f>
        <v>45562</v>
      </c>
      <c r="L158" s="10" t="s">
        <v>12</v>
      </c>
      <c r="M158" s="10" t="s">
        <v>194</v>
      </c>
    </row>
    <row r="159" spans="1:13" x14ac:dyDescent="0.25">
      <c r="A159" s="13" t="str">
        <f t="shared" si="4"/>
        <v>50714266510</v>
      </c>
      <c r="B159" s="10">
        <v>1004060360</v>
      </c>
      <c r="C159" s="10">
        <v>507142665</v>
      </c>
      <c r="D159" s="10">
        <v>10</v>
      </c>
      <c r="E159" s="10" t="s">
        <v>10</v>
      </c>
      <c r="F159" s="10">
        <v>1209580</v>
      </c>
      <c r="G159" s="10" t="s">
        <v>100</v>
      </c>
      <c r="H159" s="11">
        <v>30651</v>
      </c>
      <c r="I159" s="10">
        <v>0</v>
      </c>
      <c r="J159" s="11">
        <f t="shared" si="5"/>
        <v>30651</v>
      </c>
      <c r="K159" s="12">
        <f>VLOOKUP(A159,[2]VA05!$A:$K,11,FALSE)</f>
        <v>45603</v>
      </c>
      <c r="L159" s="10" t="s">
        <v>12</v>
      </c>
      <c r="M159" s="10" t="s">
        <v>253</v>
      </c>
    </row>
    <row r="160" spans="1:13" x14ac:dyDescent="0.25">
      <c r="A160" s="13" t="str">
        <f t="shared" si="4"/>
        <v>50714255810</v>
      </c>
      <c r="B160" s="10">
        <v>1004042231</v>
      </c>
      <c r="C160" s="10">
        <v>507142558</v>
      </c>
      <c r="D160" s="10">
        <v>10</v>
      </c>
      <c r="E160" s="10" t="s">
        <v>10</v>
      </c>
      <c r="F160" s="10">
        <v>1209581</v>
      </c>
      <c r="G160" s="10" t="s">
        <v>129</v>
      </c>
      <c r="H160" s="11">
        <v>61302</v>
      </c>
      <c r="I160" s="11">
        <v>58540</v>
      </c>
      <c r="J160" s="11">
        <f t="shared" si="5"/>
        <v>2762</v>
      </c>
      <c r="K160" s="12">
        <f>VLOOKUP(A160,[2]VA05!$A:$K,11,FALSE)</f>
        <v>45562</v>
      </c>
      <c r="L160" s="10" t="s">
        <v>18</v>
      </c>
      <c r="M160" s="10" t="s">
        <v>195</v>
      </c>
    </row>
    <row r="161" spans="1:13" x14ac:dyDescent="0.25">
      <c r="A161" s="13" t="str">
        <f t="shared" si="4"/>
        <v>50714244520</v>
      </c>
      <c r="B161" s="10">
        <v>1004053208</v>
      </c>
      <c r="C161" s="10">
        <v>507142445</v>
      </c>
      <c r="D161" s="10">
        <v>20</v>
      </c>
      <c r="E161" s="10" t="s">
        <v>10</v>
      </c>
      <c r="F161" s="10">
        <v>1210955</v>
      </c>
      <c r="G161" s="10" t="s">
        <v>215</v>
      </c>
      <c r="H161" s="11">
        <v>53210</v>
      </c>
      <c r="I161" s="10">
        <v>0</v>
      </c>
      <c r="J161" s="11">
        <f t="shared" si="5"/>
        <v>53210</v>
      </c>
      <c r="K161" s="12">
        <f>VLOOKUP(A161,[2]VA05!$A:$K,11,FALSE)</f>
        <v>45595</v>
      </c>
      <c r="L161" s="10" t="s">
        <v>239</v>
      </c>
      <c r="M161" s="10" t="s">
        <v>216</v>
      </c>
    </row>
    <row r="162" spans="1:13" x14ac:dyDescent="0.25">
      <c r="A162" s="13" t="str">
        <f t="shared" si="4"/>
        <v>50714244520</v>
      </c>
      <c r="B162" s="10">
        <v>1004052416</v>
      </c>
      <c r="C162" s="10">
        <v>507142445</v>
      </c>
      <c r="D162" s="10">
        <v>20</v>
      </c>
      <c r="E162" s="10" t="s">
        <v>10</v>
      </c>
      <c r="F162" s="10">
        <v>1259266</v>
      </c>
      <c r="G162" s="10" t="s">
        <v>64</v>
      </c>
      <c r="H162" s="11">
        <v>51912</v>
      </c>
      <c r="I162" s="10">
        <v>0</v>
      </c>
      <c r="J162" s="11">
        <f t="shared" si="5"/>
        <v>51912</v>
      </c>
      <c r="K162" s="12">
        <f>VLOOKUP(A162,[2]VA05!$A:$K,11,FALSE)</f>
        <v>45595</v>
      </c>
      <c r="L162" s="10" t="s">
        <v>239</v>
      </c>
      <c r="M162" s="10" t="s">
        <v>199</v>
      </c>
    </row>
    <row r="163" spans="1:13" x14ac:dyDescent="0.25">
      <c r="A163" s="13" t="str">
        <f t="shared" si="4"/>
        <v>50714244520</v>
      </c>
      <c r="B163" s="10">
        <v>1004052417</v>
      </c>
      <c r="C163" s="10">
        <v>507142445</v>
      </c>
      <c r="D163" s="10">
        <v>20</v>
      </c>
      <c r="E163" s="10" t="s">
        <v>10</v>
      </c>
      <c r="F163" s="10">
        <v>1259265</v>
      </c>
      <c r="G163" s="10" t="s">
        <v>187</v>
      </c>
      <c r="H163" s="11">
        <v>53210</v>
      </c>
      <c r="I163" s="10">
        <v>0</v>
      </c>
      <c r="J163" s="11">
        <f t="shared" si="5"/>
        <v>53210</v>
      </c>
      <c r="K163" s="12">
        <f>VLOOKUP(A163,[2]VA05!$A:$K,11,FALSE)</f>
        <v>45595</v>
      </c>
      <c r="L163" s="10" t="s">
        <v>12</v>
      </c>
      <c r="M163" s="10" t="s">
        <v>202</v>
      </c>
    </row>
    <row r="164" spans="1:13" x14ac:dyDescent="0.25">
      <c r="A164" s="13" t="str">
        <f t="shared" si="4"/>
        <v>50714264710</v>
      </c>
      <c r="B164" s="10">
        <v>1004045115</v>
      </c>
      <c r="C164" s="10">
        <v>507142647</v>
      </c>
      <c r="D164" s="10">
        <v>10</v>
      </c>
      <c r="E164" s="10" t="s">
        <v>10</v>
      </c>
      <c r="F164" s="10">
        <v>1168128</v>
      </c>
      <c r="G164" s="10" t="s">
        <v>77</v>
      </c>
      <c r="H164" s="11">
        <v>54355</v>
      </c>
      <c r="I164" s="10">
        <v>0</v>
      </c>
      <c r="J164" s="11">
        <f t="shared" si="5"/>
        <v>54355</v>
      </c>
      <c r="K164" s="12">
        <f>VLOOKUP(A164,[2]VA05!$A:$K,11,FALSE)</f>
        <v>45565</v>
      </c>
      <c r="L164" s="10" t="s">
        <v>25</v>
      </c>
      <c r="M164" s="10" t="s">
        <v>154</v>
      </c>
    </row>
    <row r="165" spans="1:13" x14ac:dyDescent="0.25">
      <c r="A165" s="13" t="str">
        <f t="shared" si="4"/>
        <v>50714278810</v>
      </c>
      <c r="B165" s="10">
        <v>1004053488</v>
      </c>
      <c r="C165" s="10">
        <v>507142788</v>
      </c>
      <c r="D165" s="10">
        <v>10</v>
      </c>
      <c r="E165" s="10" t="s">
        <v>10</v>
      </c>
      <c r="F165" s="10">
        <v>1168128</v>
      </c>
      <c r="G165" s="10" t="s">
        <v>77</v>
      </c>
      <c r="H165" s="11">
        <v>56529</v>
      </c>
      <c r="I165" s="10">
        <v>0</v>
      </c>
      <c r="J165" s="11">
        <f t="shared" si="5"/>
        <v>56529</v>
      </c>
      <c r="K165" s="12">
        <f>VLOOKUP(A165,[2]VA05!$A:$K,11,FALSE)</f>
        <v>45582</v>
      </c>
      <c r="L165" s="10" t="s">
        <v>12</v>
      </c>
      <c r="M165" s="10" t="s">
        <v>162</v>
      </c>
    </row>
    <row r="166" spans="1:13" x14ac:dyDescent="0.25">
      <c r="A166" s="13" t="str">
        <f t="shared" si="4"/>
        <v>50714264710</v>
      </c>
      <c r="B166" s="10">
        <v>1004038443</v>
      </c>
      <c r="C166" s="10">
        <v>507142647</v>
      </c>
      <c r="D166" s="10">
        <v>10</v>
      </c>
      <c r="E166" s="10" t="s">
        <v>10</v>
      </c>
      <c r="F166" s="10">
        <v>1168125</v>
      </c>
      <c r="G166" s="10" t="s">
        <v>32</v>
      </c>
      <c r="H166" s="11">
        <v>54355</v>
      </c>
      <c r="I166" s="11">
        <v>48706</v>
      </c>
      <c r="J166" s="11">
        <f t="shared" si="5"/>
        <v>5649</v>
      </c>
      <c r="K166" s="12">
        <f>VLOOKUP(A166,[2]VA05!$A:$K,11,FALSE)</f>
        <v>45565</v>
      </c>
      <c r="L166" s="10" t="s">
        <v>18</v>
      </c>
      <c r="M166" s="10" t="s">
        <v>180</v>
      </c>
    </row>
    <row r="167" spans="1:13" x14ac:dyDescent="0.25">
      <c r="A167" s="13" t="str">
        <f t="shared" si="4"/>
        <v>50714264910</v>
      </c>
      <c r="B167" s="10">
        <v>1004038445</v>
      </c>
      <c r="C167" s="10">
        <v>507142649</v>
      </c>
      <c r="D167" s="10">
        <v>10</v>
      </c>
      <c r="E167" s="10" t="s">
        <v>10</v>
      </c>
      <c r="F167" s="10">
        <v>1168125</v>
      </c>
      <c r="G167" s="10" t="s">
        <v>32</v>
      </c>
      <c r="H167" s="11">
        <v>51094</v>
      </c>
      <c r="I167" s="10">
        <v>0</v>
      </c>
      <c r="J167" s="11">
        <f t="shared" si="5"/>
        <v>51094</v>
      </c>
      <c r="K167" s="12" t="e">
        <f>VLOOKUP(A167,[2]VA05!$A:$K,11,FALSE)</f>
        <v>#N/A</v>
      </c>
      <c r="L167" s="10" t="s">
        <v>25</v>
      </c>
      <c r="M167" s="10" t="s">
        <v>154</v>
      </c>
    </row>
    <row r="168" spans="1:13" x14ac:dyDescent="0.25">
      <c r="A168" s="13" t="str">
        <f t="shared" si="4"/>
        <v>50714268810</v>
      </c>
      <c r="B168" s="10">
        <v>1004051400</v>
      </c>
      <c r="C168" s="10">
        <v>507142688</v>
      </c>
      <c r="D168" s="10">
        <v>10</v>
      </c>
      <c r="E168" s="10" t="s">
        <v>10</v>
      </c>
      <c r="F168" s="10">
        <v>1430111</v>
      </c>
      <c r="G168" s="10" t="s">
        <v>101</v>
      </c>
      <c r="H168" s="11">
        <v>122842</v>
      </c>
      <c r="I168" s="11">
        <v>42900</v>
      </c>
      <c r="J168" s="11">
        <f t="shared" si="5"/>
        <v>79942</v>
      </c>
      <c r="K168" s="12">
        <f>VLOOKUP(A168,[2]VA05!$A:$K,11,FALSE)</f>
        <v>45567</v>
      </c>
      <c r="L168" s="10" t="s">
        <v>18</v>
      </c>
      <c r="M168" s="10" t="s">
        <v>107</v>
      </c>
    </row>
    <row r="169" spans="1:13" x14ac:dyDescent="0.25">
      <c r="A169" s="13" t="str">
        <f t="shared" si="4"/>
        <v>50714239390</v>
      </c>
      <c r="B169" s="10">
        <v>1004032826</v>
      </c>
      <c r="C169" s="10">
        <v>507142393</v>
      </c>
      <c r="D169" s="10">
        <v>90</v>
      </c>
      <c r="E169" s="10" t="s">
        <v>10</v>
      </c>
      <c r="F169" s="10">
        <v>1416752</v>
      </c>
      <c r="G169" s="10" t="s">
        <v>52</v>
      </c>
      <c r="H169" s="11">
        <v>47012</v>
      </c>
      <c r="I169" s="11">
        <v>38740</v>
      </c>
      <c r="J169" s="11">
        <f t="shared" si="5"/>
        <v>8272</v>
      </c>
      <c r="K169" s="12" t="e">
        <f>VLOOKUP(A169,[2]VA05!$A:$K,11,FALSE)</f>
        <v>#N/A</v>
      </c>
      <c r="L169" s="10" t="s">
        <v>11</v>
      </c>
      <c r="M169" s="10" t="s">
        <v>73</v>
      </c>
    </row>
    <row r="170" spans="1:13" x14ac:dyDescent="0.25">
      <c r="A170" s="13" t="str">
        <f t="shared" si="4"/>
        <v>507142416150</v>
      </c>
      <c r="B170" s="10">
        <v>1004052419</v>
      </c>
      <c r="C170" s="10">
        <v>507142416</v>
      </c>
      <c r="D170" s="10">
        <v>150</v>
      </c>
      <c r="E170" s="10" t="s">
        <v>10</v>
      </c>
      <c r="F170" s="10">
        <v>1269350</v>
      </c>
      <c r="G170" s="10" t="s">
        <v>188</v>
      </c>
      <c r="H170" s="11">
        <v>10439</v>
      </c>
      <c r="I170" s="10">
        <v>0</v>
      </c>
      <c r="J170" s="11">
        <f t="shared" si="5"/>
        <v>10439</v>
      </c>
      <c r="K170" s="12">
        <f>VLOOKUP(A170,[2]VA05!$A:$K,11,FALSE)</f>
        <v>45576</v>
      </c>
      <c r="L170" s="10" t="s">
        <v>12</v>
      </c>
      <c r="M170" s="10" t="s">
        <v>156</v>
      </c>
    </row>
    <row r="171" spans="1:13" x14ac:dyDescent="0.25">
      <c r="A171" s="13" t="str">
        <f t="shared" si="4"/>
        <v>50714268820</v>
      </c>
      <c r="B171" s="10">
        <v>1004052420</v>
      </c>
      <c r="C171" s="10">
        <v>507142688</v>
      </c>
      <c r="D171" s="10">
        <v>20</v>
      </c>
      <c r="E171" s="10" t="s">
        <v>10</v>
      </c>
      <c r="F171" s="10">
        <v>1430096</v>
      </c>
      <c r="G171" s="10" t="s">
        <v>93</v>
      </c>
      <c r="H171" s="11">
        <v>134120</v>
      </c>
      <c r="I171" s="11">
        <v>52600</v>
      </c>
      <c r="J171" s="11">
        <f t="shared" si="5"/>
        <v>81520</v>
      </c>
      <c r="K171" s="12">
        <f>VLOOKUP(A171,[2]VA05!$A:$K,11,FALSE)</f>
        <v>45567</v>
      </c>
      <c r="L171" s="10" t="s">
        <v>18</v>
      </c>
      <c r="M171" s="10" t="s">
        <v>195</v>
      </c>
    </row>
    <row r="172" spans="1:13" x14ac:dyDescent="0.25">
      <c r="A172" s="13" t="str">
        <f t="shared" si="4"/>
        <v>50714264820</v>
      </c>
      <c r="B172" s="10">
        <v>1004034229</v>
      </c>
      <c r="C172" s="10">
        <v>507142648</v>
      </c>
      <c r="D172" s="10">
        <v>20</v>
      </c>
      <c r="E172" s="10" t="s">
        <v>10</v>
      </c>
      <c r="F172" s="10">
        <v>1421506</v>
      </c>
      <c r="G172" s="10" t="s">
        <v>75</v>
      </c>
      <c r="H172" s="11">
        <v>106418</v>
      </c>
      <c r="I172" s="11">
        <v>87176</v>
      </c>
      <c r="J172" s="11">
        <f t="shared" si="5"/>
        <v>19242</v>
      </c>
      <c r="K172" s="12" t="e">
        <f>VLOOKUP(A172,[2]VA05!$A:$K,11,FALSE)</f>
        <v>#N/A</v>
      </c>
      <c r="L172" s="10" t="s">
        <v>18</v>
      </c>
      <c r="M172" s="10" t="s">
        <v>96</v>
      </c>
    </row>
    <row r="173" spans="1:13" x14ac:dyDescent="0.25">
      <c r="A173" s="13" t="str">
        <f t="shared" si="4"/>
        <v>50714268920</v>
      </c>
      <c r="B173" s="10">
        <v>1004041355</v>
      </c>
      <c r="C173" s="10">
        <v>507142689</v>
      </c>
      <c r="D173" s="10">
        <v>20</v>
      </c>
      <c r="E173" s="10" t="s">
        <v>10</v>
      </c>
      <c r="F173" s="10">
        <v>1187156</v>
      </c>
      <c r="G173" s="10" t="s">
        <v>80</v>
      </c>
      <c r="H173" s="11">
        <v>85860</v>
      </c>
      <c r="I173" s="11">
        <v>28066</v>
      </c>
      <c r="J173" s="11">
        <f t="shared" si="5"/>
        <v>57794</v>
      </c>
      <c r="K173" s="12">
        <f>VLOOKUP(A173,[2]VA05!$A:$K,11,FALSE)</f>
        <v>45558</v>
      </c>
      <c r="L173" s="10" t="s">
        <v>18</v>
      </c>
      <c r="M173" s="10" t="s">
        <v>131</v>
      </c>
    </row>
    <row r="174" spans="1:13" x14ac:dyDescent="0.25">
      <c r="A174" s="13" t="str">
        <f t="shared" si="4"/>
        <v>50714278820</v>
      </c>
      <c r="B174" s="10">
        <v>1004058947</v>
      </c>
      <c r="C174" s="10">
        <v>507142788</v>
      </c>
      <c r="D174" s="10">
        <v>20</v>
      </c>
      <c r="E174" s="10" t="s">
        <v>10</v>
      </c>
      <c r="F174" s="10">
        <v>1187156</v>
      </c>
      <c r="G174" s="10" t="s">
        <v>80</v>
      </c>
      <c r="H174" s="11">
        <v>62884</v>
      </c>
      <c r="I174" s="10">
        <v>0</v>
      </c>
      <c r="J174" s="11">
        <f t="shared" si="5"/>
        <v>62884</v>
      </c>
      <c r="K174" s="12">
        <f>VLOOKUP(A174,[2]VA05!$A:$K,11,FALSE)</f>
        <v>45582</v>
      </c>
      <c r="L174" s="10" t="s">
        <v>12</v>
      </c>
      <c r="M174" s="10" t="s">
        <v>156</v>
      </c>
    </row>
    <row r="175" spans="1:13" x14ac:dyDescent="0.25">
      <c r="A175" s="13" t="str">
        <f t="shared" si="4"/>
        <v>507142416140</v>
      </c>
      <c r="B175" s="10">
        <v>1004051396</v>
      </c>
      <c r="C175" s="10">
        <v>507142416</v>
      </c>
      <c r="D175" s="10">
        <v>140</v>
      </c>
      <c r="E175" s="10" t="s">
        <v>10</v>
      </c>
      <c r="F175" s="10">
        <v>1269354</v>
      </c>
      <c r="G175" s="10" t="s">
        <v>169</v>
      </c>
      <c r="H175" s="11">
        <v>10217</v>
      </c>
      <c r="I175" s="10">
        <v>0</v>
      </c>
      <c r="J175" s="11">
        <f t="shared" si="5"/>
        <v>10217</v>
      </c>
      <c r="K175" s="12">
        <f>VLOOKUP(A175,[2]VA05!$A:$K,11,FALSE)</f>
        <v>45576</v>
      </c>
      <c r="L175" s="10" t="s">
        <v>25</v>
      </c>
      <c r="M175" s="10" t="s">
        <v>162</v>
      </c>
    </row>
    <row r="176" spans="1:13" x14ac:dyDescent="0.25">
      <c r="A176" s="13" t="str">
        <f t="shared" si="4"/>
        <v>507142416120</v>
      </c>
      <c r="B176" s="10">
        <v>1004058990</v>
      </c>
      <c r="C176" s="10">
        <v>507142416</v>
      </c>
      <c r="D176" s="10">
        <v>120</v>
      </c>
      <c r="E176" s="10" t="s">
        <v>10</v>
      </c>
      <c r="F176" s="10">
        <v>1255973</v>
      </c>
      <c r="G176" s="10" t="s">
        <v>238</v>
      </c>
      <c r="H176" s="11">
        <v>10217</v>
      </c>
      <c r="I176" s="10">
        <v>0</v>
      </c>
      <c r="J176" s="11">
        <f t="shared" si="5"/>
        <v>10217</v>
      </c>
      <c r="K176" s="12">
        <f>VLOOKUP(A176,[2]VA05!$A:$K,11,FALSE)</f>
        <v>45573</v>
      </c>
      <c r="L176" s="10" t="s">
        <v>12</v>
      </c>
      <c r="M176" s="10" t="s">
        <v>194</v>
      </c>
    </row>
    <row r="177" spans="1:13" x14ac:dyDescent="0.25">
      <c r="A177" s="13" t="str">
        <f t="shared" si="4"/>
        <v>50714271370</v>
      </c>
      <c r="B177" s="10">
        <v>1004042923</v>
      </c>
      <c r="C177" s="10">
        <v>507142713</v>
      </c>
      <c r="D177" s="10">
        <v>70</v>
      </c>
      <c r="E177" s="10" t="s">
        <v>10</v>
      </c>
      <c r="F177" s="10">
        <v>1256197</v>
      </c>
      <c r="G177" s="10" t="s">
        <v>139</v>
      </c>
      <c r="H177" s="11">
        <v>10217</v>
      </c>
      <c r="I177" s="10">
        <v>0</v>
      </c>
      <c r="J177" s="11">
        <f t="shared" si="5"/>
        <v>10217</v>
      </c>
      <c r="K177" s="12">
        <f>VLOOKUP(A177,[2]VA05!$A:$K,11,FALSE)</f>
        <v>45591</v>
      </c>
      <c r="L177" s="10" t="s">
        <v>13</v>
      </c>
      <c r="M177" s="10" t="s">
        <v>142</v>
      </c>
    </row>
    <row r="178" spans="1:13" x14ac:dyDescent="0.25">
      <c r="A178" s="13" t="str">
        <f t="shared" si="4"/>
        <v>50714268810</v>
      </c>
      <c r="B178" s="10">
        <v>1004052619</v>
      </c>
      <c r="C178" s="10">
        <v>507142688</v>
      </c>
      <c r="D178" s="10">
        <v>10</v>
      </c>
      <c r="E178" s="10" t="s">
        <v>10</v>
      </c>
      <c r="F178" s="10">
        <v>1168127</v>
      </c>
      <c r="G178" s="10" t="s">
        <v>21</v>
      </c>
      <c r="H178" s="11">
        <v>122842</v>
      </c>
      <c r="I178" s="11">
        <v>16500</v>
      </c>
      <c r="J178" s="11">
        <f t="shared" si="5"/>
        <v>106342</v>
      </c>
      <c r="K178" s="12">
        <f>VLOOKUP(A178,[2]VA05!$A:$K,11,FALSE)</f>
        <v>45567</v>
      </c>
      <c r="L178" s="10" t="s">
        <v>18</v>
      </c>
      <c r="M178" s="10" t="s">
        <v>156</v>
      </c>
    </row>
    <row r="179" spans="1:13" x14ac:dyDescent="0.25">
      <c r="A179" s="13" t="str">
        <f t="shared" si="4"/>
        <v>507142416130</v>
      </c>
      <c r="B179" s="10">
        <v>1004052620</v>
      </c>
      <c r="C179" s="10">
        <v>507142416</v>
      </c>
      <c r="D179" s="10">
        <v>130</v>
      </c>
      <c r="E179" s="10" t="s">
        <v>10</v>
      </c>
      <c r="F179" s="10">
        <v>1168127</v>
      </c>
      <c r="G179" s="10" t="s">
        <v>21</v>
      </c>
      <c r="H179" s="11">
        <v>10217</v>
      </c>
      <c r="I179" s="10">
        <v>0</v>
      </c>
      <c r="J179" s="11">
        <f t="shared" si="5"/>
        <v>10217</v>
      </c>
      <c r="K179" s="12">
        <f>VLOOKUP(A179,[2]VA05!$A:$K,11,FALSE)</f>
        <v>45573</v>
      </c>
      <c r="L179" s="10" t="s">
        <v>12</v>
      </c>
      <c r="M179" s="10" t="s">
        <v>194</v>
      </c>
    </row>
    <row r="180" spans="1:13" x14ac:dyDescent="0.25">
      <c r="A180" s="13" t="str">
        <f t="shared" si="4"/>
        <v>50714264830</v>
      </c>
      <c r="B180" s="10">
        <v>1004052621</v>
      </c>
      <c r="C180" s="10">
        <v>507142648</v>
      </c>
      <c r="D180" s="10">
        <v>30</v>
      </c>
      <c r="E180" s="10" t="s">
        <v>10</v>
      </c>
      <c r="F180" s="10">
        <v>1168127</v>
      </c>
      <c r="G180" s="10" t="s">
        <v>21</v>
      </c>
      <c r="H180" s="11">
        <v>71748</v>
      </c>
      <c r="I180" s="10">
        <v>0</v>
      </c>
      <c r="J180" s="11">
        <f t="shared" si="5"/>
        <v>71748</v>
      </c>
      <c r="K180" s="12">
        <f>VLOOKUP(A180,[2]VA05!$A:$K,11,FALSE)</f>
        <v>45581</v>
      </c>
      <c r="L180" s="10" t="s">
        <v>12</v>
      </c>
      <c r="M180" s="10" t="s">
        <v>194</v>
      </c>
    </row>
    <row r="181" spans="1:13" x14ac:dyDescent="0.25">
      <c r="A181" s="13" t="str">
        <f t="shared" si="4"/>
        <v>507142416150</v>
      </c>
      <c r="B181" s="10">
        <v>1004052622</v>
      </c>
      <c r="C181" s="10">
        <v>507142416</v>
      </c>
      <c r="D181" s="10">
        <v>150</v>
      </c>
      <c r="E181" s="10" t="s">
        <v>10</v>
      </c>
      <c r="F181" s="10">
        <v>1168127</v>
      </c>
      <c r="G181" s="10" t="s">
        <v>21</v>
      </c>
      <c r="H181" s="11">
        <v>10217</v>
      </c>
      <c r="I181" s="10">
        <v>0</v>
      </c>
      <c r="J181" s="11">
        <f t="shared" si="5"/>
        <v>10217</v>
      </c>
      <c r="K181" s="12">
        <f>VLOOKUP(A181,[2]VA05!$A:$K,11,FALSE)</f>
        <v>45576</v>
      </c>
      <c r="L181" s="10" t="s">
        <v>12</v>
      </c>
      <c r="M181" s="10" t="s">
        <v>162</v>
      </c>
    </row>
    <row r="182" spans="1:13" x14ac:dyDescent="0.25">
      <c r="A182" s="13" t="str">
        <f t="shared" si="4"/>
        <v>50714278810</v>
      </c>
      <c r="B182" s="10">
        <v>1004052623</v>
      </c>
      <c r="C182" s="10">
        <v>507142788</v>
      </c>
      <c r="D182" s="10">
        <v>10</v>
      </c>
      <c r="E182" s="10" t="s">
        <v>10</v>
      </c>
      <c r="F182" s="10">
        <v>1168127</v>
      </c>
      <c r="G182" s="10" t="s">
        <v>21</v>
      </c>
      <c r="H182" s="11">
        <v>56529</v>
      </c>
      <c r="I182" s="10">
        <v>0</v>
      </c>
      <c r="J182" s="11">
        <f t="shared" si="5"/>
        <v>56529</v>
      </c>
      <c r="K182" s="12">
        <f>VLOOKUP(A182,[2]VA05!$A:$K,11,FALSE)</f>
        <v>45582</v>
      </c>
      <c r="L182" s="10" t="s">
        <v>12</v>
      </c>
      <c r="M182" s="10" t="s">
        <v>162</v>
      </c>
    </row>
    <row r="183" spans="1:13" x14ac:dyDescent="0.25">
      <c r="A183" s="13" t="str">
        <f t="shared" si="4"/>
        <v>50714271380</v>
      </c>
      <c r="B183" s="10">
        <v>1004052624</v>
      </c>
      <c r="C183" s="10">
        <v>507142713</v>
      </c>
      <c r="D183" s="10">
        <v>80</v>
      </c>
      <c r="E183" s="10" t="s">
        <v>10</v>
      </c>
      <c r="F183" s="10">
        <v>1168127</v>
      </c>
      <c r="G183" s="10" t="s">
        <v>21</v>
      </c>
      <c r="H183" s="11">
        <v>10217</v>
      </c>
      <c r="I183" s="10">
        <v>0</v>
      </c>
      <c r="J183" s="11">
        <f t="shared" si="5"/>
        <v>10217</v>
      </c>
      <c r="K183" s="12">
        <f>VLOOKUP(A183,[2]VA05!$A:$K,11,FALSE)</f>
        <v>45591</v>
      </c>
      <c r="L183" s="10" t="s">
        <v>12</v>
      </c>
      <c r="M183" s="10" t="s">
        <v>204</v>
      </c>
    </row>
    <row r="184" spans="1:13" x14ac:dyDescent="0.25">
      <c r="A184" s="13" t="str">
        <f t="shared" si="4"/>
        <v>507142416150</v>
      </c>
      <c r="B184" s="10">
        <v>1004051561</v>
      </c>
      <c r="C184" s="10">
        <v>507142416</v>
      </c>
      <c r="D184" s="10">
        <v>150</v>
      </c>
      <c r="E184" s="10" t="s">
        <v>10</v>
      </c>
      <c r="F184" s="10">
        <v>1269318</v>
      </c>
      <c r="G184" s="10" t="s">
        <v>170</v>
      </c>
      <c r="H184" s="11">
        <v>10217</v>
      </c>
      <c r="I184" s="10">
        <v>0</v>
      </c>
      <c r="J184" s="11">
        <f t="shared" si="5"/>
        <v>10217</v>
      </c>
      <c r="K184" s="12">
        <f>VLOOKUP(A184,[2]VA05!$A:$K,11,FALSE)</f>
        <v>45576</v>
      </c>
      <c r="L184" s="10" t="s">
        <v>12</v>
      </c>
      <c r="M184" s="10" t="s">
        <v>162</v>
      </c>
    </row>
    <row r="185" spans="1:13" x14ac:dyDescent="0.25">
      <c r="A185" s="13" t="str">
        <f t="shared" si="4"/>
        <v>507142416130</v>
      </c>
      <c r="B185" s="10">
        <v>1004058014</v>
      </c>
      <c r="C185" s="10">
        <v>507142416</v>
      </c>
      <c r="D185" s="10">
        <v>130</v>
      </c>
      <c r="E185" s="10" t="s">
        <v>10</v>
      </c>
      <c r="F185" s="10">
        <v>1255976</v>
      </c>
      <c r="G185" s="10" t="s">
        <v>229</v>
      </c>
      <c r="H185" s="11">
        <v>10217</v>
      </c>
      <c r="I185" s="10">
        <v>0</v>
      </c>
      <c r="J185" s="11">
        <f t="shared" si="5"/>
        <v>10217</v>
      </c>
      <c r="K185" s="12">
        <f>VLOOKUP(A185,[2]VA05!$A:$K,11,FALSE)</f>
        <v>45573</v>
      </c>
      <c r="L185" s="10" t="s">
        <v>12</v>
      </c>
      <c r="M185" s="10" t="s">
        <v>194</v>
      </c>
    </row>
    <row r="186" spans="1:13" x14ac:dyDescent="0.25">
      <c r="A186" s="13" t="str">
        <f t="shared" si="4"/>
        <v>50714271380</v>
      </c>
      <c r="B186" s="10">
        <v>1004058015</v>
      </c>
      <c r="C186" s="10">
        <v>507142713</v>
      </c>
      <c r="D186" s="10">
        <v>80</v>
      </c>
      <c r="E186" s="10" t="s">
        <v>10</v>
      </c>
      <c r="F186" s="10">
        <v>1256193</v>
      </c>
      <c r="G186" s="10" t="s">
        <v>230</v>
      </c>
      <c r="H186" s="11">
        <v>10217</v>
      </c>
      <c r="I186" s="10">
        <v>0</v>
      </c>
      <c r="J186" s="11">
        <f t="shared" si="5"/>
        <v>10217</v>
      </c>
      <c r="K186" s="12">
        <f>VLOOKUP(A186,[2]VA05!$A:$K,11,FALSE)</f>
        <v>45591</v>
      </c>
      <c r="L186" s="10" t="s">
        <v>12</v>
      </c>
      <c r="M186" s="10" t="s">
        <v>204</v>
      </c>
    </row>
    <row r="187" spans="1:13" x14ac:dyDescent="0.25">
      <c r="A187" s="13" t="str">
        <f t="shared" si="4"/>
        <v>50714268810</v>
      </c>
      <c r="B187" s="10">
        <v>1004058016</v>
      </c>
      <c r="C187" s="10">
        <v>507142688</v>
      </c>
      <c r="D187" s="10">
        <v>10</v>
      </c>
      <c r="E187" s="10" t="s">
        <v>10</v>
      </c>
      <c r="F187" s="10">
        <v>1430110</v>
      </c>
      <c r="G187" s="10" t="s">
        <v>231</v>
      </c>
      <c r="H187" s="11">
        <v>81532</v>
      </c>
      <c r="I187" s="11">
        <v>20250</v>
      </c>
      <c r="J187" s="11">
        <f t="shared" si="5"/>
        <v>61282</v>
      </c>
      <c r="K187" s="12">
        <f>VLOOKUP(A187,[2]VA05!$A:$K,11,FALSE)</f>
        <v>45567</v>
      </c>
      <c r="L187" s="10" t="s">
        <v>11</v>
      </c>
      <c r="M187" s="10" t="s">
        <v>155</v>
      </c>
    </row>
    <row r="188" spans="1:13" x14ac:dyDescent="0.25">
      <c r="A188" s="13" t="str">
        <f t="shared" si="4"/>
        <v>50714245510</v>
      </c>
      <c r="B188" s="10">
        <v>1004010713</v>
      </c>
      <c r="C188" s="10">
        <v>507142455</v>
      </c>
      <c r="D188" s="10">
        <v>10</v>
      </c>
      <c r="E188" s="10" t="s">
        <v>10</v>
      </c>
      <c r="F188" s="10">
        <v>1153314</v>
      </c>
      <c r="G188" s="10" t="s">
        <v>60</v>
      </c>
      <c r="H188" s="11">
        <v>26091</v>
      </c>
      <c r="I188" s="11">
        <v>22631</v>
      </c>
      <c r="J188" s="11">
        <f t="shared" si="5"/>
        <v>3460</v>
      </c>
      <c r="K188" s="12" t="e">
        <f>VLOOKUP(A188,[2]VA05!$A:$K,11,FALSE)</f>
        <v>#N/A</v>
      </c>
      <c r="L188" s="10" t="s">
        <v>18</v>
      </c>
      <c r="M188" s="10" t="s">
        <v>61</v>
      </c>
    </row>
    <row r="189" spans="1:13" x14ac:dyDescent="0.25">
      <c r="A189" s="13" t="str">
        <f t="shared" si="4"/>
        <v>50714239390</v>
      </c>
      <c r="B189" s="10">
        <v>1004032825</v>
      </c>
      <c r="C189" s="10">
        <v>507142393</v>
      </c>
      <c r="D189" s="10">
        <v>90</v>
      </c>
      <c r="E189" s="10" t="s">
        <v>10</v>
      </c>
      <c r="F189" s="10">
        <v>1416751</v>
      </c>
      <c r="G189" s="10" t="s">
        <v>57</v>
      </c>
      <c r="H189" s="11">
        <v>45642</v>
      </c>
      <c r="I189" s="10">
        <v>0</v>
      </c>
      <c r="J189" s="11">
        <f t="shared" si="5"/>
        <v>45642</v>
      </c>
      <c r="K189" s="12" t="e">
        <f>VLOOKUP(A189,[2]VA05!$A:$K,11,FALSE)</f>
        <v>#N/A</v>
      </c>
      <c r="L189" s="10" t="s">
        <v>12</v>
      </c>
      <c r="M189" s="10" t="s">
        <v>73</v>
      </c>
    </row>
    <row r="190" spans="1:13" x14ac:dyDescent="0.25">
      <c r="A190" s="13" t="str">
        <f t="shared" si="4"/>
        <v>50714256610</v>
      </c>
      <c r="B190" s="10">
        <v>1004041365</v>
      </c>
      <c r="C190" s="10">
        <v>507142566</v>
      </c>
      <c r="D190" s="10">
        <v>10</v>
      </c>
      <c r="E190" s="10" t="s">
        <v>10</v>
      </c>
      <c r="F190" s="10">
        <v>1170136</v>
      </c>
      <c r="G190" s="10" t="s">
        <v>81</v>
      </c>
      <c r="H190" s="11">
        <v>23298</v>
      </c>
      <c r="I190" s="11">
        <v>4900</v>
      </c>
      <c r="J190" s="11">
        <f t="shared" si="5"/>
        <v>18398</v>
      </c>
      <c r="K190" s="12">
        <f>VLOOKUP(A190,[2]VA05!$A:$K,11,FALSE)</f>
        <v>45561</v>
      </c>
      <c r="L190" s="10" t="s">
        <v>11</v>
      </c>
      <c r="M190" s="10" t="s">
        <v>195</v>
      </c>
    </row>
    <row r="191" spans="1:13" x14ac:dyDescent="0.25">
      <c r="A191" s="13" t="str">
        <f t="shared" si="4"/>
        <v>50714256730</v>
      </c>
      <c r="B191" s="10">
        <v>1004041366</v>
      </c>
      <c r="C191" s="10">
        <v>507142567</v>
      </c>
      <c r="D191" s="10">
        <v>30</v>
      </c>
      <c r="E191" s="10" t="s">
        <v>10</v>
      </c>
      <c r="F191" s="10">
        <v>1170136</v>
      </c>
      <c r="G191" s="10" t="s">
        <v>81</v>
      </c>
      <c r="H191" s="11">
        <v>17589</v>
      </c>
      <c r="I191" s="10">
        <v>0</v>
      </c>
      <c r="J191" s="11">
        <f t="shared" si="5"/>
        <v>17589</v>
      </c>
      <c r="K191" s="12">
        <f>VLOOKUP(A191,[2]VA05!$A:$K,11,FALSE)</f>
        <v>45561</v>
      </c>
      <c r="L191" s="10" t="s">
        <v>12</v>
      </c>
      <c r="M191" s="10" t="s">
        <v>85</v>
      </c>
    </row>
    <row r="192" spans="1:13" x14ac:dyDescent="0.25">
      <c r="A192" s="13" t="str">
        <f t="shared" si="4"/>
        <v>50714256230</v>
      </c>
      <c r="B192" s="10">
        <v>1004042741</v>
      </c>
      <c r="C192" s="10">
        <v>507142562</v>
      </c>
      <c r="D192" s="10">
        <v>30</v>
      </c>
      <c r="E192" s="10" t="s">
        <v>10</v>
      </c>
      <c r="F192" s="10">
        <v>1165028</v>
      </c>
      <c r="G192" s="10" t="s">
        <v>68</v>
      </c>
      <c r="H192" s="11">
        <v>85259</v>
      </c>
      <c r="I192" s="11">
        <v>59224</v>
      </c>
      <c r="J192" s="11">
        <f t="shared" si="5"/>
        <v>26035</v>
      </c>
      <c r="K192" s="12">
        <f>VLOOKUP(A192,[2]VA05!$A:$K,11,FALSE)</f>
        <v>45573</v>
      </c>
      <c r="L192" s="10" t="s">
        <v>18</v>
      </c>
      <c r="M192" s="10" t="s">
        <v>201</v>
      </c>
    </row>
    <row r="193" spans="1:13" x14ac:dyDescent="0.25">
      <c r="A193" s="13" t="str">
        <f t="shared" si="4"/>
        <v>50714256230</v>
      </c>
      <c r="B193" s="10">
        <v>1004035819</v>
      </c>
      <c r="C193" s="10">
        <v>507142562</v>
      </c>
      <c r="D193" s="10">
        <v>30</v>
      </c>
      <c r="E193" s="10" t="s">
        <v>10</v>
      </c>
      <c r="F193" s="10">
        <v>1176008</v>
      </c>
      <c r="G193" s="10" t="s">
        <v>65</v>
      </c>
      <c r="H193" s="11">
        <v>85259</v>
      </c>
      <c r="I193" s="11">
        <v>56283</v>
      </c>
      <c r="J193" s="11">
        <f t="shared" si="5"/>
        <v>28976</v>
      </c>
      <c r="K193" s="12">
        <f>VLOOKUP(A193,[2]VA05!$A:$K,11,FALSE)</f>
        <v>45573</v>
      </c>
      <c r="L193" s="10" t="s">
        <v>18</v>
      </c>
      <c r="M193" s="10" t="s">
        <v>201</v>
      </c>
    </row>
    <row r="194" spans="1:13" x14ac:dyDescent="0.25">
      <c r="A194" s="13" t="str">
        <f t="shared" si="4"/>
        <v>50714256230</v>
      </c>
      <c r="B194" s="10">
        <v>1004042025</v>
      </c>
      <c r="C194" s="10">
        <v>507142562</v>
      </c>
      <c r="D194" s="10">
        <v>30</v>
      </c>
      <c r="E194" s="10" t="s">
        <v>10</v>
      </c>
      <c r="F194" s="10">
        <v>1170133</v>
      </c>
      <c r="G194" s="10" t="s">
        <v>70</v>
      </c>
      <c r="H194" s="11">
        <v>85259</v>
      </c>
      <c r="I194" s="11">
        <v>77721</v>
      </c>
      <c r="J194" s="11">
        <f t="shared" si="5"/>
        <v>7538</v>
      </c>
      <c r="K194" s="12">
        <f>VLOOKUP(A194,[2]VA05!$A:$K,11,FALSE)</f>
        <v>45573</v>
      </c>
      <c r="L194" s="10" t="s">
        <v>18</v>
      </c>
      <c r="M194" s="10" t="s">
        <v>130</v>
      </c>
    </row>
    <row r="195" spans="1:13" x14ac:dyDescent="0.25">
      <c r="A195" s="13" t="str">
        <f t="shared" si="4"/>
        <v>50714256530</v>
      </c>
      <c r="B195" s="10">
        <v>1004044947</v>
      </c>
      <c r="C195" s="10">
        <v>507142565</v>
      </c>
      <c r="D195" s="10">
        <v>30</v>
      </c>
      <c r="E195" s="10" t="s">
        <v>10</v>
      </c>
      <c r="F195" s="10">
        <v>1169065</v>
      </c>
      <c r="G195" s="10" t="s">
        <v>83</v>
      </c>
      <c r="H195" s="11">
        <v>85895</v>
      </c>
      <c r="I195" s="11">
        <v>57749</v>
      </c>
      <c r="J195" s="11">
        <f t="shared" si="5"/>
        <v>28146</v>
      </c>
      <c r="K195" s="12">
        <f>VLOOKUP(A195,[2]VA05!$A:$K,11,FALSE)</f>
        <v>45561</v>
      </c>
      <c r="L195" s="10" t="s">
        <v>18</v>
      </c>
      <c r="M195" s="10" t="s">
        <v>142</v>
      </c>
    </row>
    <row r="196" spans="1:13" x14ac:dyDescent="0.25">
      <c r="A196" s="13" t="str">
        <f t="shared" ref="A196:A259" si="6">C196&amp;D196</f>
        <v>50714256720</v>
      </c>
      <c r="B196" s="10">
        <v>1004044948</v>
      </c>
      <c r="C196" s="10">
        <v>507142567</v>
      </c>
      <c r="D196" s="10">
        <v>20</v>
      </c>
      <c r="E196" s="10" t="s">
        <v>10</v>
      </c>
      <c r="F196" s="10">
        <v>1169065</v>
      </c>
      <c r="G196" s="10" t="s">
        <v>83</v>
      </c>
      <c r="H196" s="11">
        <v>17711</v>
      </c>
      <c r="I196" s="10">
        <v>0</v>
      </c>
      <c r="J196" s="11">
        <f t="shared" ref="J196:J259" si="7">H196-I196</f>
        <v>17711</v>
      </c>
      <c r="K196" s="12">
        <f>VLOOKUP(A196,[2]VA05!$A:$K,11,FALSE)</f>
        <v>45561</v>
      </c>
      <c r="L196" s="10" t="s">
        <v>12</v>
      </c>
      <c r="M196" s="10" t="s">
        <v>98</v>
      </c>
    </row>
    <row r="197" spans="1:13" x14ac:dyDescent="0.25">
      <c r="A197" s="13" t="str">
        <f t="shared" si="6"/>
        <v>50714256730</v>
      </c>
      <c r="B197" s="10">
        <v>1004052387</v>
      </c>
      <c r="C197" s="10">
        <v>507142567</v>
      </c>
      <c r="D197" s="10">
        <v>30</v>
      </c>
      <c r="E197" s="10" t="s">
        <v>10</v>
      </c>
      <c r="F197" s="10">
        <v>1171801</v>
      </c>
      <c r="G197" s="10" t="s">
        <v>71</v>
      </c>
      <c r="H197" s="11">
        <v>16066</v>
      </c>
      <c r="I197" s="11">
        <v>10410</v>
      </c>
      <c r="J197" s="11">
        <f t="shared" si="7"/>
        <v>5656</v>
      </c>
      <c r="K197" s="12">
        <f>VLOOKUP(A197,[2]VA05!$A:$K,11,FALSE)</f>
        <v>45561</v>
      </c>
      <c r="L197" s="10" t="s">
        <v>18</v>
      </c>
      <c r="M197" s="10" t="s">
        <v>155</v>
      </c>
    </row>
    <row r="198" spans="1:13" x14ac:dyDescent="0.25">
      <c r="A198" s="13" t="str">
        <f t="shared" si="6"/>
        <v>50714256520</v>
      </c>
      <c r="B198" s="10">
        <v>1004052388</v>
      </c>
      <c r="C198" s="10">
        <v>507142565</v>
      </c>
      <c r="D198" s="10">
        <v>20</v>
      </c>
      <c r="E198" s="10" t="s">
        <v>10</v>
      </c>
      <c r="F198" s="10">
        <v>1171801</v>
      </c>
      <c r="G198" s="10" t="s">
        <v>71</v>
      </c>
      <c r="H198" s="11">
        <v>79905</v>
      </c>
      <c r="I198" s="10">
        <v>0</v>
      </c>
      <c r="J198" s="11">
        <f t="shared" si="7"/>
        <v>79905</v>
      </c>
      <c r="K198" s="12">
        <f>VLOOKUP(A198,[2]VA05!$A:$K,11,FALSE)</f>
        <v>45561</v>
      </c>
      <c r="L198" s="10" t="s">
        <v>13</v>
      </c>
      <c r="M198" s="10" t="s">
        <v>180</v>
      </c>
    </row>
    <row r="199" spans="1:13" x14ac:dyDescent="0.25">
      <c r="A199" s="13" t="str">
        <f t="shared" si="6"/>
        <v>50714276210</v>
      </c>
      <c r="B199" s="10">
        <v>1004051397</v>
      </c>
      <c r="C199" s="10">
        <v>507142762</v>
      </c>
      <c r="D199" s="10">
        <v>10</v>
      </c>
      <c r="E199" s="10" t="s">
        <v>10</v>
      </c>
      <c r="F199" s="10">
        <v>1162016</v>
      </c>
      <c r="G199" s="10" t="s">
        <v>172</v>
      </c>
      <c r="H199" s="11">
        <v>40900</v>
      </c>
      <c r="I199" s="11">
        <v>21435</v>
      </c>
      <c r="J199" s="11">
        <f t="shared" si="7"/>
        <v>19465</v>
      </c>
      <c r="K199" s="12">
        <f>VLOOKUP(A199,[2]VA05!$A:$K,11,FALSE)</f>
        <v>45570</v>
      </c>
      <c r="L199" s="10" t="s">
        <v>11</v>
      </c>
      <c r="M199" s="10" t="s">
        <v>154</v>
      </c>
    </row>
    <row r="200" spans="1:13" x14ac:dyDescent="0.25">
      <c r="A200" s="13" t="str">
        <f t="shared" si="6"/>
        <v>50714263610</v>
      </c>
      <c r="B200" s="10">
        <v>1004040222</v>
      </c>
      <c r="C200" s="10">
        <v>507142636</v>
      </c>
      <c r="D200" s="10">
        <v>10</v>
      </c>
      <c r="E200" s="10" t="s">
        <v>10</v>
      </c>
      <c r="F200" s="10">
        <v>1437043</v>
      </c>
      <c r="G200" s="10" t="s">
        <v>115</v>
      </c>
      <c r="H200" s="11">
        <v>51125</v>
      </c>
      <c r="I200" s="11">
        <v>43670</v>
      </c>
      <c r="J200" s="11">
        <f t="shared" si="7"/>
        <v>7455</v>
      </c>
      <c r="K200" s="12">
        <f>VLOOKUP(A200,[2]VA05!$A:$K,11,FALSE)</f>
        <v>45566</v>
      </c>
      <c r="L200" s="10" t="s">
        <v>11</v>
      </c>
      <c r="M200" s="10" t="s">
        <v>116</v>
      </c>
    </row>
    <row r="201" spans="1:13" x14ac:dyDescent="0.25">
      <c r="A201" s="13" t="str">
        <f t="shared" si="6"/>
        <v>50714276210</v>
      </c>
      <c r="B201" s="10">
        <v>1004051398</v>
      </c>
      <c r="C201" s="10">
        <v>507142762</v>
      </c>
      <c r="D201" s="10">
        <v>10</v>
      </c>
      <c r="E201" s="10" t="s">
        <v>10</v>
      </c>
      <c r="F201" s="10">
        <v>1162012</v>
      </c>
      <c r="G201" s="10" t="s">
        <v>173</v>
      </c>
      <c r="H201" s="11">
        <v>40900</v>
      </c>
      <c r="I201" s="10">
        <v>0</v>
      </c>
      <c r="J201" s="11">
        <f t="shared" si="7"/>
        <v>40900</v>
      </c>
      <c r="K201" s="12">
        <f>VLOOKUP(A201,[2]VA05!$A:$K,11,FALSE)</f>
        <v>45570</v>
      </c>
      <c r="L201" s="10" t="s">
        <v>13</v>
      </c>
      <c r="M201" s="10" t="s">
        <v>201</v>
      </c>
    </row>
    <row r="202" spans="1:13" x14ac:dyDescent="0.25">
      <c r="A202" s="13" t="str">
        <f t="shared" si="6"/>
        <v>50714276210</v>
      </c>
      <c r="B202" s="10">
        <v>1004051399</v>
      </c>
      <c r="C202" s="10">
        <v>507142762</v>
      </c>
      <c r="D202" s="10">
        <v>10</v>
      </c>
      <c r="E202" s="10" t="s">
        <v>10</v>
      </c>
      <c r="F202" s="10">
        <v>1163168</v>
      </c>
      <c r="G202" s="10" t="s">
        <v>174</v>
      </c>
      <c r="H202" s="11">
        <v>40900</v>
      </c>
      <c r="I202" s="10">
        <v>0</v>
      </c>
      <c r="J202" s="11">
        <f t="shared" si="7"/>
        <v>40900</v>
      </c>
      <c r="K202" s="12">
        <f>VLOOKUP(A202,[2]VA05!$A:$K,11,FALSE)</f>
        <v>45570</v>
      </c>
      <c r="L202" s="10" t="s">
        <v>13</v>
      </c>
      <c r="M202" s="10" t="s">
        <v>201</v>
      </c>
    </row>
    <row r="203" spans="1:13" x14ac:dyDescent="0.25">
      <c r="A203" s="13" t="str">
        <f t="shared" si="6"/>
        <v>50714263850</v>
      </c>
      <c r="B203" s="10">
        <v>1004049841</v>
      </c>
      <c r="C203" s="10">
        <v>507142638</v>
      </c>
      <c r="D203" s="10">
        <v>50</v>
      </c>
      <c r="E203" s="10" t="s">
        <v>10</v>
      </c>
      <c r="F203" s="10">
        <v>1361170</v>
      </c>
      <c r="G203" s="10" t="s">
        <v>103</v>
      </c>
      <c r="H203" s="11">
        <v>27540</v>
      </c>
      <c r="I203" s="11">
        <v>22410</v>
      </c>
      <c r="J203" s="11">
        <f t="shared" si="7"/>
        <v>5130</v>
      </c>
      <c r="K203" s="12">
        <f>VLOOKUP(A203,[2]VA05!$A:$K,11,FALSE)</f>
        <v>45560</v>
      </c>
      <c r="L203" s="10" t="s">
        <v>224</v>
      </c>
      <c r="M203" s="10" t="s">
        <v>143</v>
      </c>
    </row>
    <row r="204" spans="1:13" x14ac:dyDescent="0.25">
      <c r="A204" s="13" t="str">
        <f t="shared" si="6"/>
        <v>50714263850</v>
      </c>
      <c r="B204" s="10">
        <v>1004049842</v>
      </c>
      <c r="C204" s="10">
        <v>507142638</v>
      </c>
      <c r="D204" s="10">
        <v>50</v>
      </c>
      <c r="E204" s="10" t="s">
        <v>10</v>
      </c>
      <c r="F204" s="10">
        <v>1361170</v>
      </c>
      <c r="G204" s="10" t="s">
        <v>103</v>
      </c>
      <c r="H204" s="11">
        <v>27540</v>
      </c>
      <c r="I204" s="11">
        <v>8100</v>
      </c>
      <c r="J204" s="11">
        <f t="shared" si="7"/>
        <v>19440</v>
      </c>
      <c r="K204" s="12">
        <f>VLOOKUP(A204,[2]VA05!$A:$K,11,FALSE)</f>
        <v>45560</v>
      </c>
      <c r="L204" s="10" t="s">
        <v>11</v>
      </c>
      <c r="M204" s="10" t="s">
        <v>195</v>
      </c>
    </row>
    <row r="205" spans="1:13" x14ac:dyDescent="0.25">
      <c r="A205" s="13" t="str">
        <f t="shared" si="6"/>
        <v>50714263850</v>
      </c>
      <c r="B205" s="10">
        <v>1004049843</v>
      </c>
      <c r="C205" s="10">
        <v>507142638</v>
      </c>
      <c r="D205" s="10">
        <v>50</v>
      </c>
      <c r="E205" s="10" t="s">
        <v>10</v>
      </c>
      <c r="F205" s="10">
        <v>1361170</v>
      </c>
      <c r="G205" s="10" t="s">
        <v>103</v>
      </c>
      <c r="H205" s="11">
        <v>27270</v>
      </c>
      <c r="I205" s="10">
        <v>0</v>
      </c>
      <c r="J205" s="11">
        <f t="shared" si="7"/>
        <v>27270</v>
      </c>
      <c r="K205" s="12">
        <f>VLOOKUP(A205,[2]VA05!$A:$K,11,FALSE)</f>
        <v>45560</v>
      </c>
      <c r="L205" s="10" t="s">
        <v>117</v>
      </c>
      <c r="M205" s="10" t="s">
        <v>143</v>
      </c>
    </row>
    <row r="206" spans="1:13" x14ac:dyDescent="0.25">
      <c r="A206" s="13" t="str">
        <f t="shared" si="6"/>
        <v>50714273810</v>
      </c>
      <c r="B206" s="10">
        <v>1004051551</v>
      </c>
      <c r="C206" s="10">
        <v>507142738</v>
      </c>
      <c r="D206" s="10">
        <v>10</v>
      </c>
      <c r="E206" s="10" t="s">
        <v>10</v>
      </c>
      <c r="F206" s="10">
        <v>1361170</v>
      </c>
      <c r="G206" s="10" t="s">
        <v>103</v>
      </c>
      <c r="H206" s="11">
        <v>27540</v>
      </c>
      <c r="I206" s="10">
        <v>0</v>
      </c>
      <c r="J206" s="11">
        <f t="shared" si="7"/>
        <v>27540</v>
      </c>
      <c r="K206" s="12">
        <f>VLOOKUP(A206,[2]VA05!$A:$K,11,FALSE)</f>
        <v>45567</v>
      </c>
      <c r="L206" s="10" t="s">
        <v>12</v>
      </c>
      <c r="M206" s="10" t="s">
        <v>180</v>
      </c>
    </row>
    <row r="207" spans="1:13" x14ac:dyDescent="0.25">
      <c r="A207" s="13" t="str">
        <f t="shared" si="6"/>
        <v>50714273810</v>
      </c>
      <c r="B207" s="10">
        <v>1004051552</v>
      </c>
      <c r="C207" s="10">
        <v>507142738</v>
      </c>
      <c r="D207" s="10">
        <v>10</v>
      </c>
      <c r="E207" s="10" t="s">
        <v>10</v>
      </c>
      <c r="F207" s="10">
        <v>1361170</v>
      </c>
      <c r="G207" s="10" t="s">
        <v>103</v>
      </c>
      <c r="H207" s="11">
        <v>27540</v>
      </c>
      <c r="I207" s="10">
        <v>0</v>
      </c>
      <c r="J207" s="11">
        <f t="shared" si="7"/>
        <v>27540</v>
      </c>
      <c r="K207" s="12">
        <f>VLOOKUP(A207,[2]VA05!$A:$K,11,FALSE)</f>
        <v>45567</v>
      </c>
      <c r="L207" s="10" t="s">
        <v>12</v>
      </c>
      <c r="M207" s="10" t="s">
        <v>180</v>
      </c>
    </row>
    <row r="208" spans="1:13" x14ac:dyDescent="0.25">
      <c r="A208" s="13" t="str">
        <f t="shared" si="6"/>
        <v>50714273810</v>
      </c>
      <c r="B208" s="10">
        <v>1004051553</v>
      </c>
      <c r="C208" s="10">
        <v>507142738</v>
      </c>
      <c r="D208" s="10">
        <v>10</v>
      </c>
      <c r="E208" s="10" t="s">
        <v>10</v>
      </c>
      <c r="F208" s="10">
        <v>1361170</v>
      </c>
      <c r="G208" s="10" t="s">
        <v>103</v>
      </c>
      <c r="H208" s="11">
        <v>27540</v>
      </c>
      <c r="I208" s="10">
        <v>0</v>
      </c>
      <c r="J208" s="11">
        <f t="shared" si="7"/>
        <v>27540</v>
      </c>
      <c r="K208" s="12">
        <f>VLOOKUP(A208,[2]VA05!$A:$K,11,FALSE)</f>
        <v>45567</v>
      </c>
      <c r="L208" s="10" t="s">
        <v>12</v>
      </c>
      <c r="M208" s="10" t="s">
        <v>180</v>
      </c>
    </row>
    <row r="209" spans="1:13" x14ac:dyDescent="0.25">
      <c r="A209" s="13" t="str">
        <f t="shared" si="6"/>
        <v>50714273810</v>
      </c>
      <c r="B209" s="10">
        <v>1004051554</v>
      </c>
      <c r="C209" s="10">
        <v>507142738</v>
      </c>
      <c r="D209" s="10">
        <v>10</v>
      </c>
      <c r="E209" s="10" t="s">
        <v>10</v>
      </c>
      <c r="F209" s="10">
        <v>1361170</v>
      </c>
      <c r="G209" s="10" t="s">
        <v>103</v>
      </c>
      <c r="H209" s="11">
        <v>27540</v>
      </c>
      <c r="I209" s="10">
        <v>0</v>
      </c>
      <c r="J209" s="11">
        <f t="shared" si="7"/>
        <v>27540</v>
      </c>
      <c r="K209" s="12">
        <f>VLOOKUP(A209,[2]VA05!$A:$K,11,FALSE)</f>
        <v>45567</v>
      </c>
      <c r="L209" s="10" t="s">
        <v>12</v>
      </c>
      <c r="M209" s="10" t="s">
        <v>180</v>
      </c>
    </row>
    <row r="210" spans="1:13" hidden="1" x14ac:dyDescent="0.25">
      <c r="A210" s="13" t="str">
        <f t="shared" si="6"/>
        <v>50714269210</v>
      </c>
      <c r="B210" s="10">
        <v>1004057891</v>
      </c>
      <c r="C210" s="10">
        <v>507142692</v>
      </c>
      <c r="D210" s="10">
        <v>10</v>
      </c>
      <c r="E210" s="10" t="s">
        <v>10</v>
      </c>
      <c r="F210" s="10">
        <v>1367372</v>
      </c>
      <c r="G210" s="10" t="s">
        <v>62</v>
      </c>
      <c r="H210" s="11">
        <v>27540</v>
      </c>
      <c r="I210" s="11">
        <v>27540</v>
      </c>
      <c r="J210" s="11">
        <f t="shared" si="7"/>
        <v>0</v>
      </c>
      <c r="K210" s="12">
        <f>VLOOKUP(A210,[2]VA05!$A:$K,11,FALSE)</f>
        <v>45566</v>
      </c>
      <c r="L210" s="10" t="s">
        <v>34</v>
      </c>
      <c r="M210" s="10" t="s">
        <v>154</v>
      </c>
    </row>
    <row r="211" spans="1:13" x14ac:dyDescent="0.25">
      <c r="A211" s="13" t="str">
        <f t="shared" si="6"/>
        <v>50714269210</v>
      </c>
      <c r="B211" s="10">
        <v>1004057892</v>
      </c>
      <c r="C211" s="10">
        <v>507142692</v>
      </c>
      <c r="D211" s="10">
        <v>10</v>
      </c>
      <c r="E211" s="10" t="s">
        <v>10</v>
      </c>
      <c r="F211" s="10">
        <v>1367372</v>
      </c>
      <c r="G211" s="10" t="s">
        <v>62</v>
      </c>
      <c r="H211" s="11">
        <v>27540</v>
      </c>
      <c r="I211" s="11">
        <v>11340</v>
      </c>
      <c r="J211" s="11">
        <f t="shared" si="7"/>
        <v>16200</v>
      </c>
      <c r="K211" s="12">
        <f>VLOOKUP(A211,[2]VA05!$A:$K,11,FALSE)</f>
        <v>45566</v>
      </c>
      <c r="L211" s="10" t="s">
        <v>11</v>
      </c>
      <c r="M211" s="10" t="s">
        <v>194</v>
      </c>
    </row>
    <row r="212" spans="1:13" x14ac:dyDescent="0.25">
      <c r="A212" s="13" t="str">
        <f t="shared" si="6"/>
        <v>50714269230</v>
      </c>
      <c r="B212" s="10">
        <v>1004059598</v>
      </c>
      <c r="C212" s="10">
        <v>507142692</v>
      </c>
      <c r="D212" s="10">
        <v>30</v>
      </c>
      <c r="E212" s="10" t="s">
        <v>10</v>
      </c>
      <c r="F212" s="10">
        <v>1367372</v>
      </c>
      <c r="G212" s="10" t="s">
        <v>62</v>
      </c>
      <c r="H212" s="11">
        <v>25110</v>
      </c>
      <c r="I212" s="10">
        <v>0</v>
      </c>
      <c r="J212" s="11">
        <f t="shared" si="7"/>
        <v>25110</v>
      </c>
      <c r="K212" s="12">
        <f>VLOOKUP(A212,[2]VA05!$A:$K,11,FALSE)</f>
        <v>45567</v>
      </c>
      <c r="L212" s="10" t="s">
        <v>12</v>
      </c>
      <c r="M212" s="10" t="s">
        <v>154</v>
      </c>
    </row>
    <row r="213" spans="1:13" x14ac:dyDescent="0.25">
      <c r="A213" s="13" t="str">
        <f t="shared" si="6"/>
        <v>50714269230</v>
      </c>
      <c r="B213" s="10">
        <v>1004059599</v>
      </c>
      <c r="C213" s="10">
        <v>507142692</v>
      </c>
      <c r="D213" s="10">
        <v>30</v>
      </c>
      <c r="E213" s="10" t="s">
        <v>10</v>
      </c>
      <c r="F213" s="10">
        <v>1367372</v>
      </c>
      <c r="G213" s="10" t="s">
        <v>62</v>
      </c>
      <c r="H213" s="11">
        <v>25110</v>
      </c>
      <c r="I213" s="10">
        <v>0</v>
      </c>
      <c r="J213" s="11">
        <f t="shared" si="7"/>
        <v>25110</v>
      </c>
      <c r="K213" s="12">
        <f>VLOOKUP(A213,[2]VA05!$A:$K,11,FALSE)</f>
        <v>45567</v>
      </c>
      <c r="L213" s="10" t="s">
        <v>12</v>
      </c>
      <c r="M213" s="10" t="s">
        <v>154</v>
      </c>
    </row>
    <row r="214" spans="1:13" x14ac:dyDescent="0.25">
      <c r="A214" s="13" t="str">
        <f t="shared" si="6"/>
        <v>50714269230</v>
      </c>
      <c r="B214" s="10">
        <v>1004059600</v>
      </c>
      <c r="C214" s="10">
        <v>507142692</v>
      </c>
      <c r="D214" s="10">
        <v>30</v>
      </c>
      <c r="E214" s="10" t="s">
        <v>10</v>
      </c>
      <c r="F214" s="10">
        <v>1367372</v>
      </c>
      <c r="G214" s="10" t="s">
        <v>62</v>
      </c>
      <c r="H214" s="11">
        <v>25110</v>
      </c>
      <c r="I214" s="10">
        <v>0</v>
      </c>
      <c r="J214" s="11">
        <f t="shared" si="7"/>
        <v>25110</v>
      </c>
      <c r="K214" s="12">
        <f>VLOOKUP(A214,[2]VA05!$A:$K,11,FALSE)</f>
        <v>45567</v>
      </c>
      <c r="L214" s="10" t="s">
        <v>12</v>
      </c>
      <c r="M214" s="10" t="s">
        <v>154</v>
      </c>
    </row>
    <row r="215" spans="1:13" x14ac:dyDescent="0.25">
      <c r="A215" s="13" t="str">
        <f t="shared" si="6"/>
        <v>50714269230</v>
      </c>
      <c r="B215" s="10">
        <v>1004059601</v>
      </c>
      <c r="C215" s="10">
        <v>507142692</v>
      </c>
      <c r="D215" s="10">
        <v>30</v>
      </c>
      <c r="E215" s="10" t="s">
        <v>10</v>
      </c>
      <c r="F215" s="10">
        <v>1367372</v>
      </c>
      <c r="G215" s="10" t="s">
        <v>62</v>
      </c>
      <c r="H215" s="11">
        <v>24570</v>
      </c>
      <c r="I215" s="10">
        <v>0</v>
      </c>
      <c r="J215" s="11">
        <f t="shared" si="7"/>
        <v>24570</v>
      </c>
      <c r="K215" s="12">
        <f>VLOOKUP(A215,[2]VA05!$A:$K,11,FALSE)</f>
        <v>45567</v>
      </c>
      <c r="L215" s="10" t="s">
        <v>12</v>
      </c>
      <c r="M215" s="10" t="s">
        <v>154</v>
      </c>
    </row>
    <row r="216" spans="1:13" x14ac:dyDescent="0.25">
      <c r="A216" s="13" t="str">
        <f t="shared" si="6"/>
        <v>50714263860</v>
      </c>
      <c r="B216" s="10">
        <v>1004049845</v>
      </c>
      <c r="C216" s="10">
        <v>507142638</v>
      </c>
      <c r="D216" s="10">
        <v>60</v>
      </c>
      <c r="E216" s="10" t="s">
        <v>10</v>
      </c>
      <c r="F216" s="10">
        <v>1361175</v>
      </c>
      <c r="G216" s="10" t="s">
        <v>22</v>
      </c>
      <c r="H216" s="11">
        <v>36850</v>
      </c>
      <c r="I216" s="11">
        <v>13370</v>
      </c>
      <c r="J216" s="11">
        <f t="shared" si="7"/>
        <v>23480</v>
      </c>
      <c r="K216" s="12">
        <f>VLOOKUP(A216,[2]VA05!$A:$K,11,FALSE)</f>
        <v>45560</v>
      </c>
      <c r="L216" s="10" t="s">
        <v>132</v>
      </c>
      <c r="M216" s="10" t="s">
        <v>143</v>
      </c>
    </row>
    <row r="217" spans="1:13" x14ac:dyDescent="0.25">
      <c r="A217" s="13" t="str">
        <f t="shared" si="6"/>
        <v>50714263860</v>
      </c>
      <c r="B217" s="10">
        <v>1004049846</v>
      </c>
      <c r="C217" s="10">
        <v>507142638</v>
      </c>
      <c r="D217" s="10">
        <v>60</v>
      </c>
      <c r="E217" s="10" t="s">
        <v>10</v>
      </c>
      <c r="F217" s="10">
        <v>1361175</v>
      </c>
      <c r="G217" s="10" t="s">
        <v>22</v>
      </c>
      <c r="H217" s="11">
        <v>36190</v>
      </c>
      <c r="I217" s="10">
        <v>0</v>
      </c>
      <c r="J217" s="11">
        <f t="shared" si="7"/>
        <v>36190</v>
      </c>
      <c r="K217" s="12">
        <f>VLOOKUP(A217,[2]VA05!$A:$K,11,FALSE)</f>
        <v>45560</v>
      </c>
      <c r="L217" s="10" t="s">
        <v>241</v>
      </c>
      <c r="M217" s="10" t="s">
        <v>97</v>
      </c>
    </row>
    <row r="218" spans="1:13" hidden="1" x14ac:dyDescent="0.25">
      <c r="A218" s="13" t="str">
        <f t="shared" si="6"/>
        <v>50714269220</v>
      </c>
      <c r="B218" s="10">
        <v>1004057896</v>
      </c>
      <c r="C218" s="10">
        <v>507142692</v>
      </c>
      <c r="D218" s="10">
        <v>20</v>
      </c>
      <c r="E218" s="10" t="s">
        <v>10</v>
      </c>
      <c r="F218" s="10">
        <v>1367370</v>
      </c>
      <c r="G218" s="10" t="s">
        <v>63</v>
      </c>
      <c r="H218" s="11">
        <v>25920</v>
      </c>
      <c r="I218" s="11">
        <v>25920</v>
      </c>
      <c r="J218" s="11">
        <f t="shared" si="7"/>
        <v>0</v>
      </c>
      <c r="K218" s="12">
        <f>VLOOKUP(A218,[2]VA05!$A:$K,11,FALSE)</f>
        <v>45567</v>
      </c>
      <c r="L218" s="10" t="s">
        <v>34</v>
      </c>
      <c r="M218" s="10" t="s">
        <v>154</v>
      </c>
    </row>
    <row r="219" spans="1:13" x14ac:dyDescent="0.25">
      <c r="A219" s="13" t="str">
        <f t="shared" si="6"/>
        <v>50714269220</v>
      </c>
      <c r="B219" s="10">
        <v>1004057897</v>
      </c>
      <c r="C219" s="10">
        <v>507142692</v>
      </c>
      <c r="D219" s="10">
        <v>20</v>
      </c>
      <c r="E219" s="10" t="s">
        <v>10</v>
      </c>
      <c r="F219" s="10">
        <v>1367370</v>
      </c>
      <c r="G219" s="10" t="s">
        <v>63</v>
      </c>
      <c r="H219" s="11">
        <v>32400</v>
      </c>
      <c r="I219" s="11">
        <v>16200</v>
      </c>
      <c r="J219" s="11">
        <f t="shared" si="7"/>
        <v>16200</v>
      </c>
      <c r="K219" s="12">
        <f>VLOOKUP(A219,[2]VA05!$A:$K,11,FALSE)</f>
        <v>45567</v>
      </c>
      <c r="L219" s="10" t="s">
        <v>11</v>
      </c>
      <c r="M219" s="10" t="s">
        <v>194</v>
      </c>
    </row>
    <row r="220" spans="1:13" x14ac:dyDescent="0.25">
      <c r="A220" s="13" t="str">
        <f t="shared" si="6"/>
        <v>50714263830</v>
      </c>
      <c r="B220" s="10">
        <v>1004043125</v>
      </c>
      <c r="C220" s="10">
        <v>507142638</v>
      </c>
      <c r="D220" s="10">
        <v>30</v>
      </c>
      <c r="E220" s="10" t="s">
        <v>10</v>
      </c>
      <c r="F220" s="10">
        <v>1361213</v>
      </c>
      <c r="G220" s="10" t="s">
        <v>23</v>
      </c>
      <c r="H220" s="11">
        <v>113465</v>
      </c>
      <c r="I220" s="11">
        <v>61000</v>
      </c>
      <c r="J220" s="11">
        <f t="shared" si="7"/>
        <v>52465</v>
      </c>
      <c r="K220" s="12" t="e">
        <f>VLOOKUP(A220,[2]VA05!$A:$K,11,FALSE)</f>
        <v>#N/A</v>
      </c>
      <c r="L220" s="10" t="s">
        <v>18</v>
      </c>
      <c r="M220" s="10" t="s">
        <v>195</v>
      </c>
    </row>
    <row r="221" spans="1:13" x14ac:dyDescent="0.25">
      <c r="A221" s="13" t="str">
        <f t="shared" si="6"/>
        <v>50714263850</v>
      </c>
      <c r="B221" s="10">
        <v>1004043126</v>
      </c>
      <c r="C221" s="10">
        <v>507142638</v>
      </c>
      <c r="D221" s="10">
        <v>50</v>
      </c>
      <c r="E221" s="10" t="s">
        <v>10</v>
      </c>
      <c r="F221" s="10">
        <v>1361213</v>
      </c>
      <c r="G221" s="10" t="s">
        <v>23</v>
      </c>
      <c r="H221" s="11">
        <v>113187</v>
      </c>
      <c r="I221" s="10">
        <v>0</v>
      </c>
      <c r="J221" s="11">
        <f t="shared" si="7"/>
        <v>113187</v>
      </c>
      <c r="K221" s="12">
        <f>VLOOKUP(A221,[2]VA05!$A:$K,11,FALSE)</f>
        <v>45560</v>
      </c>
      <c r="L221" s="10" t="s">
        <v>12</v>
      </c>
      <c r="M221" s="10" t="s">
        <v>111</v>
      </c>
    </row>
    <row r="222" spans="1:13" x14ac:dyDescent="0.25">
      <c r="A222" s="13" t="str">
        <f t="shared" si="6"/>
        <v>50714273810</v>
      </c>
      <c r="B222" s="10">
        <v>1004053617</v>
      </c>
      <c r="C222" s="10">
        <v>507142738</v>
      </c>
      <c r="D222" s="10">
        <v>10</v>
      </c>
      <c r="E222" s="10" t="s">
        <v>10</v>
      </c>
      <c r="F222" s="10">
        <v>1361213</v>
      </c>
      <c r="G222" s="10" t="s">
        <v>23</v>
      </c>
      <c r="H222" s="11">
        <v>113468</v>
      </c>
      <c r="I222" s="10">
        <v>0</v>
      </c>
      <c r="J222" s="11">
        <f t="shared" si="7"/>
        <v>113468</v>
      </c>
      <c r="K222" s="12">
        <f>VLOOKUP(A222,[2]VA05!$A:$K,11,FALSE)</f>
        <v>45567</v>
      </c>
      <c r="L222" s="10" t="s">
        <v>12</v>
      </c>
      <c r="M222" s="10" t="s">
        <v>130</v>
      </c>
    </row>
    <row r="223" spans="1:13" x14ac:dyDescent="0.25">
      <c r="A223" s="13" t="str">
        <f t="shared" si="6"/>
        <v>50714279010</v>
      </c>
      <c r="B223" s="10">
        <v>1004053618</v>
      </c>
      <c r="C223" s="10">
        <v>507142790</v>
      </c>
      <c r="D223" s="10">
        <v>10</v>
      </c>
      <c r="E223" s="10" t="s">
        <v>10</v>
      </c>
      <c r="F223" s="10">
        <v>1361213</v>
      </c>
      <c r="G223" s="10" t="s">
        <v>23</v>
      </c>
      <c r="H223" s="11">
        <v>113465</v>
      </c>
      <c r="I223" s="10">
        <v>0</v>
      </c>
      <c r="J223" s="11">
        <f t="shared" si="7"/>
        <v>113465</v>
      </c>
      <c r="K223" s="12">
        <f>VLOOKUP(A223,[2]VA05!$A:$K,11,FALSE)</f>
        <v>45583</v>
      </c>
      <c r="L223" s="10" t="s">
        <v>12</v>
      </c>
      <c r="M223" s="10" t="s">
        <v>180</v>
      </c>
    </row>
    <row r="224" spans="1:13" hidden="1" x14ac:dyDescent="0.25">
      <c r="A224" s="13" t="str">
        <f t="shared" si="6"/>
        <v>50714263750</v>
      </c>
      <c r="B224" s="10">
        <v>1004053626</v>
      </c>
      <c r="C224" s="10">
        <v>507142637</v>
      </c>
      <c r="D224" s="10">
        <v>50</v>
      </c>
      <c r="E224" s="10" t="s">
        <v>10</v>
      </c>
      <c r="F224" s="10">
        <v>1408740</v>
      </c>
      <c r="G224" s="10" t="s">
        <v>104</v>
      </c>
      <c r="H224" s="11">
        <v>27540</v>
      </c>
      <c r="I224" s="11">
        <v>27540</v>
      </c>
      <c r="J224" s="11">
        <f t="shared" si="7"/>
        <v>0</v>
      </c>
      <c r="K224" s="12">
        <f>VLOOKUP(A224,[2]VA05!$A:$K,11,FALSE)</f>
        <v>45552</v>
      </c>
      <c r="L224" s="10" t="s">
        <v>118</v>
      </c>
      <c r="M224" s="10" t="s">
        <v>154</v>
      </c>
    </row>
    <row r="225" spans="1:13" x14ac:dyDescent="0.25">
      <c r="A225" s="13" t="str">
        <f t="shared" si="6"/>
        <v>50714263750</v>
      </c>
      <c r="B225" s="10">
        <v>1004053627</v>
      </c>
      <c r="C225" s="10">
        <v>507142637</v>
      </c>
      <c r="D225" s="10">
        <v>50</v>
      </c>
      <c r="E225" s="10" t="s">
        <v>10</v>
      </c>
      <c r="F225" s="10">
        <v>1408740</v>
      </c>
      <c r="G225" s="10" t="s">
        <v>104</v>
      </c>
      <c r="H225" s="11">
        <v>27540</v>
      </c>
      <c r="I225" s="11">
        <v>14580</v>
      </c>
      <c r="J225" s="11">
        <f t="shared" si="7"/>
        <v>12960</v>
      </c>
      <c r="K225" s="12">
        <f>VLOOKUP(A225,[2]VA05!$A:$K,11,FALSE)</f>
        <v>45552</v>
      </c>
      <c r="L225" s="10" t="s">
        <v>18</v>
      </c>
      <c r="M225" s="10" t="s">
        <v>194</v>
      </c>
    </row>
    <row r="226" spans="1:13" x14ac:dyDescent="0.25">
      <c r="A226" s="13" t="str">
        <f t="shared" si="6"/>
        <v>50714263750</v>
      </c>
      <c r="B226" s="10">
        <v>1004053628</v>
      </c>
      <c r="C226" s="10">
        <v>507142637</v>
      </c>
      <c r="D226" s="10">
        <v>50</v>
      </c>
      <c r="E226" s="10" t="s">
        <v>10</v>
      </c>
      <c r="F226" s="10">
        <v>1408740</v>
      </c>
      <c r="G226" s="10" t="s">
        <v>104</v>
      </c>
      <c r="H226" s="11">
        <v>27540</v>
      </c>
      <c r="I226" s="10">
        <v>0</v>
      </c>
      <c r="J226" s="11">
        <f t="shared" si="7"/>
        <v>27540</v>
      </c>
      <c r="K226" s="12">
        <f>VLOOKUP(A226,[2]VA05!$A:$K,11,FALSE)</f>
        <v>45552</v>
      </c>
      <c r="L226" s="10" t="s">
        <v>25</v>
      </c>
      <c r="M226" s="10" t="s">
        <v>154</v>
      </c>
    </row>
    <row r="227" spans="1:13" x14ac:dyDescent="0.25">
      <c r="A227" s="13" t="str">
        <f t="shared" si="6"/>
        <v>50714263750</v>
      </c>
      <c r="B227" s="10">
        <v>1004053629</v>
      </c>
      <c r="C227" s="10">
        <v>507142637</v>
      </c>
      <c r="D227" s="10">
        <v>50</v>
      </c>
      <c r="E227" s="10" t="s">
        <v>10</v>
      </c>
      <c r="F227" s="10">
        <v>1408740</v>
      </c>
      <c r="G227" s="10" t="s">
        <v>104</v>
      </c>
      <c r="H227" s="11">
        <v>27270</v>
      </c>
      <c r="I227" s="10">
        <v>0</v>
      </c>
      <c r="J227" s="11">
        <f t="shared" si="7"/>
        <v>27270</v>
      </c>
      <c r="K227" s="12">
        <f>VLOOKUP(A227,[2]VA05!$A:$K,11,FALSE)</f>
        <v>45552</v>
      </c>
      <c r="L227" s="10" t="s">
        <v>25</v>
      </c>
      <c r="M227" s="10" t="s">
        <v>154</v>
      </c>
    </row>
    <row r="228" spans="1:13" x14ac:dyDescent="0.25">
      <c r="A228" s="13" t="str">
        <f t="shared" si="6"/>
        <v>50714263760</v>
      </c>
      <c r="B228" s="10">
        <v>1004053632</v>
      </c>
      <c r="C228" s="10">
        <v>507142637</v>
      </c>
      <c r="D228" s="10">
        <v>60</v>
      </c>
      <c r="E228" s="10" t="s">
        <v>10</v>
      </c>
      <c r="F228" s="10">
        <v>1408739</v>
      </c>
      <c r="G228" s="10" t="s">
        <v>37</v>
      </c>
      <c r="H228" s="11">
        <v>27864</v>
      </c>
      <c r="I228" s="11">
        <v>20088</v>
      </c>
      <c r="J228" s="11">
        <f t="shared" si="7"/>
        <v>7776</v>
      </c>
      <c r="K228" s="12">
        <f>VLOOKUP(A228,[2]VA05!$A:$K,11,FALSE)</f>
        <v>45553</v>
      </c>
      <c r="L228" s="10" t="s">
        <v>132</v>
      </c>
      <c r="M228" s="10" t="s">
        <v>155</v>
      </c>
    </row>
    <row r="229" spans="1:13" x14ac:dyDescent="0.25">
      <c r="A229" s="13" t="str">
        <f t="shared" si="6"/>
        <v>50714263760</v>
      </c>
      <c r="B229" s="10">
        <v>1004053633</v>
      </c>
      <c r="C229" s="10">
        <v>507142637</v>
      </c>
      <c r="D229" s="10">
        <v>60</v>
      </c>
      <c r="E229" s="10" t="s">
        <v>10</v>
      </c>
      <c r="F229" s="10">
        <v>1408739</v>
      </c>
      <c r="G229" s="10" t="s">
        <v>37</v>
      </c>
      <c r="H229" s="11">
        <v>26298</v>
      </c>
      <c r="I229" s="10">
        <v>0</v>
      </c>
      <c r="J229" s="11">
        <f t="shared" si="7"/>
        <v>26298</v>
      </c>
      <c r="K229" s="12">
        <f>VLOOKUP(A229,[2]VA05!$A:$K,11,FALSE)</f>
        <v>45553</v>
      </c>
      <c r="L229" s="10" t="s">
        <v>132</v>
      </c>
      <c r="M229" s="10" t="s">
        <v>195</v>
      </c>
    </row>
    <row r="230" spans="1:13" x14ac:dyDescent="0.25">
      <c r="A230" s="13" t="str">
        <f t="shared" si="6"/>
        <v>50714269820</v>
      </c>
      <c r="B230" s="10">
        <v>1004059594</v>
      </c>
      <c r="C230" s="10">
        <v>507142698</v>
      </c>
      <c r="D230" s="10">
        <v>20</v>
      </c>
      <c r="E230" s="10" t="s">
        <v>10</v>
      </c>
      <c r="F230" s="10">
        <v>1408739</v>
      </c>
      <c r="G230" s="10" t="s">
        <v>37</v>
      </c>
      <c r="H230" s="11">
        <v>27864</v>
      </c>
      <c r="I230" s="10">
        <v>0</v>
      </c>
      <c r="J230" s="11">
        <f t="shared" si="7"/>
        <v>27864</v>
      </c>
      <c r="K230" s="12">
        <f>VLOOKUP(A230,[2]VA05!$A:$K,11,FALSE)</f>
        <v>45553</v>
      </c>
      <c r="L230" s="10" t="s">
        <v>242</v>
      </c>
      <c r="M230" s="10" t="s">
        <v>194</v>
      </c>
    </row>
    <row r="231" spans="1:13" x14ac:dyDescent="0.25">
      <c r="A231" s="13" t="str">
        <f t="shared" si="6"/>
        <v>50714269820</v>
      </c>
      <c r="B231" s="10">
        <v>1004059595</v>
      </c>
      <c r="C231" s="10">
        <v>507142698</v>
      </c>
      <c r="D231" s="10">
        <v>20</v>
      </c>
      <c r="E231" s="10" t="s">
        <v>10</v>
      </c>
      <c r="F231" s="10">
        <v>1408739</v>
      </c>
      <c r="G231" s="10" t="s">
        <v>37</v>
      </c>
      <c r="H231" s="11">
        <v>27864</v>
      </c>
      <c r="I231" s="10">
        <v>0</v>
      </c>
      <c r="J231" s="11">
        <f t="shared" si="7"/>
        <v>27864</v>
      </c>
      <c r="K231" s="12">
        <f>VLOOKUP(A231,[2]VA05!$A:$K,11,FALSE)</f>
        <v>45553</v>
      </c>
      <c r="L231" s="10" t="s">
        <v>254</v>
      </c>
      <c r="M231" s="10" t="s">
        <v>156</v>
      </c>
    </row>
    <row r="232" spans="1:13" x14ac:dyDescent="0.25">
      <c r="A232" s="13" t="str">
        <f t="shared" si="6"/>
        <v>50714269820</v>
      </c>
      <c r="B232" s="10">
        <v>1004059596</v>
      </c>
      <c r="C232" s="10">
        <v>507142698</v>
      </c>
      <c r="D232" s="10">
        <v>20</v>
      </c>
      <c r="E232" s="10" t="s">
        <v>10</v>
      </c>
      <c r="F232" s="10">
        <v>1408739</v>
      </c>
      <c r="G232" s="10" t="s">
        <v>37</v>
      </c>
      <c r="H232" s="11">
        <v>27864</v>
      </c>
      <c r="I232" s="10">
        <v>0</v>
      </c>
      <c r="J232" s="11">
        <f t="shared" si="7"/>
        <v>27864</v>
      </c>
      <c r="K232" s="12">
        <f>VLOOKUP(A232,[2]VA05!$A:$K,11,FALSE)</f>
        <v>45553</v>
      </c>
      <c r="L232" s="10" t="s">
        <v>254</v>
      </c>
      <c r="M232" s="10" t="s">
        <v>156</v>
      </c>
    </row>
    <row r="233" spans="1:13" x14ac:dyDescent="0.25">
      <c r="A233" s="13" t="str">
        <f t="shared" si="6"/>
        <v>50714269820</v>
      </c>
      <c r="B233" s="10">
        <v>1004059597</v>
      </c>
      <c r="C233" s="10">
        <v>507142698</v>
      </c>
      <c r="D233" s="10">
        <v>20</v>
      </c>
      <c r="E233" s="10" t="s">
        <v>10</v>
      </c>
      <c r="F233" s="10">
        <v>1408739</v>
      </c>
      <c r="G233" s="10" t="s">
        <v>37</v>
      </c>
      <c r="H233" s="11">
        <v>26568</v>
      </c>
      <c r="I233" s="10">
        <v>0</v>
      </c>
      <c r="J233" s="11">
        <f t="shared" si="7"/>
        <v>26568</v>
      </c>
      <c r="K233" s="12">
        <f>VLOOKUP(A233,[2]VA05!$A:$K,11,FALSE)</f>
        <v>45553</v>
      </c>
      <c r="L233" s="10" t="s">
        <v>254</v>
      </c>
      <c r="M233" s="10" t="s">
        <v>156</v>
      </c>
    </row>
    <row r="234" spans="1:13" x14ac:dyDescent="0.25">
      <c r="A234" s="13" t="str">
        <f t="shared" si="6"/>
        <v>50714269810</v>
      </c>
      <c r="B234" s="10">
        <v>1004041361</v>
      </c>
      <c r="C234" s="10">
        <v>507142698</v>
      </c>
      <c r="D234" s="10">
        <v>10</v>
      </c>
      <c r="E234" s="10" t="s">
        <v>10</v>
      </c>
      <c r="F234" s="10">
        <v>1408742</v>
      </c>
      <c r="G234" s="10" t="s">
        <v>38</v>
      </c>
      <c r="H234" s="11">
        <v>113465</v>
      </c>
      <c r="I234" s="11">
        <v>49100</v>
      </c>
      <c r="J234" s="11">
        <f t="shared" si="7"/>
        <v>64365</v>
      </c>
      <c r="K234" s="12">
        <f>VLOOKUP(A234,[2]VA05!$A:$K,11,FALSE)</f>
        <v>45553</v>
      </c>
      <c r="L234" s="10" t="s">
        <v>18</v>
      </c>
      <c r="M234" s="10" t="s">
        <v>154</v>
      </c>
    </row>
    <row r="235" spans="1:13" x14ac:dyDescent="0.25">
      <c r="A235" s="13" t="str">
        <f t="shared" si="6"/>
        <v>50714275710</v>
      </c>
      <c r="B235" s="10">
        <v>1004054925</v>
      </c>
      <c r="C235" s="10">
        <v>507142757</v>
      </c>
      <c r="D235" s="10">
        <v>10</v>
      </c>
      <c r="E235" s="10" t="s">
        <v>10</v>
      </c>
      <c r="F235" s="10">
        <v>1411702</v>
      </c>
      <c r="G235" s="10" t="s">
        <v>221</v>
      </c>
      <c r="H235" s="11">
        <v>74055</v>
      </c>
      <c r="I235" s="11">
        <v>53660</v>
      </c>
      <c r="J235" s="11">
        <f t="shared" si="7"/>
        <v>20395</v>
      </c>
      <c r="K235" s="12">
        <f>VLOOKUP(A235,[2]VA05!$A:$K,11,FALSE)</f>
        <v>45567</v>
      </c>
      <c r="L235" s="10" t="s">
        <v>11</v>
      </c>
      <c r="M235" s="10" t="s">
        <v>61</v>
      </c>
    </row>
    <row r="236" spans="1:13" x14ac:dyDescent="0.25">
      <c r="A236" s="13" t="str">
        <f t="shared" si="6"/>
        <v>50714275730</v>
      </c>
      <c r="B236" s="10">
        <v>1004054926</v>
      </c>
      <c r="C236" s="10">
        <v>507142757</v>
      </c>
      <c r="D236" s="10">
        <v>30</v>
      </c>
      <c r="E236" s="10" t="s">
        <v>10</v>
      </c>
      <c r="F236" s="10">
        <v>1411702</v>
      </c>
      <c r="G236" s="10" t="s">
        <v>221</v>
      </c>
      <c r="H236" s="11">
        <v>126758</v>
      </c>
      <c r="I236" s="10">
        <v>0</v>
      </c>
      <c r="J236" s="11">
        <f t="shared" si="7"/>
        <v>126758</v>
      </c>
      <c r="K236" s="12">
        <f>VLOOKUP(A236,[2]VA05!$A:$K,11,FALSE)</f>
        <v>45574</v>
      </c>
      <c r="L236" s="10" t="s">
        <v>12</v>
      </c>
      <c r="M236" s="10" t="s">
        <v>61</v>
      </c>
    </row>
    <row r="237" spans="1:13" x14ac:dyDescent="0.25">
      <c r="A237" s="13" t="str">
        <f t="shared" si="6"/>
        <v>50714275750</v>
      </c>
      <c r="B237" s="10">
        <v>1004054927</v>
      </c>
      <c r="C237" s="10">
        <v>507142757</v>
      </c>
      <c r="D237" s="10">
        <v>50</v>
      </c>
      <c r="E237" s="10" t="s">
        <v>10</v>
      </c>
      <c r="F237" s="10">
        <v>1411702</v>
      </c>
      <c r="G237" s="10" t="s">
        <v>221</v>
      </c>
      <c r="H237" s="11">
        <v>63514</v>
      </c>
      <c r="I237" s="10">
        <v>0</v>
      </c>
      <c r="J237" s="11">
        <f t="shared" si="7"/>
        <v>63514</v>
      </c>
      <c r="K237" s="12">
        <f>VLOOKUP(A237,[2]VA05!$A:$K,11,FALSE)</f>
        <v>45587</v>
      </c>
      <c r="L237" s="10" t="s">
        <v>12</v>
      </c>
      <c r="M237" s="10" t="s">
        <v>156</v>
      </c>
    </row>
    <row r="238" spans="1:13" x14ac:dyDescent="0.25">
      <c r="A238" s="13" t="str">
        <f t="shared" si="6"/>
        <v>50714275670</v>
      </c>
      <c r="B238" s="10">
        <v>1004052383</v>
      </c>
      <c r="C238" s="10">
        <v>507142756</v>
      </c>
      <c r="D238" s="10">
        <v>70</v>
      </c>
      <c r="E238" s="10" t="s">
        <v>10</v>
      </c>
      <c r="F238" s="10">
        <v>1411902</v>
      </c>
      <c r="G238" s="10" t="s">
        <v>151</v>
      </c>
      <c r="H238" s="11">
        <v>126758</v>
      </c>
      <c r="I238" s="11">
        <v>51462</v>
      </c>
      <c r="J238" s="11">
        <f t="shared" si="7"/>
        <v>75296</v>
      </c>
      <c r="K238" s="12">
        <f>VLOOKUP(A238,[2]VA05!$A:$K,11,FALSE)</f>
        <v>45582</v>
      </c>
      <c r="L238" s="10" t="s">
        <v>18</v>
      </c>
      <c r="M238" s="10" t="s">
        <v>201</v>
      </c>
    </row>
    <row r="239" spans="1:13" x14ac:dyDescent="0.25">
      <c r="A239" s="13" t="str">
        <f t="shared" si="6"/>
        <v>50714275690</v>
      </c>
      <c r="B239" s="10">
        <v>1004052384</v>
      </c>
      <c r="C239" s="10">
        <v>507142756</v>
      </c>
      <c r="D239" s="10">
        <v>90</v>
      </c>
      <c r="E239" s="10" t="s">
        <v>10</v>
      </c>
      <c r="F239" s="10">
        <v>1411902</v>
      </c>
      <c r="G239" s="10" t="s">
        <v>151</v>
      </c>
      <c r="H239" s="11">
        <v>68920</v>
      </c>
      <c r="I239" s="10">
        <v>0</v>
      </c>
      <c r="J239" s="11">
        <f t="shared" si="7"/>
        <v>68920</v>
      </c>
      <c r="K239" s="12">
        <f>VLOOKUP(A239,[2]VA05!$A:$K,11,FALSE)</f>
        <v>45588</v>
      </c>
      <c r="L239" s="10" t="s">
        <v>12</v>
      </c>
      <c r="M239" s="10" t="s">
        <v>194</v>
      </c>
    </row>
    <row r="240" spans="1:13" x14ac:dyDescent="0.25">
      <c r="A240" s="13" t="str">
        <f t="shared" si="6"/>
        <v>50714275720</v>
      </c>
      <c r="B240" s="10">
        <v>1004052373</v>
      </c>
      <c r="C240" s="10">
        <v>507142757</v>
      </c>
      <c r="D240" s="10">
        <v>20</v>
      </c>
      <c r="E240" s="10" t="s">
        <v>10</v>
      </c>
      <c r="F240" s="10">
        <v>1411705</v>
      </c>
      <c r="G240" s="10" t="s">
        <v>189</v>
      </c>
      <c r="H240" s="11">
        <v>75493</v>
      </c>
      <c r="I240" s="11">
        <v>43600</v>
      </c>
      <c r="J240" s="11">
        <f t="shared" si="7"/>
        <v>31893</v>
      </c>
      <c r="K240" s="12">
        <f>VLOOKUP(A240,[2]VA05!$A:$K,11,FALSE)</f>
        <v>45567</v>
      </c>
      <c r="L240" s="10" t="s">
        <v>11</v>
      </c>
      <c r="M240" s="10" t="s">
        <v>143</v>
      </c>
    </row>
    <row r="241" spans="1:13" x14ac:dyDescent="0.25">
      <c r="A241" s="13" t="str">
        <f t="shared" si="6"/>
        <v>50714275740</v>
      </c>
      <c r="B241" s="10">
        <v>1004052374</v>
      </c>
      <c r="C241" s="10">
        <v>507142757</v>
      </c>
      <c r="D241" s="10">
        <v>40</v>
      </c>
      <c r="E241" s="10" t="s">
        <v>10</v>
      </c>
      <c r="F241" s="10">
        <v>1411705</v>
      </c>
      <c r="G241" s="10" t="s">
        <v>189</v>
      </c>
      <c r="H241" s="11">
        <v>129220</v>
      </c>
      <c r="I241" s="10">
        <v>0</v>
      </c>
      <c r="J241" s="11">
        <f t="shared" si="7"/>
        <v>129220</v>
      </c>
      <c r="K241" s="12">
        <f>VLOOKUP(A241,[2]VA05!$A:$K,11,FALSE)</f>
        <v>45574</v>
      </c>
      <c r="L241" s="10" t="s">
        <v>12</v>
      </c>
      <c r="M241" s="10" t="s">
        <v>143</v>
      </c>
    </row>
    <row r="242" spans="1:13" x14ac:dyDescent="0.25">
      <c r="A242" s="13" t="str">
        <f t="shared" si="6"/>
        <v>50714275760</v>
      </c>
      <c r="B242" s="10">
        <v>1004052375</v>
      </c>
      <c r="C242" s="10">
        <v>507142757</v>
      </c>
      <c r="D242" s="10">
        <v>60</v>
      </c>
      <c r="E242" s="10" t="s">
        <v>10</v>
      </c>
      <c r="F242" s="10">
        <v>1411705</v>
      </c>
      <c r="G242" s="10" t="s">
        <v>189</v>
      </c>
      <c r="H242" s="11">
        <v>64748</v>
      </c>
      <c r="I242" s="10">
        <v>0</v>
      </c>
      <c r="J242" s="11">
        <f t="shared" si="7"/>
        <v>64748</v>
      </c>
      <c r="K242" s="12">
        <f>VLOOKUP(A242,[2]VA05!$A:$K,11,FALSE)</f>
        <v>45587</v>
      </c>
      <c r="L242" s="10" t="s">
        <v>12</v>
      </c>
      <c r="M242" s="10" t="s">
        <v>156</v>
      </c>
    </row>
    <row r="243" spans="1:13" x14ac:dyDescent="0.25">
      <c r="A243" s="13" t="str">
        <f t="shared" si="6"/>
        <v>50714275780</v>
      </c>
      <c r="B243" s="10">
        <v>1004052376</v>
      </c>
      <c r="C243" s="10">
        <v>507142757</v>
      </c>
      <c r="D243" s="10">
        <v>80</v>
      </c>
      <c r="E243" s="10" t="s">
        <v>10</v>
      </c>
      <c r="F243" s="10">
        <v>1411705</v>
      </c>
      <c r="G243" s="10" t="s">
        <v>189</v>
      </c>
      <c r="H243" s="11">
        <v>23145</v>
      </c>
      <c r="I243" s="10">
        <v>0</v>
      </c>
      <c r="J243" s="11">
        <f t="shared" si="7"/>
        <v>23145</v>
      </c>
      <c r="K243" s="12">
        <f>VLOOKUP(A243,[2]VA05!$A:$K,11,FALSE)</f>
        <v>45594</v>
      </c>
      <c r="L243" s="10" t="s">
        <v>12</v>
      </c>
      <c r="M243" s="10" t="s">
        <v>176</v>
      </c>
    </row>
    <row r="244" spans="1:13" x14ac:dyDescent="0.25">
      <c r="A244" s="13" t="str">
        <f t="shared" si="6"/>
        <v>50714275680</v>
      </c>
      <c r="B244" s="10">
        <v>1004052371</v>
      </c>
      <c r="C244" s="10">
        <v>507142756</v>
      </c>
      <c r="D244" s="10">
        <v>80</v>
      </c>
      <c r="E244" s="10" t="s">
        <v>10</v>
      </c>
      <c r="F244" s="10">
        <v>1411900</v>
      </c>
      <c r="G244" s="10" t="s">
        <v>152</v>
      </c>
      <c r="H244" s="11">
        <v>129220</v>
      </c>
      <c r="I244" s="11">
        <v>40422</v>
      </c>
      <c r="J244" s="11">
        <f t="shared" si="7"/>
        <v>88798</v>
      </c>
      <c r="K244" s="12">
        <f>VLOOKUP(A244,[2]VA05!$A:$K,11,FALSE)</f>
        <v>45582</v>
      </c>
      <c r="L244" s="10" t="s">
        <v>18</v>
      </c>
      <c r="M244" s="10" t="s">
        <v>180</v>
      </c>
    </row>
    <row r="245" spans="1:13" x14ac:dyDescent="0.25">
      <c r="A245" s="13" t="str">
        <f t="shared" si="6"/>
        <v>507142756100</v>
      </c>
      <c r="B245" s="10">
        <v>1004052372</v>
      </c>
      <c r="C245" s="10">
        <v>507142756</v>
      </c>
      <c r="D245" s="10">
        <v>100</v>
      </c>
      <c r="E245" s="10" t="s">
        <v>10</v>
      </c>
      <c r="F245" s="10">
        <v>1411900</v>
      </c>
      <c r="G245" s="10" t="s">
        <v>152</v>
      </c>
      <c r="H245" s="11">
        <v>70258</v>
      </c>
      <c r="I245" s="10">
        <v>0</v>
      </c>
      <c r="J245" s="11">
        <f t="shared" si="7"/>
        <v>70258</v>
      </c>
      <c r="K245" s="12">
        <f>VLOOKUP(A245,[2]VA05!$A:$K,11,FALSE)</f>
        <v>45588</v>
      </c>
      <c r="L245" s="10" t="s">
        <v>12</v>
      </c>
      <c r="M245" s="10" t="s">
        <v>178</v>
      </c>
    </row>
    <row r="246" spans="1:13" x14ac:dyDescent="0.25">
      <c r="A246" s="13" t="str">
        <f t="shared" si="6"/>
        <v>50714275710</v>
      </c>
      <c r="B246" s="10">
        <v>1004052377</v>
      </c>
      <c r="C246" s="10">
        <v>507142757</v>
      </c>
      <c r="D246" s="10">
        <v>10</v>
      </c>
      <c r="E246" s="10" t="s">
        <v>10</v>
      </c>
      <c r="F246" s="10">
        <v>1411703</v>
      </c>
      <c r="G246" s="10" t="s">
        <v>190</v>
      </c>
      <c r="H246" s="11">
        <v>71898</v>
      </c>
      <c r="I246" s="11">
        <v>25230</v>
      </c>
      <c r="J246" s="11">
        <f t="shared" si="7"/>
        <v>46668</v>
      </c>
      <c r="K246" s="12">
        <f>VLOOKUP(A246,[2]VA05!$A:$K,11,FALSE)</f>
        <v>45567</v>
      </c>
      <c r="L246" s="10" t="s">
        <v>11</v>
      </c>
      <c r="M246" s="10" t="s">
        <v>143</v>
      </c>
    </row>
    <row r="247" spans="1:13" x14ac:dyDescent="0.25">
      <c r="A247" s="13" t="str">
        <f t="shared" si="6"/>
        <v>50714275730</v>
      </c>
      <c r="B247" s="10">
        <v>1004052378</v>
      </c>
      <c r="C247" s="10">
        <v>507142757</v>
      </c>
      <c r="D247" s="10">
        <v>30</v>
      </c>
      <c r="E247" s="10" t="s">
        <v>10</v>
      </c>
      <c r="F247" s="10">
        <v>1411703</v>
      </c>
      <c r="G247" s="10" t="s">
        <v>190</v>
      </c>
      <c r="H247" s="11">
        <v>123066</v>
      </c>
      <c r="I247" s="10">
        <v>0</v>
      </c>
      <c r="J247" s="11">
        <f t="shared" si="7"/>
        <v>123066</v>
      </c>
      <c r="K247" s="12">
        <f>VLOOKUP(A247,[2]VA05!$A:$K,11,FALSE)</f>
        <v>45574</v>
      </c>
      <c r="L247" s="10" t="s">
        <v>12</v>
      </c>
      <c r="M247" s="10" t="s">
        <v>97</v>
      </c>
    </row>
    <row r="248" spans="1:13" x14ac:dyDescent="0.25">
      <c r="A248" s="13" t="str">
        <f t="shared" si="6"/>
        <v>50714275750</v>
      </c>
      <c r="B248" s="10">
        <v>1004052379</v>
      </c>
      <c r="C248" s="10">
        <v>507142757</v>
      </c>
      <c r="D248" s="10">
        <v>50</v>
      </c>
      <c r="E248" s="10" t="s">
        <v>10</v>
      </c>
      <c r="F248" s="10">
        <v>1411703</v>
      </c>
      <c r="G248" s="10" t="s">
        <v>190</v>
      </c>
      <c r="H248" s="11">
        <v>61664</v>
      </c>
      <c r="I248" s="10">
        <v>0</v>
      </c>
      <c r="J248" s="11">
        <f t="shared" si="7"/>
        <v>61664</v>
      </c>
      <c r="K248" s="12">
        <f>VLOOKUP(A248,[2]VA05!$A:$K,11,FALSE)</f>
        <v>45587</v>
      </c>
      <c r="L248" s="10" t="s">
        <v>12</v>
      </c>
      <c r="M248" s="10" t="s">
        <v>156</v>
      </c>
    </row>
    <row r="249" spans="1:13" x14ac:dyDescent="0.25">
      <c r="A249" s="13" t="str">
        <f t="shared" si="6"/>
        <v>50714275770</v>
      </c>
      <c r="B249" s="10">
        <v>1004052380</v>
      </c>
      <c r="C249" s="10">
        <v>507142757</v>
      </c>
      <c r="D249" s="10">
        <v>70</v>
      </c>
      <c r="E249" s="10" t="s">
        <v>10</v>
      </c>
      <c r="F249" s="10">
        <v>1411703</v>
      </c>
      <c r="G249" s="10" t="s">
        <v>190</v>
      </c>
      <c r="H249" s="11">
        <v>22042</v>
      </c>
      <c r="I249" s="10">
        <v>0</v>
      </c>
      <c r="J249" s="11">
        <f t="shared" si="7"/>
        <v>22042</v>
      </c>
      <c r="K249" s="12">
        <f>VLOOKUP(A249,[2]VA05!$A:$K,11,FALSE)</f>
        <v>45594</v>
      </c>
      <c r="L249" s="10" t="s">
        <v>12</v>
      </c>
      <c r="M249" s="10" t="s">
        <v>176</v>
      </c>
    </row>
    <row r="250" spans="1:13" x14ac:dyDescent="0.25">
      <c r="A250" s="13" t="str">
        <f t="shared" si="6"/>
        <v>50714275670</v>
      </c>
      <c r="B250" s="10">
        <v>1004052381</v>
      </c>
      <c r="C250" s="10">
        <v>507142756</v>
      </c>
      <c r="D250" s="10">
        <v>70</v>
      </c>
      <c r="E250" s="10" t="s">
        <v>10</v>
      </c>
      <c r="F250" s="10">
        <v>1411901</v>
      </c>
      <c r="G250" s="10" t="s">
        <v>153</v>
      </c>
      <c r="H250" s="11">
        <v>123066</v>
      </c>
      <c r="I250" s="11">
        <v>1660</v>
      </c>
      <c r="J250" s="11">
        <f t="shared" si="7"/>
        <v>121406</v>
      </c>
      <c r="K250" s="12">
        <f>VLOOKUP(A250,[2]VA05!$A:$K,11,FALSE)</f>
        <v>45582</v>
      </c>
      <c r="L250" s="10" t="s">
        <v>18</v>
      </c>
      <c r="M250" s="10" t="s">
        <v>154</v>
      </c>
    </row>
    <row r="251" spans="1:13" x14ac:dyDescent="0.25">
      <c r="A251" s="13" t="str">
        <f t="shared" si="6"/>
        <v>50714275690</v>
      </c>
      <c r="B251" s="10">
        <v>1004052382</v>
      </c>
      <c r="C251" s="10">
        <v>507142756</v>
      </c>
      <c r="D251" s="10">
        <v>90</v>
      </c>
      <c r="E251" s="10" t="s">
        <v>10</v>
      </c>
      <c r="F251" s="10">
        <v>1411901</v>
      </c>
      <c r="G251" s="10" t="s">
        <v>153</v>
      </c>
      <c r="H251" s="11">
        <v>66912</v>
      </c>
      <c r="I251" s="10">
        <v>0</v>
      </c>
      <c r="J251" s="11">
        <f t="shared" si="7"/>
        <v>66912</v>
      </c>
      <c r="K251" s="12">
        <f>VLOOKUP(A251,[2]VA05!$A:$K,11,FALSE)</f>
        <v>45588</v>
      </c>
      <c r="L251" s="10" t="s">
        <v>12</v>
      </c>
      <c r="M251" s="10" t="s">
        <v>156</v>
      </c>
    </row>
    <row r="252" spans="1:13" x14ac:dyDescent="0.25">
      <c r="A252" s="13" t="str">
        <f t="shared" si="6"/>
        <v>50714241650</v>
      </c>
      <c r="B252" s="10">
        <v>1004053565</v>
      </c>
      <c r="C252" s="10">
        <v>507142416</v>
      </c>
      <c r="D252" s="10">
        <v>50</v>
      </c>
      <c r="E252" s="10" t="s">
        <v>10</v>
      </c>
      <c r="F252" s="10">
        <v>1172059</v>
      </c>
      <c r="G252" s="10" t="s">
        <v>59</v>
      </c>
      <c r="H252" s="11">
        <v>10195</v>
      </c>
      <c r="I252" s="11">
        <v>7544</v>
      </c>
      <c r="J252" s="11">
        <f t="shared" si="7"/>
        <v>2651</v>
      </c>
      <c r="K252" s="12">
        <f>VLOOKUP(A252,[2]VA05!$A:$K,11,FALSE)</f>
        <v>45573</v>
      </c>
      <c r="L252" s="10" t="s">
        <v>18</v>
      </c>
      <c r="M252" s="10" t="s">
        <v>154</v>
      </c>
    </row>
    <row r="253" spans="1:13" x14ac:dyDescent="0.25">
      <c r="A253" s="13" t="str">
        <f t="shared" si="6"/>
        <v>50714241680</v>
      </c>
      <c r="B253" s="10">
        <v>1004053566</v>
      </c>
      <c r="C253" s="10">
        <v>507142416</v>
      </c>
      <c r="D253" s="10">
        <v>80</v>
      </c>
      <c r="E253" s="10" t="s">
        <v>10</v>
      </c>
      <c r="F253" s="10">
        <v>1172059</v>
      </c>
      <c r="G253" s="10" t="s">
        <v>59</v>
      </c>
      <c r="H253" s="11">
        <v>10195</v>
      </c>
      <c r="I253" s="10">
        <v>0</v>
      </c>
      <c r="J253" s="11">
        <f t="shared" si="7"/>
        <v>10195</v>
      </c>
      <c r="K253" s="12">
        <f>VLOOKUP(A253,[2]VA05!$A:$K,11,FALSE)</f>
        <v>45576</v>
      </c>
      <c r="L253" s="10" t="s">
        <v>12</v>
      </c>
      <c r="M253" s="10" t="s">
        <v>197</v>
      </c>
    </row>
    <row r="254" spans="1:13" x14ac:dyDescent="0.25">
      <c r="A254" s="13" t="str">
        <f t="shared" si="6"/>
        <v>507142416110</v>
      </c>
      <c r="B254" s="10">
        <v>1004053567</v>
      </c>
      <c r="C254" s="10">
        <v>507142416</v>
      </c>
      <c r="D254" s="10">
        <v>110</v>
      </c>
      <c r="E254" s="10" t="s">
        <v>10</v>
      </c>
      <c r="F254" s="10">
        <v>1172059</v>
      </c>
      <c r="G254" s="10" t="s">
        <v>59</v>
      </c>
      <c r="H254" s="11">
        <v>10195</v>
      </c>
      <c r="I254" s="10">
        <v>0</v>
      </c>
      <c r="J254" s="11">
        <f t="shared" si="7"/>
        <v>10195</v>
      </c>
      <c r="K254" s="12">
        <f>VLOOKUP(A254,[2]VA05!$A:$K,11,FALSE)</f>
        <v>45580</v>
      </c>
      <c r="L254" s="10" t="s">
        <v>12</v>
      </c>
      <c r="M254" s="10" t="s">
        <v>202</v>
      </c>
    </row>
    <row r="255" spans="1:13" x14ac:dyDescent="0.25">
      <c r="A255" s="13" t="str">
        <f t="shared" si="6"/>
        <v>507142416200</v>
      </c>
      <c r="B255" s="10">
        <v>1004053568</v>
      </c>
      <c r="C255" s="10">
        <v>507142416</v>
      </c>
      <c r="D255" s="10">
        <v>200</v>
      </c>
      <c r="E255" s="10" t="s">
        <v>10</v>
      </c>
      <c r="F255" s="10">
        <v>1172059</v>
      </c>
      <c r="G255" s="10" t="s">
        <v>59</v>
      </c>
      <c r="H255" s="11">
        <v>10195</v>
      </c>
      <c r="I255" s="10">
        <v>0</v>
      </c>
      <c r="J255" s="11">
        <f t="shared" si="7"/>
        <v>10195</v>
      </c>
      <c r="K255" s="12">
        <f>VLOOKUP(A255,[2]VA05!$A:$K,11,FALSE)</f>
        <v>45582</v>
      </c>
      <c r="L255" s="10" t="s">
        <v>12</v>
      </c>
      <c r="M255" s="10" t="s">
        <v>179</v>
      </c>
    </row>
    <row r="256" spans="1:13" x14ac:dyDescent="0.25">
      <c r="A256" s="13" t="str">
        <f t="shared" si="6"/>
        <v>507142416230</v>
      </c>
      <c r="B256" s="10">
        <v>1004053609</v>
      </c>
      <c r="C256" s="10">
        <v>507142416</v>
      </c>
      <c r="D256" s="10">
        <v>230</v>
      </c>
      <c r="E256" s="10" t="s">
        <v>10</v>
      </c>
      <c r="F256" s="10">
        <v>1172059</v>
      </c>
      <c r="G256" s="10" t="s">
        <v>59</v>
      </c>
      <c r="H256" s="11">
        <v>10195</v>
      </c>
      <c r="I256" s="10">
        <v>0</v>
      </c>
      <c r="J256" s="11">
        <f t="shared" si="7"/>
        <v>10195</v>
      </c>
      <c r="K256" s="12">
        <f>VLOOKUP(A256,[2]VA05!$A:$K,11,FALSE)</f>
        <v>45587</v>
      </c>
      <c r="L256" s="10" t="s">
        <v>12</v>
      </c>
      <c r="M256" s="10" t="s">
        <v>191</v>
      </c>
    </row>
    <row r="257" spans="1:13" x14ac:dyDescent="0.25">
      <c r="A257" s="13" t="str">
        <f t="shared" si="6"/>
        <v>50714267980</v>
      </c>
      <c r="B257" s="10">
        <v>1004053550</v>
      </c>
      <c r="C257" s="10">
        <v>507142679</v>
      </c>
      <c r="D257" s="10">
        <v>80</v>
      </c>
      <c r="E257" s="10" t="s">
        <v>10</v>
      </c>
      <c r="F257" s="10">
        <v>1167435</v>
      </c>
      <c r="G257" s="10" t="s">
        <v>26</v>
      </c>
      <c r="H257" s="11">
        <v>20260</v>
      </c>
      <c r="I257" s="11">
        <v>16550</v>
      </c>
      <c r="J257" s="11">
        <f t="shared" si="7"/>
        <v>3710</v>
      </c>
      <c r="K257" s="12" t="e">
        <f>VLOOKUP(A257,[2]VA05!$A:$K,11,FALSE)</f>
        <v>#N/A</v>
      </c>
      <c r="L257" s="10" t="s">
        <v>18</v>
      </c>
      <c r="M257" s="10" t="s">
        <v>195</v>
      </c>
    </row>
    <row r="258" spans="1:13" x14ac:dyDescent="0.25">
      <c r="A258" s="13" t="str">
        <f t="shared" si="6"/>
        <v>50714268040</v>
      </c>
      <c r="B258" s="10">
        <v>1004053551</v>
      </c>
      <c r="C258" s="10">
        <v>507142680</v>
      </c>
      <c r="D258" s="10">
        <v>40</v>
      </c>
      <c r="E258" s="10" t="s">
        <v>10</v>
      </c>
      <c r="F258" s="10">
        <v>1167435</v>
      </c>
      <c r="G258" s="10" t="s">
        <v>26</v>
      </c>
      <c r="H258" s="11">
        <v>25287</v>
      </c>
      <c r="I258" s="10">
        <v>0</v>
      </c>
      <c r="J258" s="11">
        <f t="shared" si="7"/>
        <v>25287</v>
      </c>
      <c r="K258" s="12">
        <f>VLOOKUP(A258,[2]VA05!$A:$K,11,FALSE)</f>
        <v>45569</v>
      </c>
      <c r="L258" s="10" t="s">
        <v>12</v>
      </c>
      <c r="M258" s="10" t="s">
        <v>180</v>
      </c>
    </row>
    <row r="259" spans="1:13" x14ac:dyDescent="0.25">
      <c r="A259" s="13" t="str">
        <f t="shared" si="6"/>
        <v>50714275420</v>
      </c>
      <c r="B259" s="10">
        <v>1004053562</v>
      </c>
      <c r="C259" s="10">
        <v>507142754</v>
      </c>
      <c r="D259" s="10">
        <v>20</v>
      </c>
      <c r="E259" s="10" t="s">
        <v>10</v>
      </c>
      <c r="F259" s="10">
        <v>1167435</v>
      </c>
      <c r="G259" s="10" t="s">
        <v>26</v>
      </c>
      <c r="H259" s="11">
        <v>20390</v>
      </c>
      <c r="I259" s="10">
        <v>0</v>
      </c>
      <c r="J259" s="11">
        <f t="shared" si="7"/>
        <v>20390</v>
      </c>
      <c r="K259" s="12">
        <f>VLOOKUP(A259,[2]VA05!$A:$K,11,FALSE)</f>
        <v>45611</v>
      </c>
      <c r="L259" s="10" t="s">
        <v>12</v>
      </c>
      <c r="M259" s="10" t="s">
        <v>217</v>
      </c>
    </row>
    <row r="260" spans="1:13" x14ac:dyDescent="0.25">
      <c r="A260" s="13" t="str">
        <f t="shared" ref="A260:A266" si="8">C260&amp;D260</f>
        <v>50714276930</v>
      </c>
      <c r="B260" s="10">
        <v>1004053564</v>
      </c>
      <c r="C260" s="10">
        <v>507142769</v>
      </c>
      <c r="D260" s="10">
        <v>30</v>
      </c>
      <c r="E260" s="10" t="s">
        <v>10</v>
      </c>
      <c r="F260" s="10">
        <v>1167435</v>
      </c>
      <c r="G260" s="10" t="s">
        <v>26</v>
      </c>
      <c r="H260" s="11">
        <v>30683</v>
      </c>
      <c r="I260" s="10">
        <v>0</v>
      </c>
      <c r="J260" s="11">
        <f t="shared" ref="J260:J266" si="9">H260-I260</f>
        <v>30683</v>
      </c>
      <c r="K260" s="12">
        <f>VLOOKUP(A260,[2]VA05!$A:$K,11,FALSE)</f>
        <v>45575</v>
      </c>
      <c r="L260" s="10" t="s">
        <v>12</v>
      </c>
      <c r="M260" s="10" t="s">
        <v>155</v>
      </c>
    </row>
    <row r="261" spans="1:13" x14ac:dyDescent="0.25">
      <c r="A261" s="13" t="str">
        <f t="shared" si="8"/>
        <v>50714283530</v>
      </c>
      <c r="B261" s="10">
        <v>1004060455</v>
      </c>
      <c r="C261" s="10">
        <v>507142835</v>
      </c>
      <c r="D261" s="10">
        <v>30</v>
      </c>
      <c r="E261" s="10" t="s">
        <v>10</v>
      </c>
      <c r="F261" s="10">
        <v>1167435</v>
      </c>
      <c r="G261" s="10" t="s">
        <v>26</v>
      </c>
      <c r="H261" s="11">
        <v>10277</v>
      </c>
      <c r="I261" s="10">
        <v>0</v>
      </c>
      <c r="J261" s="11">
        <f t="shared" si="9"/>
        <v>10277</v>
      </c>
      <c r="K261" s="12">
        <f>VLOOKUP(A261,[2]VA05!$A:$K,11,FALSE)</f>
        <v>45587</v>
      </c>
      <c r="L261" s="10" t="s">
        <v>12</v>
      </c>
      <c r="M261" s="10" t="s">
        <v>109</v>
      </c>
    </row>
    <row r="262" spans="1:13" x14ac:dyDescent="0.25">
      <c r="A262" s="13" t="str">
        <f t="shared" si="8"/>
        <v>50714226530</v>
      </c>
      <c r="B262" s="10">
        <v>1004060456</v>
      </c>
      <c r="C262" s="10">
        <v>507142265</v>
      </c>
      <c r="D262" s="10">
        <v>30</v>
      </c>
      <c r="E262" s="10" t="s">
        <v>10</v>
      </c>
      <c r="F262" s="10">
        <v>1170825</v>
      </c>
      <c r="G262" s="10" t="s">
        <v>252</v>
      </c>
      <c r="H262" s="11">
        <v>40524</v>
      </c>
      <c r="I262" s="10">
        <v>0</v>
      </c>
      <c r="J262" s="11">
        <f t="shared" si="9"/>
        <v>40524</v>
      </c>
      <c r="K262" s="12">
        <f>VLOOKUP(A262,[2]VA05!$A:$K,11,FALSE)</f>
        <v>45576</v>
      </c>
      <c r="L262" s="10" t="s">
        <v>12</v>
      </c>
      <c r="M262" s="10" t="s">
        <v>194</v>
      </c>
    </row>
    <row r="263" spans="1:13" x14ac:dyDescent="0.25">
      <c r="A263" s="13" t="str">
        <f t="shared" si="8"/>
        <v>50714262620</v>
      </c>
      <c r="B263" s="10">
        <v>1004060457</v>
      </c>
      <c r="C263" s="10">
        <v>507142626</v>
      </c>
      <c r="D263" s="10">
        <v>20</v>
      </c>
      <c r="E263" s="10" t="s">
        <v>10</v>
      </c>
      <c r="F263" s="10">
        <v>1170825</v>
      </c>
      <c r="G263" s="10" t="s">
        <v>252</v>
      </c>
      <c r="H263" s="11">
        <v>25425</v>
      </c>
      <c r="I263" s="10">
        <v>0</v>
      </c>
      <c r="J263" s="11">
        <f t="shared" si="9"/>
        <v>25425</v>
      </c>
      <c r="K263" s="12">
        <f>VLOOKUP(A263,[2]VA05!$A:$K,11,FALSE)</f>
        <v>45590</v>
      </c>
      <c r="L263" s="10" t="s">
        <v>12</v>
      </c>
      <c r="M263" s="10" t="s">
        <v>199</v>
      </c>
    </row>
    <row r="264" spans="1:13" x14ac:dyDescent="0.25">
      <c r="A264" s="13" t="str">
        <f t="shared" si="8"/>
        <v>50714270930</v>
      </c>
      <c r="B264" s="10">
        <v>1004060458</v>
      </c>
      <c r="C264" s="10">
        <v>507142709</v>
      </c>
      <c r="D264" s="10">
        <v>30</v>
      </c>
      <c r="E264" s="10" t="s">
        <v>10</v>
      </c>
      <c r="F264" s="10">
        <v>1170825</v>
      </c>
      <c r="G264" s="10" t="s">
        <v>252</v>
      </c>
      <c r="H264" s="11">
        <v>30393</v>
      </c>
      <c r="I264" s="10">
        <v>0</v>
      </c>
      <c r="J264" s="11">
        <f t="shared" si="9"/>
        <v>30393</v>
      </c>
      <c r="K264" s="12">
        <f>VLOOKUP(A264,[2]VA05!$A:$K,11,FALSE)</f>
        <v>45583</v>
      </c>
      <c r="L264" s="10" t="s">
        <v>12</v>
      </c>
      <c r="M264" s="10" t="s">
        <v>179</v>
      </c>
    </row>
    <row r="265" spans="1:13" x14ac:dyDescent="0.25">
      <c r="A265" s="13" t="str">
        <f t="shared" si="8"/>
        <v>50714271030</v>
      </c>
      <c r="B265" s="10">
        <v>1004060459</v>
      </c>
      <c r="C265" s="10">
        <v>507142710</v>
      </c>
      <c r="D265" s="10">
        <v>30</v>
      </c>
      <c r="E265" s="10" t="s">
        <v>10</v>
      </c>
      <c r="F265" s="10">
        <v>1170825</v>
      </c>
      <c r="G265" s="10" t="s">
        <v>252</v>
      </c>
      <c r="H265" s="11">
        <v>30393</v>
      </c>
      <c r="I265" s="10">
        <v>0</v>
      </c>
      <c r="J265" s="11">
        <f t="shared" si="9"/>
        <v>30393</v>
      </c>
      <c r="K265" s="12">
        <f>VLOOKUP(A265,[2]VA05!$A:$K,11,FALSE)</f>
        <v>45596</v>
      </c>
      <c r="L265" s="10" t="s">
        <v>12</v>
      </c>
      <c r="M265" s="10" t="s">
        <v>207</v>
      </c>
    </row>
    <row r="266" spans="1:13" x14ac:dyDescent="0.25">
      <c r="A266" s="13" t="str">
        <f t="shared" si="8"/>
        <v/>
      </c>
      <c r="B266" s="10"/>
      <c r="C266" s="10"/>
      <c r="D266" s="10"/>
      <c r="E266" s="10"/>
      <c r="F266" s="10"/>
      <c r="G266" s="10"/>
      <c r="H266" s="11">
        <v>8848766</v>
      </c>
      <c r="I266" s="11">
        <v>1704635</v>
      </c>
      <c r="J266" s="11">
        <f t="shared" si="9"/>
        <v>7144131</v>
      </c>
      <c r="K266" s="12" t="e">
        <f>VLOOKUP(A266,[2]VA05!$A:$K,11,FALSE)</f>
        <v>#N/A</v>
      </c>
      <c r="L266" s="10"/>
      <c r="M266" s="10"/>
    </row>
  </sheetData>
  <pageMargins left="0.17" right="0.17" top="0.5" bottom="0.42" header="0.16" footer="0.18"/>
  <pageSetup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9F06-8BBA-4906-BFC7-D48AB9CB4F53}">
  <dimension ref="A1:M272"/>
  <sheetViews>
    <sheetView topLeftCell="A121" workbookViewId="0">
      <selection activeCell="B138" sqref="B138"/>
    </sheetView>
  </sheetViews>
  <sheetFormatPr defaultRowHeight="15" x14ac:dyDescent="0.25"/>
  <cols>
    <col min="2" max="2" width="12.42578125" bestFit="1" customWidth="1"/>
    <col min="3" max="3" width="11.28515625" style="13" bestFit="1" customWidth="1"/>
    <col min="4" max="4" width="4.42578125" style="13" bestFit="1" customWidth="1"/>
    <col min="5" max="5" width="6.42578125" bestFit="1" customWidth="1"/>
    <col min="6" max="6" width="9" bestFit="1" customWidth="1"/>
    <col min="7" max="7" width="39" customWidth="1"/>
    <col min="8" max="8" width="10.140625" bestFit="1" customWidth="1"/>
    <col min="9" max="9" width="8.85546875" style="13" customWidth="1"/>
    <col min="10" max="10" width="10.140625" bestFit="1" customWidth="1"/>
    <col min="12" max="12" width="5" customWidth="1"/>
    <col min="13" max="13" width="10.85546875" customWidth="1"/>
  </cols>
  <sheetData>
    <row r="1" spans="1:13" s="13" customFormat="1" ht="23.25" x14ac:dyDescent="0.35">
      <c r="B1" s="1" t="s">
        <v>258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VLOOKUP(A3,[2]VA05!$A:$K,11,FALSE)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VLOOKUP(A4,[2]VA05!$A:$K,11,FALSE)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VLOOKUP(A5,[2]VA05!$A:$K,11,FALSE)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VLOOKUP(A6,[2]VA05!$A:$K,11,FALSE)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VLOOKUP(A7,[2]VA05!$A:$K,11,FALSE)</f>
        <v>45593</v>
      </c>
      <c r="L7" s="10" t="s">
        <v>12</v>
      </c>
      <c r="M7" s="10" t="s">
        <v>140</v>
      </c>
    </row>
    <row r="8" spans="1:13" x14ac:dyDescent="0.25">
      <c r="A8" s="13" t="str">
        <f t="shared" si="0"/>
        <v>50800513010</v>
      </c>
      <c r="B8" s="10">
        <v>1004054829</v>
      </c>
      <c r="C8" s="10">
        <v>508005130</v>
      </c>
      <c r="D8" s="10">
        <v>10</v>
      </c>
      <c r="E8" s="10" t="s">
        <v>10</v>
      </c>
      <c r="F8" s="10">
        <v>1200941</v>
      </c>
      <c r="G8" s="10" t="s">
        <v>48</v>
      </c>
      <c r="H8" s="11">
        <v>20400</v>
      </c>
      <c r="I8" s="10">
        <v>0</v>
      </c>
      <c r="J8" s="11">
        <f t="shared" si="1"/>
        <v>20400</v>
      </c>
      <c r="K8" s="12" t="e">
        <f>VLOOKUP(A8,[2]VA05!$A:$K,11,FALSE)</f>
        <v>#N/A</v>
      </c>
      <c r="L8" s="10" t="s">
        <v>12</v>
      </c>
      <c r="M8" s="10" t="s">
        <v>61</v>
      </c>
    </row>
    <row r="9" spans="1:13" x14ac:dyDescent="0.25">
      <c r="A9" s="13" t="str">
        <f t="shared" si="0"/>
        <v>50714156910</v>
      </c>
      <c r="B9" s="10">
        <v>1004003998</v>
      </c>
      <c r="C9" s="10">
        <v>507141569</v>
      </c>
      <c r="D9" s="10">
        <v>10</v>
      </c>
      <c r="E9" s="10" t="s">
        <v>10</v>
      </c>
      <c r="F9" s="10">
        <v>1175312</v>
      </c>
      <c r="G9" s="10" t="s">
        <v>51</v>
      </c>
      <c r="H9" s="11">
        <v>25845</v>
      </c>
      <c r="I9" s="10">
        <v>0</v>
      </c>
      <c r="J9" s="11">
        <f t="shared" si="1"/>
        <v>25845</v>
      </c>
      <c r="K9" s="12">
        <f>VLOOKUP(A9,[2]VA05!$A:$K,11,FALSE)</f>
        <v>45611</v>
      </c>
      <c r="L9" s="10" t="s">
        <v>117</v>
      </c>
      <c r="M9" s="10" t="s">
        <v>78</v>
      </c>
    </row>
    <row r="10" spans="1:13" x14ac:dyDescent="0.25">
      <c r="A10" s="13" t="str">
        <f t="shared" si="0"/>
        <v>50714156910</v>
      </c>
      <c r="B10" s="10">
        <v>1004017074</v>
      </c>
      <c r="C10" s="10">
        <v>507141569</v>
      </c>
      <c r="D10" s="10">
        <v>10</v>
      </c>
      <c r="E10" s="10" t="s">
        <v>10</v>
      </c>
      <c r="F10" s="10">
        <v>1175311</v>
      </c>
      <c r="G10" s="10" t="s">
        <v>67</v>
      </c>
      <c r="H10" s="11">
        <v>25845</v>
      </c>
      <c r="I10" s="10">
        <v>0</v>
      </c>
      <c r="J10" s="11">
        <f t="shared" si="1"/>
        <v>25845</v>
      </c>
      <c r="K10" s="12">
        <f>VLOOKUP(A10,[2]VA05!$A:$K,11,FALSE)</f>
        <v>45611</v>
      </c>
      <c r="L10" s="10" t="s">
        <v>12</v>
      </c>
      <c r="M10" s="10" t="s">
        <v>50</v>
      </c>
    </row>
    <row r="11" spans="1:13" x14ac:dyDescent="0.25">
      <c r="A11" s="13" t="str">
        <f t="shared" si="0"/>
        <v>50714270810</v>
      </c>
      <c r="B11" s="10">
        <v>1004052045</v>
      </c>
      <c r="C11" s="10">
        <v>507142708</v>
      </c>
      <c r="D11" s="10">
        <v>10</v>
      </c>
      <c r="E11" s="10" t="s">
        <v>10</v>
      </c>
      <c r="F11" s="10">
        <v>1215664</v>
      </c>
      <c r="G11" s="10" t="s">
        <v>90</v>
      </c>
      <c r="H11" s="11">
        <v>11159</v>
      </c>
      <c r="I11" s="10">
        <v>0</v>
      </c>
      <c r="J11" s="11">
        <f t="shared" si="1"/>
        <v>11159</v>
      </c>
      <c r="K11" s="12">
        <f>VLOOKUP(A11,[2]VA05!$A:$K,11,FALSE)</f>
        <v>45588</v>
      </c>
      <c r="L11" s="10" t="s">
        <v>12</v>
      </c>
      <c r="M11" s="10" t="s">
        <v>191</v>
      </c>
    </row>
    <row r="12" spans="1:13" x14ac:dyDescent="0.25">
      <c r="A12" s="13" t="str">
        <f t="shared" si="0"/>
        <v>50714273210</v>
      </c>
      <c r="B12" s="10">
        <v>1004052164</v>
      </c>
      <c r="C12" s="10">
        <v>507142732</v>
      </c>
      <c r="D12" s="10">
        <v>10</v>
      </c>
      <c r="E12" s="10" t="s">
        <v>10</v>
      </c>
      <c r="F12" s="10">
        <v>1411198</v>
      </c>
      <c r="G12" s="10" t="s">
        <v>41</v>
      </c>
      <c r="H12" s="11">
        <v>28402</v>
      </c>
      <c r="I12" s="11">
        <v>19046</v>
      </c>
      <c r="J12" s="11">
        <f t="shared" si="1"/>
        <v>9356</v>
      </c>
      <c r="K12" s="12">
        <f>VLOOKUP(A12,[2]VA05!$A:$K,11,FALSE)</f>
        <v>45572</v>
      </c>
      <c r="L12" s="10" t="s">
        <v>18</v>
      </c>
      <c r="M12" s="10" t="s">
        <v>140</v>
      </c>
    </row>
    <row r="13" spans="1:13" x14ac:dyDescent="0.25">
      <c r="A13" s="13" t="str">
        <f t="shared" si="0"/>
        <v>50714278910</v>
      </c>
      <c r="B13" s="10">
        <v>1004052165</v>
      </c>
      <c r="C13" s="10">
        <v>507142789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14201</v>
      </c>
      <c r="I13" s="10">
        <v>0</v>
      </c>
      <c r="J13" s="11">
        <f t="shared" si="1"/>
        <v>14201</v>
      </c>
      <c r="K13" s="12">
        <f>VLOOKUP(A13,[2]VA05!$A:$K,11,FALSE)</f>
        <v>45583</v>
      </c>
      <c r="L13" s="10" t="s">
        <v>56</v>
      </c>
      <c r="M13" s="10" t="s">
        <v>156</v>
      </c>
    </row>
    <row r="14" spans="1:13" x14ac:dyDescent="0.25">
      <c r="A14" s="13" t="str">
        <f t="shared" si="0"/>
        <v>50714282710</v>
      </c>
      <c r="B14" s="10">
        <v>1004061191</v>
      </c>
      <c r="C14" s="10">
        <v>507142827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28402</v>
      </c>
      <c r="I14" s="10">
        <v>0</v>
      </c>
      <c r="J14" s="11">
        <f t="shared" si="1"/>
        <v>28402</v>
      </c>
      <c r="K14" s="12">
        <f>VLOOKUP(A14,[2]VA05!$A:$K,11,FALSE)</f>
        <v>45588</v>
      </c>
      <c r="L14" s="10" t="s">
        <v>12</v>
      </c>
      <c r="M14" s="10" t="s">
        <v>178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VLOOKUP(A15,[2]VA05!$A:$K,11,FALSE)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50714283810</v>
      </c>
      <c r="B16" s="10">
        <v>1004061192</v>
      </c>
      <c r="C16" s="10">
        <v>507142838</v>
      </c>
      <c r="D16" s="10">
        <v>10</v>
      </c>
      <c r="E16" s="10" t="s">
        <v>10</v>
      </c>
      <c r="F16" s="10">
        <v>1171797</v>
      </c>
      <c r="G16" s="10" t="s">
        <v>255</v>
      </c>
      <c r="H16" s="11">
        <v>31141</v>
      </c>
      <c r="I16" s="10">
        <v>0</v>
      </c>
      <c r="J16" s="11">
        <f t="shared" si="1"/>
        <v>31141</v>
      </c>
      <c r="K16" s="12">
        <f>VLOOKUP(A16,[2]VA05!$A:$K,11,FALSE)</f>
        <v>45593</v>
      </c>
      <c r="L16" s="10" t="s">
        <v>12</v>
      </c>
      <c r="M16" s="10" t="s">
        <v>162</v>
      </c>
    </row>
    <row r="17" spans="1:13" x14ac:dyDescent="0.25">
      <c r="A17" s="13" t="str">
        <f t="shared" si="0"/>
        <v>50714270810</v>
      </c>
      <c r="B17" s="10">
        <v>1004052048</v>
      </c>
      <c r="C17" s="10">
        <v>507142708</v>
      </c>
      <c r="D17" s="10">
        <v>10</v>
      </c>
      <c r="E17" s="10" t="s">
        <v>10</v>
      </c>
      <c r="F17" s="10">
        <v>1215666</v>
      </c>
      <c r="G17" s="10" t="s">
        <v>182</v>
      </c>
      <c r="H17" s="11">
        <v>11159</v>
      </c>
      <c r="I17" s="10">
        <v>0</v>
      </c>
      <c r="J17" s="11">
        <f t="shared" si="1"/>
        <v>11159</v>
      </c>
      <c r="K17" s="12">
        <f>VLOOKUP(A17,[2]VA05!$A:$K,11,FALSE)</f>
        <v>45588</v>
      </c>
      <c r="L17" s="10" t="s">
        <v>12</v>
      </c>
      <c r="M17" s="10" t="s">
        <v>191</v>
      </c>
    </row>
    <row r="18" spans="1:13" x14ac:dyDescent="0.25">
      <c r="A18" s="13" t="str">
        <f t="shared" si="0"/>
        <v>50714278910</v>
      </c>
      <c r="B18" s="10">
        <v>1004052168</v>
      </c>
      <c r="C18" s="10">
        <v>507142789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10299</v>
      </c>
      <c r="I18" s="11">
        <v>5058</v>
      </c>
      <c r="J18" s="11">
        <f t="shared" si="1"/>
        <v>5241</v>
      </c>
      <c r="K18" s="12">
        <f>VLOOKUP(A18,[2]VA05!$A:$K,11,FALSE)</f>
        <v>45583</v>
      </c>
      <c r="L18" s="10" t="s">
        <v>18</v>
      </c>
      <c r="M18" s="10" t="s">
        <v>193</v>
      </c>
    </row>
    <row r="19" spans="1:13" x14ac:dyDescent="0.25">
      <c r="A19" s="13" t="str">
        <f t="shared" si="0"/>
        <v>50714277910</v>
      </c>
      <c r="B19" s="10">
        <v>1004053444</v>
      </c>
      <c r="C19" s="10">
        <v>507142779</v>
      </c>
      <c r="D19" s="10">
        <v>10</v>
      </c>
      <c r="E19" s="10" t="s">
        <v>10</v>
      </c>
      <c r="F19" s="10">
        <v>1173944</v>
      </c>
      <c r="G19" s="10" t="s">
        <v>91</v>
      </c>
      <c r="H19" s="11">
        <v>10928</v>
      </c>
      <c r="I19" s="11">
        <v>2090</v>
      </c>
      <c r="J19" s="11">
        <f t="shared" si="1"/>
        <v>8838</v>
      </c>
      <c r="K19" s="12">
        <f>VLOOKUP(A19,[2]VA05!$A:$K,11,FALSE)</f>
        <v>45580</v>
      </c>
      <c r="L19" s="10" t="s">
        <v>18</v>
      </c>
      <c r="M19" s="10" t="s">
        <v>162</v>
      </c>
    </row>
    <row r="20" spans="1:13" x14ac:dyDescent="0.25">
      <c r="A20" s="13" t="str">
        <f t="shared" si="0"/>
        <v>50714278410</v>
      </c>
      <c r="B20" s="10">
        <v>1004053445</v>
      </c>
      <c r="C20" s="10">
        <v>507142784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11020</v>
      </c>
      <c r="I20" s="10">
        <v>0</v>
      </c>
      <c r="J20" s="11">
        <f t="shared" si="1"/>
        <v>11020</v>
      </c>
      <c r="K20" s="12">
        <f>VLOOKUP(A20,[2]VA05!$A:$K,11,FALSE)</f>
        <v>45580</v>
      </c>
      <c r="L20" s="10" t="s">
        <v>12</v>
      </c>
      <c r="M20" s="10" t="s">
        <v>162</v>
      </c>
    </row>
    <row r="21" spans="1:13" x14ac:dyDescent="0.25">
      <c r="A21" s="13" t="str">
        <f t="shared" si="0"/>
        <v>50714251220</v>
      </c>
      <c r="B21" s="10">
        <v>1004061391</v>
      </c>
      <c r="C21" s="10">
        <v>507142512</v>
      </c>
      <c r="D21" s="10">
        <v>20</v>
      </c>
      <c r="E21" s="10" t="s">
        <v>10</v>
      </c>
      <c r="F21" s="10">
        <v>1173944</v>
      </c>
      <c r="G21" s="10" t="s">
        <v>91</v>
      </c>
      <c r="H21" s="11">
        <v>11020</v>
      </c>
      <c r="I21" s="10">
        <v>0</v>
      </c>
      <c r="J21" s="11">
        <f t="shared" si="1"/>
        <v>11020</v>
      </c>
      <c r="K21" s="12">
        <f>VLOOKUP(A21,[2]VA05!$A:$K,11,FALSE)</f>
        <v>45566</v>
      </c>
      <c r="L21" s="10" t="s">
        <v>12</v>
      </c>
      <c r="M21" s="10" t="s">
        <v>156</v>
      </c>
    </row>
    <row r="22" spans="1:13" x14ac:dyDescent="0.25">
      <c r="A22" s="13" t="str">
        <f t="shared" si="0"/>
        <v>50714269620</v>
      </c>
      <c r="B22" s="10">
        <v>1004061392</v>
      </c>
      <c r="C22" s="10">
        <v>507142696</v>
      </c>
      <c r="D22" s="10">
        <v>20</v>
      </c>
      <c r="E22" s="10" t="s">
        <v>10</v>
      </c>
      <c r="F22" s="10">
        <v>1173944</v>
      </c>
      <c r="G22" s="10" t="s">
        <v>91</v>
      </c>
      <c r="H22" s="11">
        <v>5603</v>
      </c>
      <c r="I22" s="10">
        <v>0</v>
      </c>
      <c r="J22" s="11">
        <f t="shared" si="1"/>
        <v>5603</v>
      </c>
      <c r="K22" s="12">
        <f>VLOOKUP(A22,[2]VA05!$A:$K,11,FALSE)</f>
        <v>45566</v>
      </c>
      <c r="L22" s="10" t="s">
        <v>12</v>
      </c>
      <c r="M22" s="10" t="s">
        <v>156</v>
      </c>
    </row>
    <row r="23" spans="1:13" x14ac:dyDescent="0.25">
      <c r="A23" s="13" t="str">
        <f t="shared" si="0"/>
        <v>50714282510</v>
      </c>
      <c r="B23" s="10">
        <v>1004061393</v>
      </c>
      <c r="C23" s="10">
        <v>507142825</v>
      </c>
      <c r="D23" s="10">
        <v>10</v>
      </c>
      <c r="E23" s="10" t="s">
        <v>10</v>
      </c>
      <c r="F23" s="10">
        <v>1173944</v>
      </c>
      <c r="G23" s="10" t="s">
        <v>91</v>
      </c>
      <c r="H23" s="11">
        <v>21855</v>
      </c>
      <c r="I23" s="10">
        <v>0</v>
      </c>
      <c r="J23" s="11">
        <f t="shared" si="1"/>
        <v>21855</v>
      </c>
      <c r="K23" s="12">
        <f>VLOOKUP(A23,[2]VA05!$A:$K,11,FALSE)</f>
        <v>45589</v>
      </c>
      <c r="L23" s="10" t="s">
        <v>12</v>
      </c>
      <c r="M23" s="10" t="s">
        <v>191</v>
      </c>
    </row>
    <row r="24" spans="1:13" x14ac:dyDescent="0.25">
      <c r="A24" s="13" t="str">
        <f t="shared" si="0"/>
        <v>50714282910</v>
      </c>
      <c r="B24" s="10">
        <v>1004061394</v>
      </c>
      <c r="C24" s="10">
        <v>507142829</v>
      </c>
      <c r="D24" s="10">
        <v>10</v>
      </c>
      <c r="E24" s="10" t="s">
        <v>10</v>
      </c>
      <c r="F24" s="10">
        <v>1173944</v>
      </c>
      <c r="G24" s="10" t="s">
        <v>91</v>
      </c>
      <c r="H24" s="11">
        <v>11020</v>
      </c>
      <c r="I24" s="10">
        <v>0</v>
      </c>
      <c r="J24" s="11">
        <f t="shared" si="1"/>
        <v>11020</v>
      </c>
      <c r="K24" s="12">
        <f>VLOOKUP(A24,[2]VA05!$A:$K,11,FALSE)</f>
        <v>45582</v>
      </c>
      <c r="L24" s="10" t="s">
        <v>12</v>
      </c>
      <c r="M24" s="10" t="s">
        <v>179</v>
      </c>
    </row>
    <row r="25" spans="1:13" x14ac:dyDescent="0.25">
      <c r="A25" s="13" t="str">
        <f t="shared" si="0"/>
        <v>50714227020</v>
      </c>
      <c r="B25" s="10">
        <v>1004034399</v>
      </c>
      <c r="C25" s="10">
        <v>507142270</v>
      </c>
      <c r="D25" s="10">
        <v>20</v>
      </c>
      <c r="E25" s="10" t="s">
        <v>10</v>
      </c>
      <c r="F25" s="10">
        <v>1187764</v>
      </c>
      <c r="G25" s="10" t="s">
        <v>92</v>
      </c>
      <c r="H25" s="11">
        <v>17325</v>
      </c>
      <c r="I25" s="10">
        <v>0</v>
      </c>
      <c r="J25" s="11">
        <f t="shared" si="1"/>
        <v>17325</v>
      </c>
      <c r="K25" s="12">
        <f>VLOOKUP(A25,[2]VA05!$A:$K,11,FALSE)</f>
        <v>45565</v>
      </c>
      <c r="L25" s="10" t="s">
        <v>56</v>
      </c>
      <c r="M25" s="10" t="s">
        <v>97</v>
      </c>
    </row>
    <row r="26" spans="1:13" x14ac:dyDescent="0.25">
      <c r="A26" s="13" t="str">
        <f t="shared" si="0"/>
        <v>50714227010</v>
      </c>
      <c r="B26" s="10">
        <v>1004057062</v>
      </c>
      <c r="C26" s="10">
        <v>507142270</v>
      </c>
      <c r="D26" s="10">
        <v>10</v>
      </c>
      <c r="E26" s="10" t="s">
        <v>10</v>
      </c>
      <c r="F26" s="10">
        <v>1187764</v>
      </c>
      <c r="G26" s="10" t="s">
        <v>92</v>
      </c>
      <c r="H26" s="11">
        <v>5776</v>
      </c>
      <c r="I26" s="10">
        <v>0</v>
      </c>
      <c r="J26" s="11">
        <f t="shared" si="1"/>
        <v>5776</v>
      </c>
      <c r="K26" s="12">
        <f>VLOOKUP(A26,[2]VA05!$A:$K,11,FALSE)</f>
        <v>45565</v>
      </c>
      <c r="L26" s="10" t="s">
        <v>12</v>
      </c>
      <c r="M26" s="10" t="s">
        <v>180</v>
      </c>
    </row>
    <row r="27" spans="1:13" x14ac:dyDescent="0.25">
      <c r="A27" s="13" t="str">
        <f t="shared" si="0"/>
        <v>50714283810</v>
      </c>
      <c r="B27" s="10">
        <v>1004061390</v>
      </c>
      <c r="C27" s="10">
        <v>507142838</v>
      </c>
      <c r="D27" s="10">
        <v>10</v>
      </c>
      <c r="E27" s="10" t="s">
        <v>10</v>
      </c>
      <c r="F27" s="10">
        <v>1276494</v>
      </c>
      <c r="G27" s="10" t="s">
        <v>256</v>
      </c>
      <c r="H27" s="11">
        <v>27035</v>
      </c>
      <c r="I27" s="10">
        <v>0</v>
      </c>
      <c r="J27" s="11">
        <f t="shared" si="1"/>
        <v>27035</v>
      </c>
      <c r="K27" s="12">
        <f>VLOOKUP(A27,[2]VA05!$A:$K,11,FALSE)</f>
        <v>45593</v>
      </c>
      <c r="L27" s="10" t="s">
        <v>12</v>
      </c>
      <c r="M27" s="10" t="s">
        <v>191</v>
      </c>
    </row>
    <row r="28" spans="1:13" x14ac:dyDescent="0.25">
      <c r="A28" s="13" t="str">
        <f t="shared" si="0"/>
        <v>50714269620</v>
      </c>
      <c r="B28" s="10">
        <v>1004042037</v>
      </c>
      <c r="C28" s="10">
        <v>507142696</v>
      </c>
      <c r="D28" s="10">
        <v>20</v>
      </c>
      <c r="E28" s="10" t="s">
        <v>10</v>
      </c>
      <c r="F28" s="10">
        <v>1173947</v>
      </c>
      <c r="G28" s="10" t="s">
        <v>36</v>
      </c>
      <c r="H28" s="11">
        <v>12384</v>
      </c>
      <c r="I28" s="11">
        <v>3839</v>
      </c>
      <c r="J28" s="11">
        <f t="shared" si="1"/>
        <v>8545</v>
      </c>
      <c r="K28" s="12">
        <f>VLOOKUP(A28,[2]VA05!$A:$K,11,FALSE)</f>
        <v>45566</v>
      </c>
      <c r="L28" s="10" t="s">
        <v>18</v>
      </c>
      <c r="M28" s="10" t="s">
        <v>84</v>
      </c>
    </row>
    <row r="29" spans="1:13" x14ac:dyDescent="0.25">
      <c r="A29" s="13" t="str">
        <f t="shared" si="0"/>
        <v>50714274010</v>
      </c>
      <c r="B29" s="10">
        <v>1004052269</v>
      </c>
      <c r="C29" s="10">
        <v>507142740</v>
      </c>
      <c r="D29" s="10">
        <v>10</v>
      </c>
      <c r="E29" s="10" t="s">
        <v>10</v>
      </c>
      <c r="F29" s="10">
        <v>1173947</v>
      </c>
      <c r="G29" s="10" t="s">
        <v>36</v>
      </c>
      <c r="H29" s="11">
        <v>12384</v>
      </c>
      <c r="I29" s="10">
        <v>0</v>
      </c>
      <c r="J29" s="11">
        <f t="shared" si="1"/>
        <v>12384</v>
      </c>
      <c r="K29" s="12">
        <f>VLOOKUP(A29,[2]VA05!$A:$K,11,FALSE)</f>
        <v>45573</v>
      </c>
      <c r="L29" s="10" t="s">
        <v>12</v>
      </c>
      <c r="M29" s="10" t="s">
        <v>97</v>
      </c>
    </row>
    <row r="30" spans="1:13" x14ac:dyDescent="0.25">
      <c r="A30" s="13" t="str">
        <f t="shared" si="0"/>
        <v>50714277910</v>
      </c>
      <c r="B30" s="10">
        <v>1004052270</v>
      </c>
      <c r="C30" s="10">
        <v>507142779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11922</v>
      </c>
      <c r="I30" s="10">
        <v>0</v>
      </c>
      <c r="J30" s="11">
        <f t="shared" si="1"/>
        <v>11922</v>
      </c>
      <c r="K30" s="12">
        <f>VLOOKUP(A30,[2]VA05!$A:$K,11,FALSE)</f>
        <v>45580</v>
      </c>
      <c r="L30" s="10" t="s">
        <v>12</v>
      </c>
      <c r="M30" s="10" t="s">
        <v>194</v>
      </c>
    </row>
    <row r="31" spans="1:13" x14ac:dyDescent="0.25">
      <c r="A31" s="13" t="str">
        <f t="shared" si="0"/>
        <v>50714278410</v>
      </c>
      <c r="B31" s="10">
        <v>1004052271</v>
      </c>
      <c r="C31" s="10">
        <v>507142784</v>
      </c>
      <c r="D31" s="10">
        <v>10</v>
      </c>
      <c r="E31" s="10" t="s">
        <v>10</v>
      </c>
      <c r="F31" s="10">
        <v>1173947</v>
      </c>
      <c r="G31" s="10" t="s">
        <v>36</v>
      </c>
      <c r="H31" s="11">
        <v>12384</v>
      </c>
      <c r="I31" s="10">
        <v>0</v>
      </c>
      <c r="J31" s="11">
        <f t="shared" si="1"/>
        <v>12384</v>
      </c>
      <c r="K31" s="12">
        <f>VLOOKUP(A31,[2]VA05!$A:$K,11,FALSE)</f>
        <v>45580</v>
      </c>
      <c r="L31" s="10" t="s">
        <v>12</v>
      </c>
      <c r="M31" s="10" t="s">
        <v>97</v>
      </c>
    </row>
    <row r="32" spans="1:13" x14ac:dyDescent="0.25">
      <c r="A32" s="13" t="str">
        <f t="shared" si="0"/>
        <v>50714282510</v>
      </c>
      <c r="B32" s="10">
        <v>1004061395</v>
      </c>
      <c r="C32" s="10">
        <v>507142825</v>
      </c>
      <c r="D32" s="10">
        <v>10</v>
      </c>
      <c r="E32" s="10" t="s">
        <v>10</v>
      </c>
      <c r="F32" s="10">
        <v>1173947</v>
      </c>
      <c r="G32" s="10" t="s">
        <v>36</v>
      </c>
      <c r="H32" s="11">
        <v>23842</v>
      </c>
      <c r="I32" s="10">
        <v>0</v>
      </c>
      <c r="J32" s="11">
        <f t="shared" si="1"/>
        <v>23842</v>
      </c>
      <c r="K32" s="12">
        <f>VLOOKUP(A32,[2]VA05!$A:$K,11,FALSE)</f>
        <v>45589</v>
      </c>
      <c r="L32" s="10" t="s">
        <v>12</v>
      </c>
      <c r="M32" s="10" t="s">
        <v>179</v>
      </c>
    </row>
    <row r="33" spans="1:13" x14ac:dyDescent="0.25">
      <c r="A33" s="13" t="str">
        <f t="shared" si="0"/>
        <v>50714282710</v>
      </c>
      <c r="B33" s="10">
        <v>1004061284</v>
      </c>
      <c r="C33" s="10">
        <v>507142827</v>
      </c>
      <c r="D33" s="10">
        <v>10</v>
      </c>
      <c r="E33" s="10" t="s">
        <v>10</v>
      </c>
      <c r="F33" s="10">
        <v>1411193</v>
      </c>
      <c r="G33" s="10" t="s">
        <v>47</v>
      </c>
      <c r="H33" s="11">
        <v>20598</v>
      </c>
      <c r="I33" s="11">
        <v>6528</v>
      </c>
      <c r="J33" s="11">
        <f t="shared" si="1"/>
        <v>14070</v>
      </c>
      <c r="K33" s="12">
        <f>VLOOKUP(A33,[2]VA05!$A:$K,11,FALSE)</f>
        <v>45588</v>
      </c>
      <c r="L33" s="10" t="s">
        <v>18</v>
      </c>
      <c r="M33" s="10" t="s">
        <v>177</v>
      </c>
    </row>
    <row r="34" spans="1:13" x14ac:dyDescent="0.25">
      <c r="A34" s="13" t="str">
        <f t="shared" si="0"/>
        <v>50800514030</v>
      </c>
      <c r="B34" s="10">
        <v>1004050510</v>
      </c>
      <c r="C34" s="10">
        <v>508005140</v>
      </c>
      <c r="D34" s="10">
        <v>30</v>
      </c>
      <c r="E34" s="10" t="s">
        <v>10</v>
      </c>
      <c r="F34" s="10">
        <v>1171793</v>
      </c>
      <c r="G34" s="10" t="s">
        <v>33</v>
      </c>
      <c r="H34" s="11">
        <v>43162</v>
      </c>
      <c r="I34" s="10">
        <v>0</v>
      </c>
      <c r="J34" s="11">
        <f t="shared" si="1"/>
        <v>43162</v>
      </c>
      <c r="K34" s="12">
        <f>VLOOKUP(A34,[2]VA05!$A:$K,11,FALSE)</f>
        <v>45609</v>
      </c>
      <c r="L34" s="10" t="s">
        <v>119</v>
      </c>
      <c r="M34" s="10" t="s">
        <v>161</v>
      </c>
    </row>
    <row r="35" spans="1:13" x14ac:dyDescent="0.25">
      <c r="A35" s="13" t="str">
        <f t="shared" si="0"/>
        <v>50714277910</v>
      </c>
      <c r="B35" s="10">
        <v>1004053448</v>
      </c>
      <c r="C35" s="10">
        <v>507142779</v>
      </c>
      <c r="D35" s="10">
        <v>10</v>
      </c>
      <c r="E35" s="10" t="s">
        <v>10</v>
      </c>
      <c r="F35" s="10">
        <v>1171793</v>
      </c>
      <c r="G35" s="10" t="s">
        <v>33</v>
      </c>
      <c r="H35" s="11">
        <v>10792</v>
      </c>
      <c r="I35" s="10">
        <v>0</v>
      </c>
      <c r="J35" s="11">
        <f t="shared" si="1"/>
        <v>10792</v>
      </c>
      <c r="K35" s="12">
        <f>VLOOKUP(A35,[2]VA05!$A:$K,11,FALSE)</f>
        <v>45580</v>
      </c>
      <c r="L35" s="10" t="s">
        <v>12</v>
      </c>
      <c r="M35" s="10" t="s">
        <v>162</v>
      </c>
    </row>
    <row r="36" spans="1:13" x14ac:dyDescent="0.25">
      <c r="A36" s="13" t="str">
        <f t="shared" si="0"/>
        <v>50714278410</v>
      </c>
      <c r="B36" s="10">
        <v>1004061396</v>
      </c>
      <c r="C36" s="10">
        <v>507142784</v>
      </c>
      <c r="D36" s="10">
        <v>10</v>
      </c>
      <c r="E36" s="10" t="s">
        <v>10</v>
      </c>
      <c r="F36" s="10">
        <v>1171793</v>
      </c>
      <c r="G36" s="10" t="s">
        <v>33</v>
      </c>
      <c r="H36" s="11">
        <v>10882</v>
      </c>
      <c r="I36" s="10">
        <v>0</v>
      </c>
      <c r="J36" s="11">
        <f t="shared" si="1"/>
        <v>10882</v>
      </c>
      <c r="K36" s="12">
        <f>VLOOKUP(A36,[2]VA05!$A:$K,11,FALSE)</f>
        <v>45580</v>
      </c>
      <c r="L36" s="10" t="s">
        <v>12</v>
      </c>
      <c r="M36" s="10" t="s">
        <v>162</v>
      </c>
    </row>
    <row r="37" spans="1:13" x14ac:dyDescent="0.25">
      <c r="A37" s="13" t="str">
        <f t="shared" si="0"/>
        <v>50714282510</v>
      </c>
      <c r="B37" s="10">
        <v>1004061397</v>
      </c>
      <c r="C37" s="10">
        <v>507142825</v>
      </c>
      <c r="D37" s="10">
        <v>10</v>
      </c>
      <c r="E37" s="10" t="s">
        <v>10</v>
      </c>
      <c r="F37" s="10">
        <v>1171793</v>
      </c>
      <c r="G37" s="10" t="s">
        <v>33</v>
      </c>
      <c r="H37" s="11">
        <v>21582</v>
      </c>
      <c r="I37" s="10">
        <v>0</v>
      </c>
      <c r="J37" s="11">
        <f t="shared" si="1"/>
        <v>21582</v>
      </c>
      <c r="K37" s="12">
        <f>VLOOKUP(A37,[2]VA05!$A:$K,11,FALSE)</f>
        <v>45589</v>
      </c>
      <c r="L37" s="10" t="s">
        <v>12</v>
      </c>
      <c r="M37" s="10" t="s">
        <v>191</v>
      </c>
    </row>
    <row r="38" spans="1:13" x14ac:dyDescent="0.25">
      <c r="A38" s="13" t="str">
        <f t="shared" si="0"/>
        <v>50714282910</v>
      </c>
      <c r="B38" s="10">
        <v>1004061398</v>
      </c>
      <c r="C38" s="10">
        <v>507142829</v>
      </c>
      <c r="D38" s="10">
        <v>10</v>
      </c>
      <c r="E38" s="10" t="s">
        <v>10</v>
      </c>
      <c r="F38" s="10">
        <v>1171793</v>
      </c>
      <c r="G38" s="10" t="s">
        <v>33</v>
      </c>
      <c r="H38" s="11">
        <v>10882</v>
      </c>
      <c r="I38" s="10">
        <v>0</v>
      </c>
      <c r="J38" s="11">
        <f t="shared" si="1"/>
        <v>10882</v>
      </c>
      <c r="K38" s="12">
        <f>VLOOKUP(A38,[2]VA05!$A:$K,11,FALSE)</f>
        <v>45582</v>
      </c>
      <c r="L38" s="10" t="s">
        <v>12</v>
      </c>
      <c r="M38" s="10" t="s">
        <v>157</v>
      </c>
    </row>
    <row r="39" spans="1:13" x14ac:dyDescent="0.25">
      <c r="A39" s="13" t="str">
        <f t="shared" si="0"/>
        <v>50714227020</v>
      </c>
      <c r="B39" s="10">
        <v>1004057063</v>
      </c>
      <c r="C39" s="10">
        <v>507142270</v>
      </c>
      <c r="D39" s="10">
        <v>20</v>
      </c>
      <c r="E39" s="10" t="s">
        <v>10</v>
      </c>
      <c r="F39" s="10">
        <v>1187765</v>
      </c>
      <c r="G39" s="10" t="s">
        <v>147</v>
      </c>
      <c r="H39" s="11">
        <v>17325</v>
      </c>
      <c r="I39" s="11">
        <v>10735</v>
      </c>
      <c r="J39" s="11">
        <f t="shared" si="1"/>
        <v>6590</v>
      </c>
      <c r="K39" s="12">
        <f>VLOOKUP(A39,[2]VA05!$A:$K,11,FALSE)</f>
        <v>45565</v>
      </c>
      <c r="L39" s="10" t="s">
        <v>11</v>
      </c>
      <c r="M39" s="10" t="s">
        <v>195</v>
      </c>
    </row>
    <row r="40" spans="1:13" x14ac:dyDescent="0.25">
      <c r="A40" s="13" t="str">
        <f t="shared" si="0"/>
        <v>50714265410</v>
      </c>
      <c r="B40" s="10">
        <v>1004036495</v>
      </c>
      <c r="C40" s="10">
        <v>507142654</v>
      </c>
      <c r="D40" s="10">
        <v>10</v>
      </c>
      <c r="E40" s="10" t="s">
        <v>10</v>
      </c>
      <c r="F40" s="10">
        <v>1420608</v>
      </c>
      <c r="G40" s="10" t="s">
        <v>110</v>
      </c>
      <c r="H40" s="11">
        <v>16376</v>
      </c>
      <c r="I40" s="10">
        <v>0</v>
      </c>
      <c r="J40" s="11">
        <f t="shared" si="1"/>
        <v>16376</v>
      </c>
      <c r="K40" s="12">
        <f>VLOOKUP(A40,[2]VA05!$A:$K,11,FALSE)</f>
        <v>45573</v>
      </c>
      <c r="L40" s="10" t="s">
        <v>25</v>
      </c>
      <c r="M40" s="10" t="s">
        <v>194</v>
      </c>
    </row>
    <row r="41" spans="1:13" x14ac:dyDescent="0.25">
      <c r="A41" s="13" t="str">
        <f t="shared" si="0"/>
        <v>50714272510</v>
      </c>
      <c r="B41" s="10">
        <v>1004060450</v>
      </c>
      <c r="C41" s="10">
        <v>507142725</v>
      </c>
      <c r="D41" s="10">
        <v>10</v>
      </c>
      <c r="E41" s="10" t="s">
        <v>10</v>
      </c>
      <c r="F41" s="10">
        <v>1420608</v>
      </c>
      <c r="G41" s="10" t="s">
        <v>110</v>
      </c>
      <c r="H41" s="11">
        <v>16376</v>
      </c>
      <c r="I41" s="10">
        <v>0</v>
      </c>
      <c r="J41" s="11">
        <f t="shared" si="1"/>
        <v>16376</v>
      </c>
      <c r="K41" s="12">
        <f>VLOOKUP(A41,[2]VA05!$A:$K,11,FALSE)</f>
        <v>45573</v>
      </c>
      <c r="L41" s="10" t="s">
        <v>12</v>
      </c>
      <c r="M41" s="10" t="s">
        <v>194</v>
      </c>
    </row>
    <row r="42" spans="1:13" x14ac:dyDescent="0.25">
      <c r="A42" s="13" t="str">
        <f t="shared" si="0"/>
        <v>50714278610</v>
      </c>
      <c r="B42" s="10">
        <v>1004059422</v>
      </c>
      <c r="C42" s="10">
        <v>507142786</v>
      </c>
      <c r="D42" s="10">
        <v>10</v>
      </c>
      <c r="E42" s="10" t="s">
        <v>10</v>
      </c>
      <c r="F42" s="10">
        <v>1149455</v>
      </c>
      <c r="G42" s="10" t="s">
        <v>44</v>
      </c>
      <c r="H42" s="11">
        <v>27228</v>
      </c>
      <c r="I42" s="11">
        <v>12352</v>
      </c>
      <c r="J42" s="11">
        <f t="shared" si="1"/>
        <v>14876</v>
      </c>
      <c r="K42" s="12">
        <f>VLOOKUP(A42,[2]VA05!$A:$K,11,FALSE)</f>
        <v>45581</v>
      </c>
      <c r="L42" s="10" t="s">
        <v>18</v>
      </c>
      <c r="M42" s="10" t="s">
        <v>194</v>
      </c>
    </row>
    <row r="43" spans="1:13" hidden="1" x14ac:dyDescent="0.25">
      <c r="A43" s="13" t="str">
        <f t="shared" si="0"/>
        <v>50714265120</v>
      </c>
      <c r="B43" s="10">
        <v>1004059425</v>
      </c>
      <c r="C43" s="10">
        <v>507142651</v>
      </c>
      <c r="D43" s="10">
        <v>20</v>
      </c>
      <c r="E43" s="10" t="s">
        <v>24</v>
      </c>
      <c r="F43" s="10">
        <v>1149455</v>
      </c>
      <c r="G43" s="10" t="s">
        <v>44</v>
      </c>
      <c r="H43" s="11">
        <v>10000</v>
      </c>
      <c r="I43" s="10">
        <v>0</v>
      </c>
      <c r="J43" s="11">
        <f t="shared" si="1"/>
        <v>10000</v>
      </c>
      <c r="K43" s="12">
        <f>VLOOKUP(A43,[2]VA05!$A:$K,11,FALSE)</f>
        <v>45567</v>
      </c>
      <c r="L43" s="10" t="s">
        <v>13</v>
      </c>
      <c r="M43" s="10" t="s">
        <v>154</v>
      </c>
    </row>
    <row r="44" spans="1:13" hidden="1" x14ac:dyDescent="0.25">
      <c r="A44" s="13" t="str">
        <f t="shared" si="0"/>
        <v>50714248510</v>
      </c>
      <c r="B44" s="10">
        <v>1004052273</v>
      </c>
      <c r="C44" s="10">
        <v>507142485</v>
      </c>
      <c r="D44" s="10">
        <v>10</v>
      </c>
      <c r="E44" s="10" t="s">
        <v>24</v>
      </c>
      <c r="F44" s="10">
        <v>1193509</v>
      </c>
      <c r="G44" s="10" t="s">
        <v>31</v>
      </c>
      <c r="H44" s="11">
        <v>10000</v>
      </c>
      <c r="I44" s="10">
        <v>0</v>
      </c>
      <c r="J44" s="11">
        <f t="shared" si="1"/>
        <v>10000</v>
      </c>
      <c r="K44" s="12" t="e">
        <f>VLOOKUP(A44,[2]VA05!$A:$K,11,FALSE)</f>
        <v>#N/A</v>
      </c>
      <c r="L44" s="10" t="s">
        <v>13</v>
      </c>
      <c r="M44" s="10" t="s">
        <v>97</v>
      </c>
    </row>
    <row r="45" spans="1:13" x14ac:dyDescent="0.25">
      <c r="A45" s="13" t="str">
        <f t="shared" si="0"/>
        <v>50714235110</v>
      </c>
      <c r="B45" s="10">
        <v>1004042803</v>
      </c>
      <c r="C45" s="10">
        <v>507142351</v>
      </c>
      <c r="D45" s="10">
        <v>10</v>
      </c>
      <c r="E45" s="10" t="s">
        <v>10</v>
      </c>
      <c r="F45" s="10">
        <v>1192909</v>
      </c>
      <c r="G45" s="10" t="s">
        <v>35</v>
      </c>
      <c r="H45" s="11">
        <v>16753</v>
      </c>
      <c r="I45" s="11">
        <v>9187</v>
      </c>
      <c r="J45" s="11">
        <f t="shared" si="1"/>
        <v>7566</v>
      </c>
      <c r="K45" s="12">
        <f>VLOOKUP(A45,[2]VA05!$A:$K,11,FALSE)</f>
        <v>45545</v>
      </c>
      <c r="L45" s="10" t="s">
        <v>18</v>
      </c>
      <c r="M45" s="10" t="s">
        <v>111</v>
      </c>
    </row>
    <row r="46" spans="1:13" x14ac:dyDescent="0.25">
      <c r="A46" s="13" t="str">
        <f t="shared" si="0"/>
        <v>50714265410</v>
      </c>
      <c r="B46" s="10">
        <v>1004042744</v>
      </c>
      <c r="C46" s="10">
        <v>507142654</v>
      </c>
      <c r="D46" s="10">
        <v>10</v>
      </c>
      <c r="E46" s="10" t="s">
        <v>10</v>
      </c>
      <c r="F46" s="10">
        <v>1420609</v>
      </c>
      <c r="G46" s="10" t="s">
        <v>133</v>
      </c>
      <c r="H46" s="11">
        <v>16868</v>
      </c>
      <c r="I46" s="11">
        <v>12100</v>
      </c>
      <c r="J46" s="11">
        <f t="shared" si="1"/>
        <v>4768</v>
      </c>
      <c r="K46" s="12">
        <f>VLOOKUP(A46,[2]VA05!$A:$K,11,FALSE)</f>
        <v>45573</v>
      </c>
      <c r="L46" s="10" t="s">
        <v>18</v>
      </c>
      <c r="M46" s="10" t="s">
        <v>84</v>
      </c>
    </row>
    <row r="47" spans="1:13" x14ac:dyDescent="0.25">
      <c r="A47" s="13" t="str">
        <f t="shared" si="0"/>
        <v>50714272510</v>
      </c>
      <c r="B47" s="10">
        <v>1004060387</v>
      </c>
      <c r="C47" s="10">
        <v>507142725</v>
      </c>
      <c r="D47" s="10">
        <v>10</v>
      </c>
      <c r="E47" s="10" t="s">
        <v>10</v>
      </c>
      <c r="F47" s="10">
        <v>1420609</v>
      </c>
      <c r="G47" s="10" t="s">
        <v>133</v>
      </c>
      <c r="H47" s="11">
        <v>16868</v>
      </c>
      <c r="I47" s="10">
        <v>0</v>
      </c>
      <c r="J47" s="11">
        <f t="shared" si="1"/>
        <v>16868</v>
      </c>
      <c r="K47" s="12">
        <f>VLOOKUP(A47,[2]VA05!$A:$K,11,FALSE)</f>
        <v>45573</v>
      </c>
      <c r="L47" s="10" t="s">
        <v>56</v>
      </c>
      <c r="M47" s="10" t="s">
        <v>194</v>
      </c>
    </row>
    <row r="48" spans="1:13" x14ac:dyDescent="0.25">
      <c r="A48" s="13" t="str">
        <f t="shared" si="0"/>
        <v>50714278610</v>
      </c>
      <c r="B48" s="10">
        <v>1004056892</v>
      </c>
      <c r="C48" s="10">
        <v>507142786</v>
      </c>
      <c r="D48" s="10">
        <v>10</v>
      </c>
      <c r="E48" s="10" t="s">
        <v>10</v>
      </c>
      <c r="F48" s="10">
        <v>1304095</v>
      </c>
      <c r="G48" s="10" t="s">
        <v>76</v>
      </c>
      <c r="H48" s="11">
        <v>26709</v>
      </c>
      <c r="I48" s="11">
        <v>19200</v>
      </c>
      <c r="J48" s="11">
        <f t="shared" si="1"/>
        <v>7509</v>
      </c>
      <c r="K48" s="12">
        <f>VLOOKUP(A48,[2]VA05!$A:$K,11,FALSE)</f>
        <v>45581</v>
      </c>
      <c r="L48" s="10" t="s">
        <v>18</v>
      </c>
      <c r="M48" s="10" t="s">
        <v>154</v>
      </c>
    </row>
    <row r="49" spans="1:13" x14ac:dyDescent="0.25">
      <c r="A49" s="13" t="str">
        <f t="shared" si="0"/>
        <v>50714265410</v>
      </c>
      <c r="B49" s="10">
        <v>1004045686</v>
      </c>
      <c r="C49" s="10">
        <v>507142654</v>
      </c>
      <c r="D49" s="10">
        <v>10</v>
      </c>
      <c r="E49" s="10" t="s">
        <v>10</v>
      </c>
      <c r="F49" s="10">
        <v>1420607</v>
      </c>
      <c r="G49" s="10" t="s">
        <v>149</v>
      </c>
      <c r="H49" s="11">
        <v>16376</v>
      </c>
      <c r="I49" s="10">
        <v>0</v>
      </c>
      <c r="J49" s="11">
        <f t="shared" si="1"/>
        <v>16376</v>
      </c>
      <c r="K49" s="12">
        <f>VLOOKUP(A49,[2]VA05!$A:$K,11,FALSE)</f>
        <v>45573</v>
      </c>
      <c r="L49" s="10" t="s">
        <v>25</v>
      </c>
      <c r="M49" s="10" t="s">
        <v>194</v>
      </c>
    </row>
    <row r="50" spans="1:13" x14ac:dyDescent="0.25">
      <c r="A50" s="13" t="str">
        <f t="shared" si="0"/>
        <v>50714272510</v>
      </c>
      <c r="B50" s="10">
        <v>1004060451</v>
      </c>
      <c r="C50" s="10">
        <v>507142725</v>
      </c>
      <c r="D50" s="10">
        <v>10</v>
      </c>
      <c r="E50" s="10" t="s">
        <v>10</v>
      </c>
      <c r="F50" s="10">
        <v>1420607</v>
      </c>
      <c r="G50" s="10" t="s">
        <v>149</v>
      </c>
      <c r="H50" s="11">
        <v>16376</v>
      </c>
      <c r="I50" s="10">
        <v>0</v>
      </c>
      <c r="J50" s="11">
        <f t="shared" si="1"/>
        <v>16376</v>
      </c>
      <c r="K50" s="12">
        <f>VLOOKUP(A50,[2]VA05!$A:$K,11,FALSE)</f>
        <v>45573</v>
      </c>
      <c r="L50" s="10" t="s">
        <v>12</v>
      </c>
      <c r="M50" s="10" t="s">
        <v>194</v>
      </c>
    </row>
    <row r="51" spans="1:13" x14ac:dyDescent="0.25">
      <c r="A51" s="13" t="str">
        <f t="shared" si="0"/>
        <v>50714278610</v>
      </c>
      <c r="B51" s="10">
        <v>1004059423</v>
      </c>
      <c r="C51" s="10">
        <v>507142786</v>
      </c>
      <c r="D51" s="10">
        <v>10</v>
      </c>
      <c r="E51" s="10" t="s">
        <v>10</v>
      </c>
      <c r="F51" s="10">
        <v>1149454</v>
      </c>
      <c r="G51" s="10" t="s">
        <v>246</v>
      </c>
      <c r="H51" s="11">
        <v>27228</v>
      </c>
      <c r="I51" s="11">
        <v>26640</v>
      </c>
      <c r="J51" s="11">
        <f t="shared" si="1"/>
        <v>588</v>
      </c>
      <c r="K51" s="12">
        <f>VLOOKUP(A51,[2]VA05!$A:$K,11,FALSE)</f>
        <v>45581</v>
      </c>
      <c r="L51" s="10" t="s">
        <v>11</v>
      </c>
      <c r="M51" s="10" t="s">
        <v>154</v>
      </c>
    </row>
    <row r="52" spans="1:13" x14ac:dyDescent="0.25">
      <c r="A52" s="13" t="str">
        <f t="shared" si="0"/>
        <v>50714265120</v>
      </c>
      <c r="B52" s="10">
        <v>1004059424</v>
      </c>
      <c r="C52" s="10">
        <v>507142651</v>
      </c>
      <c r="D52" s="10">
        <v>20</v>
      </c>
      <c r="E52" s="10" t="s">
        <v>10</v>
      </c>
      <c r="F52" s="10">
        <v>1149454</v>
      </c>
      <c r="G52" s="10" t="s">
        <v>246</v>
      </c>
      <c r="H52" s="11">
        <v>28966</v>
      </c>
      <c r="I52" s="10">
        <v>0</v>
      </c>
      <c r="J52" s="11">
        <f t="shared" si="1"/>
        <v>28966</v>
      </c>
      <c r="K52" s="12">
        <f>VLOOKUP(A52,[2]VA05!$A:$K,11,FALSE)</f>
        <v>45567</v>
      </c>
      <c r="L52" s="10" t="s">
        <v>27</v>
      </c>
      <c r="M52" s="10" t="s">
        <v>194</v>
      </c>
    </row>
    <row r="53" spans="1:13" x14ac:dyDescent="0.25">
      <c r="A53" s="13" t="str">
        <f t="shared" si="0"/>
        <v>50714273410</v>
      </c>
      <c r="B53" s="10">
        <v>1004054830</v>
      </c>
      <c r="C53" s="10">
        <v>507142734</v>
      </c>
      <c r="D53" s="10">
        <v>10</v>
      </c>
      <c r="E53" s="10" t="s">
        <v>10</v>
      </c>
      <c r="F53" s="10">
        <v>1193508</v>
      </c>
      <c r="G53" s="10" t="s">
        <v>134</v>
      </c>
      <c r="H53" s="11">
        <v>16753</v>
      </c>
      <c r="I53" s="11">
        <v>13900</v>
      </c>
      <c r="J53" s="11">
        <f t="shared" si="1"/>
        <v>2853</v>
      </c>
      <c r="K53" s="12">
        <f>VLOOKUP(A53,[2]VA05!$A:$K,11,FALSE)</f>
        <v>45572</v>
      </c>
      <c r="L53" s="10" t="s">
        <v>18</v>
      </c>
      <c r="M53" s="10" t="s">
        <v>195</v>
      </c>
    </row>
    <row r="54" spans="1:13" x14ac:dyDescent="0.25">
      <c r="A54" s="13" t="str">
        <f t="shared" si="0"/>
        <v>50714274310</v>
      </c>
      <c r="B54" s="10">
        <v>1004054831</v>
      </c>
      <c r="C54" s="10">
        <v>507142743</v>
      </c>
      <c r="D54" s="10">
        <v>10</v>
      </c>
      <c r="E54" s="10" t="s">
        <v>10</v>
      </c>
      <c r="F54" s="10">
        <v>1193508</v>
      </c>
      <c r="G54" s="10" t="s">
        <v>134</v>
      </c>
      <c r="H54" s="11">
        <v>16753</v>
      </c>
      <c r="I54" s="10">
        <v>0</v>
      </c>
      <c r="J54" s="11">
        <f t="shared" si="1"/>
        <v>16753</v>
      </c>
      <c r="K54" s="12">
        <f>VLOOKUP(A54,[2]VA05!$A:$K,11,FALSE)</f>
        <v>45575</v>
      </c>
      <c r="L54" s="10" t="s">
        <v>27</v>
      </c>
      <c r="M54" s="10" t="s">
        <v>195</v>
      </c>
    </row>
    <row r="55" spans="1:13" x14ac:dyDescent="0.25">
      <c r="A55" s="13" t="str">
        <f t="shared" si="0"/>
        <v>50714258410</v>
      </c>
      <c r="B55" s="10">
        <v>1004025718</v>
      </c>
      <c r="C55" s="10">
        <v>507142584</v>
      </c>
      <c r="D55" s="10">
        <v>10</v>
      </c>
      <c r="E55" s="10" t="s">
        <v>10</v>
      </c>
      <c r="F55" s="10">
        <v>1192705</v>
      </c>
      <c r="G55" s="10" t="s">
        <v>45</v>
      </c>
      <c r="H55" s="11">
        <v>29915</v>
      </c>
      <c r="I55" s="11">
        <v>15280</v>
      </c>
      <c r="J55" s="11">
        <f t="shared" si="1"/>
        <v>14635</v>
      </c>
      <c r="K55" s="12">
        <f>VLOOKUP(A55,[2]VA05!$A:$K,11,FALSE)</f>
        <v>45565</v>
      </c>
      <c r="L55" s="10" t="s">
        <v>18</v>
      </c>
      <c r="M55" s="10" t="s">
        <v>66</v>
      </c>
    </row>
    <row r="56" spans="1:13" x14ac:dyDescent="0.25">
      <c r="A56" s="13" t="str">
        <f t="shared" si="0"/>
        <v>50714259810</v>
      </c>
      <c r="B56" s="10">
        <v>1004042031</v>
      </c>
      <c r="C56" s="10">
        <v>507142598</v>
      </c>
      <c r="D56" s="10">
        <v>10</v>
      </c>
      <c r="E56" s="10" t="s">
        <v>10</v>
      </c>
      <c r="F56" s="10">
        <v>1233459</v>
      </c>
      <c r="G56" s="10" t="s">
        <v>121</v>
      </c>
      <c r="H56" s="11">
        <v>15449</v>
      </c>
      <c r="I56" s="11">
        <v>8790</v>
      </c>
      <c r="J56" s="11">
        <f t="shared" si="1"/>
        <v>6659</v>
      </c>
      <c r="K56" s="12">
        <f>VLOOKUP(A56,[2]VA05!$A:$K,11,FALSE)</f>
        <v>45560</v>
      </c>
      <c r="L56" s="10" t="s">
        <v>11</v>
      </c>
      <c r="M56" s="10" t="s">
        <v>106</v>
      </c>
    </row>
    <row r="57" spans="1:13" x14ac:dyDescent="0.25">
      <c r="A57" s="13" t="str">
        <f t="shared" si="0"/>
        <v>50714272410</v>
      </c>
      <c r="B57" s="10">
        <v>1004051405</v>
      </c>
      <c r="C57" s="10">
        <v>507142724</v>
      </c>
      <c r="D57" s="10">
        <v>10</v>
      </c>
      <c r="E57" s="10" t="s">
        <v>10</v>
      </c>
      <c r="F57" s="10">
        <v>1233459</v>
      </c>
      <c r="G57" s="10" t="s">
        <v>121</v>
      </c>
      <c r="H57" s="11">
        <v>10299</v>
      </c>
      <c r="I57" s="10">
        <v>0</v>
      </c>
      <c r="J57" s="11">
        <f t="shared" si="1"/>
        <v>10299</v>
      </c>
      <c r="K57" s="12">
        <f>VLOOKUP(A57,[2]VA05!$A:$K,11,FALSE)</f>
        <v>45594</v>
      </c>
      <c r="L57" s="10" t="s">
        <v>12</v>
      </c>
      <c r="M57" s="10" t="s">
        <v>176</v>
      </c>
    </row>
    <row r="58" spans="1:13" x14ac:dyDescent="0.25">
      <c r="A58" s="13" t="str">
        <f t="shared" si="0"/>
        <v>50714272410</v>
      </c>
      <c r="B58" s="10">
        <v>1004058756</v>
      </c>
      <c r="C58" s="10">
        <v>507142724</v>
      </c>
      <c r="D58" s="10">
        <v>10</v>
      </c>
      <c r="E58" s="10" t="s">
        <v>10</v>
      </c>
      <c r="F58" s="10">
        <v>1233477</v>
      </c>
      <c r="G58" s="10" t="s">
        <v>236</v>
      </c>
      <c r="H58" s="11">
        <v>11006</v>
      </c>
      <c r="I58" s="10">
        <v>0</v>
      </c>
      <c r="J58" s="11">
        <f t="shared" si="1"/>
        <v>11006</v>
      </c>
      <c r="K58" s="12">
        <f>VLOOKUP(A58,[2]VA05!$A:$K,11,FALSE)</f>
        <v>45594</v>
      </c>
      <c r="L58" s="10" t="s">
        <v>12</v>
      </c>
      <c r="M58" s="10" t="s">
        <v>109</v>
      </c>
    </row>
    <row r="59" spans="1:13" x14ac:dyDescent="0.25">
      <c r="A59" s="13" t="str">
        <f t="shared" si="0"/>
        <v>50714274210</v>
      </c>
      <c r="B59" s="10">
        <v>1004052517</v>
      </c>
      <c r="C59" s="10">
        <v>507142742</v>
      </c>
      <c r="D59" s="10">
        <v>10</v>
      </c>
      <c r="E59" s="10" t="s">
        <v>10</v>
      </c>
      <c r="F59" s="10">
        <v>1209335</v>
      </c>
      <c r="G59" s="10" t="s">
        <v>150</v>
      </c>
      <c r="H59" s="11">
        <v>25576</v>
      </c>
      <c r="I59" s="11">
        <v>2950</v>
      </c>
      <c r="J59" s="11">
        <f t="shared" si="1"/>
        <v>22626</v>
      </c>
      <c r="K59" s="12">
        <f>VLOOKUP(A59,[2]VA05!$A:$K,11,FALSE)</f>
        <v>45580</v>
      </c>
      <c r="L59" s="10" t="s">
        <v>18</v>
      </c>
      <c r="M59" s="10" t="s">
        <v>178</v>
      </c>
    </row>
    <row r="60" spans="1:13" x14ac:dyDescent="0.25">
      <c r="A60" s="13" t="str">
        <f t="shared" si="0"/>
        <v>50714274240</v>
      </c>
      <c r="B60" s="10">
        <v>1004052518</v>
      </c>
      <c r="C60" s="10">
        <v>507142742</v>
      </c>
      <c r="D60" s="10">
        <v>40</v>
      </c>
      <c r="E60" s="10" t="s">
        <v>10</v>
      </c>
      <c r="F60" s="10">
        <v>1209335</v>
      </c>
      <c r="G60" s="10" t="s">
        <v>150</v>
      </c>
      <c r="H60" s="11">
        <v>25576</v>
      </c>
      <c r="I60" s="10">
        <v>0</v>
      </c>
      <c r="J60" s="11">
        <f t="shared" si="1"/>
        <v>25576</v>
      </c>
      <c r="K60" s="12">
        <f>VLOOKUP(A60,[2]VA05!$A:$K,11,FALSE)</f>
        <v>45587</v>
      </c>
      <c r="L60" s="10" t="s">
        <v>12</v>
      </c>
      <c r="M60" s="10" t="s">
        <v>179</v>
      </c>
    </row>
    <row r="61" spans="1:13" x14ac:dyDescent="0.25">
      <c r="A61" s="13" t="str">
        <f t="shared" si="0"/>
        <v>50714274270</v>
      </c>
      <c r="B61" s="10">
        <v>1004052519</v>
      </c>
      <c r="C61" s="10">
        <v>507142742</v>
      </c>
      <c r="D61" s="10">
        <v>70</v>
      </c>
      <c r="E61" s="10" t="s">
        <v>10</v>
      </c>
      <c r="F61" s="10">
        <v>1209335</v>
      </c>
      <c r="G61" s="10" t="s">
        <v>150</v>
      </c>
      <c r="H61" s="11">
        <v>25576</v>
      </c>
      <c r="I61" s="10">
        <v>0</v>
      </c>
      <c r="J61" s="11">
        <f t="shared" si="1"/>
        <v>25576</v>
      </c>
      <c r="K61" s="12">
        <f>VLOOKUP(A61,[2]VA05!$A:$K,11,FALSE)</f>
        <v>45594</v>
      </c>
      <c r="L61" s="10" t="s">
        <v>12</v>
      </c>
      <c r="M61" s="10" t="s">
        <v>109</v>
      </c>
    </row>
    <row r="62" spans="1:13" x14ac:dyDescent="0.25">
      <c r="A62" s="13" t="str">
        <f t="shared" si="0"/>
        <v>507142742100</v>
      </c>
      <c r="B62" s="10">
        <v>1004052522</v>
      </c>
      <c r="C62" s="10">
        <v>507142742</v>
      </c>
      <c r="D62" s="10">
        <v>100</v>
      </c>
      <c r="E62" s="10" t="s">
        <v>10</v>
      </c>
      <c r="F62" s="10">
        <v>1209335</v>
      </c>
      <c r="G62" s="10" t="s">
        <v>150</v>
      </c>
      <c r="H62" s="11">
        <v>25576</v>
      </c>
      <c r="I62" s="10">
        <v>0</v>
      </c>
      <c r="J62" s="11">
        <f t="shared" si="1"/>
        <v>25576</v>
      </c>
      <c r="K62" s="12">
        <f>VLOOKUP(A62,[2]VA05!$A:$K,11,FALSE)</f>
        <v>45601</v>
      </c>
      <c r="L62" s="10" t="s">
        <v>12</v>
      </c>
      <c r="M62" s="10" t="s">
        <v>196</v>
      </c>
    </row>
    <row r="63" spans="1:13" x14ac:dyDescent="0.25">
      <c r="A63" s="13" t="str">
        <f t="shared" si="0"/>
        <v>50714274240</v>
      </c>
      <c r="B63" s="10">
        <v>1004052625</v>
      </c>
      <c r="C63" s="10">
        <v>507142742</v>
      </c>
      <c r="D63" s="10">
        <v>40</v>
      </c>
      <c r="E63" s="10" t="s">
        <v>10</v>
      </c>
      <c r="F63" s="10">
        <v>1437142</v>
      </c>
      <c r="G63" s="10" t="s">
        <v>145</v>
      </c>
      <c r="H63" s="11">
        <v>27661</v>
      </c>
      <c r="I63" s="10">
        <v>0</v>
      </c>
      <c r="J63" s="11">
        <f t="shared" si="1"/>
        <v>27661</v>
      </c>
      <c r="K63" s="12">
        <f>VLOOKUP(A63,[2]VA05!$A:$K,11,FALSE)</f>
        <v>45587</v>
      </c>
      <c r="L63" s="10" t="s">
        <v>12</v>
      </c>
      <c r="M63" s="10" t="s">
        <v>194</v>
      </c>
    </row>
    <row r="64" spans="1:13" x14ac:dyDescent="0.25">
      <c r="A64" s="13" t="str">
        <f t="shared" si="0"/>
        <v>50714274270</v>
      </c>
      <c r="B64" s="10">
        <v>1004052626</v>
      </c>
      <c r="C64" s="10">
        <v>507142742</v>
      </c>
      <c r="D64" s="10">
        <v>70</v>
      </c>
      <c r="E64" s="10" t="s">
        <v>10</v>
      </c>
      <c r="F64" s="10">
        <v>1437142</v>
      </c>
      <c r="G64" s="10" t="s">
        <v>145</v>
      </c>
      <c r="H64" s="11">
        <v>27661</v>
      </c>
      <c r="I64" s="10">
        <v>0</v>
      </c>
      <c r="J64" s="11">
        <f t="shared" si="1"/>
        <v>27661</v>
      </c>
      <c r="K64" s="12">
        <f>VLOOKUP(A64,[2]VA05!$A:$K,11,FALSE)</f>
        <v>45594</v>
      </c>
      <c r="L64" s="10" t="s">
        <v>12</v>
      </c>
      <c r="M64" s="10" t="s">
        <v>179</v>
      </c>
    </row>
    <row r="65" spans="1:13" x14ac:dyDescent="0.25">
      <c r="A65" s="13" t="str">
        <f t="shared" si="0"/>
        <v>507142742100</v>
      </c>
      <c r="B65" s="10">
        <v>1004052627</v>
      </c>
      <c r="C65" s="10">
        <v>507142742</v>
      </c>
      <c r="D65" s="10">
        <v>100</v>
      </c>
      <c r="E65" s="10" t="s">
        <v>10</v>
      </c>
      <c r="F65" s="10">
        <v>1437142</v>
      </c>
      <c r="G65" s="10" t="s">
        <v>145</v>
      </c>
      <c r="H65" s="11">
        <v>27661</v>
      </c>
      <c r="I65" s="10">
        <v>0</v>
      </c>
      <c r="J65" s="11">
        <f t="shared" si="1"/>
        <v>27661</v>
      </c>
      <c r="K65" s="12">
        <f>VLOOKUP(A65,[2]VA05!$A:$K,11,FALSE)</f>
        <v>45601</v>
      </c>
      <c r="L65" s="10" t="s">
        <v>12</v>
      </c>
      <c r="M65" s="10" t="s">
        <v>109</v>
      </c>
    </row>
    <row r="66" spans="1:13" x14ac:dyDescent="0.25">
      <c r="A66" s="13" t="str">
        <f t="shared" si="0"/>
        <v>50714274210</v>
      </c>
      <c r="B66" s="10">
        <v>1004054341</v>
      </c>
      <c r="C66" s="10">
        <v>507142742</v>
      </c>
      <c r="D66" s="10">
        <v>10</v>
      </c>
      <c r="E66" s="10" t="s">
        <v>10</v>
      </c>
      <c r="F66" s="10">
        <v>1437142</v>
      </c>
      <c r="G66" s="10" t="s">
        <v>145</v>
      </c>
      <c r="H66" s="11">
        <v>27661</v>
      </c>
      <c r="I66" s="11">
        <v>11900</v>
      </c>
      <c r="J66" s="11">
        <f t="shared" si="1"/>
        <v>15761</v>
      </c>
      <c r="K66" s="12">
        <f>VLOOKUP(A66,[2]VA05!$A:$K,11,FALSE)</f>
        <v>45580</v>
      </c>
      <c r="L66" s="10" t="s">
        <v>11</v>
      </c>
      <c r="M66" s="10" t="s">
        <v>155</v>
      </c>
    </row>
    <row r="67" spans="1:13" x14ac:dyDescent="0.25">
      <c r="A67" s="13" t="str">
        <f t="shared" si="0"/>
        <v>50714268230</v>
      </c>
      <c r="B67" s="10">
        <v>1004059556</v>
      </c>
      <c r="C67" s="10">
        <v>507142682</v>
      </c>
      <c r="D67" s="10">
        <v>30</v>
      </c>
      <c r="E67" s="10" t="s">
        <v>10</v>
      </c>
      <c r="F67" s="10">
        <v>1440080</v>
      </c>
      <c r="G67" s="10" t="s">
        <v>247</v>
      </c>
      <c r="H67" s="11">
        <v>10524</v>
      </c>
      <c r="I67" s="10">
        <v>0</v>
      </c>
      <c r="J67" s="11">
        <f t="shared" si="1"/>
        <v>10524</v>
      </c>
      <c r="K67" s="12">
        <f>VLOOKUP(A67,[2]VA05!$A:$K,11,FALSE)</f>
        <v>45595</v>
      </c>
      <c r="L67" s="10" t="s">
        <v>12</v>
      </c>
      <c r="M67" s="10" t="s">
        <v>176</v>
      </c>
    </row>
    <row r="68" spans="1:13" x14ac:dyDescent="0.25">
      <c r="A68" s="13" t="str">
        <f t="shared" ref="A68:A131" si="2">C68&amp;D68</f>
        <v>50714242450</v>
      </c>
      <c r="B68" s="10">
        <v>1004019633</v>
      </c>
      <c r="C68" s="10">
        <v>507142424</v>
      </c>
      <c r="D68" s="10">
        <v>50</v>
      </c>
      <c r="E68" s="10" t="s">
        <v>10</v>
      </c>
      <c r="F68" s="10">
        <v>1212309</v>
      </c>
      <c r="G68" s="10" t="s">
        <v>16</v>
      </c>
      <c r="H68" s="11">
        <v>30725</v>
      </c>
      <c r="I68" s="10">
        <v>0</v>
      </c>
      <c r="J68" s="11">
        <f t="shared" ref="J68:J131" si="3">H68-I68</f>
        <v>30725</v>
      </c>
      <c r="K68" s="12" t="e">
        <f>VLOOKUP(A68,[2]VA05!$A:$K,11,FALSE)</f>
        <v>#N/A</v>
      </c>
      <c r="L68" s="10" t="s">
        <v>12</v>
      </c>
      <c r="M68" s="10" t="s">
        <v>82</v>
      </c>
    </row>
    <row r="69" spans="1:13" x14ac:dyDescent="0.25">
      <c r="A69" s="13" t="str">
        <f t="shared" si="2"/>
        <v>50714274220</v>
      </c>
      <c r="B69" s="10">
        <v>1004052511</v>
      </c>
      <c r="C69" s="10">
        <v>507142742</v>
      </c>
      <c r="D69" s="10">
        <v>20</v>
      </c>
      <c r="E69" s="10" t="s">
        <v>10</v>
      </c>
      <c r="F69" s="10">
        <v>1209351</v>
      </c>
      <c r="G69" s="10" t="s">
        <v>135</v>
      </c>
      <c r="H69" s="11">
        <v>25576</v>
      </c>
      <c r="I69" s="11">
        <v>2837</v>
      </c>
      <c r="J69" s="11">
        <f t="shared" si="3"/>
        <v>22739</v>
      </c>
      <c r="K69" s="12">
        <f>VLOOKUP(A69,[2]VA05!$A:$K,11,FALSE)</f>
        <v>45580</v>
      </c>
      <c r="L69" s="10" t="s">
        <v>18</v>
      </c>
      <c r="M69" s="10" t="s">
        <v>197</v>
      </c>
    </row>
    <row r="70" spans="1:13" x14ac:dyDescent="0.25">
      <c r="A70" s="13" t="str">
        <f t="shared" si="2"/>
        <v>50714274250</v>
      </c>
      <c r="B70" s="10">
        <v>1004052512</v>
      </c>
      <c r="C70" s="10">
        <v>507142742</v>
      </c>
      <c r="D70" s="10">
        <v>50</v>
      </c>
      <c r="E70" s="10" t="s">
        <v>10</v>
      </c>
      <c r="F70" s="10">
        <v>1209351</v>
      </c>
      <c r="G70" s="10" t="s">
        <v>135</v>
      </c>
      <c r="H70" s="11">
        <v>25576</v>
      </c>
      <c r="I70" s="10">
        <v>0</v>
      </c>
      <c r="J70" s="11">
        <f t="shared" si="3"/>
        <v>25576</v>
      </c>
      <c r="K70" s="12">
        <f>VLOOKUP(A70,[2]VA05!$A:$K,11,FALSE)</f>
        <v>45587</v>
      </c>
      <c r="L70" s="10" t="s">
        <v>12</v>
      </c>
      <c r="M70" s="10" t="s">
        <v>192</v>
      </c>
    </row>
    <row r="71" spans="1:13" x14ac:dyDescent="0.25">
      <c r="A71" s="13" t="str">
        <f t="shared" si="2"/>
        <v>50714274280</v>
      </c>
      <c r="B71" s="10">
        <v>1004052513</v>
      </c>
      <c r="C71" s="10">
        <v>507142742</v>
      </c>
      <c r="D71" s="10">
        <v>80</v>
      </c>
      <c r="E71" s="10" t="s">
        <v>10</v>
      </c>
      <c r="F71" s="10">
        <v>1209351</v>
      </c>
      <c r="G71" s="10" t="s">
        <v>135</v>
      </c>
      <c r="H71" s="11">
        <v>25576</v>
      </c>
      <c r="I71" s="10">
        <v>0</v>
      </c>
      <c r="J71" s="11">
        <f t="shared" si="3"/>
        <v>25576</v>
      </c>
      <c r="K71" s="12">
        <f>VLOOKUP(A71,[2]VA05!$A:$K,11,FALSE)</f>
        <v>45594</v>
      </c>
      <c r="L71" s="10" t="s">
        <v>12</v>
      </c>
      <c r="M71" s="10" t="s">
        <v>176</v>
      </c>
    </row>
    <row r="72" spans="1:13" x14ac:dyDescent="0.25">
      <c r="A72" s="13" t="str">
        <f t="shared" si="2"/>
        <v>507142742110</v>
      </c>
      <c r="B72" s="10">
        <v>1004052514</v>
      </c>
      <c r="C72" s="10">
        <v>507142742</v>
      </c>
      <c r="D72" s="10">
        <v>110</v>
      </c>
      <c r="E72" s="10" t="s">
        <v>10</v>
      </c>
      <c r="F72" s="10">
        <v>1209351</v>
      </c>
      <c r="G72" s="10" t="s">
        <v>135</v>
      </c>
      <c r="H72" s="11">
        <v>25576</v>
      </c>
      <c r="I72" s="10">
        <v>0</v>
      </c>
      <c r="J72" s="11">
        <f t="shared" si="3"/>
        <v>25576</v>
      </c>
      <c r="K72" s="12">
        <f>VLOOKUP(A72,[2]VA05!$A:$K,11,FALSE)</f>
        <v>45601</v>
      </c>
      <c r="L72" s="10" t="s">
        <v>12</v>
      </c>
      <c r="M72" s="10" t="s">
        <v>198</v>
      </c>
    </row>
    <row r="73" spans="1:13" x14ac:dyDescent="0.25">
      <c r="A73" s="13" t="str">
        <f t="shared" si="2"/>
        <v>50900099220</v>
      </c>
      <c r="B73" s="10">
        <v>1004021332</v>
      </c>
      <c r="C73" s="10">
        <v>509000992</v>
      </c>
      <c r="D73" s="10">
        <v>20</v>
      </c>
      <c r="E73" s="10" t="s">
        <v>10</v>
      </c>
      <c r="F73" s="10">
        <v>1279716</v>
      </c>
      <c r="G73" s="10" t="s">
        <v>54</v>
      </c>
      <c r="H73" s="11">
        <v>10299</v>
      </c>
      <c r="I73" s="10">
        <v>0</v>
      </c>
      <c r="J73" s="11">
        <f t="shared" si="3"/>
        <v>10299</v>
      </c>
      <c r="K73" s="12" t="e">
        <f>VLOOKUP(A73,[2]VA05!$A:$K,11,FALSE)</f>
        <v>#N/A</v>
      </c>
      <c r="L73" s="10" t="s">
        <v>25</v>
      </c>
      <c r="M73" s="10" t="s">
        <v>66</v>
      </c>
    </row>
    <row r="74" spans="1:13" x14ac:dyDescent="0.25">
      <c r="A74" s="13" t="str">
        <f t="shared" si="2"/>
        <v>50714242410</v>
      </c>
      <c r="B74" s="10">
        <v>1004019563</v>
      </c>
      <c r="C74" s="10">
        <v>507142424</v>
      </c>
      <c r="D74" s="10">
        <v>10</v>
      </c>
      <c r="E74" s="10" t="s">
        <v>10</v>
      </c>
      <c r="F74" s="10">
        <v>1212320</v>
      </c>
      <c r="G74" s="10" t="s">
        <v>17</v>
      </c>
      <c r="H74" s="11">
        <v>19568</v>
      </c>
      <c r="I74" s="10">
        <v>0</v>
      </c>
      <c r="J74" s="11">
        <f t="shared" si="3"/>
        <v>19568</v>
      </c>
      <c r="K74" s="12" t="e">
        <f>VLOOKUP(A74,[2]VA05!$A:$K,11,FALSE)</f>
        <v>#N/A</v>
      </c>
      <c r="L74" s="10" t="s">
        <v>239</v>
      </c>
      <c r="M74" s="10" t="s">
        <v>72</v>
      </c>
    </row>
    <row r="75" spans="1:13" x14ac:dyDescent="0.25">
      <c r="A75" s="13" t="str">
        <f t="shared" si="2"/>
        <v>50714242430</v>
      </c>
      <c r="B75" s="10">
        <v>1004019564</v>
      </c>
      <c r="C75" s="10">
        <v>507142424</v>
      </c>
      <c r="D75" s="10">
        <v>30</v>
      </c>
      <c r="E75" s="10" t="s">
        <v>10</v>
      </c>
      <c r="F75" s="10">
        <v>1212320</v>
      </c>
      <c r="G75" s="10" t="s">
        <v>17</v>
      </c>
      <c r="H75" s="11">
        <v>19568</v>
      </c>
      <c r="I75" s="10">
        <v>0</v>
      </c>
      <c r="J75" s="11">
        <f t="shared" si="3"/>
        <v>19568</v>
      </c>
      <c r="K75" s="12" t="e">
        <f>VLOOKUP(A75,[2]VA05!$A:$K,11,FALSE)</f>
        <v>#N/A</v>
      </c>
      <c r="L75" s="10" t="s">
        <v>13</v>
      </c>
      <c r="M75" s="10" t="s">
        <v>69</v>
      </c>
    </row>
    <row r="76" spans="1:13" x14ac:dyDescent="0.25">
      <c r="A76" s="13" t="str">
        <f t="shared" si="2"/>
        <v>50714242450</v>
      </c>
      <c r="B76" s="10">
        <v>1004019566</v>
      </c>
      <c r="C76" s="10">
        <v>507142424</v>
      </c>
      <c r="D76" s="10">
        <v>50</v>
      </c>
      <c r="E76" s="10" t="s">
        <v>10</v>
      </c>
      <c r="F76" s="10">
        <v>1212320</v>
      </c>
      <c r="G76" s="10" t="s">
        <v>17</v>
      </c>
      <c r="H76" s="11">
        <v>30725</v>
      </c>
      <c r="I76" s="10">
        <v>0</v>
      </c>
      <c r="J76" s="11">
        <f t="shared" si="3"/>
        <v>30725</v>
      </c>
      <c r="K76" s="12" t="e">
        <f>VLOOKUP(A76,[2]VA05!$A:$K,11,FALSE)</f>
        <v>#N/A</v>
      </c>
      <c r="L76" s="10" t="s">
        <v>13</v>
      </c>
      <c r="M76" s="10" t="s">
        <v>73</v>
      </c>
    </row>
    <row r="77" spans="1:13" x14ac:dyDescent="0.25">
      <c r="A77" s="13" t="str">
        <f t="shared" si="2"/>
        <v>50714274220</v>
      </c>
      <c r="B77" s="10">
        <v>1004052428</v>
      </c>
      <c r="C77" s="10">
        <v>507142742</v>
      </c>
      <c r="D77" s="10">
        <v>20</v>
      </c>
      <c r="E77" s="10" t="s">
        <v>10</v>
      </c>
      <c r="F77" s="10">
        <v>1437172</v>
      </c>
      <c r="G77" s="10" t="s">
        <v>123</v>
      </c>
      <c r="H77" s="11">
        <v>25576</v>
      </c>
      <c r="I77" s="11">
        <v>7183</v>
      </c>
      <c r="J77" s="11">
        <f t="shared" si="3"/>
        <v>18393</v>
      </c>
      <c r="K77" s="12">
        <f>VLOOKUP(A77,[2]VA05!$A:$K,11,FALSE)</f>
        <v>45580</v>
      </c>
      <c r="L77" s="10" t="s">
        <v>18</v>
      </c>
      <c r="M77" s="10" t="s">
        <v>197</v>
      </c>
    </row>
    <row r="78" spans="1:13" x14ac:dyDescent="0.25">
      <c r="A78" s="13" t="str">
        <f t="shared" si="2"/>
        <v>50714274280</v>
      </c>
      <c r="B78" s="10">
        <v>1004052509</v>
      </c>
      <c r="C78" s="10">
        <v>507142742</v>
      </c>
      <c r="D78" s="10">
        <v>80</v>
      </c>
      <c r="E78" s="10" t="s">
        <v>10</v>
      </c>
      <c r="F78" s="10">
        <v>1437172</v>
      </c>
      <c r="G78" s="10" t="s">
        <v>123</v>
      </c>
      <c r="H78" s="11">
        <v>25576</v>
      </c>
      <c r="I78" s="10">
        <v>0</v>
      </c>
      <c r="J78" s="11">
        <f t="shared" si="3"/>
        <v>25576</v>
      </c>
      <c r="K78" s="12">
        <f>VLOOKUP(A78,[2]VA05!$A:$K,11,FALSE)</f>
        <v>45594</v>
      </c>
      <c r="L78" s="10" t="s">
        <v>12</v>
      </c>
      <c r="M78" s="10" t="s">
        <v>176</v>
      </c>
    </row>
    <row r="79" spans="1:13" x14ac:dyDescent="0.25">
      <c r="A79" s="13" t="str">
        <f t="shared" si="2"/>
        <v>507142742110</v>
      </c>
      <c r="B79" s="10">
        <v>1004052510</v>
      </c>
      <c r="C79" s="10">
        <v>507142742</v>
      </c>
      <c r="D79" s="10">
        <v>110</v>
      </c>
      <c r="E79" s="10" t="s">
        <v>10</v>
      </c>
      <c r="F79" s="10">
        <v>1437172</v>
      </c>
      <c r="G79" s="10" t="s">
        <v>123</v>
      </c>
      <c r="H79" s="11">
        <v>25576</v>
      </c>
      <c r="I79" s="10">
        <v>0</v>
      </c>
      <c r="J79" s="11">
        <f t="shared" si="3"/>
        <v>25576</v>
      </c>
      <c r="K79" s="12">
        <f>VLOOKUP(A79,[2]VA05!$A:$K,11,FALSE)</f>
        <v>45601</v>
      </c>
      <c r="L79" s="10" t="s">
        <v>12</v>
      </c>
      <c r="M79" s="10" t="s">
        <v>198</v>
      </c>
    </row>
    <row r="80" spans="1:13" x14ac:dyDescent="0.25">
      <c r="A80" s="13" t="str">
        <f t="shared" si="2"/>
        <v>50900099220</v>
      </c>
      <c r="B80" s="10">
        <v>1004016985</v>
      </c>
      <c r="C80" s="10">
        <v>509000992</v>
      </c>
      <c r="D80" s="10">
        <v>20</v>
      </c>
      <c r="E80" s="10" t="s">
        <v>10</v>
      </c>
      <c r="F80" s="10">
        <v>1279713</v>
      </c>
      <c r="G80" s="10" t="s">
        <v>55</v>
      </c>
      <c r="H80" s="11">
        <v>10299</v>
      </c>
      <c r="I80" s="10">
        <v>0</v>
      </c>
      <c r="J80" s="11">
        <f t="shared" si="3"/>
        <v>10299</v>
      </c>
      <c r="K80" s="12" t="e">
        <f>VLOOKUP(A80,[2]VA05!$A:$K,11,FALSE)</f>
        <v>#N/A</v>
      </c>
      <c r="L80" s="10" t="s">
        <v>13</v>
      </c>
      <c r="M80" s="10" t="s">
        <v>58</v>
      </c>
    </row>
    <row r="81" spans="1:13" x14ac:dyDescent="0.25">
      <c r="A81" s="13" t="str">
        <f t="shared" si="2"/>
        <v>50900099320</v>
      </c>
      <c r="B81" s="10">
        <v>1004016986</v>
      </c>
      <c r="C81" s="10">
        <v>509000993</v>
      </c>
      <c r="D81" s="10">
        <v>20</v>
      </c>
      <c r="E81" s="10" t="s">
        <v>10</v>
      </c>
      <c r="F81" s="10">
        <v>1279713</v>
      </c>
      <c r="G81" s="10" t="s">
        <v>55</v>
      </c>
      <c r="H81" s="11">
        <v>3262</v>
      </c>
      <c r="I81" s="10">
        <v>0</v>
      </c>
      <c r="J81" s="11">
        <f t="shared" si="3"/>
        <v>3262</v>
      </c>
      <c r="K81" s="12" t="e">
        <f>VLOOKUP(A81,[2]VA05!$A:$K,11,FALSE)</f>
        <v>#N/A</v>
      </c>
      <c r="L81" s="10" t="s">
        <v>12</v>
      </c>
      <c r="M81" s="10" t="s">
        <v>50</v>
      </c>
    </row>
    <row r="82" spans="1:13" x14ac:dyDescent="0.25">
      <c r="A82" s="13" t="str">
        <f t="shared" si="2"/>
        <v>50714274240</v>
      </c>
      <c r="B82" s="10">
        <v>1004049969</v>
      </c>
      <c r="C82" s="10">
        <v>507142742</v>
      </c>
      <c r="D82" s="10">
        <v>40</v>
      </c>
      <c r="E82" s="10" t="s">
        <v>10</v>
      </c>
      <c r="F82" s="10">
        <v>1209336</v>
      </c>
      <c r="G82" s="10" t="s">
        <v>124</v>
      </c>
      <c r="H82" s="11">
        <v>25576</v>
      </c>
      <c r="I82" s="11">
        <v>1312</v>
      </c>
      <c r="J82" s="11">
        <f t="shared" si="3"/>
        <v>24264</v>
      </c>
      <c r="K82" s="12">
        <f>VLOOKUP(A82,[2]VA05!$A:$K,11,FALSE)</f>
        <v>45587</v>
      </c>
      <c r="L82" s="10" t="s">
        <v>18</v>
      </c>
      <c r="M82" s="10" t="s">
        <v>157</v>
      </c>
    </row>
    <row r="83" spans="1:13" x14ac:dyDescent="0.25">
      <c r="A83" s="13" t="str">
        <f t="shared" si="2"/>
        <v>50714274270</v>
      </c>
      <c r="B83" s="10">
        <v>1004052425</v>
      </c>
      <c r="C83" s="10">
        <v>507142742</v>
      </c>
      <c r="D83" s="10">
        <v>70</v>
      </c>
      <c r="E83" s="10" t="s">
        <v>10</v>
      </c>
      <c r="F83" s="10">
        <v>1209336</v>
      </c>
      <c r="G83" s="10" t="s">
        <v>124</v>
      </c>
      <c r="H83" s="11">
        <v>25576</v>
      </c>
      <c r="I83" s="10">
        <v>0</v>
      </c>
      <c r="J83" s="11">
        <f t="shared" si="3"/>
        <v>25576</v>
      </c>
      <c r="K83" s="12">
        <f>VLOOKUP(A83,[2]VA05!$A:$K,11,FALSE)</f>
        <v>45594</v>
      </c>
      <c r="L83" s="10" t="s">
        <v>12</v>
      </c>
      <c r="M83" s="10" t="s">
        <v>199</v>
      </c>
    </row>
    <row r="84" spans="1:13" x14ac:dyDescent="0.25">
      <c r="A84" s="13" t="str">
        <f t="shared" si="2"/>
        <v>507142742100</v>
      </c>
      <c r="B84" s="10">
        <v>1004052426</v>
      </c>
      <c r="C84" s="10">
        <v>507142742</v>
      </c>
      <c r="D84" s="10">
        <v>100</v>
      </c>
      <c r="E84" s="10" t="s">
        <v>10</v>
      </c>
      <c r="F84" s="10">
        <v>1209336</v>
      </c>
      <c r="G84" s="10" t="s">
        <v>124</v>
      </c>
      <c r="H84" s="11">
        <v>25576</v>
      </c>
      <c r="I84" s="10">
        <v>0</v>
      </c>
      <c r="J84" s="11">
        <f t="shared" si="3"/>
        <v>25576</v>
      </c>
      <c r="K84" s="12">
        <f>VLOOKUP(A84,[2]VA05!$A:$K,11,FALSE)</f>
        <v>45601</v>
      </c>
      <c r="L84" s="10" t="s">
        <v>12</v>
      </c>
      <c r="M84" s="10" t="s">
        <v>200</v>
      </c>
    </row>
    <row r="85" spans="1:13" x14ac:dyDescent="0.25">
      <c r="A85" s="13" t="str">
        <f t="shared" si="2"/>
        <v>50714246960</v>
      </c>
      <c r="B85" s="10">
        <v>1004016982</v>
      </c>
      <c r="C85" s="10">
        <v>507142469</v>
      </c>
      <c r="D85" s="10">
        <v>60</v>
      </c>
      <c r="E85" s="10" t="s">
        <v>10</v>
      </c>
      <c r="F85" s="10">
        <v>1212321</v>
      </c>
      <c r="G85" s="10" t="s">
        <v>30</v>
      </c>
      <c r="H85" s="11">
        <v>71577</v>
      </c>
      <c r="I85" s="11">
        <v>8540</v>
      </c>
      <c r="J85" s="11">
        <f t="shared" si="3"/>
        <v>63037</v>
      </c>
      <c r="K85" s="12" t="e">
        <f>VLOOKUP(A85,[2]VA05!$A:$K,11,FALSE)</f>
        <v>#N/A</v>
      </c>
      <c r="L85" s="10" t="s">
        <v>18</v>
      </c>
      <c r="M85" s="10" t="s">
        <v>49</v>
      </c>
    </row>
    <row r="86" spans="1:13" x14ac:dyDescent="0.25">
      <c r="A86" s="13" t="str">
        <f t="shared" si="2"/>
        <v>50714274230</v>
      </c>
      <c r="B86" s="10">
        <v>1004052421</v>
      </c>
      <c r="C86" s="10">
        <v>507142742</v>
      </c>
      <c r="D86" s="10">
        <v>30</v>
      </c>
      <c r="E86" s="10" t="s">
        <v>10</v>
      </c>
      <c r="F86" s="10">
        <v>1209347</v>
      </c>
      <c r="G86" s="10" t="s">
        <v>136</v>
      </c>
      <c r="H86" s="11">
        <v>25576</v>
      </c>
      <c r="I86" s="10">
        <v>0</v>
      </c>
      <c r="J86" s="11">
        <f t="shared" si="3"/>
        <v>25576</v>
      </c>
      <c r="K86" s="12">
        <f>VLOOKUP(A86,[2]VA05!$A:$K,11,FALSE)</f>
        <v>45580</v>
      </c>
      <c r="L86" s="10" t="s">
        <v>12</v>
      </c>
      <c r="M86" s="10" t="s">
        <v>197</v>
      </c>
    </row>
    <row r="87" spans="1:13" x14ac:dyDescent="0.25">
      <c r="A87" s="13" t="str">
        <f t="shared" si="2"/>
        <v>50714274260</v>
      </c>
      <c r="B87" s="10">
        <v>1004052422</v>
      </c>
      <c r="C87" s="10">
        <v>507142742</v>
      </c>
      <c r="D87" s="10">
        <v>60</v>
      </c>
      <c r="E87" s="10" t="s">
        <v>10</v>
      </c>
      <c r="F87" s="10">
        <v>1209347</v>
      </c>
      <c r="G87" s="10" t="s">
        <v>136</v>
      </c>
      <c r="H87" s="11">
        <v>25576</v>
      </c>
      <c r="I87" s="10">
        <v>0</v>
      </c>
      <c r="J87" s="11">
        <f t="shared" si="3"/>
        <v>25576</v>
      </c>
      <c r="K87" s="12">
        <f>VLOOKUP(A87,[2]VA05!$A:$K,11,FALSE)</f>
        <v>45587</v>
      </c>
      <c r="L87" s="10" t="s">
        <v>12</v>
      </c>
      <c r="M87" s="10" t="s">
        <v>192</v>
      </c>
    </row>
    <row r="88" spans="1:13" x14ac:dyDescent="0.25">
      <c r="A88" s="13" t="str">
        <f t="shared" si="2"/>
        <v>50714274290</v>
      </c>
      <c r="B88" s="10">
        <v>1004052423</v>
      </c>
      <c r="C88" s="10">
        <v>507142742</v>
      </c>
      <c r="D88" s="10">
        <v>90</v>
      </c>
      <c r="E88" s="10" t="s">
        <v>10</v>
      </c>
      <c r="F88" s="10">
        <v>1209347</v>
      </c>
      <c r="G88" s="10" t="s">
        <v>136</v>
      </c>
      <c r="H88" s="11">
        <v>25576</v>
      </c>
      <c r="I88" s="10">
        <v>0</v>
      </c>
      <c r="J88" s="11">
        <f t="shared" si="3"/>
        <v>25576</v>
      </c>
      <c r="K88" s="12">
        <f>VLOOKUP(A88,[2]VA05!$A:$K,11,FALSE)</f>
        <v>45594</v>
      </c>
      <c r="L88" s="10" t="s">
        <v>12</v>
      </c>
      <c r="M88" s="10" t="s">
        <v>176</v>
      </c>
    </row>
    <row r="89" spans="1:13" x14ac:dyDescent="0.25">
      <c r="A89" s="13" t="str">
        <f t="shared" si="2"/>
        <v>507142742120</v>
      </c>
      <c r="B89" s="10">
        <v>1004052424</v>
      </c>
      <c r="C89" s="10">
        <v>507142742</v>
      </c>
      <c r="D89" s="10">
        <v>120</v>
      </c>
      <c r="E89" s="10" t="s">
        <v>10</v>
      </c>
      <c r="F89" s="10">
        <v>1209347</v>
      </c>
      <c r="G89" s="10" t="s">
        <v>136</v>
      </c>
      <c r="H89" s="11">
        <v>25576</v>
      </c>
      <c r="I89" s="10">
        <v>0</v>
      </c>
      <c r="J89" s="11">
        <f t="shared" si="3"/>
        <v>25576</v>
      </c>
      <c r="K89" s="12">
        <f>VLOOKUP(A89,[2]VA05!$A:$K,11,FALSE)</f>
        <v>45601</v>
      </c>
      <c r="L89" s="10" t="s">
        <v>12</v>
      </c>
      <c r="M89" s="10" t="s">
        <v>198</v>
      </c>
    </row>
    <row r="90" spans="1:13" x14ac:dyDescent="0.25">
      <c r="A90" s="13" t="str">
        <f t="shared" si="2"/>
        <v>50714273910</v>
      </c>
      <c r="B90" s="10">
        <v>1004051713</v>
      </c>
      <c r="C90" s="10">
        <v>507142739</v>
      </c>
      <c r="D90" s="10">
        <v>10</v>
      </c>
      <c r="E90" s="10" t="s">
        <v>10</v>
      </c>
      <c r="F90" s="10">
        <v>1409882</v>
      </c>
      <c r="G90" s="10" t="s">
        <v>39</v>
      </c>
      <c r="H90" s="11">
        <v>22415</v>
      </c>
      <c r="I90" s="11">
        <v>8029</v>
      </c>
      <c r="J90" s="11">
        <f t="shared" si="3"/>
        <v>14386</v>
      </c>
      <c r="K90" s="12">
        <f>VLOOKUP(A90,[2]VA05!$A:$K,11,FALSE)</f>
        <v>45568</v>
      </c>
      <c r="L90" s="10" t="s">
        <v>18</v>
      </c>
      <c r="M90" s="10" t="s">
        <v>61</v>
      </c>
    </row>
    <row r="91" spans="1:13" x14ac:dyDescent="0.25">
      <c r="A91" s="13" t="str">
        <f t="shared" si="2"/>
        <v>50714273920</v>
      </c>
      <c r="B91" s="10">
        <v>1004051714</v>
      </c>
      <c r="C91" s="10">
        <v>507142739</v>
      </c>
      <c r="D91" s="10">
        <v>20</v>
      </c>
      <c r="E91" s="10" t="s">
        <v>10</v>
      </c>
      <c r="F91" s="10">
        <v>1409882</v>
      </c>
      <c r="G91" s="10" t="s">
        <v>39</v>
      </c>
      <c r="H91" s="11">
        <v>51460</v>
      </c>
      <c r="I91" s="10">
        <v>0</v>
      </c>
      <c r="J91" s="11">
        <f t="shared" si="3"/>
        <v>51460</v>
      </c>
      <c r="K91" s="12">
        <f>VLOOKUP(A91,[2]VA05!$A:$K,11,FALSE)</f>
        <v>45573</v>
      </c>
      <c r="L91" s="10" t="s">
        <v>12</v>
      </c>
      <c r="M91" s="10" t="s">
        <v>97</v>
      </c>
    </row>
    <row r="92" spans="1:13" x14ac:dyDescent="0.25">
      <c r="A92" s="13" t="str">
        <f t="shared" si="2"/>
        <v>50714273920</v>
      </c>
      <c r="B92" s="10">
        <v>1004056941</v>
      </c>
      <c r="C92" s="10">
        <v>507142739</v>
      </c>
      <c r="D92" s="10">
        <v>20</v>
      </c>
      <c r="E92" s="10" t="s">
        <v>10</v>
      </c>
      <c r="F92" s="10">
        <v>1409883</v>
      </c>
      <c r="G92" s="10" t="s">
        <v>40</v>
      </c>
      <c r="H92" s="11">
        <v>54066</v>
      </c>
      <c r="I92" s="11">
        <v>22230</v>
      </c>
      <c r="J92" s="11">
        <f t="shared" si="3"/>
        <v>31836</v>
      </c>
      <c r="K92" s="12">
        <f>VLOOKUP(A92,[2]VA05!$A:$K,11,FALSE)</f>
        <v>45573</v>
      </c>
      <c r="L92" s="10" t="s">
        <v>11</v>
      </c>
      <c r="M92" s="10" t="s">
        <v>194</v>
      </c>
    </row>
    <row r="93" spans="1:13" x14ac:dyDescent="0.25">
      <c r="A93" s="13" t="str">
        <f t="shared" si="2"/>
        <v>50714273930</v>
      </c>
      <c r="B93" s="10">
        <v>1004057977</v>
      </c>
      <c r="C93" s="10">
        <v>507142739</v>
      </c>
      <c r="D93" s="10">
        <v>30</v>
      </c>
      <c r="E93" s="10" t="s">
        <v>10</v>
      </c>
      <c r="F93" s="10">
        <v>1409883</v>
      </c>
      <c r="G93" s="10" t="s">
        <v>40</v>
      </c>
      <c r="H93" s="11">
        <v>30185</v>
      </c>
      <c r="I93" s="10">
        <v>0</v>
      </c>
      <c r="J93" s="11">
        <f t="shared" si="3"/>
        <v>30185</v>
      </c>
      <c r="K93" s="12">
        <f>VLOOKUP(A93,[2]VA05!$A:$K,11,FALSE)</f>
        <v>45580</v>
      </c>
      <c r="L93" s="10" t="s">
        <v>119</v>
      </c>
      <c r="M93" s="10" t="s">
        <v>155</v>
      </c>
    </row>
    <row r="94" spans="1:13" x14ac:dyDescent="0.25">
      <c r="A94" s="13" t="str">
        <f t="shared" si="2"/>
        <v>50714278010</v>
      </c>
      <c r="B94" s="10">
        <v>1004058757</v>
      </c>
      <c r="C94" s="10">
        <v>507142780</v>
      </c>
      <c r="D94" s="10">
        <v>10</v>
      </c>
      <c r="E94" s="10" t="s">
        <v>10</v>
      </c>
      <c r="F94" s="10">
        <v>1409883</v>
      </c>
      <c r="G94" s="10" t="s">
        <v>40</v>
      </c>
      <c r="H94" s="11">
        <v>34165</v>
      </c>
      <c r="I94" s="10">
        <v>0</v>
      </c>
      <c r="J94" s="11">
        <f t="shared" si="3"/>
        <v>34165</v>
      </c>
      <c r="K94" s="12">
        <f>VLOOKUP(A94,[2]VA05!$A:$K,11,FALSE)</f>
        <v>45580</v>
      </c>
      <c r="L94" s="10" t="s">
        <v>12</v>
      </c>
      <c r="M94" s="10" t="s">
        <v>195</v>
      </c>
    </row>
    <row r="95" spans="1:13" x14ac:dyDescent="0.25">
      <c r="A95" s="13" t="str">
        <f t="shared" si="2"/>
        <v>50714278020</v>
      </c>
      <c r="B95" s="10">
        <v>1004058758</v>
      </c>
      <c r="C95" s="10">
        <v>507142780</v>
      </c>
      <c r="D95" s="10">
        <v>20</v>
      </c>
      <c r="E95" s="10" t="s">
        <v>10</v>
      </c>
      <c r="F95" s="10">
        <v>1409883</v>
      </c>
      <c r="G95" s="10" t="s">
        <v>40</v>
      </c>
      <c r="H95" s="11">
        <v>54066</v>
      </c>
      <c r="I95" s="10">
        <v>0</v>
      </c>
      <c r="J95" s="11">
        <f t="shared" si="3"/>
        <v>54066</v>
      </c>
      <c r="K95" s="12">
        <f>VLOOKUP(A95,[2]VA05!$A:$K,11,FALSE)</f>
        <v>45587</v>
      </c>
      <c r="L95" s="10" t="s">
        <v>12</v>
      </c>
      <c r="M95" s="10" t="s">
        <v>195</v>
      </c>
    </row>
    <row r="96" spans="1:13" x14ac:dyDescent="0.25">
      <c r="A96" s="13" t="str">
        <f t="shared" si="2"/>
        <v>50714278030</v>
      </c>
      <c r="B96" s="10">
        <v>1004058759</v>
      </c>
      <c r="C96" s="10">
        <v>507142780</v>
      </c>
      <c r="D96" s="10">
        <v>30</v>
      </c>
      <c r="E96" s="10" t="s">
        <v>10</v>
      </c>
      <c r="F96" s="10">
        <v>1409883</v>
      </c>
      <c r="G96" s="10" t="s">
        <v>40</v>
      </c>
      <c r="H96" s="11">
        <v>19571</v>
      </c>
      <c r="I96" s="10">
        <v>0</v>
      </c>
      <c r="J96" s="11">
        <f t="shared" si="3"/>
        <v>19571</v>
      </c>
      <c r="K96" s="12">
        <f>VLOOKUP(A96,[2]VA05!$A:$K,11,FALSE)</f>
        <v>45594</v>
      </c>
      <c r="L96" s="10" t="s">
        <v>12</v>
      </c>
      <c r="M96" s="10" t="s">
        <v>192</v>
      </c>
    </row>
    <row r="97" spans="1:13" x14ac:dyDescent="0.25">
      <c r="A97" s="13" t="str">
        <f t="shared" si="2"/>
        <v>50714276510</v>
      </c>
      <c r="B97" s="10">
        <v>1004051406</v>
      </c>
      <c r="C97" s="10">
        <v>507142765</v>
      </c>
      <c r="D97" s="10">
        <v>10</v>
      </c>
      <c r="E97" s="10" t="s">
        <v>10</v>
      </c>
      <c r="F97" s="10">
        <v>1398384</v>
      </c>
      <c r="G97" s="10" t="s">
        <v>168</v>
      </c>
      <c r="H97" s="11">
        <v>11422</v>
      </c>
      <c r="I97" s="11">
        <v>6716</v>
      </c>
      <c r="J97" s="11">
        <f t="shared" si="3"/>
        <v>4706</v>
      </c>
      <c r="K97" s="12">
        <f>VLOOKUP(A97,[2]VA05!$A:$K,11,FALSE)</f>
        <v>45560</v>
      </c>
      <c r="L97" s="10" t="s">
        <v>11</v>
      </c>
      <c r="M97" s="10" t="s">
        <v>180</v>
      </c>
    </row>
    <row r="98" spans="1:13" x14ac:dyDescent="0.25">
      <c r="A98" s="13" t="str">
        <f t="shared" si="2"/>
        <v>50714276520</v>
      </c>
      <c r="B98" s="10">
        <v>1004051407</v>
      </c>
      <c r="C98" s="10">
        <v>507142765</v>
      </c>
      <c r="D98" s="10">
        <v>20</v>
      </c>
      <c r="E98" s="10" t="s">
        <v>10</v>
      </c>
      <c r="F98" s="10">
        <v>1398384</v>
      </c>
      <c r="G98" s="10" t="s">
        <v>168</v>
      </c>
      <c r="H98" s="11">
        <v>22842</v>
      </c>
      <c r="I98" s="10">
        <v>0</v>
      </c>
      <c r="J98" s="11">
        <f t="shared" si="3"/>
        <v>22842</v>
      </c>
      <c r="K98" s="12" t="e">
        <f>VLOOKUP(A98,[2]VA05!$A:$K,11,FALSE)</f>
        <v>#N/A</v>
      </c>
      <c r="L98" s="10" t="s">
        <v>56</v>
      </c>
      <c r="M98" s="10" t="s">
        <v>97</v>
      </c>
    </row>
    <row r="99" spans="1:13" x14ac:dyDescent="0.25">
      <c r="A99" s="13" t="str">
        <f t="shared" si="2"/>
        <v>50714276530</v>
      </c>
      <c r="B99" s="10">
        <v>1004051408</v>
      </c>
      <c r="C99" s="10">
        <v>507142765</v>
      </c>
      <c r="D99" s="10">
        <v>30</v>
      </c>
      <c r="E99" s="10" t="s">
        <v>10</v>
      </c>
      <c r="F99" s="10">
        <v>1398384</v>
      </c>
      <c r="G99" s="10" t="s">
        <v>168</v>
      </c>
      <c r="H99" s="11">
        <v>34807</v>
      </c>
      <c r="I99" s="10">
        <v>0</v>
      </c>
      <c r="J99" s="11">
        <f t="shared" si="3"/>
        <v>34807</v>
      </c>
      <c r="K99" s="12">
        <f>VLOOKUP(A99,[2]VA05!$A:$K,11,FALSE)</f>
        <v>45569</v>
      </c>
      <c r="L99" s="10" t="s">
        <v>12</v>
      </c>
      <c r="M99" s="10" t="s">
        <v>143</v>
      </c>
    </row>
    <row r="100" spans="1:13" x14ac:dyDescent="0.25">
      <c r="A100" s="13" t="str">
        <f t="shared" si="2"/>
        <v>50714276540</v>
      </c>
      <c r="B100" s="10">
        <v>1004052528</v>
      </c>
      <c r="C100" s="10">
        <v>507142765</v>
      </c>
      <c r="D100" s="10">
        <v>40</v>
      </c>
      <c r="E100" s="10" t="s">
        <v>10</v>
      </c>
      <c r="F100" s="10">
        <v>1398384</v>
      </c>
      <c r="G100" s="10" t="s">
        <v>168</v>
      </c>
      <c r="H100" s="11">
        <v>35078</v>
      </c>
      <c r="I100" s="10">
        <v>0</v>
      </c>
      <c r="J100" s="11">
        <f t="shared" si="3"/>
        <v>35078</v>
      </c>
      <c r="K100" s="12">
        <f>VLOOKUP(A100,[2]VA05!$A:$K,11,FALSE)</f>
        <v>45576</v>
      </c>
      <c r="L100" s="10" t="s">
        <v>12</v>
      </c>
      <c r="M100" s="10" t="s">
        <v>195</v>
      </c>
    </row>
    <row r="101" spans="1:13" x14ac:dyDescent="0.25">
      <c r="A101" s="13" t="str">
        <f t="shared" si="2"/>
        <v>50714276550</v>
      </c>
      <c r="B101" s="10">
        <v>1004052529</v>
      </c>
      <c r="C101" s="10">
        <v>507142765</v>
      </c>
      <c r="D101" s="10">
        <v>50</v>
      </c>
      <c r="E101" s="10" t="s">
        <v>10</v>
      </c>
      <c r="F101" s="10">
        <v>1398384</v>
      </c>
      <c r="G101" s="10" t="s">
        <v>168</v>
      </c>
      <c r="H101" s="11">
        <v>45412</v>
      </c>
      <c r="I101" s="10">
        <v>0</v>
      </c>
      <c r="J101" s="11">
        <f t="shared" si="3"/>
        <v>45412</v>
      </c>
      <c r="K101" s="12">
        <f>VLOOKUP(A101,[2]VA05!$A:$K,11,FALSE)</f>
        <v>45583</v>
      </c>
      <c r="L101" s="10" t="s">
        <v>12</v>
      </c>
      <c r="M101" s="10" t="s">
        <v>194</v>
      </c>
    </row>
    <row r="102" spans="1:13" x14ac:dyDescent="0.25">
      <c r="A102" s="13" t="str">
        <f t="shared" si="2"/>
        <v>50714276560</v>
      </c>
      <c r="B102" s="10">
        <v>1004052530</v>
      </c>
      <c r="C102" s="10">
        <v>507142765</v>
      </c>
      <c r="D102" s="10">
        <v>60</v>
      </c>
      <c r="E102" s="10" t="s">
        <v>10</v>
      </c>
      <c r="F102" s="10">
        <v>1398384</v>
      </c>
      <c r="G102" s="10" t="s">
        <v>168</v>
      </c>
      <c r="H102" s="11">
        <v>45412</v>
      </c>
      <c r="I102" s="10">
        <v>0</v>
      </c>
      <c r="J102" s="11">
        <f t="shared" si="3"/>
        <v>45412</v>
      </c>
      <c r="K102" s="12">
        <f>VLOOKUP(A102,[2]VA05!$A:$K,11,FALSE)</f>
        <v>45590</v>
      </c>
      <c r="L102" s="10" t="s">
        <v>12</v>
      </c>
      <c r="M102" s="10" t="s">
        <v>179</v>
      </c>
    </row>
    <row r="103" spans="1:13" x14ac:dyDescent="0.25">
      <c r="A103" s="13" t="str">
        <f t="shared" si="2"/>
        <v>50714276510</v>
      </c>
      <c r="B103" s="10">
        <v>1004052532</v>
      </c>
      <c r="C103" s="10">
        <v>507142765</v>
      </c>
      <c r="D103" s="10">
        <v>10</v>
      </c>
      <c r="E103" s="10" t="s">
        <v>10</v>
      </c>
      <c r="F103" s="10">
        <v>1398385</v>
      </c>
      <c r="G103" s="10" t="s">
        <v>183</v>
      </c>
      <c r="H103" s="11">
        <v>11765</v>
      </c>
      <c r="I103" s="11">
        <v>5712</v>
      </c>
      <c r="J103" s="11">
        <f t="shared" si="3"/>
        <v>6053</v>
      </c>
      <c r="K103" s="12">
        <f>VLOOKUP(A103,[2]VA05!$A:$K,11,FALSE)</f>
        <v>45560</v>
      </c>
      <c r="L103" s="10" t="s">
        <v>18</v>
      </c>
      <c r="M103" s="10" t="s">
        <v>178</v>
      </c>
    </row>
    <row r="104" spans="1:13" x14ac:dyDescent="0.25">
      <c r="A104" s="13" t="str">
        <f t="shared" si="2"/>
        <v>50714276520</v>
      </c>
      <c r="B104" s="10">
        <v>1004052533</v>
      </c>
      <c r="C104" s="10">
        <v>507142765</v>
      </c>
      <c r="D104" s="10">
        <v>20</v>
      </c>
      <c r="E104" s="10" t="s">
        <v>10</v>
      </c>
      <c r="F104" s="10">
        <v>1398385</v>
      </c>
      <c r="G104" s="10" t="s">
        <v>183</v>
      </c>
      <c r="H104" s="11">
        <v>23528</v>
      </c>
      <c r="I104" s="10">
        <v>0</v>
      </c>
      <c r="J104" s="11">
        <f t="shared" si="3"/>
        <v>23528</v>
      </c>
      <c r="K104" s="12" t="e">
        <f>VLOOKUP(A104,[2]VA05!$A:$K,11,FALSE)</f>
        <v>#N/A</v>
      </c>
      <c r="L104" s="10" t="s">
        <v>56</v>
      </c>
      <c r="M104" s="10" t="s">
        <v>97</v>
      </c>
    </row>
    <row r="105" spans="1:13" x14ac:dyDescent="0.25">
      <c r="A105" s="13" t="str">
        <f t="shared" si="2"/>
        <v>50714276530</v>
      </c>
      <c r="B105" s="10">
        <v>1004052534</v>
      </c>
      <c r="C105" s="10">
        <v>507142765</v>
      </c>
      <c r="D105" s="10">
        <v>30</v>
      </c>
      <c r="E105" s="10" t="s">
        <v>10</v>
      </c>
      <c r="F105" s="10">
        <v>1398385</v>
      </c>
      <c r="G105" s="10" t="s">
        <v>183</v>
      </c>
      <c r="H105" s="11">
        <v>35852</v>
      </c>
      <c r="I105" s="10">
        <v>0</v>
      </c>
      <c r="J105" s="11">
        <f t="shared" si="3"/>
        <v>35852</v>
      </c>
      <c r="K105" s="12">
        <f>VLOOKUP(A105,[2]VA05!$A:$K,11,FALSE)</f>
        <v>45569</v>
      </c>
      <c r="L105" s="10" t="s">
        <v>12</v>
      </c>
      <c r="M105" s="10" t="s">
        <v>97</v>
      </c>
    </row>
    <row r="106" spans="1:13" x14ac:dyDescent="0.25">
      <c r="A106" s="13" t="str">
        <f t="shared" si="2"/>
        <v>50714276540</v>
      </c>
      <c r="B106" s="10">
        <v>1004052535</v>
      </c>
      <c r="C106" s="10">
        <v>507142765</v>
      </c>
      <c r="D106" s="10">
        <v>40</v>
      </c>
      <c r="E106" s="10" t="s">
        <v>10</v>
      </c>
      <c r="F106" s="10">
        <v>1398385</v>
      </c>
      <c r="G106" s="10" t="s">
        <v>183</v>
      </c>
      <c r="H106" s="11">
        <v>36131</v>
      </c>
      <c r="I106" s="10">
        <v>0</v>
      </c>
      <c r="J106" s="11">
        <f t="shared" si="3"/>
        <v>36131</v>
      </c>
      <c r="K106" s="12">
        <f>VLOOKUP(A106,[2]VA05!$A:$K,11,FALSE)</f>
        <v>45576</v>
      </c>
      <c r="L106" s="10" t="s">
        <v>12</v>
      </c>
      <c r="M106" s="10" t="s">
        <v>180</v>
      </c>
    </row>
    <row r="107" spans="1:13" x14ac:dyDescent="0.25">
      <c r="A107" s="13" t="str">
        <f t="shared" si="2"/>
        <v>50714276550</v>
      </c>
      <c r="B107" s="10">
        <v>1004052536</v>
      </c>
      <c r="C107" s="10">
        <v>507142765</v>
      </c>
      <c r="D107" s="10">
        <v>50</v>
      </c>
      <c r="E107" s="10" t="s">
        <v>10</v>
      </c>
      <c r="F107" s="10">
        <v>1398385</v>
      </c>
      <c r="G107" s="10" t="s">
        <v>183</v>
      </c>
      <c r="H107" s="11">
        <v>46775</v>
      </c>
      <c r="I107" s="10">
        <v>0</v>
      </c>
      <c r="J107" s="11">
        <f t="shared" si="3"/>
        <v>46775</v>
      </c>
      <c r="K107" s="12">
        <f>VLOOKUP(A107,[2]VA05!$A:$K,11,FALSE)</f>
        <v>45583</v>
      </c>
      <c r="L107" s="10" t="s">
        <v>12</v>
      </c>
      <c r="M107" s="10" t="s">
        <v>201</v>
      </c>
    </row>
    <row r="108" spans="1:13" x14ac:dyDescent="0.25">
      <c r="A108" s="13" t="str">
        <f t="shared" si="2"/>
        <v>50714276560</v>
      </c>
      <c r="B108" s="10">
        <v>1004052537</v>
      </c>
      <c r="C108" s="10">
        <v>507142765</v>
      </c>
      <c r="D108" s="10">
        <v>60</v>
      </c>
      <c r="E108" s="10" t="s">
        <v>10</v>
      </c>
      <c r="F108" s="10">
        <v>1398385</v>
      </c>
      <c r="G108" s="10" t="s">
        <v>183</v>
      </c>
      <c r="H108" s="11">
        <v>46775</v>
      </c>
      <c r="I108" s="10">
        <v>0</v>
      </c>
      <c r="J108" s="11">
        <f t="shared" si="3"/>
        <v>46775</v>
      </c>
      <c r="K108" s="12">
        <f>VLOOKUP(A108,[2]VA05!$A:$K,11,FALSE)</f>
        <v>45590</v>
      </c>
      <c r="L108" s="10" t="s">
        <v>12</v>
      </c>
      <c r="M108" s="10" t="s">
        <v>178</v>
      </c>
    </row>
    <row r="109" spans="1:13" hidden="1" x14ac:dyDescent="0.25">
      <c r="A109" s="13" t="str">
        <f t="shared" si="2"/>
        <v>50714276510</v>
      </c>
      <c r="B109" s="10">
        <v>1004052538</v>
      </c>
      <c r="C109" s="10">
        <v>507142765</v>
      </c>
      <c r="D109" s="10">
        <v>10</v>
      </c>
      <c r="E109" s="10" t="s">
        <v>10</v>
      </c>
      <c r="F109" s="10">
        <v>1398386</v>
      </c>
      <c r="G109" s="10" t="s">
        <v>184</v>
      </c>
      <c r="H109" s="11">
        <v>10383</v>
      </c>
      <c r="I109" s="11">
        <v>10383</v>
      </c>
      <c r="J109" s="11">
        <f t="shared" si="3"/>
        <v>0</v>
      </c>
      <c r="K109" s="12">
        <f>VLOOKUP(A109,[2]VA05!$A:$K,11,FALSE)</f>
        <v>45560</v>
      </c>
      <c r="L109" s="10" t="s">
        <v>113</v>
      </c>
      <c r="M109" s="10" t="s">
        <v>194</v>
      </c>
    </row>
    <row r="110" spans="1:13" x14ac:dyDescent="0.25">
      <c r="A110" s="13" t="str">
        <f t="shared" si="2"/>
        <v>50714276520</v>
      </c>
      <c r="B110" s="10">
        <v>1004052539</v>
      </c>
      <c r="C110" s="10">
        <v>507142765</v>
      </c>
      <c r="D110" s="10">
        <v>20</v>
      </c>
      <c r="E110" s="10" t="s">
        <v>10</v>
      </c>
      <c r="F110" s="10">
        <v>1398386</v>
      </c>
      <c r="G110" s="10" t="s">
        <v>184</v>
      </c>
      <c r="H110" s="11">
        <v>20765</v>
      </c>
      <c r="I110" s="11">
        <v>3800</v>
      </c>
      <c r="J110" s="11">
        <f t="shared" si="3"/>
        <v>16965</v>
      </c>
      <c r="K110" s="12" t="e">
        <f>VLOOKUP(A110,[2]VA05!$A:$K,11,FALSE)</f>
        <v>#N/A</v>
      </c>
      <c r="L110" s="10" t="s">
        <v>18</v>
      </c>
      <c r="M110" s="10" t="s">
        <v>178</v>
      </c>
    </row>
    <row r="111" spans="1:13" x14ac:dyDescent="0.25">
      <c r="A111" s="13" t="str">
        <f t="shared" si="2"/>
        <v>50714276530</v>
      </c>
      <c r="B111" s="10">
        <v>1004052540</v>
      </c>
      <c r="C111" s="10">
        <v>507142765</v>
      </c>
      <c r="D111" s="10">
        <v>30</v>
      </c>
      <c r="E111" s="10" t="s">
        <v>10</v>
      </c>
      <c r="F111" s="10">
        <v>1398386</v>
      </c>
      <c r="G111" s="10" t="s">
        <v>184</v>
      </c>
      <c r="H111" s="11">
        <v>31642</v>
      </c>
      <c r="I111" s="10">
        <v>0</v>
      </c>
      <c r="J111" s="11">
        <f t="shared" si="3"/>
        <v>31642</v>
      </c>
      <c r="K111" s="12">
        <f>VLOOKUP(A111,[2]VA05!$A:$K,11,FALSE)</f>
        <v>45569</v>
      </c>
      <c r="L111" s="10" t="s">
        <v>56</v>
      </c>
      <c r="M111" s="10" t="s">
        <v>180</v>
      </c>
    </row>
    <row r="112" spans="1:13" x14ac:dyDescent="0.25">
      <c r="A112" s="13" t="str">
        <f t="shared" si="2"/>
        <v>50714276540</v>
      </c>
      <c r="B112" s="10">
        <v>1004052541</v>
      </c>
      <c r="C112" s="10">
        <v>507142765</v>
      </c>
      <c r="D112" s="10">
        <v>40</v>
      </c>
      <c r="E112" s="10" t="s">
        <v>10</v>
      </c>
      <c r="F112" s="10">
        <v>1398386</v>
      </c>
      <c r="G112" s="10" t="s">
        <v>184</v>
      </c>
      <c r="H112" s="11">
        <v>31889</v>
      </c>
      <c r="I112" s="10">
        <v>0</v>
      </c>
      <c r="J112" s="11">
        <f t="shared" si="3"/>
        <v>31889</v>
      </c>
      <c r="K112" s="12">
        <f>VLOOKUP(A112,[2]VA05!$A:$K,11,FALSE)</f>
        <v>45576</v>
      </c>
      <c r="L112" s="10" t="s">
        <v>12</v>
      </c>
      <c r="M112" s="10" t="s">
        <v>156</v>
      </c>
    </row>
    <row r="113" spans="1:13" x14ac:dyDescent="0.25">
      <c r="A113" s="13" t="str">
        <f t="shared" si="2"/>
        <v>50714276550</v>
      </c>
      <c r="B113" s="10">
        <v>1004052543</v>
      </c>
      <c r="C113" s="10">
        <v>507142765</v>
      </c>
      <c r="D113" s="10">
        <v>50</v>
      </c>
      <c r="E113" s="10" t="s">
        <v>10</v>
      </c>
      <c r="F113" s="10">
        <v>1398386</v>
      </c>
      <c r="G113" s="10" t="s">
        <v>184</v>
      </c>
      <c r="H113" s="11">
        <v>41283</v>
      </c>
      <c r="I113" s="10">
        <v>0</v>
      </c>
      <c r="J113" s="11">
        <f t="shared" si="3"/>
        <v>41283</v>
      </c>
      <c r="K113" s="12">
        <f>VLOOKUP(A113,[2]VA05!$A:$K,11,FALSE)</f>
        <v>45583</v>
      </c>
      <c r="L113" s="10" t="s">
        <v>12</v>
      </c>
      <c r="M113" s="10" t="s">
        <v>202</v>
      </c>
    </row>
    <row r="114" spans="1:13" x14ac:dyDescent="0.25">
      <c r="A114" s="13" t="str">
        <f t="shared" si="2"/>
        <v>50714276560</v>
      </c>
      <c r="B114" s="10">
        <v>1004052544</v>
      </c>
      <c r="C114" s="10">
        <v>507142765</v>
      </c>
      <c r="D114" s="10">
        <v>60</v>
      </c>
      <c r="E114" s="10" t="s">
        <v>10</v>
      </c>
      <c r="F114" s="10">
        <v>1398386</v>
      </c>
      <c r="G114" s="10" t="s">
        <v>184</v>
      </c>
      <c r="H114" s="11">
        <v>41283</v>
      </c>
      <c r="I114" s="10">
        <v>0</v>
      </c>
      <c r="J114" s="11">
        <f t="shared" si="3"/>
        <v>41283</v>
      </c>
      <c r="K114" s="12">
        <f>VLOOKUP(A114,[2]VA05!$A:$K,11,FALSE)</f>
        <v>45590</v>
      </c>
      <c r="L114" s="10" t="s">
        <v>12</v>
      </c>
      <c r="M114" s="10" t="s">
        <v>191</v>
      </c>
    </row>
    <row r="115" spans="1:13" x14ac:dyDescent="0.25">
      <c r="A115" s="13" t="str">
        <f t="shared" si="2"/>
        <v>50714276630</v>
      </c>
      <c r="B115" s="10">
        <v>1004053432</v>
      </c>
      <c r="C115" s="10">
        <v>507142766</v>
      </c>
      <c r="D115" s="10">
        <v>30</v>
      </c>
      <c r="E115" s="10" t="s">
        <v>10</v>
      </c>
      <c r="F115" s="10">
        <v>1398745</v>
      </c>
      <c r="G115" s="10" t="s">
        <v>212</v>
      </c>
      <c r="H115" s="11">
        <v>33640</v>
      </c>
      <c r="I115" s="11">
        <v>22029</v>
      </c>
      <c r="J115" s="11">
        <f t="shared" si="3"/>
        <v>11611</v>
      </c>
      <c r="K115" s="12">
        <f>VLOOKUP(A115,[2]VA05!$A:$K,11,FALSE)</f>
        <v>45597</v>
      </c>
      <c r="L115" s="10" t="s">
        <v>18</v>
      </c>
      <c r="M115" s="10" t="s">
        <v>195</v>
      </c>
    </row>
    <row r="116" spans="1:13" x14ac:dyDescent="0.25">
      <c r="A116" s="13" t="str">
        <f t="shared" si="2"/>
        <v>50714276630</v>
      </c>
      <c r="B116" s="10">
        <v>1004053439</v>
      </c>
      <c r="C116" s="10">
        <v>507142766</v>
      </c>
      <c r="D116" s="10">
        <v>30</v>
      </c>
      <c r="E116" s="10" t="s">
        <v>10</v>
      </c>
      <c r="F116" s="10">
        <v>1398746</v>
      </c>
      <c r="G116" s="10" t="s">
        <v>213</v>
      </c>
      <c r="H116" s="11">
        <v>34650</v>
      </c>
      <c r="I116" s="11">
        <v>18900</v>
      </c>
      <c r="J116" s="11">
        <f t="shared" si="3"/>
        <v>15750</v>
      </c>
      <c r="K116" s="12">
        <f>VLOOKUP(A116,[2]VA05!$A:$K,11,FALSE)</f>
        <v>45597</v>
      </c>
      <c r="L116" s="10" t="s">
        <v>18</v>
      </c>
      <c r="M116" s="10" t="s">
        <v>194</v>
      </c>
    </row>
    <row r="117" spans="1:13" x14ac:dyDescent="0.25">
      <c r="A117" s="13" t="str">
        <f t="shared" si="2"/>
        <v>50714276620</v>
      </c>
      <c r="B117" s="10">
        <v>1004053434</v>
      </c>
      <c r="C117" s="10">
        <v>507142766</v>
      </c>
      <c r="D117" s="10">
        <v>20</v>
      </c>
      <c r="E117" s="10" t="s">
        <v>10</v>
      </c>
      <c r="F117" s="10">
        <v>1398747</v>
      </c>
      <c r="G117" s="10" t="s">
        <v>214</v>
      </c>
      <c r="H117" s="11">
        <v>21136</v>
      </c>
      <c r="I117" s="11">
        <v>20448</v>
      </c>
      <c r="J117" s="11">
        <f t="shared" si="3"/>
        <v>688</v>
      </c>
      <c r="K117" s="12">
        <f>VLOOKUP(A117,[2]VA05!$A:$K,11,FALSE)</f>
        <v>45562</v>
      </c>
      <c r="L117" s="10" t="s">
        <v>18</v>
      </c>
      <c r="M117" s="10" t="s">
        <v>154</v>
      </c>
    </row>
    <row r="118" spans="1:13" x14ac:dyDescent="0.25">
      <c r="A118" s="13" t="str">
        <f t="shared" si="2"/>
        <v>50714276630</v>
      </c>
      <c r="B118" s="10">
        <v>1004053435</v>
      </c>
      <c r="C118" s="10">
        <v>507142766</v>
      </c>
      <c r="D118" s="10">
        <v>30</v>
      </c>
      <c r="E118" s="10" t="s">
        <v>10</v>
      </c>
      <c r="F118" s="10">
        <v>1398747</v>
      </c>
      <c r="G118" s="10" t="s">
        <v>214</v>
      </c>
      <c r="H118" s="11">
        <v>31148</v>
      </c>
      <c r="I118" s="10">
        <v>0</v>
      </c>
      <c r="J118" s="11">
        <f t="shared" si="3"/>
        <v>31148</v>
      </c>
      <c r="K118" s="12">
        <f>VLOOKUP(A118,[2]VA05!$A:$K,11,FALSE)</f>
        <v>45597</v>
      </c>
      <c r="L118" s="10" t="s">
        <v>12</v>
      </c>
      <c r="M118" s="10" t="s">
        <v>154</v>
      </c>
    </row>
    <row r="119" spans="1:13" x14ac:dyDescent="0.25">
      <c r="A119" s="13" t="str">
        <f t="shared" si="2"/>
        <v>50714270610</v>
      </c>
      <c r="B119" s="10">
        <v>1004052545</v>
      </c>
      <c r="C119" s="10">
        <v>507142706</v>
      </c>
      <c r="D119" s="10">
        <v>10</v>
      </c>
      <c r="E119" s="10" t="s">
        <v>10</v>
      </c>
      <c r="F119" s="10">
        <v>1152845</v>
      </c>
      <c r="G119" s="10" t="s">
        <v>185</v>
      </c>
      <c r="H119" s="11">
        <v>10262</v>
      </c>
      <c r="I119" s="10">
        <v>0</v>
      </c>
      <c r="J119" s="11">
        <f t="shared" si="3"/>
        <v>10262</v>
      </c>
      <c r="K119" s="12">
        <f>VLOOKUP(A119,[2]VA05!$A:$K,11,FALSE)</f>
        <v>45567</v>
      </c>
      <c r="L119" s="10" t="s">
        <v>13</v>
      </c>
      <c r="M119" s="10" t="s">
        <v>195</v>
      </c>
    </row>
    <row r="120" spans="1:13" x14ac:dyDescent="0.25">
      <c r="A120" s="13" t="str">
        <f t="shared" si="2"/>
        <v>50714283610</v>
      </c>
      <c r="B120" s="10">
        <v>1004058753</v>
      </c>
      <c r="C120" s="10">
        <v>507142836</v>
      </c>
      <c r="D120" s="10">
        <v>10</v>
      </c>
      <c r="E120" s="10" t="s">
        <v>10</v>
      </c>
      <c r="F120" s="10">
        <v>1152845</v>
      </c>
      <c r="G120" s="10" t="s">
        <v>185</v>
      </c>
      <c r="H120" s="11">
        <v>25821</v>
      </c>
      <c r="I120" s="10">
        <v>0</v>
      </c>
      <c r="J120" s="11">
        <f t="shared" si="3"/>
        <v>25821</v>
      </c>
      <c r="K120" s="12">
        <f>VLOOKUP(A120,[2]VA05!$A:$K,11,FALSE)</f>
        <v>45588</v>
      </c>
      <c r="L120" s="10" t="s">
        <v>119</v>
      </c>
      <c r="M120" s="10" t="s">
        <v>216</v>
      </c>
    </row>
    <row r="121" spans="1:13" x14ac:dyDescent="0.25">
      <c r="A121" s="13" t="str">
        <f t="shared" si="2"/>
        <v>50714283610</v>
      </c>
      <c r="B121" s="10">
        <v>1004061401</v>
      </c>
      <c r="C121" s="10">
        <v>507142836</v>
      </c>
      <c r="D121" s="10">
        <v>10</v>
      </c>
      <c r="E121" s="10" t="s">
        <v>10</v>
      </c>
      <c r="F121" s="10">
        <v>1206292</v>
      </c>
      <c r="G121" s="10" t="s">
        <v>257</v>
      </c>
      <c r="H121" s="11">
        <v>29436</v>
      </c>
      <c r="I121" s="10">
        <v>0</v>
      </c>
      <c r="J121" s="11">
        <f t="shared" si="3"/>
        <v>29436</v>
      </c>
      <c r="K121" s="12">
        <f>VLOOKUP(A121,[2]VA05!$A:$K,11,FALSE)</f>
        <v>45588</v>
      </c>
      <c r="L121" s="10" t="s">
        <v>12</v>
      </c>
      <c r="M121" s="10" t="s">
        <v>157</v>
      </c>
    </row>
    <row r="122" spans="1:13" x14ac:dyDescent="0.25">
      <c r="A122" s="13" t="str">
        <f t="shared" si="2"/>
        <v>50714270610</v>
      </c>
      <c r="B122" s="10">
        <v>1004052546</v>
      </c>
      <c r="C122" s="10">
        <v>507142706</v>
      </c>
      <c r="D122" s="10">
        <v>10</v>
      </c>
      <c r="E122" s="10" t="s">
        <v>10</v>
      </c>
      <c r="F122" s="10">
        <v>1207631</v>
      </c>
      <c r="G122" s="10" t="s">
        <v>186</v>
      </c>
      <c r="H122" s="11">
        <v>10776</v>
      </c>
      <c r="I122" s="11">
        <v>5990</v>
      </c>
      <c r="J122" s="11">
        <f t="shared" si="3"/>
        <v>4786</v>
      </c>
      <c r="K122" s="12">
        <f>VLOOKUP(A122,[2]VA05!$A:$K,11,FALSE)</f>
        <v>45567</v>
      </c>
      <c r="L122" s="10" t="s">
        <v>11</v>
      </c>
      <c r="M122" s="10" t="s">
        <v>195</v>
      </c>
    </row>
    <row r="123" spans="1:13" hidden="1" x14ac:dyDescent="0.25">
      <c r="A123" s="13" t="str">
        <f t="shared" si="2"/>
        <v>50714270610</v>
      </c>
      <c r="B123" s="10">
        <v>1004060364</v>
      </c>
      <c r="C123" s="10">
        <v>507142706</v>
      </c>
      <c r="D123" s="10">
        <v>10</v>
      </c>
      <c r="E123" s="10" t="s">
        <v>24</v>
      </c>
      <c r="F123" s="10">
        <v>1207631</v>
      </c>
      <c r="G123" s="10" t="s">
        <v>186</v>
      </c>
      <c r="H123" s="11">
        <v>5000</v>
      </c>
      <c r="I123" s="10">
        <v>0</v>
      </c>
      <c r="J123" s="11">
        <f t="shared" si="3"/>
        <v>5000</v>
      </c>
      <c r="K123" s="12">
        <f>VLOOKUP(A123,[2]VA05!$A:$K,11,FALSE)</f>
        <v>45567</v>
      </c>
      <c r="L123" s="10" t="s">
        <v>13</v>
      </c>
      <c r="M123" s="10" t="s">
        <v>156</v>
      </c>
    </row>
    <row r="124" spans="1:13" x14ac:dyDescent="0.25">
      <c r="A124" s="13" t="str">
        <f t="shared" si="2"/>
        <v>50714271310</v>
      </c>
      <c r="B124" s="10">
        <v>1004052555</v>
      </c>
      <c r="C124" s="10">
        <v>507142713</v>
      </c>
      <c r="D124" s="10">
        <v>10</v>
      </c>
      <c r="E124" s="10" t="s">
        <v>10</v>
      </c>
      <c r="F124" s="10">
        <v>1172472</v>
      </c>
      <c r="G124" s="10" t="s">
        <v>86</v>
      </c>
      <c r="H124" s="11">
        <v>10524</v>
      </c>
      <c r="I124" s="10">
        <v>246</v>
      </c>
      <c r="J124" s="11">
        <f t="shared" si="3"/>
        <v>10278</v>
      </c>
      <c r="K124" s="12">
        <f>VLOOKUP(A124,[2]VA05!$A:$K,11,FALSE)</f>
        <v>45591</v>
      </c>
      <c r="L124" s="10" t="s">
        <v>18</v>
      </c>
      <c r="M124" s="10" t="s">
        <v>203</v>
      </c>
    </row>
    <row r="125" spans="1:13" x14ac:dyDescent="0.25">
      <c r="A125" s="13" t="str">
        <f t="shared" si="2"/>
        <v>50714271340</v>
      </c>
      <c r="B125" s="10">
        <v>1004052556</v>
      </c>
      <c r="C125" s="10">
        <v>507142713</v>
      </c>
      <c r="D125" s="10">
        <v>40</v>
      </c>
      <c r="E125" s="10" t="s">
        <v>10</v>
      </c>
      <c r="F125" s="10">
        <v>1172472</v>
      </c>
      <c r="G125" s="10" t="s">
        <v>86</v>
      </c>
      <c r="H125" s="11">
        <v>10524</v>
      </c>
      <c r="I125" s="10">
        <v>0</v>
      </c>
      <c r="J125" s="11">
        <f t="shared" si="3"/>
        <v>10524</v>
      </c>
      <c r="K125" s="12">
        <f>VLOOKUP(A125,[2]VA05!$A:$K,11,FALSE)</f>
        <v>45591</v>
      </c>
      <c r="L125" s="10" t="s">
        <v>12</v>
      </c>
      <c r="M125" s="10" t="s">
        <v>203</v>
      </c>
    </row>
    <row r="126" spans="1:13" x14ac:dyDescent="0.25">
      <c r="A126" s="13" t="str">
        <f t="shared" si="2"/>
        <v>507142416100</v>
      </c>
      <c r="B126" s="10">
        <v>1004052560</v>
      </c>
      <c r="C126" s="10">
        <v>507142416</v>
      </c>
      <c r="D126" s="10">
        <v>100</v>
      </c>
      <c r="E126" s="10" t="s">
        <v>10</v>
      </c>
      <c r="F126" s="10">
        <v>1171177</v>
      </c>
      <c r="G126" s="10" t="s">
        <v>88</v>
      </c>
      <c r="H126" s="11">
        <v>10170</v>
      </c>
      <c r="I126" s="11">
        <v>1654</v>
      </c>
      <c r="J126" s="11">
        <f t="shared" si="3"/>
        <v>8516</v>
      </c>
      <c r="K126" s="12">
        <f>VLOOKUP(A126,[2]VA05!$A:$K,11,FALSE)</f>
        <v>45580</v>
      </c>
      <c r="L126" s="10" t="s">
        <v>18</v>
      </c>
      <c r="M126" s="10" t="s">
        <v>179</v>
      </c>
    </row>
    <row r="127" spans="1:13" x14ac:dyDescent="0.25">
      <c r="A127" s="13" t="str">
        <f t="shared" si="2"/>
        <v>507142416190</v>
      </c>
      <c r="B127" s="10">
        <v>1004052561</v>
      </c>
      <c r="C127" s="10">
        <v>507142416</v>
      </c>
      <c r="D127" s="10">
        <v>190</v>
      </c>
      <c r="E127" s="10" t="s">
        <v>10</v>
      </c>
      <c r="F127" s="10">
        <v>1171177</v>
      </c>
      <c r="G127" s="10" t="s">
        <v>88</v>
      </c>
      <c r="H127" s="11">
        <v>10170</v>
      </c>
      <c r="I127" s="10">
        <v>0</v>
      </c>
      <c r="J127" s="11">
        <f t="shared" si="3"/>
        <v>10170</v>
      </c>
      <c r="K127" s="12">
        <f>VLOOKUP(A127,[2]VA05!$A:$K,11,FALSE)</f>
        <v>45583</v>
      </c>
      <c r="L127" s="10" t="s">
        <v>12</v>
      </c>
      <c r="M127" s="10" t="s">
        <v>177</v>
      </c>
    </row>
    <row r="128" spans="1:13" x14ac:dyDescent="0.25">
      <c r="A128" s="13" t="str">
        <f t="shared" si="2"/>
        <v>507142416220</v>
      </c>
      <c r="B128" s="10">
        <v>1004052563</v>
      </c>
      <c r="C128" s="10">
        <v>507142416</v>
      </c>
      <c r="D128" s="10">
        <v>220</v>
      </c>
      <c r="E128" s="10" t="s">
        <v>10</v>
      </c>
      <c r="F128" s="10">
        <v>1171177</v>
      </c>
      <c r="G128" s="10" t="s">
        <v>88</v>
      </c>
      <c r="H128" s="11">
        <v>10170</v>
      </c>
      <c r="I128" s="10">
        <v>0</v>
      </c>
      <c r="J128" s="11">
        <f t="shared" si="3"/>
        <v>10170</v>
      </c>
      <c r="K128" s="12">
        <f>VLOOKUP(A128,[2]VA05!$A:$K,11,FALSE)</f>
        <v>45587</v>
      </c>
      <c r="L128" s="10" t="s">
        <v>12</v>
      </c>
      <c r="M128" s="10" t="s">
        <v>109</v>
      </c>
    </row>
    <row r="129" spans="1:13" x14ac:dyDescent="0.25">
      <c r="A129" s="13" t="str">
        <f t="shared" si="2"/>
        <v>50714271320</v>
      </c>
      <c r="B129" s="10">
        <v>1004052564</v>
      </c>
      <c r="C129" s="10">
        <v>507142713</v>
      </c>
      <c r="D129" s="10">
        <v>20</v>
      </c>
      <c r="E129" s="10" t="s">
        <v>10</v>
      </c>
      <c r="F129" s="10">
        <v>1171177</v>
      </c>
      <c r="G129" s="10" t="s">
        <v>88</v>
      </c>
      <c r="H129" s="11">
        <v>10170</v>
      </c>
      <c r="I129" s="10">
        <v>0</v>
      </c>
      <c r="J129" s="11">
        <f t="shared" si="3"/>
        <v>10170</v>
      </c>
      <c r="K129" s="12">
        <f>VLOOKUP(A129,[2]VA05!$A:$K,11,FALSE)</f>
        <v>45591</v>
      </c>
      <c r="L129" s="10" t="s">
        <v>12</v>
      </c>
      <c r="M129" s="10" t="s">
        <v>204</v>
      </c>
    </row>
    <row r="130" spans="1:13" x14ac:dyDescent="0.25">
      <c r="A130" s="13" t="str">
        <f t="shared" si="2"/>
        <v>50714271350</v>
      </c>
      <c r="B130" s="10">
        <v>1004052565</v>
      </c>
      <c r="C130" s="10">
        <v>507142713</v>
      </c>
      <c r="D130" s="10">
        <v>50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VLOOKUP(A130,[2]VA05!$A:$K,11,FALSE)</f>
        <v>45591</v>
      </c>
      <c r="L130" s="10" t="s">
        <v>12</v>
      </c>
      <c r="M130" s="10" t="s">
        <v>204</v>
      </c>
    </row>
    <row r="131" spans="1:13" x14ac:dyDescent="0.25">
      <c r="A131" s="13" t="str">
        <f t="shared" si="2"/>
        <v>507142416100</v>
      </c>
      <c r="B131" s="10">
        <v>1004052568</v>
      </c>
      <c r="C131" s="10">
        <v>507142416</v>
      </c>
      <c r="D131" s="10">
        <v>100</v>
      </c>
      <c r="E131" s="10" t="s">
        <v>10</v>
      </c>
      <c r="F131" s="10">
        <v>1171178</v>
      </c>
      <c r="G131" s="10" t="s">
        <v>87</v>
      </c>
      <c r="H131" s="11">
        <v>10170</v>
      </c>
      <c r="I131" s="11">
        <v>4750</v>
      </c>
      <c r="J131" s="11">
        <f t="shared" si="3"/>
        <v>5420</v>
      </c>
      <c r="K131" s="12">
        <f>VLOOKUP(A131,[2]VA05!$A:$K,11,FALSE)</f>
        <v>45580</v>
      </c>
      <c r="L131" s="10" t="s">
        <v>18</v>
      </c>
      <c r="M131" s="10" t="s">
        <v>179</v>
      </c>
    </row>
    <row r="132" spans="1:13" x14ac:dyDescent="0.25">
      <c r="A132" s="13" t="str">
        <f t="shared" ref="A132:A195" si="4">C132&amp;D132</f>
        <v>507142416190</v>
      </c>
      <c r="B132" s="10">
        <v>1004052609</v>
      </c>
      <c r="C132" s="10">
        <v>507142416</v>
      </c>
      <c r="D132" s="10">
        <v>190</v>
      </c>
      <c r="E132" s="10" t="s">
        <v>10</v>
      </c>
      <c r="F132" s="10">
        <v>1171178</v>
      </c>
      <c r="G132" s="10" t="s">
        <v>87</v>
      </c>
      <c r="H132" s="11">
        <v>10170</v>
      </c>
      <c r="I132" s="10">
        <v>0</v>
      </c>
      <c r="J132" s="11">
        <f t="shared" ref="J132:J195" si="5">H132-I132</f>
        <v>10170</v>
      </c>
      <c r="K132" s="12">
        <f>VLOOKUP(A132,[2]VA05!$A:$K,11,FALSE)</f>
        <v>45583</v>
      </c>
      <c r="L132" s="10" t="s">
        <v>56</v>
      </c>
      <c r="M132" s="10" t="s">
        <v>177</v>
      </c>
    </row>
    <row r="133" spans="1:13" x14ac:dyDescent="0.25">
      <c r="A133" s="13" t="str">
        <f t="shared" si="4"/>
        <v>507142416220</v>
      </c>
      <c r="B133" s="10">
        <v>1004052611</v>
      </c>
      <c r="C133" s="10">
        <v>507142416</v>
      </c>
      <c r="D133" s="10">
        <v>220</v>
      </c>
      <c r="E133" s="10" t="s">
        <v>10</v>
      </c>
      <c r="F133" s="10">
        <v>1171178</v>
      </c>
      <c r="G133" s="10" t="s">
        <v>87</v>
      </c>
      <c r="H133" s="11">
        <v>10170</v>
      </c>
      <c r="I133" s="10">
        <v>0</v>
      </c>
      <c r="J133" s="11">
        <f t="shared" si="5"/>
        <v>10170</v>
      </c>
      <c r="K133" s="12">
        <f>VLOOKUP(A133,[2]VA05!$A:$K,11,FALSE)</f>
        <v>45587</v>
      </c>
      <c r="L133" s="10" t="s">
        <v>12</v>
      </c>
      <c r="M133" s="10" t="s">
        <v>109</v>
      </c>
    </row>
    <row r="134" spans="1:13" x14ac:dyDescent="0.25">
      <c r="A134" s="13" t="str">
        <f t="shared" si="4"/>
        <v>50714271320</v>
      </c>
      <c r="B134" s="10">
        <v>1004052612</v>
      </c>
      <c r="C134" s="10">
        <v>507142713</v>
      </c>
      <c r="D134" s="10">
        <v>20</v>
      </c>
      <c r="E134" s="10" t="s">
        <v>10</v>
      </c>
      <c r="F134" s="10">
        <v>1171178</v>
      </c>
      <c r="G134" s="10" t="s">
        <v>87</v>
      </c>
      <c r="H134" s="11">
        <v>10170</v>
      </c>
      <c r="I134" s="10">
        <v>0</v>
      </c>
      <c r="J134" s="11">
        <f t="shared" si="5"/>
        <v>10170</v>
      </c>
      <c r="K134" s="12">
        <f>VLOOKUP(A134,[2]VA05!$A:$K,11,FALSE)</f>
        <v>45591</v>
      </c>
      <c r="L134" s="10" t="s">
        <v>12</v>
      </c>
      <c r="M134" s="10" t="s">
        <v>204</v>
      </c>
    </row>
    <row r="135" spans="1:13" x14ac:dyDescent="0.25">
      <c r="A135" s="13" t="str">
        <f t="shared" si="4"/>
        <v>50714271350</v>
      </c>
      <c r="B135" s="10">
        <v>1004052613</v>
      </c>
      <c r="C135" s="10">
        <v>507142713</v>
      </c>
      <c r="D135" s="10">
        <v>50</v>
      </c>
      <c r="E135" s="10" t="s">
        <v>10</v>
      </c>
      <c r="F135" s="10">
        <v>1171178</v>
      </c>
      <c r="G135" s="10" t="s">
        <v>87</v>
      </c>
      <c r="H135" s="11">
        <v>10170</v>
      </c>
      <c r="I135" s="10">
        <v>0</v>
      </c>
      <c r="J135" s="11">
        <f t="shared" si="5"/>
        <v>10170</v>
      </c>
      <c r="K135" s="12">
        <f>VLOOKUP(A135,[2]VA05!$A:$K,11,FALSE)</f>
        <v>45591</v>
      </c>
      <c r="L135" s="10" t="s">
        <v>12</v>
      </c>
      <c r="M135" s="10" t="s">
        <v>204</v>
      </c>
    </row>
    <row r="136" spans="1:13" x14ac:dyDescent="0.25">
      <c r="A136" s="13" t="str">
        <f t="shared" si="4"/>
        <v>50714262630</v>
      </c>
      <c r="B136" s="10">
        <v>1004052617</v>
      </c>
      <c r="C136" s="10">
        <v>507142626</v>
      </c>
      <c r="D136" s="10">
        <v>30</v>
      </c>
      <c r="E136" s="10" t="s">
        <v>10</v>
      </c>
      <c r="F136" s="10">
        <v>1172030</v>
      </c>
      <c r="G136" s="10" t="s">
        <v>112</v>
      </c>
      <c r="H136" s="11">
        <v>29055</v>
      </c>
      <c r="I136" s="10">
        <v>0</v>
      </c>
      <c r="J136" s="11">
        <f t="shared" si="5"/>
        <v>29055</v>
      </c>
      <c r="K136" s="12">
        <f>VLOOKUP(A136,[2]VA05!$A:$K,11,FALSE)</f>
        <v>45590</v>
      </c>
      <c r="L136" s="10" t="s">
        <v>12</v>
      </c>
      <c r="M136" s="10" t="s">
        <v>154</v>
      </c>
    </row>
    <row r="137" spans="1:13" x14ac:dyDescent="0.25">
      <c r="A137" s="13" t="str">
        <f t="shared" si="4"/>
        <v>50714226520</v>
      </c>
      <c r="B137" s="10">
        <v>1004058766</v>
      </c>
      <c r="C137" s="10">
        <v>507142265</v>
      </c>
      <c r="D137" s="10">
        <v>20</v>
      </c>
      <c r="E137" s="10" t="s">
        <v>10</v>
      </c>
      <c r="F137" s="10">
        <v>1172347</v>
      </c>
      <c r="G137" s="10" t="s">
        <v>237</v>
      </c>
      <c r="H137" s="11">
        <v>40524</v>
      </c>
      <c r="I137" s="10">
        <v>0</v>
      </c>
      <c r="J137" s="11">
        <f t="shared" si="5"/>
        <v>40524</v>
      </c>
      <c r="K137" s="12">
        <f>VLOOKUP(A137,[2]VA05!$A:$K,11,FALSE)</f>
        <v>45576</v>
      </c>
      <c r="L137" s="10" t="s">
        <v>13</v>
      </c>
      <c r="M137" s="10" t="s">
        <v>195</v>
      </c>
    </row>
    <row r="138" spans="1:13" x14ac:dyDescent="0.25">
      <c r="A138" s="13" t="str">
        <f t="shared" si="4"/>
        <v>50714276910</v>
      </c>
      <c r="B138" s="10">
        <v>1004052616</v>
      </c>
      <c r="C138" s="10">
        <v>507142769</v>
      </c>
      <c r="D138" s="10">
        <v>10</v>
      </c>
      <c r="E138" s="10" t="s">
        <v>10</v>
      </c>
      <c r="F138" s="10">
        <v>1167579</v>
      </c>
      <c r="G138" s="10" t="s">
        <v>19</v>
      </c>
      <c r="H138" s="11">
        <v>30683</v>
      </c>
      <c r="I138" s="11">
        <v>18014</v>
      </c>
      <c r="J138" s="11">
        <f t="shared" si="5"/>
        <v>12669</v>
      </c>
      <c r="K138" s="12">
        <f>VLOOKUP(A138,[2]VA05!$A:$K,11,FALSE)</f>
        <v>45575</v>
      </c>
      <c r="L138" s="10" t="s">
        <v>18</v>
      </c>
      <c r="M138" s="10" t="s">
        <v>155</v>
      </c>
    </row>
    <row r="139" spans="1:13" x14ac:dyDescent="0.25">
      <c r="A139" s="13" t="str">
        <f t="shared" si="4"/>
        <v>50714276920</v>
      </c>
      <c r="B139" s="10">
        <v>1004054833</v>
      </c>
      <c r="C139" s="10">
        <v>507142769</v>
      </c>
      <c r="D139" s="10">
        <v>20</v>
      </c>
      <c r="E139" s="10" t="s">
        <v>10</v>
      </c>
      <c r="F139" s="10">
        <v>1173995</v>
      </c>
      <c r="G139" s="10" t="s">
        <v>20</v>
      </c>
      <c r="H139" s="11">
        <v>34793</v>
      </c>
      <c r="I139" s="11">
        <v>4400</v>
      </c>
      <c r="J139" s="11">
        <f t="shared" si="5"/>
        <v>30393</v>
      </c>
      <c r="K139" s="12">
        <f>VLOOKUP(A139,[2]VA05!$A:$K,11,FALSE)</f>
        <v>45575</v>
      </c>
      <c r="L139" s="10" t="s">
        <v>18</v>
      </c>
      <c r="M139" s="10" t="s">
        <v>201</v>
      </c>
    </row>
    <row r="140" spans="1:13" x14ac:dyDescent="0.25">
      <c r="A140" s="13" t="str">
        <f t="shared" si="4"/>
        <v>50714262610</v>
      </c>
      <c r="B140" s="10">
        <v>1004050514</v>
      </c>
      <c r="C140" s="10">
        <v>507142626</v>
      </c>
      <c r="D140" s="10">
        <v>10</v>
      </c>
      <c r="E140" s="10" t="s">
        <v>10</v>
      </c>
      <c r="F140" s="10">
        <v>1212641</v>
      </c>
      <c r="G140" s="10" t="s">
        <v>99</v>
      </c>
      <c r="H140" s="11">
        <v>25858</v>
      </c>
      <c r="I140" s="10">
        <v>0</v>
      </c>
      <c r="J140" s="11">
        <f t="shared" si="5"/>
        <v>25858</v>
      </c>
      <c r="K140" s="12">
        <f>VLOOKUP(A140,[2]VA05!$A:$K,11,FALSE)</f>
        <v>45590</v>
      </c>
      <c r="L140" s="10" t="s">
        <v>27</v>
      </c>
      <c r="M140" s="10" t="s">
        <v>162</v>
      </c>
    </row>
    <row r="141" spans="1:13" x14ac:dyDescent="0.25">
      <c r="A141" s="13" t="str">
        <f t="shared" si="4"/>
        <v>50714270910</v>
      </c>
      <c r="B141" s="10">
        <v>1004058762</v>
      </c>
      <c r="C141" s="10">
        <v>507142709</v>
      </c>
      <c r="D141" s="10">
        <v>10</v>
      </c>
      <c r="E141" s="10" t="s">
        <v>10</v>
      </c>
      <c r="F141" s="10">
        <v>1172346</v>
      </c>
      <c r="G141" s="10" t="s">
        <v>158</v>
      </c>
      <c r="H141" s="11">
        <v>34782</v>
      </c>
      <c r="I141" s="11">
        <v>10532</v>
      </c>
      <c r="J141" s="11">
        <f t="shared" si="5"/>
        <v>24250</v>
      </c>
      <c r="K141" s="12">
        <f>VLOOKUP(A141,[2]VA05!$A:$K,11,FALSE)</f>
        <v>45583</v>
      </c>
      <c r="L141" s="10" t="s">
        <v>18</v>
      </c>
      <c r="M141" s="10" t="s">
        <v>162</v>
      </c>
    </row>
    <row r="142" spans="1:13" x14ac:dyDescent="0.25">
      <c r="A142" s="13" t="str">
        <f t="shared" si="4"/>
        <v>50714271010</v>
      </c>
      <c r="B142" s="10">
        <v>1004058763</v>
      </c>
      <c r="C142" s="10">
        <v>507142710</v>
      </c>
      <c r="D142" s="10">
        <v>10</v>
      </c>
      <c r="E142" s="10" t="s">
        <v>10</v>
      </c>
      <c r="F142" s="10">
        <v>1172346</v>
      </c>
      <c r="G142" s="10" t="s">
        <v>158</v>
      </c>
      <c r="H142" s="11">
        <v>34782</v>
      </c>
      <c r="I142" s="10">
        <v>0</v>
      </c>
      <c r="J142" s="11">
        <f t="shared" si="5"/>
        <v>34782</v>
      </c>
      <c r="K142" s="12">
        <f>VLOOKUP(A142,[2]VA05!$A:$K,11,FALSE)</f>
        <v>45596</v>
      </c>
      <c r="L142" s="10" t="s">
        <v>56</v>
      </c>
      <c r="M142" s="10" t="s">
        <v>176</v>
      </c>
    </row>
    <row r="143" spans="1:13" x14ac:dyDescent="0.25">
      <c r="A143" s="13" t="str">
        <f t="shared" si="4"/>
        <v>50714239710</v>
      </c>
      <c r="B143" s="10">
        <v>1004054834</v>
      </c>
      <c r="C143" s="10">
        <v>507142397</v>
      </c>
      <c r="D143" s="10">
        <v>10</v>
      </c>
      <c r="E143" s="10" t="s">
        <v>10</v>
      </c>
      <c r="F143" s="10">
        <v>1195537</v>
      </c>
      <c r="G143" s="10" t="s">
        <v>220</v>
      </c>
      <c r="H143" s="11">
        <v>62346</v>
      </c>
      <c r="I143" s="10">
        <v>0</v>
      </c>
      <c r="J143" s="11">
        <f t="shared" si="5"/>
        <v>62346</v>
      </c>
      <c r="K143" s="12">
        <f>VLOOKUP(A143,[2]VA05!$A:$K,11,FALSE)</f>
        <v>45579</v>
      </c>
      <c r="L143" s="10" t="s">
        <v>12</v>
      </c>
      <c r="M143" s="10" t="s">
        <v>61</v>
      </c>
    </row>
    <row r="144" spans="1:13" x14ac:dyDescent="0.25">
      <c r="A144" s="13" t="str">
        <f t="shared" si="4"/>
        <v>50714247910</v>
      </c>
      <c r="B144" s="10">
        <v>1004054835</v>
      </c>
      <c r="C144" s="10">
        <v>507142479</v>
      </c>
      <c r="D144" s="10">
        <v>10</v>
      </c>
      <c r="E144" s="10" t="s">
        <v>10</v>
      </c>
      <c r="F144" s="10">
        <v>1195537</v>
      </c>
      <c r="G144" s="10" t="s">
        <v>220</v>
      </c>
      <c r="H144" s="11">
        <v>52994</v>
      </c>
      <c r="I144" s="10">
        <v>0</v>
      </c>
      <c r="J144" s="11">
        <f t="shared" si="5"/>
        <v>52994</v>
      </c>
      <c r="K144" s="12">
        <f>VLOOKUP(A144,[2]VA05!$A:$K,11,FALSE)</f>
        <v>45587</v>
      </c>
      <c r="L144" s="10" t="s">
        <v>12</v>
      </c>
      <c r="M144" s="10" t="s">
        <v>155</v>
      </c>
    </row>
    <row r="145" spans="1:13" x14ac:dyDescent="0.25">
      <c r="A145" s="13" t="str">
        <f t="shared" si="4"/>
        <v>50714248010</v>
      </c>
      <c r="B145" s="10">
        <v>1004052386</v>
      </c>
      <c r="C145" s="10">
        <v>507142480</v>
      </c>
      <c r="D145" s="10">
        <v>10</v>
      </c>
      <c r="E145" s="10" t="s">
        <v>10</v>
      </c>
      <c r="F145" s="10">
        <v>1191883</v>
      </c>
      <c r="G145" s="10" t="s">
        <v>125</v>
      </c>
      <c r="H145" s="11">
        <v>57584</v>
      </c>
      <c r="I145" s="11">
        <v>42089</v>
      </c>
      <c r="J145" s="11">
        <f t="shared" si="5"/>
        <v>15495</v>
      </c>
      <c r="K145" s="12">
        <f>VLOOKUP(A145,[2]VA05!$A:$K,11,FALSE)</f>
        <v>45587</v>
      </c>
      <c r="L145" s="10" t="s">
        <v>18</v>
      </c>
      <c r="M145" s="10" t="s">
        <v>195</v>
      </c>
    </row>
    <row r="146" spans="1:13" x14ac:dyDescent="0.25">
      <c r="A146" s="13" t="str">
        <f t="shared" si="4"/>
        <v>50714248010</v>
      </c>
      <c r="B146" s="10">
        <v>1004042840</v>
      </c>
      <c r="C146" s="10">
        <v>507142480</v>
      </c>
      <c r="D146" s="10">
        <v>10</v>
      </c>
      <c r="E146" s="10" t="s">
        <v>10</v>
      </c>
      <c r="F146" s="10">
        <v>1191882</v>
      </c>
      <c r="G146" s="10" t="s">
        <v>137</v>
      </c>
      <c r="H146" s="11">
        <v>51677</v>
      </c>
      <c r="I146" s="11">
        <v>1510</v>
      </c>
      <c r="J146" s="11">
        <f t="shared" si="5"/>
        <v>50167</v>
      </c>
      <c r="K146" s="12">
        <f>VLOOKUP(A146,[2]VA05!$A:$K,11,FALSE)</f>
        <v>45587</v>
      </c>
      <c r="L146" s="10" t="s">
        <v>11</v>
      </c>
      <c r="M146" s="10" t="s">
        <v>178</v>
      </c>
    </row>
    <row r="147" spans="1:13" x14ac:dyDescent="0.25">
      <c r="A147" s="13" t="str">
        <f t="shared" si="4"/>
        <v>50714248010</v>
      </c>
      <c r="B147" s="10">
        <v>1004056890</v>
      </c>
      <c r="C147" s="10">
        <v>507142480</v>
      </c>
      <c r="D147" s="10">
        <v>10</v>
      </c>
      <c r="E147" s="10" t="s">
        <v>10</v>
      </c>
      <c r="F147" s="10">
        <v>1191889</v>
      </c>
      <c r="G147" s="10" t="s">
        <v>126</v>
      </c>
      <c r="H147" s="11">
        <v>55990</v>
      </c>
      <c r="I147" s="11">
        <v>44323</v>
      </c>
      <c r="J147" s="11">
        <f t="shared" si="5"/>
        <v>11667</v>
      </c>
      <c r="K147" s="12">
        <f>VLOOKUP(A147,[2]VA05!$A:$K,11,FALSE)</f>
        <v>45587</v>
      </c>
      <c r="L147" s="10" t="s">
        <v>11</v>
      </c>
      <c r="M147" s="10" t="s">
        <v>201</v>
      </c>
    </row>
    <row r="148" spans="1:13" hidden="1" x14ac:dyDescent="0.25">
      <c r="A148" s="13" t="str">
        <f t="shared" si="4"/>
        <v>50714278320</v>
      </c>
      <c r="B148" s="10">
        <v>1004056039</v>
      </c>
      <c r="C148" s="10">
        <v>507142783</v>
      </c>
      <c r="D148" s="10">
        <v>20</v>
      </c>
      <c r="E148" s="10" t="s">
        <v>10</v>
      </c>
      <c r="F148" s="10">
        <v>1161035</v>
      </c>
      <c r="G148" s="10" t="s">
        <v>222</v>
      </c>
      <c r="H148" s="11">
        <v>25747</v>
      </c>
      <c r="I148" s="10">
        <v>0</v>
      </c>
      <c r="J148" s="11">
        <f t="shared" si="5"/>
        <v>25747</v>
      </c>
      <c r="K148" s="12">
        <f>VLOOKUP(A148,[2]VA05!$A:$K,11,FALSE)</f>
        <v>45582</v>
      </c>
      <c r="L148" s="10" t="s">
        <v>13</v>
      </c>
      <c r="M148" s="10" t="s">
        <v>202</v>
      </c>
    </row>
    <row r="149" spans="1:13" hidden="1" x14ac:dyDescent="0.25">
      <c r="A149" s="13" t="str">
        <f t="shared" si="4"/>
        <v>50714271610</v>
      </c>
      <c r="B149" s="10">
        <v>1004056047</v>
      </c>
      <c r="C149" s="10">
        <v>507142716</v>
      </c>
      <c r="D149" s="10">
        <v>10</v>
      </c>
      <c r="E149" s="10" t="s">
        <v>10</v>
      </c>
      <c r="F149" s="10">
        <v>1159340</v>
      </c>
      <c r="G149" s="10" t="s">
        <v>223</v>
      </c>
      <c r="H149" s="11">
        <v>18391</v>
      </c>
      <c r="I149" s="10">
        <v>0</v>
      </c>
      <c r="J149" s="11">
        <f t="shared" si="5"/>
        <v>18391</v>
      </c>
      <c r="K149" s="12">
        <f>VLOOKUP(A149,[2]VA05!$A:$K,11,FALSE)</f>
        <v>45569</v>
      </c>
      <c r="L149" s="10" t="s">
        <v>13</v>
      </c>
      <c r="M149" s="10" t="s">
        <v>180</v>
      </c>
    </row>
    <row r="150" spans="1:13" hidden="1" x14ac:dyDescent="0.25">
      <c r="A150" s="13" t="str">
        <f t="shared" si="4"/>
        <v>50714279710</v>
      </c>
      <c r="B150" s="10">
        <v>1004058006</v>
      </c>
      <c r="C150" s="10">
        <v>507142797</v>
      </c>
      <c r="D150" s="10">
        <v>10</v>
      </c>
      <c r="E150" s="10" t="s">
        <v>10</v>
      </c>
      <c r="F150" s="10">
        <v>1161417</v>
      </c>
      <c r="G150" s="10" t="s">
        <v>228</v>
      </c>
      <c r="H150" s="11">
        <v>25543</v>
      </c>
      <c r="I150" s="10">
        <v>0</v>
      </c>
      <c r="J150" s="11">
        <f t="shared" si="5"/>
        <v>25543</v>
      </c>
      <c r="K150" s="12">
        <f>VLOOKUP(A150,[2]VA05!$A:$K,11,FALSE)</f>
        <v>45588</v>
      </c>
      <c r="L150" s="10" t="s">
        <v>12</v>
      </c>
      <c r="M150" s="10" t="s">
        <v>177</v>
      </c>
    </row>
    <row r="151" spans="1:13" hidden="1" x14ac:dyDescent="0.25">
      <c r="A151" s="13" t="str">
        <f t="shared" si="4"/>
        <v>50714278110</v>
      </c>
      <c r="B151" s="10">
        <v>1004058007</v>
      </c>
      <c r="C151" s="10">
        <v>507142781</v>
      </c>
      <c r="D151" s="10">
        <v>10</v>
      </c>
      <c r="E151" s="10" t="s">
        <v>10</v>
      </c>
      <c r="F151" s="10">
        <v>1161417</v>
      </c>
      <c r="G151" s="10" t="s">
        <v>228</v>
      </c>
      <c r="H151" s="11">
        <v>5109</v>
      </c>
      <c r="I151" s="10">
        <v>0</v>
      </c>
      <c r="J151" s="11">
        <f t="shared" si="5"/>
        <v>5109</v>
      </c>
      <c r="K151" s="12">
        <f>VLOOKUP(A151,[2]VA05!$A:$K,11,FALSE)</f>
        <v>45595</v>
      </c>
      <c r="L151" s="10" t="s">
        <v>12</v>
      </c>
      <c r="M151" s="10" t="s">
        <v>196</v>
      </c>
    </row>
    <row r="152" spans="1:13" hidden="1" x14ac:dyDescent="0.25">
      <c r="A152" s="13" t="str">
        <f t="shared" si="4"/>
        <v>50714271120</v>
      </c>
      <c r="B152" s="10">
        <v>1004058008</v>
      </c>
      <c r="C152" s="10">
        <v>507142711</v>
      </c>
      <c r="D152" s="10">
        <v>20</v>
      </c>
      <c r="E152" s="10" t="s">
        <v>10</v>
      </c>
      <c r="F152" s="10">
        <v>1161417</v>
      </c>
      <c r="G152" s="10" t="s">
        <v>228</v>
      </c>
      <c r="H152" s="11">
        <v>6845</v>
      </c>
      <c r="I152" s="10">
        <v>0</v>
      </c>
      <c r="J152" s="11">
        <f t="shared" si="5"/>
        <v>6845</v>
      </c>
      <c r="K152" s="12">
        <f>VLOOKUP(A152,[2]VA05!$A:$K,11,FALSE)</f>
        <v>45565</v>
      </c>
      <c r="L152" s="10" t="s">
        <v>12</v>
      </c>
      <c r="M152" s="10" t="s">
        <v>155</v>
      </c>
    </row>
    <row r="153" spans="1:13" x14ac:dyDescent="0.25">
      <c r="A153" s="13" t="str">
        <f t="shared" si="4"/>
        <v>50714259410</v>
      </c>
      <c r="B153" s="10">
        <v>1004042029</v>
      </c>
      <c r="C153" s="10">
        <v>507142594</v>
      </c>
      <c r="D153" s="10">
        <v>10</v>
      </c>
      <c r="E153" s="10" t="s">
        <v>10</v>
      </c>
      <c r="F153" s="10">
        <v>1307502</v>
      </c>
      <c r="G153" s="10" t="s">
        <v>127</v>
      </c>
      <c r="H153" s="11">
        <v>5220</v>
      </c>
      <c r="I153" s="10">
        <v>0</v>
      </c>
      <c r="J153" s="11">
        <f t="shared" si="5"/>
        <v>5220</v>
      </c>
      <c r="K153" s="12">
        <f>VLOOKUP(A153,[2]VA05!$A:$K,11,FALSE)</f>
        <v>45552</v>
      </c>
      <c r="L153" s="10" t="s">
        <v>13</v>
      </c>
      <c r="M153" s="10" t="s">
        <v>95</v>
      </c>
    </row>
    <row r="154" spans="1:13" x14ac:dyDescent="0.25">
      <c r="A154" s="13" t="str">
        <f t="shared" si="4"/>
        <v>50714259420</v>
      </c>
      <c r="B154" s="10">
        <v>1004042030</v>
      </c>
      <c r="C154" s="10">
        <v>507142594</v>
      </c>
      <c r="D154" s="10">
        <v>20</v>
      </c>
      <c r="E154" s="10" t="s">
        <v>10</v>
      </c>
      <c r="F154" s="10">
        <v>1307502</v>
      </c>
      <c r="G154" s="10" t="s">
        <v>127</v>
      </c>
      <c r="H154" s="11">
        <v>5220</v>
      </c>
      <c r="I154" s="10">
        <v>0</v>
      </c>
      <c r="J154" s="11">
        <f t="shared" si="5"/>
        <v>5220</v>
      </c>
      <c r="K154" s="12">
        <f>VLOOKUP(A154,[2]VA05!$A:$K,11,FALSE)</f>
        <v>45552</v>
      </c>
      <c r="L154" s="10" t="s">
        <v>13</v>
      </c>
      <c r="M154" s="10" t="s">
        <v>95</v>
      </c>
    </row>
    <row r="155" spans="1:13" x14ac:dyDescent="0.25">
      <c r="A155" s="13" t="str">
        <f t="shared" si="4"/>
        <v>50714259410</v>
      </c>
      <c r="B155" s="10">
        <v>1004060365</v>
      </c>
      <c r="C155" s="10">
        <v>507142594</v>
      </c>
      <c r="D155" s="10">
        <v>10</v>
      </c>
      <c r="E155" s="10" t="s">
        <v>24</v>
      </c>
      <c r="F155" s="10">
        <v>1307502</v>
      </c>
      <c r="G155" s="10" t="s">
        <v>127</v>
      </c>
      <c r="H155" s="11">
        <v>5000</v>
      </c>
      <c r="I155" s="10">
        <v>0</v>
      </c>
      <c r="J155" s="11">
        <f t="shared" si="5"/>
        <v>5000</v>
      </c>
      <c r="K155" s="12">
        <f>VLOOKUP(A155,[2]VA05!$A:$K,11,FALSE)</f>
        <v>45552</v>
      </c>
      <c r="L155" s="10" t="s">
        <v>13</v>
      </c>
      <c r="M155" s="10" t="s">
        <v>156</v>
      </c>
    </row>
    <row r="156" spans="1:13" hidden="1" x14ac:dyDescent="0.25">
      <c r="A156" s="13" t="str">
        <f t="shared" si="4"/>
        <v>50714259410</v>
      </c>
      <c r="B156" s="10">
        <v>1004050305</v>
      </c>
      <c r="C156" s="10">
        <v>507142594</v>
      </c>
      <c r="D156" s="10">
        <v>10</v>
      </c>
      <c r="E156" s="10" t="s">
        <v>10</v>
      </c>
      <c r="F156" s="10">
        <v>1307503</v>
      </c>
      <c r="G156" s="10" t="s">
        <v>159</v>
      </c>
      <c r="H156" s="11">
        <v>5109</v>
      </c>
      <c r="I156" s="11">
        <v>5109</v>
      </c>
      <c r="J156" s="11">
        <f t="shared" si="5"/>
        <v>0</v>
      </c>
      <c r="K156" s="12">
        <f>VLOOKUP(A156,[2]VA05!$A:$K,11,FALSE)</f>
        <v>45552</v>
      </c>
      <c r="L156" s="10" t="s">
        <v>113</v>
      </c>
      <c r="M156" s="10" t="s">
        <v>178</v>
      </c>
    </row>
    <row r="157" spans="1:13" x14ac:dyDescent="0.25">
      <c r="A157" s="13" t="str">
        <f t="shared" si="4"/>
        <v>50714259420</v>
      </c>
      <c r="B157" s="10">
        <v>1004050306</v>
      </c>
      <c r="C157" s="10">
        <v>507142594</v>
      </c>
      <c r="D157" s="10">
        <v>20</v>
      </c>
      <c r="E157" s="10" t="s">
        <v>10</v>
      </c>
      <c r="F157" s="10">
        <v>1307503</v>
      </c>
      <c r="G157" s="10" t="s">
        <v>159</v>
      </c>
      <c r="H157" s="11">
        <v>5109</v>
      </c>
      <c r="I157" s="11">
        <v>1100</v>
      </c>
      <c r="J157" s="11">
        <f t="shared" si="5"/>
        <v>4009</v>
      </c>
      <c r="K157" s="12">
        <f>VLOOKUP(A157,[2]VA05!$A:$K,11,FALSE)</f>
        <v>45552</v>
      </c>
      <c r="L157" s="10" t="s">
        <v>18</v>
      </c>
      <c r="M157" s="10" t="s">
        <v>178</v>
      </c>
    </row>
    <row r="158" spans="1:13" x14ac:dyDescent="0.25">
      <c r="A158" s="13" t="str">
        <f t="shared" si="4"/>
        <v>50714255810</v>
      </c>
      <c r="B158" s="10">
        <v>1004042232</v>
      </c>
      <c r="C158" s="10">
        <v>507142558</v>
      </c>
      <c r="D158" s="10">
        <v>10</v>
      </c>
      <c r="E158" s="10" t="s">
        <v>10</v>
      </c>
      <c r="F158" s="10">
        <v>1209582</v>
      </c>
      <c r="G158" s="10" t="s">
        <v>128</v>
      </c>
      <c r="H158" s="11">
        <v>61302</v>
      </c>
      <c r="I158" s="11">
        <v>45350</v>
      </c>
      <c r="J158" s="11">
        <f t="shared" si="5"/>
        <v>15952</v>
      </c>
      <c r="K158" s="12">
        <f>VLOOKUP(A158,[2]VA05!$A:$K,11,FALSE)</f>
        <v>45562</v>
      </c>
      <c r="L158" s="10" t="s">
        <v>18</v>
      </c>
      <c r="M158" s="10" t="s">
        <v>156</v>
      </c>
    </row>
    <row r="159" spans="1:13" x14ac:dyDescent="0.25">
      <c r="A159" s="13" t="str">
        <f t="shared" si="4"/>
        <v>50714255810</v>
      </c>
      <c r="B159" s="10">
        <v>1004060350</v>
      </c>
      <c r="C159" s="10">
        <v>507142558</v>
      </c>
      <c r="D159" s="10">
        <v>10</v>
      </c>
      <c r="E159" s="10" t="s">
        <v>10</v>
      </c>
      <c r="F159" s="10">
        <v>1209582</v>
      </c>
      <c r="G159" s="10" t="s">
        <v>128</v>
      </c>
      <c r="H159" s="11">
        <v>30000</v>
      </c>
      <c r="I159" s="10">
        <v>0</v>
      </c>
      <c r="J159" s="11">
        <f t="shared" si="5"/>
        <v>30000</v>
      </c>
      <c r="K159" s="12">
        <f>VLOOKUP(A159,[2]VA05!$A:$K,11,FALSE)</f>
        <v>45562</v>
      </c>
      <c r="L159" s="10" t="s">
        <v>27</v>
      </c>
      <c r="M159" s="10" t="s">
        <v>156</v>
      </c>
    </row>
    <row r="160" spans="1:13" hidden="1" x14ac:dyDescent="0.25">
      <c r="A160" s="13" t="str">
        <f t="shared" si="4"/>
        <v>50714255810</v>
      </c>
      <c r="B160" s="10">
        <v>1004060363</v>
      </c>
      <c r="C160" s="10">
        <v>507142558</v>
      </c>
      <c r="D160" s="10">
        <v>10</v>
      </c>
      <c r="E160" s="10" t="s">
        <v>24</v>
      </c>
      <c r="F160" s="10">
        <v>1209582</v>
      </c>
      <c r="G160" s="10" t="s">
        <v>128</v>
      </c>
      <c r="H160" s="11">
        <v>10000</v>
      </c>
      <c r="I160" s="10">
        <v>0</v>
      </c>
      <c r="J160" s="11">
        <f t="shared" si="5"/>
        <v>10000</v>
      </c>
      <c r="K160" s="12">
        <f>VLOOKUP(A160,[2]VA05!$A:$K,11,FALSE)</f>
        <v>45562</v>
      </c>
      <c r="L160" s="10" t="s">
        <v>25</v>
      </c>
      <c r="M160" s="10" t="s">
        <v>156</v>
      </c>
    </row>
    <row r="161" spans="1:13" x14ac:dyDescent="0.25">
      <c r="A161" s="13" t="str">
        <f t="shared" si="4"/>
        <v>50714255810</v>
      </c>
      <c r="B161" s="10">
        <v>1004035205</v>
      </c>
      <c r="C161" s="10">
        <v>507142558</v>
      </c>
      <c r="D161" s="10">
        <v>10</v>
      </c>
      <c r="E161" s="10" t="s">
        <v>10</v>
      </c>
      <c r="F161" s="10">
        <v>1209580</v>
      </c>
      <c r="G161" s="10" t="s">
        <v>100</v>
      </c>
      <c r="H161" s="11">
        <v>61302</v>
      </c>
      <c r="I161" s="11">
        <v>31550</v>
      </c>
      <c r="J161" s="11">
        <f t="shared" si="5"/>
        <v>29752</v>
      </c>
      <c r="K161" s="12">
        <f>VLOOKUP(A161,[2]VA05!$A:$K,11,FALSE)</f>
        <v>45562</v>
      </c>
      <c r="L161" s="10" t="s">
        <v>18</v>
      </c>
      <c r="M161" s="10" t="s">
        <v>194</v>
      </c>
    </row>
    <row r="162" spans="1:13" x14ac:dyDescent="0.25">
      <c r="A162" s="13" t="str">
        <f t="shared" si="4"/>
        <v>50714255810</v>
      </c>
      <c r="B162" s="10">
        <v>1004060357</v>
      </c>
      <c r="C162" s="10">
        <v>507142558</v>
      </c>
      <c r="D162" s="10">
        <v>10</v>
      </c>
      <c r="E162" s="10" t="s">
        <v>10</v>
      </c>
      <c r="F162" s="10">
        <v>1209580</v>
      </c>
      <c r="G162" s="10" t="s">
        <v>100</v>
      </c>
      <c r="H162" s="11">
        <v>50000</v>
      </c>
      <c r="I162" s="10">
        <v>0</v>
      </c>
      <c r="J162" s="11">
        <f t="shared" si="5"/>
        <v>50000</v>
      </c>
      <c r="K162" s="12">
        <f>VLOOKUP(A162,[2]VA05!$A:$K,11,FALSE)</f>
        <v>45562</v>
      </c>
      <c r="L162" s="10" t="s">
        <v>12</v>
      </c>
      <c r="M162" s="10" t="s">
        <v>194</v>
      </c>
    </row>
    <row r="163" spans="1:13" x14ac:dyDescent="0.25">
      <c r="A163" s="13" t="str">
        <f t="shared" si="4"/>
        <v>50714266510</v>
      </c>
      <c r="B163" s="10">
        <v>1004060360</v>
      </c>
      <c r="C163" s="10">
        <v>507142665</v>
      </c>
      <c r="D163" s="10">
        <v>10</v>
      </c>
      <c r="E163" s="10" t="s">
        <v>10</v>
      </c>
      <c r="F163" s="10">
        <v>1209580</v>
      </c>
      <c r="G163" s="10" t="s">
        <v>100</v>
      </c>
      <c r="H163" s="11">
        <v>30651</v>
      </c>
      <c r="I163" s="10">
        <v>0</v>
      </c>
      <c r="J163" s="11">
        <f t="shared" si="5"/>
        <v>30651</v>
      </c>
      <c r="K163" s="12">
        <f>VLOOKUP(A163,[2]VA05!$A:$K,11,FALSE)</f>
        <v>45603</v>
      </c>
      <c r="L163" s="10" t="s">
        <v>12</v>
      </c>
      <c r="M163" s="10" t="s">
        <v>253</v>
      </c>
    </row>
    <row r="164" spans="1:13" x14ac:dyDescent="0.25">
      <c r="A164" s="13" t="str">
        <f t="shared" si="4"/>
        <v>50714244520</v>
      </c>
      <c r="B164" s="10">
        <v>1004053208</v>
      </c>
      <c r="C164" s="10">
        <v>507142445</v>
      </c>
      <c r="D164" s="10">
        <v>20</v>
      </c>
      <c r="E164" s="10" t="s">
        <v>10</v>
      </c>
      <c r="F164" s="10">
        <v>1210955</v>
      </c>
      <c r="G164" s="10" t="s">
        <v>215</v>
      </c>
      <c r="H164" s="11">
        <v>53210</v>
      </c>
      <c r="I164" s="10">
        <v>0</v>
      </c>
      <c r="J164" s="11">
        <f t="shared" si="5"/>
        <v>53210</v>
      </c>
      <c r="K164" s="12">
        <f>VLOOKUP(A164,[2]VA05!$A:$K,11,FALSE)</f>
        <v>45595</v>
      </c>
      <c r="L164" s="10" t="s">
        <v>239</v>
      </c>
      <c r="M164" s="10" t="s">
        <v>216</v>
      </c>
    </row>
    <row r="165" spans="1:13" x14ac:dyDescent="0.25">
      <c r="A165" s="13" t="str">
        <f t="shared" si="4"/>
        <v>50714244520</v>
      </c>
      <c r="B165" s="10">
        <v>1004052416</v>
      </c>
      <c r="C165" s="10">
        <v>507142445</v>
      </c>
      <c r="D165" s="10">
        <v>20</v>
      </c>
      <c r="E165" s="10" t="s">
        <v>10</v>
      </c>
      <c r="F165" s="10">
        <v>1259266</v>
      </c>
      <c r="G165" s="10" t="s">
        <v>64</v>
      </c>
      <c r="H165" s="11">
        <v>51912</v>
      </c>
      <c r="I165" s="10">
        <v>0</v>
      </c>
      <c r="J165" s="11">
        <f t="shared" si="5"/>
        <v>51912</v>
      </c>
      <c r="K165" s="12">
        <f>VLOOKUP(A165,[2]VA05!$A:$K,11,FALSE)</f>
        <v>45595</v>
      </c>
      <c r="L165" s="10" t="s">
        <v>239</v>
      </c>
      <c r="M165" s="10" t="s">
        <v>199</v>
      </c>
    </row>
    <row r="166" spans="1:13" x14ac:dyDescent="0.25">
      <c r="A166" s="13" t="str">
        <f t="shared" si="4"/>
        <v>50714244520</v>
      </c>
      <c r="B166" s="10">
        <v>1004052417</v>
      </c>
      <c r="C166" s="10">
        <v>507142445</v>
      </c>
      <c r="D166" s="10">
        <v>20</v>
      </c>
      <c r="E166" s="10" t="s">
        <v>10</v>
      </c>
      <c r="F166" s="10">
        <v>1259265</v>
      </c>
      <c r="G166" s="10" t="s">
        <v>187</v>
      </c>
      <c r="H166" s="11">
        <v>53210</v>
      </c>
      <c r="I166" s="10">
        <v>0</v>
      </c>
      <c r="J166" s="11">
        <f t="shared" si="5"/>
        <v>53210</v>
      </c>
      <c r="K166" s="12">
        <f>VLOOKUP(A166,[2]VA05!$A:$K,11,FALSE)</f>
        <v>45595</v>
      </c>
      <c r="L166" s="10" t="s">
        <v>12</v>
      </c>
      <c r="M166" s="10" t="s">
        <v>202</v>
      </c>
    </row>
    <row r="167" spans="1:13" x14ac:dyDescent="0.25">
      <c r="A167" s="13" t="str">
        <f t="shared" si="4"/>
        <v>50714264710</v>
      </c>
      <c r="B167" s="10">
        <v>1004045115</v>
      </c>
      <c r="C167" s="10">
        <v>507142647</v>
      </c>
      <c r="D167" s="10">
        <v>10</v>
      </c>
      <c r="E167" s="10" t="s">
        <v>10</v>
      </c>
      <c r="F167" s="10">
        <v>1168128</v>
      </c>
      <c r="G167" s="10" t="s">
        <v>77</v>
      </c>
      <c r="H167" s="11">
        <v>54355</v>
      </c>
      <c r="I167" s="10">
        <v>0</v>
      </c>
      <c r="J167" s="11">
        <f t="shared" si="5"/>
        <v>54355</v>
      </c>
      <c r="K167" s="12">
        <f>VLOOKUP(A167,[2]VA05!$A:$K,11,FALSE)</f>
        <v>45565</v>
      </c>
      <c r="L167" s="10" t="s">
        <v>25</v>
      </c>
      <c r="M167" s="10" t="s">
        <v>154</v>
      </c>
    </row>
    <row r="168" spans="1:13" x14ac:dyDescent="0.25">
      <c r="A168" s="13" t="str">
        <f t="shared" si="4"/>
        <v>50714278810</v>
      </c>
      <c r="B168" s="10">
        <v>1004053488</v>
      </c>
      <c r="C168" s="10">
        <v>507142788</v>
      </c>
      <c r="D168" s="10">
        <v>10</v>
      </c>
      <c r="E168" s="10" t="s">
        <v>10</v>
      </c>
      <c r="F168" s="10">
        <v>1168128</v>
      </c>
      <c r="G168" s="10" t="s">
        <v>77</v>
      </c>
      <c r="H168" s="11">
        <v>56529</v>
      </c>
      <c r="I168" s="10">
        <v>0</v>
      </c>
      <c r="J168" s="11">
        <f t="shared" si="5"/>
        <v>56529</v>
      </c>
      <c r="K168" s="12">
        <f>VLOOKUP(A168,[2]VA05!$A:$K,11,FALSE)</f>
        <v>45582</v>
      </c>
      <c r="L168" s="10" t="s">
        <v>12</v>
      </c>
      <c r="M168" s="10" t="s">
        <v>162</v>
      </c>
    </row>
    <row r="169" spans="1:13" x14ac:dyDescent="0.25">
      <c r="A169" s="13" t="str">
        <f t="shared" si="4"/>
        <v>50714264710</v>
      </c>
      <c r="B169" s="10">
        <v>1004038443</v>
      </c>
      <c r="C169" s="10">
        <v>507142647</v>
      </c>
      <c r="D169" s="10">
        <v>10</v>
      </c>
      <c r="E169" s="10" t="s">
        <v>10</v>
      </c>
      <c r="F169" s="10">
        <v>1168125</v>
      </c>
      <c r="G169" s="10" t="s">
        <v>32</v>
      </c>
      <c r="H169" s="11">
        <v>54355</v>
      </c>
      <c r="I169" s="11">
        <v>48706</v>
      </c>
      <c r="J169" s="11">
        <f t="shared" si="5"/>
        <v>5649</v>
      </c>
      <c r="K169" s="12">
        <f>VLOOKUP(A169,[2]VA05!$A:$K,11,FALSE)</f>
        <v>45565</v>
      </c>
      <c r="L169" s="10" t="s">
        <v>18</v>
      </c>
      <c r="M169" s="10" t="s">
        <v>180</v>
      </c>
    </row>
    <row r="170" spans="1:13" x14ac:dyDescent="0.25">
      <c r="A170" s="13" t="str">
        <f t="shared" si="4"/>
        <v>50714264910</v>
      </c>
      <c r="B170" s="10">
        <v>1004038445</v>
      </c>
      <c r="C170" s="10">
        <v>507142649</v>
      </c>
      <c r="D170" s="10">
        <v>10</v>
      </c>
      <c r="E170" s="10" t="s">
        <v>10</v>
      </c>
      <c r="F170" s="10">
        <v>1168125</v>
      </c>
      <c r="G170" s="10" t="s">
        <v>32</v>
      </c>
      <c r="H170" s="11">
        <v>51094</v>
      </c>
      <c r="I170" s="10">
        <v>0</v>
      </c>
      <c r="J170" s="11">
        <f t="shared" si="5"/>
        <v>51094</v>
      </c>
      <c r="K170" s="12" t="e">
        <f>VLOOKUP(A170,[2]VA05!$A:$K,11,FALSE)</f>
        <v>#N/A</v>
      </c>
      <c r="L170" s="10" t="s">
        <v>25</v>
      </c>
      <c r="M170" s="10" t="s">
        <v>154</v>
      </c>
    </row>
    <row r="171" spans="1:13" x14ac:dyDescent="0.25">
      <c r="A171" s="13" t="str">
        <f t="shared" si="4"/>
        <v>50714268810</v>
      </c>
      <c r="B171" s="10">
        <v>1004051400</v>
      </c>
      <c r="C171" s="10">
        <v>507142688</v>
      </c>
      <c r="D171" s="10">
        <v>10</v>
      </c>
      <c r="E171" s="10" t="s">
        <v>10</v>
      </c>
      <c r="F171" s="10">
        <v>1430111</v>
      </c>
      <c r="G171" s="10" t="s">
        <v>101</v>
      </c>
      <c r="H171" s="11">
        <v>122842</v>
      </c>
      <c r="I171" s="11">
        <v>76816</v>
      </c>
      <c r="J171" s="11">
        <f t="shared" si="5"/>
        <v>46026</v>
      </c>
      <c r="K171" s="12">
        <f>VLOOKUP(A171,[2]VA05!$A:$K,11,FALSE)</f>
        <v>45567</v>
      </c>
      <c r="L171" s="10" t="s">
        <v>18</v>
      </c>
      <c r="M171" s="10" t="s">
        <v>107</v>
      </c>
    </row>
    <row r="172" spans="1:13" x14ac:dyDescent="0.25">
      <c r="A172" s="13" t="str">
        <f t="shared" si="4"/>
        <v>50714239390</v>
      </c>
      <c r="B172" s="10">
        <v>1004032826</v>
      </c>
      <c r="C172" s="10">
        <v>507142393</v>
      </c>
      <c r="D172" s="10">
        <v>90</v>
      </c>
      <c r="E172" s="10" t="s">
        <v>10</v>
      </c>
      <c r="F172" s="10">
        <v>1416752</v>
      </c>
      <c r="G172" s="10" t="s">
        <v>52</v>
      </c>
      <c r="H172" s="11">
        <v>47012</v>
      </c>
      <c r="I172" s="11">
        <v>38740</v>
      </c>
      <c r="J172" s="11">
        <f t="shared" si="5"/>
        <v>8272</v>
      </c>
      <c r="K172" s="12" t="e">
        <f>VLOOKUP(A172,[2]VA05!$A:$K,11,FALSE)</f>
        <v>#N/A</v>
      </c>
      <c r="L172" s="10" t="s">
        <v>11</v>
      </c>
      <c r="M172" s="10" t="s">
        <v>73</v>
      </c>
    </row>
    <row r="173" spans="1:13" x14ac:dyDescent="0.25">
      <c r="A173" s="13" t="str">
        <f t="shared" si="4"/>
        <v>507142416150</v>
      </c>
      <c r="B173" s="10">
        <v>1004052419</v>
      </c>
      <c r="C173" s="10">
        <v>507142416</v>
      </c>
      <c r="D173" s="10">
        <v>150</v>
      </c>
      <c r="E173" s="10" t="s">
        <v>10</v>
      </c>
      <c r="F173" s="10">
        <v>1269350</v>
      </c>
      <c r="G173" s="10" t="s">
        <v>188</v>
      </c>
      <c r="H173" s="11">
        <v>10439</v>
      </c>
      <c r="I173" s="10">
        <v>0</v>
      </c>
      <c r="J173" s="11">
        <f t="shared" si="5"/>
        <v>10439</v>
      </c>
      <c r="K173" s="12">
        <f>VLOOKUP(A173,[2]VA05!$A:$K,11,FALSE)</f>
        <v>45576</v>
      </c>
      <c r="L173" s="10" t="s">
        <v>12</v>
      </c>
      <c r="M173" s="10" t="s">
        <v>156</v>
      </c>
    </row>
    <row r="174" spans="1:13" x14ac:dyDescent="0.25">
      <c r="A174" s="13" t="str">
        <f t="shared" si="4"/>
        <v>50714268820</v>
      </c>
      <c r="B174" s="10">
        <v>1004052420</v>
      </c>
      <c r="C174" s="10">
        <v>507142688</v>
      </c>
      <c r="D174" s="10">
        <v>20</v>
      </c>
      <c r="E174" s="10" t="s">
        <v>10</v>
      </c>
      <c r="F174" s="10">
        <v>1430096</v>
      </c>
      <c r="G174" s="10" t="s">
        <v>93</v>
      </c>
      <c r="H174" s="11">
        <v>134120</v>
      </c>
      <c r="I174" s="11">
        <v>82400</v>
      </c>
      <c r="J174" s="11">
        <f t="shared" si="5"/>
        <v>51720</v>
      </c>
      <c r="K174" s="12">
        <f>VLOOKUP(A174,[2]VA05!$A:$K,11,FALSE)</f>
        <v>45567</v>
      </c>
      <c r="L174" s="10" t="s">
        <v>18</v>
      </c>
      <c r="M174" s="10" t="s">
        <v>195</v>
      </c>
    </row>
    <row r="175" spans="1:13" x14ac:dyDescent="0.25">
      <c r="A175" s="13" t="str">
        <f t="shared" si="4"/>
        <v>50714264820</v>
      </c>
      <c r="B175" s="10">
        <v>1004034229</v>
      </c>
      <c r="C175" s="10">
        <v>507142648</v>
      </c>
      <c r="D175" s="10">
        <v>20</v>
      </c>
      <c r="E175" s="10" t="s">
        <v>10</v>
      </c>
      <c r="F175" s="10">
        <v>1421506</v>
      </c>
      <c r="G175" s="10" t="s">
        <v>75</v>
      </c>
      <c r="H175" s="11">
        <v>106418</v>
      </c>
      <c r="I175" s="11">
        <v>87176</v>
      </c>
      <c r="J175" s="11">
        <f t="shared" si="5"/>
        <v>19242</v>
      </c>
      <c r="K175" s="12" t="e">
        <f>VLOOKUP(A175,[2]VA05!$A:$K,11,FALSE)</f>
        <v>#N/A</v>
      </c>
      <c r="L175" s="10" t="s">
        <v>18</v>
      </c>
      <c r="M175" s="10" t="s">
        <v>96</v>
      </c>
    </row>
    <row r="176" spans="1:13" x14ac:dyDescent="0.25">
      <c r="A176" s="13" t="str">
        <f t="shared" si="4"/>
        <v>50714268920</v>
      </c>
      <c r="B176" s="10">
        <v>1004041355</v>
      </c>
      <c r="C176" s="10">
        <v>507142689</v>
      </c>
      <c r="D176" s="10">
        <v>20</v>
      </c>
      <c r="E176" s="10" t="s">
        <v>10</v>
      </c>
      <c r="F176" s="10">
        <v>1187156</v>
      </c>
      <c r="G176" s="10" t="s">
        <v>80</v>
      </c>
      <c r="H176" s="11">
        <v>85860</v>
      </c>
      <c r="I176" s="11">
        <v>28066</v>
      </c>
      <c r="J176" s="11">
        <f t="shared" si="5"/>
        <v>57794</v>
      </c>
      <c r="K176" s="12">
        <f>VLOOKUP(A176,[2]VA05!$A:$K,11,FALSE)</f>
        <v>45558</v>
      </c>
      <c r="L176" s="10" t="s">
        <v>18</v>
      </c>
      <c r="M176" s="10" t="s">
        <v>131</v>
      </c>
    </row>
    <row r="177" spans="1:13" x14ac:dyDescent="0.25">
      <c r="A177" s="13" t="str">
        <f t="shared" si="4"/>
        <v>50714278820</v>
      </c>
      <c r="B177" s="10">
        <v>1004058947</v>
      </c>
      <c r="C177" s="10">
        <v>507142788</v>
      </c>
      <c r="D177" s="10">
        <v>20</v>
      </c>
      <c r="E177" s="10" t="s">
        <v>10</v>
      </c>
      <c r="F177" s="10">
        <v>1187156</v>
      </c>
      <c r="G177" s="10" t="s">
        <v>80</v>
      </c>
      <c r="H177" s="11">
        <v>62884</v>
      </c>
      <c r="I177" s="10">
        <v>0</v>
      </c>
      <c r="J177" s="11">
        <f t="shared" si="5"/>
        <v>62884</v>
      </c>
      <c r="K177" s="12">
        <f>VLOOKUP(A177,[2]VA05!$A:$K,11,FALSE)</f>
        <v>45582</v>
      </c>
      <c r="L177" s="10" t="s">
        <v>12</v>
      </c>
      <c r="M177" s="10" t="s">
        <v>156</v>
      </c>
    </row>
    <row r="178" spans="1:13" x14ac:dyDescent="0.25">
      <c r="A178" s="13" t="str">
        <f t="shared" si="4"/>
        <v>507142416140</v>
      </c>
      <c r="B178" s="10">
        <v>1004051396</v>
      </c>
      <c r="C178" s="10">
        <v>507142416</v>
      </c>
      <c r="D178" s="10">
        <v>140</v>
      </c>
      <c r="E178" s="10" t="s">
        <v>10</v>
      </c>
      <c r="F178" s="10">
        <v>1269354</v>
      </c>
      <c r="G178" s="10" t="s">
        <v>169</v>
      </c>
      <c r="H178" s="11">
        <v>10217</v>
      </c>
      <c r="I178" s="10">
        <v>0</v>
      </c>
      <c r="J178" s="11">
        <f t="shared" si="5"/>
        <v>10217</v>
      </c>
      <c r="K178" s="12">
        <f>VLOOKUP(A178,[2]VA05!$A:$K,11,FALSE)</f>
        <v>45576</v>
      </c>
      <c r="L178" s="10" t="s">
        <v>25</v>
      </c>
      <c r="M178" s="10" t="s">
        <v>162</v>
      </c>
    </row>
    <row r="179" spans="1:13" x14ac:dyDescent="0.25">
      <c r="A179" s="13" t="str">
        <f t="shared" si="4"/>
        <v>507142416120</v>
      </c>
      <c r="B179" s="10">
        <v>1004058990</v>
      </c>
      <c r="C179" s="10">
        <v>507142416</v>
      </c>
      <c r="D179" s="10">
        <v>120</v>
      </c>
      <c r="E179" s="10" t="s">
        <v>10</v>
      </c>
      <c r="F179" s="10">
        <v>1255973</v>
      </c>
      <c r="G179" s="10" t="s">
        <v>238</v>
      </c>
      <c r="H179" s="11">
        <v>10217</v>
      </c>
      <c r="I179" s="10">
        <v>0</v>
      </c>
      <c r="J179" s="11">
        <f t="shared" si="5"/>
        <v>10217</v>
      </c>
      <c r="K179" s="12">
        <f>VLOOKUP(A179,[2]VA05!$A:$K,11,FALSE)</f>
        <v>45573</v>
      </c>
      <c r="L179" s="10" t="s">
        <v>12</v>
      </c>
      <c r="M179" s="10" t="s">
        <v>194</v>
      </c>
    </row>
    <row r="180" spans="1:13" x14ac:dyDescent="0.25">
      <c r="A180" s="13" t="str">
        <f t="shared" si="4"/>
        <v>50714271370</v>
      </c>
      <c r="B180" s="10">
        <v>1004042923</v>
      </c>
      <c r="C180" s="10">
        <v>507142713</v>
      </c>
      <c r="D180" s="10">
        <v>70</v>
      </c>
      <c r="E180" s="10" t="s">
        <v>10</v>
      </c>
      <c r="F180" s="10">
        <v>1256197</v>
      </c>
      <c r="G180" s="10" t="s">
        <v>139</v>
      </c>
      <c r="H180" s="11">
        <v>10217</v>
      </c>
      <c r="I180" s="10">
        <v>0</v>
      </c>
      <c r="J180" s="11">
        <f t="shared" si="5"/>
        <v>10217</v>
      </c>
      <c r="K180" s="12">
        <f>VLOOKUP(A180,[2]VA05!$A:$K,11,FALSE)</f>
        <v>45591</v>
      </c>
      <c r="L180" s="10" t="s">
        <v>13</v>
      </c>
      <c r="M180" s="10" t="s">
        <v>142</v>
      </c>
    </row>
    <row r="181" spans="1:13" x14ac:dyDescent="0.25">
      <c r="A181" s="13" t="str">
        <f t="shared" si="4"/>
        <v>50714268810</v>
      </c>
      <c r="B181" s="10">
        <v>1004052619</v>
      </c>
      <c r="C181" s="10">
        <v>507142688</v>
      </c>
      <c r="D181" s="10">
        <v>10</v>
      </c>
      <c r="E181" s="10" t="s">
        <v>10</v>
      </c>
      <c r="F181" s="10">
        <v>1168127</v>
      </c>
      <c r="G181" s="10" t="s">
        <v>21</v>
      </c>
      <c r="H181" s="11">
        <v>122842</v>
      </c>
      <c r="I181" s="11">
        <v>44500</v>
      </c>
      <c r="J181" s="11">
        <f t="shared" si="5"/>
        <v>78342</v>
      </c>
      <c r="K181" s="12">
        <f>VLOOKUP(A181,[2]VA05!$A:$K,11,FALSE)</f>
        <v>45567</v>
      </c>
      <c r="L181" s="10" t="s">
        <v>18</v>
      </c>
      <c r="M181" s="10" t="s">
        <v>156</v>
      </c>
    </row>
    <row r="182" spans="1:13" x14ac:dyDescent="0.25">
      <c r="A182" s="13" t="str">
        <f t="shared" si="4"/>
        <v>507142416130</v>
      </c>
      <c r="B182" s="10">
        <v>1004052620</v>
      </c>
      <c r="C182" s="10">
        <v>507142416</v>
      </c>
      <c r="D182" s="10">
        <v>130</v>
      </c>
      <c r="E182" s="10" t="s">
        <v>10</v>
      </c>
      <c r="F182" s="10">
        <v>1168127</v>
      </c>
      <c r="G182" s="10" t="s">
        <v>21</v>
      </c>
      <c r="H182" s="11">
        <v>10217</v>
      </c>
      <c r="I182" s="10">
        <v>0</v>
      </c>
      <c r="J182" s="11">
        <f t="shared" si="5"/>
        <v>10217</v>
      </c>
      <c r="K182" s="12">
        <f>VLOOKUP(A182,[2]VA05!$A:$K,11,FALSE)</f>
        <v>45573</v>
      </c>
      <c r="L182" s="10" t="s">
        <v>12</v>
      </c>
      <c r="M182" s="10" t="s">
        <v>194</v>
      </c>
    </row>
    <row r="183" spans="1:13" x14ac:dyDescent="0.25">
      <c r="A183" s="13" t="str">
        <f t="shared" si="4"/>
        <v>50714264830</v>
      </c>
      <c r="B183" s="10">
        <v>1004052621</v>
      </c>
      <c r="C183" s="10">
        <v>507142648</v>
      </c>
      <c r="D183" s="10">
        <v>30</v>
      </c>
      <c r="E183" s="10" t="s">
        <v>10</v>
      </c>
      <c r="F183" s="10">
        <v>1168127</v>
      </c>
      <c r="G183" s="10" t="s">
        <v>21</v>
      </c>
      <c r="H183" s="11">
        <v>71748</v>
      </c>
      <c r="I183" s="10">
        <v>0</v>
      </c>
      <c r="J183" s="11">
        <f t="shared" si="5"/>
        <v>71748</v>
      </c>
      <c r="K183" s="12">
        <f>VLOOKUP(A183,[2]VA05!$A:$K,11,FALSE)</f>
        <v>45581</v>
      </c>
      <c r="L183" s="10" t="s">
        <v>12</v>
      </c>
      <c r="M183" s="10" t="s">
        <v>194</v>
      </c>
    </row>
    <row r="184" spans="1:13" x14ac:dyDescent="0.25">
      <c r="A184" s="13" t="str">
        <f t="shared" si="4"/>
        <v>507142416150</v>
      </c>
      <c r="B184" s="10">
        <v>1004052622</v>
      </c>
      <c r="C184" s="10">
        <v>507142416</v>
      </c>
      <c r="D184" s="10">
        <v>150</v>
      </c>
      <c r="E184" s="10" t="s">
        <v>10</v>
      </c>
      <c r="F184" s="10">
        <v>1168127</v>
      </c>
      <c r="G184" s="10" t="s">
        <v>21</v>
      </c>
      <c r="H184" s="11">
        <v>10217</v>
      </c>
      <c r="I184" s="10">
        <v>0</v>
      </c>
      <c r="J184" s="11">
        <f t="shared" si="5"/>
        <v>10217</v>
      </c>
      <c r="K184" s="12">
        <f>VLOOKUP(A184,[2]VA05!$A:$K,11,FALSE)</f>
        <v>45576</v>
      </c>
      <c r="L184" s="10" t="s">
        <v>12</v>
      </c>
      <c r="M184" s="10" t="s">
        <v>162</v>
      </c>
    </row>
    <row r="185" spans="1:13" x14ac:dyDescent="0.25">
      <c r="A185" s="13" t="str">
        <f t="shared" si="4"/>
        <v>50714278810</v>
      </c>
      <c r="B185" s="10">
        <v>1004052623</v>
      </c>
      <c r="C185" s="10">
        <v>507142788</v>
      </c>
      <c r="D185" s="10">
        <v>10</v>
      </c>
      <c r="E185" s="10" t="s">
        <v>10</v>
      </c>
      <c r="F185" s="10">
        <v>1168127</v>
      </c>
      <c r="G185" s="10" t="s">
        <v>21</v>
      </c>
      <c r="H185" s="11">
        <v>56529</v>
      </c>
      <c r="I185" s="10">
        <v>0</v>
      </c>
      <c r="J185" s="11">
        <f t="shared" si="5"/>
        <v>56529</v>
      </c>
      <c r="K185" s="12">
        <f>VLOOKUP(A185,[2]VA05!$A:$K,11,FALSE)</f>
        <v>45582</v>
      </c>
      <c r="L185" s="10" t="s">
        <v>12</v>
      </c>
      <c r="M185" s="10" t="s">
        <v>162</v>
      </c>
    </row>
    <row r="186" spans="1:13" x14ac:dyDescent="0.25">
      <c r="A186" s="13" t="str">
        <f t="shared" si="4"/>
        <v>50714271380</v>
      </c>
      <c r="B186" s="10">
        <v>1004052624</v>
      </c>
      <c r="C186" s="10">
        <v>507142713</v>
      </c>
      <c r="D186" s="10">
        <v>80</v>
      </c>
      <c r="E186" s="10" t="s">
        <v>10</v>
      </c>
      <c r="F186" s="10">
        <v>1168127</v>
      </c>
      <c r="G186" s="10" t="s">
        <v>21</v>
      </c>
      <c r="H186" s="11">
        <v>10217</v>
      </c>
      <c r="I186" s="10">
        <v>0</v>
      </c>
      <c r="J186" s="11">
        <f t="shared" si="5"/>
        <v>10217</v>
      </c>
      <c r="K186" s="12">
        <f>VLOOKUP(A186,[2]VA05!$A:$K,11,FALSE)</f>
        <v>45591</v>
      </c>
      <c r="L186" s="10" t="s">
        <v>12</v>
      </c>
      <c r="M186" s="10" t="s">
        <v>204</v>
      </c>
    </row>
    <row r="187" spans="1:13" x14ac:dyDescent="0.25">
      <c r="A187" s="13" t="str">
        <f t="shared" si="4"/>
        <v>507142416150</v>
      </c>
      <c r="B187" s="10">
        <v>1004051561</v>
      </c>
      <c r="C187" s="10">
        <v>507142416</v>
      </c>
      <c r="D187" s="10">
        <v>150</v>
      </c>
      <c r="E187" s="10" t="s">
        <v>10</v>
      </c>
      <c r="F187" s="10">
        <v>1269318</v>
      </c>
      <c r="G187" s="10" t="s">
        <v>170</v>
      </c>
      <c r="H187" s="11">
        <v>10217</v>
      </c>
      <c r="I187" s="10">
        <v>0</v>
      </c>
      <c r="J187" s="11">
        <f t="shared" si="5"/>
        <v>10217</v>
      </c>
      <c r="K187" s="12">
        <f>VLOOKUP(A187,[2]VA05!$A:$K,11,FALSE)</f>
        <v>45576</v>
      </c>
      <c r="L187" s="10" t="s">
        <v>12</v>
      </c>
      <c r="M187" s="10" t="s">
        <v>162</v>
      </c>
    </row>
    <row r="188" spans="1:13" x14ac:dyDescent="0.25">
      <c r="A188" s="13" t="str">
        <f t="shared" si="4"/>
        <v>507142416130</v>
      </c>
      <c r="B188" s="10">
        <v>1004058014</v>
      </c>
      <c r="C188" s="10">
        <v>507142416</v>
      </c>
      <c r="D188" s="10">
        <v>130</v>
      </c>
      <c r="E188" s="10" t="s">
        <v>10</v>
      </c>
      <c r="F188" s="10">
        <v>1255976</v>
      </c>
      <c r="G188" s="10" t="s">
        <v>229</v>
      </c>
      <c r="H188" s="11">
        <v>10217</v>
      </c>
      <c r="I188" s="10">
        <v>0</v>
      </c>
      <c r="J188" s="11">
        <f t="shared" si="5"/>
        <v>10217</v>
      </c>
      <c r="K188" s="12">
        <f>VLOOKUP(A188,[2]VA05!$A:$K,11,FALSE)</f>
        <v>45573</v>
      </c>
      <c r="L188" s="10" t="s">
        <v>12</v>
      </c>
      <c r="M188" s="10" t="s">
        <v>194</v>
      </c>
    </row>
    <row r="189" spans="1:13" x14ac:dyDescent="0.25">
      <c r="A189" s="13" t="str">
        <f t="shared" si="4"/>
        <v>50714271380</v>
      </c>
      <c r="B189" s="10">
        <v>1004058015</v>
      </c>
      <c r="C189" s="10">
        <v>507142713</v>
      </c>
      <c r="D189" s="10">
        <v>80</v>
      </c>
      <c r="E189" s="10" t="s">
        <v>10</v>
      </c>
      <c r="F189" s="10">
        <v>1256193</v>
      </c>
      <c r="G189" s="10" t="s">
        <v>230</v>
      </c>
      <c r="H189" s="11">
        <v>10217</v>
      </c>
      <c r="I189" s="10">
        <v>0</v>
      </c>
      <c r="J189" s="11">
        <f t="shared" si="5"/>
        <v>10217</v>
      </c>
      <c r="K189" s="12">
        <f>VLOOKUP(A189,[2]VA05!$A:$K,11,FALSE)</f>
        <v>45591</v>
      </c>
      <c r="L189" s="10" t="s">
        <v>12</v>
      </c>
      <c r="M189" s="10" t="s">
        <v>204</v>
      </c>
    </row>
    <row r="190" spans="1:13" x14ac:dyDescent="0.25">
      <c r="A190" s="13" t="str">
        <f t="shared" si="4"/>
        <v>50714268810</v>
      </c>
      <c r="B190" s="10">
        <v>1004058016</v>
      </c>
      <c r="C190" s="10">
        <v>507142688</v>
      </c>
      <c r="D190" s="10">
        <v>10</v>
      </c>
      <c r="E190" s="10" t="s">
        <v>10</v>
      </c>
      <c r="F190" s="10">
        <v>1430110</v>
      </c>
      <c r="G190" s="10" t="s">
        <v>231</v>
      </c>
      <c r="H190" s="11">
        <v>81532</v>
      </c>
      <c r="I190" s="11">
        <v>47500</v>
      </c>
      <c r="J190" s="11">
        <f t="shared" si="5"/>
        <v>34032</v>
      </c>
      <c r="K190" s="12">
        <f>VLOOKUP(A190,[2]VA05!$A:$K,11,FALSE)</f>
        <v>45567</v>
      </c>
      <c r="L190" s="10" t="s">
        <v>11</v>
      </c>
      <c r="M190" s="10" t="s">
        <v>155</v>
      </c>
    </row>
    <row r="191" spans="1:13" x14ac:dyDescent="0.25">
      <c r="A191" s="13" t="str">
        <f t="shared" si="4"/>
        <v>50714245510</v>
      </c>
      <c r="B191" s="10">
        <v>1004010713</v>
      </c>
      <c r="C191" s="10">
        <v>507142455</v>
      </c>
      <c r="D191" s="10">
        <v>10</v>
      </c>
      <c r="E191" s="10" t="s">
        <v>10</v>
      </c>
      <c r="F191" s="10">
        <v>1153314</v>
      </c>
      <c r="G191" s="10" t="s">
        <v>60</v>
      </c>
      <c r="H191" s="11">
        <v>26091</v>
      </c>
      <c r="I191" s="11">
        <v>22631</v>
      </c>
      <c r="J191" s="11">
        <f t="shared" si="5"/>
        <v>3460</v>
      </c>
      <c r="K191" s="12" t="e">
        <f>VLOOKUP(A191,[2]VA05!$A:$K,11,FALSE)</f>
        <v>#N/A</v>
      </c>
      <c r="L191" s="10" t="s">
        <v>18</v>
      </c>
      <c r="M191" s="10" t="s">
        <v>61</v>
      </c>
    </row>
    <row r="192" spans="1:13" x14ac:dyDescent="0.25">
      <c r="A192" s="13" t="str">
        <f t="shared" si="4"/>
        <v>50714239390</v>
      </c>
      <c r="B192" s="10">
        <v>1004032825</v>
      </c>
      <c r="C192" s="10">
        <v>507142393</v>
      </c>
      <c r="D192" s="10">
        <v>90</v>
      </c>
      <c r="E192" s="10" t="s">
        <v>10</v>
      </c>
      <c r="F192" s="10">
        <v>1416751</v>
      </c>
      <c r="G192" s="10" t="s">
        <v>57</v>
      </c>
      <c r="H192" s="11">
        <v>45642</v>
      </c>
      <c r="I192" s="10">
        <v>0</v>
      </c>
      <c r="J192" s="11">
        <f t="shared" si="5"/>
        <v>45642</v>
      </c>
      <c r="K192" s="12" t="e">
        <f>VLOOKUP(A192,[2]VA05!$A:$K,11,FALSE)</f>
        <v>#N/A</v>
      </c>
      <c r="L192" s="10" t="s">
        <v>12</v>
      </c>
      <c r="M192" s="10" t="s">
        <v>73</v>
      </c>
    </row>
    <row r="193" spans="1:13" x14ac:dyDescent="0.25">
      <c r="A193" s="13" t="str">
        <f t="shared" si="4"/>
        <v>50714256610</v>
      </c>
      <c r="B193" s="10">
        <v>1004041365</v>
      </c>
      <c r="C193" s="10">
        <v>507142566</v>
      </c>
      <c r="D193" s="10">
        <v>10</v>
      </c>
      <c r="E193" s="10" t="s">
        <v>10</v>
      </c>
      <c r="F193" s="10">
        <v>1170136</v>
      </c>
      <c r="G193" s="10" t="s">
        <v>81</v>
      </c>
      <c r="H193" s="11">
        <v>23298</v>
      </c>
      <c r="I193" s="11">
        <v>6836</v>
      </c>
      <c r="J193" s="11">
        <f t="shared" si="5"/>
        <v>16462</v>
      </c>
      <c r="K193" s="12">
        <f>VLOOKUP(A193,[2]VA05!$A:$K,11,FALSE)</f>
        <v>45561</v>
      </c>
      <c r="L193" s="10" t="s">
        <v>11</v>
      </c>
      <c r="M193" s="10" t="s">
        <v>195</v>
      </c>
    </row>
    <row r="194" spans="1:13" x14ac:dyDescent="0.25">
      <c r="A194" s="13" t="str">
        <f t="shared" si="4"/>
        <v>50714256730</v>
      </c>
      <c r="B194" s="10">
        <v>1004041366</v>
      </c>
      <c r="C194" s="10">
        <v>507142567</v>
      </c>
      <c r="D194" s="10">
        <v>30</v>
      </c>
      <c r="E194" s="10" t="s">
        <v>10</v>
      </c>
      <c r="F194" s="10">
        <v>1170136</v>
      </c>
      <c r="G194" s="10" t="s">
        <v>81</v>
      </c>
      <c r="H194" s="11">
        <v>17589</v>
      </c>
      <c r="I194" s="10">
        <v>0</v>
      </c>
      <c r="J194" s="11">
        <f t="shared" si="5"/>
        <v>17589</v>
      </c>
      <c r="K194" s="12">
        <f>VLOOKUP(A194,[2]VA05!$A:$K,11,FALSE)</f>
        <v>45561</v>
      </c>
      <c r="L194" s="10" t="s">
        <v>56</v>
      </c>
      <c r="M194" s="10" t="s">
        <v>85</v>
      </c>
    </row>
    <row r="195" spans="1:13" x14ac:dyDescent="0.25">
      <c r="A195" s="13" t="str">
        <f t="shared" si="4"/>
        <v>50714256230</v>
      </c>
      <c r="B195" s="10">
        <v>1004042741</v>
      </c>
      <c r="C195" s="10">
        <v>507142562</v>
      </c>
      <c r="D195" s="10">
        <v>30</v>
      </c>
      <c r="E195" s="10" t="s">
        <v>10</v>
      </c>
      <c r="F195" s="10">
        <v>1165028</v>
      </c>
      <c r="G195" s="10" t="s">
        <v>68</v>
      </c>
      <c r="H195" s="11">
        <v>85259</v>
      </c>
      <c r="I195" s="11">
        <v>71224</v>
      </c>
      <c r="J195" s="11">
        <f t="shared" si="5"/>
        <v>14035</v>
      </c>
      <c r="K195" s="12">
        <f>VLOOKUP(A195,[2]VA05!$A:$K,11,FALSE)</f>
        <v>45573</v>
      </c>
      <c r="L195" s="10" t="s">
        <v>18</v>
      </c>
      <c r="M195" s="10" t="s">
        <v>201</v>
      </c>
    </row>
    <row r="196" spans="1:13" x14ac:dyDescent="0.25">
      <c r="A196" s="13" t="str">
        <f t="shared" ref="A196:A259" si="6">C196&amp;D196</f>
        <v>50714256230</v>
      </c>
      <c r="B196" s="10">
        <v>1004035819</v>
      </c>
      <c r="C196" s="10">
        <v>507142562</v>
      </c>
      <c r="D196" s="10">
        <v>30</v>
      </c>
      <c r="E196" s="10" t="s">
        <v>10</v>
      </c>
      <c r="F196" s="10">
        <v>1176008</v>
      </c>
      <c r="G196" s="10" t="s">
        <v>65</v>
      </c>
      <c r="H196" s="11">
        <v>85259</v>
      </c>
      <c r="I196" s="11">
        <v>68083</v>
      </c>
      <c r="J196" s="11">
        <f t="shared" ref="J196:J259" si="7">H196-I196</f>
        <v>17176</v>
      </c>
      <c r="K196" s="12">
        <f>VLOOKUP(A196,[2]VA05!$A:$K,11,FALSE)</f>
        <v>45573</v>
      </c>
      <c r="L196" s="10" t="s">
        <v>18</v>
      </c>
      <c r="M196" s="10" t="s">
        <v>201</v>
      </c>
    </row>
    <row r="197" spans="1:13" hidden="1" x14ac:dyDescent="0.25">
      <c r="A197" s="13" t="str">
        <f t="shared" si="6"/>
        <v>50714256230</v>
      </c>
      <c r="B197" s="10">
        <v>1004042025</v>
      </c>
      <c r="C197" s="10">
        <v>507142562</v>
      </c>
      <c r="D197" s="10">
        <v>30</v>
      </c>
      <c r="E197" s="10" t="s">
        <v>10</v>
      </c>
      <c r="F197" s="10">
        <v>1170133</v>
      </c>
      <c r="G197" s="10" t="s">
        <v>70</v>
      </c>
      <c r="H197" s="11">
        <v>85259</v>
      </c>
      <c r="I197" s="11">
        <v>85259</v>
      </c>
      <c r="J197" s="11">
        <f t="shared" si="7"/>
        <v>0</v>
      </c>
      <c r="K197" s="12">
        <f>VLOOKUP(A197,[2]VA05!$A:$K,11,FALSE)</f>
        <v>45573</v>
      </c>
      <c r="L197" s="10" t="s">
        <v>113</v>
      </c>
      <c r="M197" s="10" t="s">
        <v>130</v>
      </c>
    </row>
    <row r="198" spans="1:13" x14ac:dyDescent="0.25">
      <c r="A198" s="13" t="str">
        <f t="shared" si="6"/>
        <v>50714256530</v>
      </c>
      <c r="B198" s="10">
        <v>1004044947</v>
      </c>
      <c r="C198" s="10">
        <v>507142565</v>
      </c>
      <c r="D198" s="10">
        <v>30</v>
      </c>
      <c r="E198" s="10" t="s">
        <v>10</v>
      </c>
      <c r="F198" s="10">
        <v>1169065</v>
      </c>
      <c r="G198" s="10" t="s">
        <v>83</v>
      </c>
      <c r="H198" s="11">
        <v>85895</v>
      </c>
      <c r="I198" s="11">
        <v>57749</v>
      </c>
      <c r="J198" s="11">
        <f t="shared" si="7"/>
        <v>28146</v>
      </c>
      <c r="K198" s="12">
        <f>VLOOKUP(A198,[2]VA05!$A:$K,11,FALSE)</f>
        <v>45561</v>
      </c>
      <c r="L198" s="10" t="s">
        <v>18</v>
      </c>
      <c r="M198" s="10" t="s">
        <v>142</v>
      </c>
    </row>
    <row r="199" spans="1:13" x14ac:dyDescent="0.25">
      <c r="A199" s="13" t="str">
        <f t="shared" si="6"/>
        <v>50714256720</v>
      </c>
      <c r="B199" s="10">
        <v>1004044948</v>
      </c>
      <c r="C199" s="10">
        <v>507142567</v>
      </c>
      <c r="D199" s="10">
        <v>20</v>
      </c>
      <c r="E199" s="10" t="s">
        <v>10</v>
      </c>
      <c r="F199" s="10">
        <v>1169065</v>
      </c>
      <c r="G199" s="10" t="s">
        <v>83</v>
      </c>
      <c r="H199" s="11">
        <v>17711</v>
      </c>
      <c r="I199" s="10">
        <v>0</v>
      </c>
      <c r="J199" s="11">
        <f t="shared" si="7"/>
        <v>17711</v>
      </c>
      <c r="K199" s="12">
        <f>VLOOKUP(A199,[2]VA05!$A:$K,11,FALSE)</f>
        <v>45561</v>
      </c>
      <c r="L199" s="10" t="s">
        <v>12</v>
      </c>
      <c r="M199" s="10" t="s">
        <v>98</v>
      </c>
    </row>
    <row r="200" spans="1:13" x14ac:dyDescent="0.25">
      <c r="A200" s="13" t="str">
        <f t="shared" si="6"/>
        <v>50714256730</v>
      </c>
      <c r="B200" s="10">
        <v>1004052387</v>
      </c>
      <c r="C200" s="10">
        <v>507142567</v>
      </c>
      <c r="D200" s="10">
        <v>30</v>
      </c>
      <c r="E200" s="10" t="s">
        <v>10</v>
      </c>
      <c r="F200" s="10">
        <v>1171801</v>
      </c>
      <c r="G200" s="10" t="s">
        <v>71</v>
      </c>
      <c r="H200" s="11">
        <v>16066</v>
      </c>
      <c r="I200" s="11">
        <v>10410</v>
      </c>
      <c r="J200" s="11">
        <f t="shared" si="7"/>
        <v>5656</v>
      </c>
      <c r="K200" s="12">
        <f>VLOOKUP(A200,[2]VA05!$A:$K,11,FALSE)</f>
        <v>45561</v>
      </c>
      <c r="L200" s="10" t="s">
        <v>18</v>
      </c>
      <c r="M200" s="10" t="s">
        <v>155</v>
      </c>
    </row>
    <row r="201" spans="1:13" x14ac:dyDescent="0.25">
      <c r="A201" s="13" t="str">
        <f t="shared" si="6"/>
        <v>50714256520</v>
      </c>
      <c r="B201" s="10">
        <v>1004052388</v>
      </c>
      <c r="C201" s="10">
        <v>507142565</v>
      </c>
      <c r="D201" s="10">
        <v>20</v>
      </c>
      <c r="E201" s="10" t="s">
        <v>10</v>
      </c>
      <c r="F201" s="10">
        <v>1171801</v>
      </c>
      <c r="G201" s="10" t="s">
        <v>71</v>
      </c>
      <c r="H201" s="11">
        <v>79905</v>
      </c>
      <c r="I201" s="10">
        <v>0</v>
      </c>
      <c r="J201" s="11">
        <f t="shared" si="7"/>
        <v>79905</v>
      </c>
      <c r="K201" s="12">
        <f>VLOOKUP(A201,[2]VA05!$A:$K,11,FALSE)</f>
        <v>45561</v>
      </c>
      <c r="L201" s="10" t="s">
        <v>13</v>
      </c>
      <c r="M201" s="10" t="s">
        <v>180</v>
      </c>
    </row>
    <row r="202" spans="1:13" x14ac:dyDescent="0.25">
      <c r="A202" s="13" t="str">
        <f t="shared" si="6"/>
        <v>50714276210</v>
      </c>
      <c r="B202" s="10">
        <v>1004051397</v>
      </c>
      <c r="C202" s="10">
        <v>507142762</v>
      </c>
      <c r="D202" s="10">
        <v>10</v>
      </c>
      <c r="E202" s="10" t="s">
        <v>10</v>
      </c>
      <c r="F202" s="10">
        <v>1162016</v>
      </c>
      <c r="G202" s="10" t="s">
        <v>172</v>
      </c>
      <c r="H202" s="11">
        <v>40900</v>
      </c>
      <c r="I202" s="11">
        <v>28345</v>
      </c>
      <c r="J202" s="11">
        <f t="shared" si="7"/>
        <v>12555</v>
      </c>
      <c r="K202" s="12">
        <f>VLOOKUP(A202,[2]VA05!$A:$K,11,FALSE)</f>
        <v>45570</v>
      </c>
      <c r="L202" s="10" t="s">
        <v>11</v>
      </c>
      <c r="M202" s="10" t="s">
        <v>154</v>
      </c>
    </row>
    <row r="203" spans="1:13" x14ac:dyDescent="0.25">
      <c r="A203" s="13" t="str">
        <f t="shared" si="6"/>
        <v>50714263610</v>
      </c>
      <c r="B203" s="10">
        <v>1004040222</v>
      </c>
      <c r="C203" s="10">
        <v>507142636</v>
      </c>
      <c r="D203" s="10">
        <v>10</v>
      </c>
      <c r="E203" s="10" t="s">
        <v>10</v>
      </c>
      <c r="F203" s="10">
        <v>1437043</v>
      </c>
      <c r="G203" s="10" t="s">
        <v>115</v>
      </c>
      <c r="H203" s="11">
        <v>51125</v>
      </c>
      <c r="I203" s="11">
        <v>43670</v>
      </c>
      <c r="J203" s="11">
        <f t="shared" si="7"/>
        <v>7455</v>
      </c>
      <c r="K203" s="12">
        <f>VLOOKUP(A203,[2]VA05!$A:$K,11,FALSE)</f>
        <v>45566</v>
      </c>
      <c r="L203" s="10" t="s">
        <v>11</v>
      </c>
      <c r="M203" s="10" t="s">
        <v>116</v>
      </c>
    </row>
    <row r="204" spans="1:13" x14ac:dyDescent="0.25">
      <c r="A204" s="13" t="str">
        <f t="shared" si="6"/>
        <v>50714276210</v>
      </c>
      <c r="B204" s="10">
        <v>1004051398</v>
      </c>
      <c r="C204" s="10">
        <v>507142762</v>
      </c>
      <c r="D204" s="10">
        <v>10</v>
      </c>
      <c r="E204" s="10" t="s">
        <v>10</v>
      </c>
      <c r="F204" s="10">
        <v>1162012</v>
      </c>
      <c r="G204" s="10" t="s">
        <v>173</v>
      </c>
      <c r="H204" s="11">
        <v>40900</v>
      </c>
      <c r="I204" s="11">
        <v>1035</v>
      </c>
      <c r="J204" s="11">
        <f t="shared" si="7"/>
        <v>39865</v>
      </c>
      <c r="K204" s="12">
        <f>VLOOKUP(A204,[2]VA05!$A:$K,11,FALSE)</f>
        <v>45570</v>
      </c>
      <c r="L204" s="10" t="s">
        <v>11</v>
      </c>
      <c r="M204" s="10" t="s">
        <v>178</v>
      </c>
    </row>
    <row r="205" spans="1:13" x14ac:dyDescent="0.25">
      <c r="A205" s="13" t="str">
        <f t="shared" si="6"/>
        <v>50714276210</v>
      </c>
      <c r="B205" s="10">
        <v>1004051399</v>
      </c>
      <c r="C205" s="10">
        <v>507142762</v>
      </c>
      <c r="D205" s="10">
        <v>10</v>
      </c>
      <c r="E205" s="10" t="s">
        <v>10</v>
      </c>
      <c r="F205" s="10">
        <v>1163168</v>
      </c>
      <c r="G205" s="10" t="s">
        <v>174</v>
      </c>
      <c r="H205" s="11">
        <v>40900</v>
      </c>
      <c r="I205" s="10">
        <v>0</v>
      </c>
      <c r="J205" s="11">
        <f t="shared" si="7"/>
        <v>40900</v>
      </c>
      <c r="K205" s="12">
        <f>VLOOKUP(A205,[2]VA05!$A:$K,11,FALSE)</f>
        <v>45570</v>
      </c>
      <c r="L205" s="10" t="s">
        <v>29</v>
      </c>
      <c r="M205" s="10" t="s">
        <v>201</v>
      </c>
    </row>
    <row r="206" spans="1:13" hidden="1" x14ac:dyDescent="0.25">
      <c r="A206" s="13" t="str">
        <f t="shared" si="6"/>
        <v>50714263850</v>
      </c>
      <c r="B206" s="10">
        <v>1004049841</v>
      </c>
      <c r="C206" s="10">
        <v>507142638</v>
      </c>
      <c r="D206" s="10">
        <v>50</v>
      </c>
      <c r="E206" s="10" t="s">
        <v>10</v>
      </c>
      <c r="F206" s="10">
        <v>1361170</v>
      </c>
      <c r="G206" s="10" t="s">
        <v>103</v>
      </c>
      <c r="H206" s="11">
        <v>27540</v>
      </c>
      <c r="I206" s="11">
        <v>27540</v>
      </c>
      <c r="J206" s="11">
        <f t="shared" si="7"/>
        <v>0</v>
      </c>
      <c r="K206" s="12">
        <f>VLOOKUP(A206,[2]VA05!$A:$K,11,FALSE)</f>
        <v>45560</v>
      </c>
      <c r="L206" s="10" t="s">
        <v>224</v>
      </c>
      <c r="M206" s="10" t="s">
        <v>143</v>
      </c>
    </row>
    <row r="207" spans="1:13" x14ac:dyDescent="0.25">
      <c r="A207" s="13" t="str">
        <f t="shared" si="6"/>
        <v>50714263850</v>
      </c>
      <c r="B207" s="10">
        <v>1004049842</v>
      </c>
      <c r="C207" s="10">
        <v>507142638</v>
      </c>
      <c r="D207" s="10">
        <v>50</v>
      </c>
      <c r="E207" s="10" t="s">
        <v>10</v>
      </c>
      <c r="F207" s="10">
        <v>1361170</v>
      </c>
      <c r="G207" s="10" t="s">
        <v>103</v>
      </c>
      <c r="H207" s="11">
        <v>27540</v>
      </c>
      <c r="I207" s="11">
        <v>14050</v>
      </c>
      <c r="J207" s="11">
        <f t="shared" si="7"/>
        <v>13490</v>
      </c>
      <c r="K207" s="12">
        <f>VLOOKUP(A207,[2]VA05!$A:$K,11,FALSE)</f>
        <v>45560</v>
      </c>
      <c r="L207" s="10" t="s">
        <v>11</v>
      </c>
      <c r="M207" s="10" t="s">
        <v>195</v>
      </c>
    </row>
    <row r="208" spans="1:13" x14ac:dyDescent="0.25">
      <c r="A208" s="13" t="str">
        <f t="shared" si="6"/>
        <v>50714263850</v>
      </c>
      <c r="B208" s="10">
        <v>1004049843</v>
      </c>
      <c r="C208" s="10">
        <v>507142638</v>
      </c>
      <c r="D208" s="10">
        <v>50</v>
      </c>
      <c r="E208" s="10" t="s">
        <v>10</v>
      </c>
      <c r="F208" s="10">
        <v>1361170</v>
      </c>
      <c r="G208" s="10" t="s">
        <v>103</v>
      </c>
      <c r="H208" s="11">
        <v>27270</v>
      </c>
      <c r="I208" s="10">
        <v>0</v>
      </c>
      <c r="J208" s="11">
        <f t="shared" si="7"/>
        <v>27270</v>
      </c>
      <c r="K208" s="12">
        <f>VLOOKUP(A208,[2]VA05!$A:$K,11,FALSE)</f>
        <v>45560</v>
      </c>
      <c r="L208" s="10" t="s">
        <v>117</v>
      </c>
      <c r="M208" s="10" t="s">
        <v>143</v>
      </c>
    </row>
    <row r="209" spans="1:13" x14ac:dyDescent="0.25">
      <c r="A209" s="13" t="str">
        <f t="shared" si="6"/>
        <v>50714273810</v>
      </c>
      <c r="B209" s="10">
        <v>1004051551</v>
      </c>
      <c r="C209" s="10">
        <v>507142738</v>
      </c>
      <c r="D209" s="10">
        <v>10</v>
      </c>
      <c r="E209" s="10" t="s">
        <v>10</v>
      </c>
      <c r="F209" s="10">
        <v>1361170</v>
      </c>
      <c r="G209" s="10" t="s">
        <v>103</v>
      </c>
      <c r="H209" s="11">
        <v>27540</v>
      </c>
      <c r="I209" s="10">
        <v>0</v>
      </c>
      <c r="J209" s="11">
        <f t="shared" si="7"/>
        <v>27540</v>
      </c>
      <c r="K209" s="12">
        <f>VLOOKUP(A209,[2]VA05!$A:$K,11,FALSE)</f>
        <v>45567</v>
      </c>
      <c r="L209" s="10" t="s">
        <v>12</v>
      </c>
      <c r="M209" s="10" t="s">
        <v>180</v>
      </c>
    </row>
    <row r="210" spans="1:13" x14ac:dyDescent="0.25">
      <c r="A210" s="13" t="str">
        <f t="shared" si="6"/>
        <v>50714273810</v>
      </c>
      <c r="B210" s="10">
        <v>1004051552</v>
      </c>
      <c r="C210" s="10">
        <v>507142738</v>
      </c>
      <c r="D210" s="10">
        <v>10</v>
      </c>
      <c r="E210" s="10" t="s">
        <v>10</v>
      </c>
      <c r="F210" s="10">
        <v>1361170</v>
      </c>
      <c r="G210" s="10" t="s">
        <v>103</v>
      </c>
      <c r="H210" s="11">
        <v>27540</v>
      </c>
      <c r="I210" s="10">
        <v>0</v>
      </c>
      <c r="J210" s="11">
        <f t="shared" si="7"/>
        <v>27540</v>
      </c>
      <c r="K210" s="12">
        <f>VLOOKUP(A210,[2]VA05!$A:$K,11,FALSE)</f>
        <v>45567</v>
      </c>
      <c r="L210" s="10" t="s">
        <v>12</v>
      </c>
      <c r="M210" s="10" t="s">
        <v>180</v>
      </c>
    </row>
    <row r="211" spans="1:13" x14ac:dyDescent="0.25">
      <c r="A211" s="13" t="str">
        <f t="shared" si="6"/>
        <v>50714273810</v>
      </c>
      <c r="B211" s="10">
        <v>1004051553</v>
      </c>
      <c r="C211" s="10">
        <v>507142738</v>
      </c>
      <c r="D211" s="10">
        <v>10</v>
      </c>
      <c r="E211" s="10" t="s">
        <v>10</v>
      </c>
      <c r="F211" s="10">
        <v>1361170</v>
      </c>
      <c r="G211" s="10" t="s">
        <v>103</v>
      </c>
      <c r="H211" s="11">
        <v>27540</v>
      </c>
      <c r="I211" s="10">
        <v>0</v>
      </c>
      <c r="J211" s="11">
        <f t="shared" si="7"/>
        <v>27540</v>
      </c>
      <c r="K211" s="12">
        <f>VLOOKUP(A211,[2]VA05!$A:$K,11,FALSE)</f>
        <v>45567</v>
      </c>
      <c r="L211" s="10" t="s">
        <v>12</v>
      </c>
      <c r="M211" s="10" t="s">
        <v>180</v>
      </c>
    </row>
    <row r="212" spans="1:13" x14ac:dyDescent="0.25">
      <c r="A212" s="13" t="str">
        <f t="shared" si="6"/>
        <v>50714273810</v>
      </c>
      <c r="B212" s="10">
        <v>1004051554</v>
      </c>
      <c r="C212" s="10">
        <v>507142738</v>
      </c>
      <c r="D212" s="10">
        <v>10</v>
      </c>
      <c r="E212" s="10" t="s">
        <v>10</v>
      </c>
      <c r="F212" s="10">
        <v>1361170</v>
      </c>
      <c r="G212" s="10" t="s">
        <v>103</v>
      </c>
      <c r="H212" s="11">
        <v>27540</v>
      </c>
      <c r="I212" s="10">
        <v>0</v>
      </c>
      <c r="J212" s="11">
        <f t="shared" si="7"/>
        <v>27540</v>
      </c>
      <c r="K212" s="12">
        <f>VLOOKUP(A212,[2]VA05!$A:$K,11,FALSE)</f>
        <v>45567</v>
      </c>
      <c r="L212" s="10" t="s">
        <v>12</v>
      </c>
      <c r="M212" s="10" t="s">
        <v>180</v>
      </c>
    </row>
    <row r="213" spans="1:13" hidden="1" x14ac:dyDescent="0.25">
      <c r="A213" s="13" t="str">
        <f t="shared" si="6"/>
        <v>50714269210</v>
      </c>
      <c r="B213" s="10">
        <v>1004057889</v>
      </c>
      <c r="C213" s="10">
        <v>507142692</v>
      </c>
      <c r="D213" s="10">
        <v>10</v>
      </c>
      <c r="E213" s="10" t="s">
        <v>10</v>
      </c>
      <c r="F213" s="10">
        <v>1367372</v>
      </c>
      <c r="G213" s="10" t="s">
        <v>62</v>
      </c>
      <c r="H213" s="11">
        <v>27540</v>
      </c>
      <c r="I213" s="11">
        <v>27540</v>
      </c>
      <c r="J213" s="11">
        <f t="shared" si="7"/>
        <v>0</v>
      </c>
      <c r="K213" s="12">
        <f>VLOOKUP(A213,[2]VA05!$A:$K,11,FALSE)</f>
        <v>45566</v>
      </c>
      <c r="L213" s="10" t="s">
        <v>34</v>
      </c>
      <c r="M213" s="10" t="s">
        <v>155</v>
      </c>
    </row>
    <row r="214" spans="1:13" hidden="1" x14ac:dyDescent="0.25">
      <c r="A214" s="13" t="str">
        <f t="shared" si="6"/>
        <v>50714269210</v>
      </c>
      <c r="B214" s="10">
        <v>1004057891</v>
      </c>
      <c r="C214" s="10">
        <v>507142692</v>
      </c>
      <c r="D214" s="10">
        <v>10</v>
      </c>
      <c r="E214" s="10" t="s">
        <v>10</v>
      </c>
      <c r="F214" s="10">
        <v>1367372</v>
      </c>
      <c r="G214" s="10" t="s">
        <v>62</v>
      </c>
      <c r="H214" s="11">
        <v>27540</v>
      </c>
      <c r="I214" s="11">
        <v>27540</v>
      </c>
      <c r="J214" s="11">
        <f t="shared" si="7"/>
        <v>0</v>
      </c>
      <c r="K214" s="12">
        <f>VLOOKUP(A214,[2]VA05!$A:$K,11,FALSE)</f>
        <v>45566</v>
      </c>
      <c r="L214" s="10" t="s">
        <v>34</v>
      </c>
      <c r="M214" s="10" t="s">
        <v>154</v>
      </c>
    </row>
    <row r="215" spans="1:13" hidden="1" x14ac:dyDescent="0.25">
      <c r="A215" s="13" t="str">
        <f t="shared" si="6"/>
        <v>50714269210</v>
      </c>
      <c r="B215" s="10">
        <v>1004057892</v>
      </c>
      <c r="C215" s="10">
        <v>507142692</v>
      </c>
      <c r="D215" s="10">
        <v>10</v>
      </c>
      <c r="E215" s="10" t="s">
        <v>10</v>
      </c>
      <c r="F215" s="10">
        <v>1367372</v>
      </c>
      <c r="G215" s="10" t="s">
        <v>62</v>
      </c>
      <c r="H215" s="11">
        <v>27540</v>
      </c>
      <c r="I215" s="11">
        <v>27540</v>
      </c>
      <c r="J215" s="11">
        <f t="shared" si="7"/>
        <v>0</v>
      </c>
      <c r="K215" s="12">
        <f>VLOOKUP(A215,[2]VA05!$A:$K,11,FALSE)</f>
        <v>45566</v>
      </c>
      <c r="L215" s="10" t="s">
        <v>34</v>
      </c>
      <c r="M215" s="10" t="s">
        <v>194</v>
      </c>
    </row>
    <row r="216" spans="1:13" x14ac:dyDescent="0.25">
      <c r="A216" s="13" t="str">
        <f t="shared" si="6"/>
        <v>50714269230</v>
      </c>
      <c r="B216" s="10">
        <v>1004059598</v>
      </c>
      <c r="C216" s="10">
        <v>507142692</v>
      </c>
      <c r="D216" s="10">
        <v>30</v>
      </c>
      <c r="E216" s="10" t="s">
        <v>10</v>
      </c>
      <c r="F216" s="10">
        <v>1367372</v>
      </c>
      <c r="G216" s="10" t="s">
        <v>62</v>
      </c>
      <c r="H216" s="11">
        <v>25110</v>
      </c>
      <c r="I216" s="11">
        <v>8596</v>
      </c>
      <c r="J216" s="11">
        <f t="shared" si="7"/>
        <v>16514</v>
      </c>
      <c r="K216" s="12">
        <f>VLOOKUP(A216,[2]VA05!$A:$K,11,FALSE)</f>
        <v>45567</v>
      </c>
      <c r="L216" s="10" t="s">
        <v>240</v>
      </c>
      <c r="M216" s="10" t="s">
        <v>197</v>
      </c>
    </row>
    <row r="217" spans="1:13" x14ac:dyDescent="0.25">
      <c r="A217" s="13" t="str">
        <f t="shared" si="6"/>
        <v>50714269230</v>
      </c>
      <c r="B217" s="10">
        <v>1004059599</v>
      </c>
      <c r="C217" s="10">
        <v>507142692</v>
      </c>
      <c r="D217" s="10">
        <v>30</v>
      </c>
      <c r="E217" s="10" t="s">
        <v>10</v>
      </c>
      <c r="F217" s="10">
        <v>1367372</v>
      </c>
      <c r="G217" s="10" t="s">
        <v>62</v>
      </c>
      <c r="H217" s="11">
        <v>25110</v>
      </c>
      <c r="I217" s="10">
        <v>0</v>
      </c>
      <c r="J217" s="11">
        <f t="shared" si="7"/>
        <v>25110</v>
      </c>
      <c r="K217" s="12">
        <f>VLOOKUP(A217,[2]VA05!$A:$K,11,FALSE)</f>
        <v>45567</v>
      </c>
      <c r="L217" s="10" t="s">
        <v>12</v>
      </c>
      <c r="M217" s="10" t="s">
        <v>154</v>
      </c>
    </row>
    <row r="218" spans="1:13" x14ac:dyDescent="0.25">
      <c r="A218" s="13" t="str">
        <f t="shared" si="6"/>
        <v>50714269230</v>
      </c>
      <c r="B218" s="10">
        <v>1004059600</v>
      </c>
      <c r="C218" s="10">
        <v>507142692</v>
      </c>
      <c r="D218" s="10">
        <v>30</v>
      </c>
      <c r="E218" s="10" t="s">
        <v>10</v>
      </c>
      <c r="F218" s="10">
        <v>1367372</v>
      </c>
      <c r="G218" s="10" t="s">
        <v>62</v>
      </c>
      <c r="H218" s="11">
        <v>25110</v>
      </c>
      <c r="I218" s="10">
        <v>0</v>
      </c>
      <c r="J218" s="11">
        <f t="shared" si="7"/>
        <v>25110</v>
      </c>
      <c r="K218" s="12">
        <f>VLOOKUP(A218,[2]VA05!$A:$K,11,FALSE)</f>
        <v>45567</v>
      </c>
      <c r="L218" s="10" t="s">
        <v>12</v>
      </c>
      <c r="M218" s="10" t="s">
        <v>154</v>
      </c>
    </row>
    <row r="219" spans="1:13" x14ac:dyDescent="0.25">
      <c r="A219" s="13" t="str">
        <f t="shared" si="6"/>
        <v>50714269230</v>
      </c>
      <c r="B219" s="10">
        <v>1004059601</v>
      </c>
      <c r="C219" s="10">
        <v>507142692</v>
      </c>
      <c r="D219" s="10">
        <v>30</v>
      </c>
      <c r="E219" s="10" t="s">
        <v>10</v>
      </c>
      <c r="F219" s="10">
        <v>1367372</v>
      </c>
      <c r="G219" s="10" t="s">
        <v>62</v>
      </c>
      <c r="H219" s="11">
        <v>24570</v>
      </c>
      <c r="I219" s="10">
        <v>0</v>
      </c>
      <c r="J219" s="11">
        <f t="shared" si="7"/>
        <v>24570</v>
      </c>
      <c r="K219" s="12">
        <f>VLOOKUP(A219,[2]VA05!$A:$K,11,FALSE)</f>
        <v>45567</v>
      </c>
      <c r="L219" s="10" t="s">
        <v>12</v>
      </c>
      <c r="M219" s="10" t="s">
        <v>154</v>
      </c>
    </row>
    <row r="220" spans="1:13" x14ac:dyDescent="0.25">
      <c r="A220" s="13" t="str">
        <f t="shared" si="6"/>
        <v>50714263860</v>
      </c>
      <c r="B220" s="10">
        <v>1004049845</v>
      </c>
      <c r="C220" s="10">
        <v>507142638</v>
      </c>
      <c r="D220" s="10">
        <v>60</v>
      </c>
      <c r="E220" s="10" t="s">
        <v>10</v>
      </c>
      <c r="F220" s="10">
        <v>1361175</v>
      </c>
      <c r="G220" s="10" t="s">
        <v>22</v>
      </c>
      <c r="H220" s="11">
        <v>36850</v>
      </c>
      <c r="I220" s="11">
        <v>4576</v>
      </c>
      <c r="J220" s="11">
        <f t="shared" si="7"/>
        <v>32274</v>
      </c>
      <c r="K220" s="12">
        <f>VLOOKUP(A220,[2]VA05!$A:$K,11,FALSE)</f>
        <v>45560</v>
      </c>
      <c r="L220" s="10" t="s">
        <v>132</v>
      </c>
      <c r="M220" s="10" t="s">
        <v>143</v>
      </c>
    </row>
    <row r="221" spans="1:13" x14ac:dyDescent="0.25">
      <c r="A221" s="13" t="str">
        <f t="shared" si="6"/>
        <v>50714263860</v>
      </c>
      <c r="B221" s="10">
        <v>1004049846</v>
      </c>
      <c r="C221" s="10">
        <v>507142638</v>
      </c>
      <c r="D221" s="10">
        <v>60</v>
      </c>
      <c r="E221" s="10" t="s">
        <v>10</v>
      </c>
      <c r="F221" s="10">
        <v>1361175</v>
      </c>
      <c r="G221" s="10" t="s">
        <v>22</v>
      </c>
      <c r="H221" s="11">
        <v>36190</v>
      </c>
      <c r="I221" s="10">
        <v>0</v>
      </c>
      <c r="J221" s="11">
        <f t="shared" si="7"/>
        <v>36190</v>
      </c>
      <c r="K221" s="12">
        <f>VLOOKUP(A221,[2]VA05!$A:$K,11,FALSE)</f>
        <v>45560</v>
      </c>
      <c r="L221" s="10" t="s">
        <v>241</v>
      </c>
      <c r="M221" s="10" t="s">
        <v>97</v>
      </c>
    </row>
    <row r="222" spans="1:13" hidden="1" x14ac:dyDescent="0.25">
      <c r="A222" s="13" t="str">
        <f t="shared" si="6"/>
        <v>50714269220</v>
      </c>
      <c r="B222" s="10">
        <v>1004057897</v>
      </c>
      <c r="C222" s="10">
        <v>507142692</v>
      </c>
      <c r="D222" s="10">
        <v>20</v>
      </c>
      <c r="E222" s="10" t="s">
        <v>10</v>
      </c>
      <c r="F222" s="10">
        <v>1367370</v>
      </c>
      <c r="G222" s="10" t="s">
        <v>63</v>
      </c>
      <c r="H222" s="11">
        <v>32400</v>
      </c>
      <c r="I222" s="11">
        <v>32400</v>
      </c>
      <c r="J222" s="11">
        <f t="shared" si="7"/>
        <v>0</v>
      </c>
      <c r="K222" s="12">
        <f>VLOOKUP(A222,[2]VA05!$A:$K,11,FALSE)</f>
        <v>45567</v>
      </c>
      <c r="L222" s="10" t="s">
        <v>34</v>
      </c>
      <c r="M222" s="10" t="s">
        <v>194</v>
      </c>
    </row>
    <row r="223" spans="1:13" x14ac:dyDescent="0.25">
      <c r="A223" s="13" t="str">
        <f t="shared" si="6"/>
        <v>50714269240</v>
      </c>
      <c r="B223" s="10">
        <v>1004060927</v>
      </c>
      <c r="C223" s="10">
        <v>507142692</v>
      </c>
      <c r="D223" s="10">
        <v>40</v>
      </c>
      <c r="E223" s="10" t="s">
        <v>10</v>
      </c>
      <c r="F223" s="10">
        <v>1367370</v>
      </c>
      <c r="G223" s="10" t="s">
        <v>63</v>
      </c>
      <c r="H223" s="11">
        <v>32400</v>
      </c>
      <c r="I223" s="10">
        <v>0</v>
      </c>
      <c r="J223" s="11">
        <f t="shared" si="7"/>
        <v>32400</v>
      </c>
      <c r="K223" s="12">
        <f>VLOOKUP(A223,[2]VA05!$A:$K,11,FALSE)</f>
        <v>45567</v>
      </c>
      <c r="L223" s="10" t="s">
        <v>12</v>
      </c>
      <c r="M223" s="10" t="s">
        <v>156</v>
      </c>
    </row>
    <row r="224" spans="1:13" x14ac:dyDescent="0.25">
      <c r="A224" s="13" t="str">
        <f t="shared" si="6"/>
        <v>50714269240</v>
      </c>
      <c r="B224" s="10">
        <v>1004060928</v>
      </c>
      <c r="C224" s="10">
        <v>507142692</v>
      </c>
      <c r="D224" s="10">
        <v>40</v>
      </c>
      <c r="E224" s="10" t="s">
        <v>10</v>
      </c>
      <c r="F224" s="10">
        <v>1367370</v>
      </c>
      <c r="G224" s="10" t="s">
        <v>63</v>
      </c>
      <c r="H224" s="11">
        <v>32400</v>
      </c>
      <c r="I224" s="10">
        <v>0</v>
      </c>
      <c r="J224" s="11">
        <f t="shared" si="7"/>
        <v>32400</v>
      </c>
      <c r="K224" s="12">
        <f>VLOOKUP(A224,[2]VA05!$A:$K,11,FALSE)</f>
        <v>45567</v>
      </c>
      <c r="L224" s="10" t="s">
        <v>12</v>
      </c>
      <c r="M224" s="10" t="s">
        <v>156</v>
      </c>
    </row>
    <row r="225" spans="1:13" x14ac:dyDescent="0.25">
      <c r="A225" s="13" t="str">
        <f t="shared" si="6"/>
        <v>50714269240</v>
      </c>
      <c r="B225" s="10">
        <v>1004061129</v>
      </c>
      <c r="C225" s="10">
        <v>507142692</v>
      </c>
      <c r="D225" s="10">
        <v>40</v>
      </c>
      <c r="E225" s="10" t="s">
        <v>10</v>
      </c>
      <c r="F225" s="10">
        <v>1367370</v>
      </c>
      <c r="G225" s="10" t="s">
        <v>63</v>
      </c>
      <c r="H225" s="11">
        <v>34400</v>
      </c>
      <c r="I225" s="10">
        <v>0</v>
      </c>
      <c r="J225" s="11">
        <f t="shared" si="7"/>
        <v>34400</v>
      </c>
      <c r="K225" s="12">
        <f>VLOOKUP(A225,[2]VA05!$A:$K,11,FALSE)</f>
        <v>45567</v>
      </c>
      <c r="L225" s="10" t="s">
        <v>12</v>
      </c>
      <c r="M225" s="10" t="s">
        <v>156</v>
      </c>
    </row>
    <row r="226" spans="1:13" x14ac:dyDescent="0.25">
      <c r="A226" s="13" t="str">
        <f t="shared" si="6"/>
        <v>50714263830</v>
      </c>
      <c r="B226" s="10">
        <v>1004043125</v>
      </c>
      <c r="C226" s="10">
        <v>507142638</v>
      </c>
      <c r="D226" s="10">
        <v>30</v>
      </c>
      <c r="E226" s="10" t="s">
        <v>10</v>
      </c>
      <c r="F226" s="10">
        <v>1361213</v>
      </c>
      <c r="G226" s="10" t="s">
        <v>23</v>
      </c>
      <c r="H226" s="11">
        <v>113465</v>
      </c>
      <c r="I226" s="11">
        <v>65300</v>
      </c>
      <c r="J226" s="11">
        <f t="shared" si="7"/>
        <v>48165</v>
      </c>
      <c r="K226" s="12" t="e">
        <f>VLOOKUP(A226,[2]VA05!$A:$K,11,FALSE)</f>
        <v>#N/A</v>
      </c>
      <c r="L226" s="10" t="s">
        <v>18</v>
      </c>
      <c r="M226" s="10" t="s">
        <v>195</v>
      </c>
    </row>
    <row r="227" spans="1:13" x14ac:dyDescent="0.25">
      <c r="A227" s="13" t="str">
        <f t="shared" si="6"/>
        <v>50714263850</v>
      </c>
      <c r="B227" s="10">
        <v>1004043126</v>
      </c>
      <c r="C227" s="10">
        <v>507142638</v>
      </c>
      <c r="D227" s="10">
        <v>50</v>
      </c>
      <c r="E227" s="10" t="s">
        <v>10</v>
      </c>
      <c r="F227" s="10">
        <v>1361213</v>
      </c>
      <c r="G227" s="10" t="s">
        <v>23</v>
      </c>
      <c r="H227" s="11">
        <v>113187</v>
      </c>
      <c r="I227" s="10">
        <v>0</v>
      </c>
      <c r="J227" s="11">
        <f t="shared" si="7"/>
        <v>113187</v>
      </c>
      <c r="K227" s="12">
        <f>VLOOKUP(A227,[2]VA05!$A:$K,11,FALSE)</f>
        <v>45560</v>
      </c>
      <c r="L227" s="10" t="s">
        <v>12</v>
      </c>
      <c r="M227" s="10" t="s">
        <v>111</v>
      </c>
    </row>
    <row r="228" spans="1:13" x14ac:dyDescent="0.25">
      <c r="A228" s="13" t="str">
        <f t="shared" si="6"/>
        <v>50714273810</v>
      </c>
      <c r="B228" s="10">
        <v>1004053617</v>
      </c>
      <c r="C228" s="10">
        <v>507142738</v>
      </c>
      <c r="D228" s="10">
        <v>10</v>
      </c>
      <c r="E228" s="10" t="s">
        <v>10</v>
      </c>
      <c r="F228" s="10">
        <v>1361213</v>
      </c>
      <c r="G228" s="10" t="s">
        <v>23</v>
      </c>
      <c r="H228" s="11">
        <v>113468</v>
      </c>
      <c r="I228" s="10">
        <v>0</v>
      </c>
      <c r="J228" s="11">
        <f t="shared" si="7"/>
        <v>113468</v>
      </c>
      <c r="K228" s="12">
        <f>VLOOKUP(A228,[2]VA05!$A:$K,11,FALSE)</f>
        <v>45567</v>
      </c>
      <c r="L228" s="10" t="s">
        <v>12</v>
      </c>
      <c r="M228" s="10" t="s">
        <v>130</v>
      </c>
    </row>
    <row r="229" spans="1:13" x14ac:dyDescent="0.25">
      <c r="A229" s="13" t="str">
        <f t="shared" si="6"/>
        <v>50714279010</v>
      </c>
      <c r="B229" s="10">
        <v>1004053618</v>
      </c>
      <c r="C229" s="10">
        <v>507142790</v>
      </c>
      <c r="D229" s="10">
        <v>10</v>
      </c>
      <c r="E229" s="10" t="s">
        <v>10</v>
      </c>
      <c r="F229" s="10">
        <v>1361213</v>
      </c>
      <c r="G229" s="10" t="s">
        <v>23</v>
      </c>
      <c r="H229" s="11">
        <v>113465</v>
      </c>
      <c r="I229" s="10">
        <v>0</v>
      </c>
      <c r="J229" s="11">
        <f t="shared" si="7"/>
        <v>113465</v>
      </c>
      <c r="K229" s="12">
        <f>VLOOKUP(A229,[2]VA05!$A:$K,11,FALSE)</f>
        <v>45583</v>
      </c>
      <c r="L229" s="10" t="s">
        <v>12</v>
      </c>
      <c r="M229" s="10" t="s">
        <v>180</v>
      </c>
    </row>
    <row r="230" spans="1:13" hidden="1" x14ac:dyDescent="0.25">
      <c r="A230" s="13" t="str">
        <f t="shared" si="6"/>
        <v>50714263750</v>
      </c>
      <c r="B230" s="10">
        <v>1004053626</v>
      </c>
      <c r="C230" s="10">
        <v>507142637</v>
      </c>
      <c r="D230" s="10">
        <v>50</v>
      </c>
      <c r="E230" s="10" t="s">
        <v>10</v>
      </c>
      <c r="F230" s="10">
        <v>1408740</v>
      </c>
      <c r="G230" s="10" t="s">
        <v>104</v>
      </c>
      <c r="H230" s="11">
        <v>27540</v>
      </c>
      <c r="I230" s="11">
        <v>27540</v>
      </c>
      <c r="J230" s="11">
        <f t="shared" si="7"/>
        <v>0</v>
      </c>
      <c r="K230" s="12">
        <f>VLOOKUP(A230,[2]VA05!$A:$K,11,FALSE)</f>
        <v>45552</v>
      </c>
      <c r="L230" s="10" t="s">
        <v>118</v>
      </c>
      <c r="M230" s="10" t="s">
        <v>154</v>
      </c>
    </row>
    <row r="231" spans="1:13" hidden="1" x14ac:dyDescent="0.25">
      <c r="A231" s="13" t="str">
        <f t="shared" si="6"/>
        <v>50714263750</v>
      </c>
      <c r="B231" s="10">
        <v>1004053627</v>
      </c>
      <c r="C231" s="10">
        <v>507142637</v>
      </c>
      <c r="D231" s="10">
        <v>50</v>
      </c>
      <c r="E231" s="10" t="s">
        <v>10</v>
      </c>
      <c r="F231" s="10">
        <v>1408740</v>
      </c>
      <c r="G231" s="10" t="s">
        <v>104</v>
      </c>
      <c r="H231" s="11">
        <v>27540</v>
      </c>
      <c r="I231" s="11">
        <v>27540</v>
      </c>
      <c r="J231" s="11">
        <f t="shared" si="7"/>
        <v>0</v>
      </c>
      <c r="K231" s="12">
        <f>VLOOKUP(A231,[2]VA05!$A:$K,11,FALSE)</f>
        <v>45552</v>
      </c>
      <c r="L231" s="10" t="s">
        <v>118</v>
      </c>
      <c r="M231" s="10" t="s">
        <v>194</v>
      </c>
    </row>
    <row r="232" spans="1:13" x14ac:dyDescent="0.25">
      <c r="A232" s="13" t="str">
        <f t="shared" si="6"/>
        <v>50714263750</v>
      </c>
      <c r="B232" s="10">
        <v>1004053628</v>
      </c>
      <c r="C232" s="10">
        <v>507142637</v>
      </c>
      <c r="D232" s="10">
        <v>50</v>
      </c>
      <c r="E232" s="10" t="s">
        <v>10</v>
      </c>
      <c r="F232" s="10">
        <v>1408740</v>
      </c>
      <c r="G232" s="10" t="s">
        <v>104</v>
      </c>
      <c r="H232" s="11">
        <v>27540</v>
      </c>
      <c r="I232" s="11">
        <v>17500</v>
      </c>
      <c r="J232" s="11">
        <f t="shared" si="7"/>
        <v>10040</v>
      </c>
      <c r="K232" s="12">
        <f>VLOOKUP(A232,[2]VA05!$A:$K,11,FALSE)</f>
        <v>45552</v>
      </c>
      <c r="L232" s="10" t="s">
        <v>18</v>
      </c>
      <c r="M232" s="10" t="s">
        <v>178</v>
      </c>
    </row>
    <row r="233" spans="1:13" x14ac:dyDescent="0.25">
      <c r="A233" s="13" t="str">
        <f t="shared" si="6"/>
        <v>50714263750</v>
      </c>
      <c r="B233" s="10">
        <v>1004053629</v>
      </c>
      <c r="C233" s="10">
        <v>507142637</v>
      </c>
      <c r="D233" s="10">
        <v>50</v>
      </c>
      <c r="E233" s="10" t="s">
        <v>10</v>
      </c>
      <c r="F233" s="10">
        <v>1408740</v>
      </c>
      <c r="G233" s="10" t="s">
        <v>104</v>
      </c>
      <c r="H233" s="11">
        <v>27270</v>
      </c>
      <c r="I233" s="10">
        <v>0</v>
      </c>
      <c r="J233" s="11">
        <f t="shared" si="7"/>
        <v>27270</v>
      </c>
      <c r="K233" s="12">
        <f>VLOOKUP(A233,[2]VA05!$A:$K,11,FALSE)</f>
        <v>45552</v>
      </c>
      <c r="L233" s="10" t="s">
        <v>25</v>
      </c>
      <c r="M233" s="10" t="s">
        <v>154</v>
      </c>
    </row>
    <row r="234" spans="1:13" hidden="1" x14ac:dyDescent="0.25">
      <c r="A234" s="13" t="str">
        <f t="shared" si="6"/>
        <v>50714263760</v>
      </c>
      <c r="B234" s="10">
        <v>1004053632</v>
      </c>
      <c r="C234" s="10">
        <v>507142637</v>
      </c>
      <c r="D234" s="10">
        <v>60</v>
      </c>
      <c r="E234" s="10" t="s">
        <v>10</v>
      </c>
      <c r="F234" s="10">
        <v>1408739</v>
      </c>
      <c r="G234" s="10" t="s">
        <v>37</v>
      </c>
      <c r="H234" s="11">
        <v>27864</v>
      </c>
      <c r="I234" s="11">
        <v>27864</v>
      </c>
      <c r="J234" s="11">
        <f t="shared" si="7"/>
        <v>0</v>
      </c>
      <c r="K234" s="12">
        <f>VLOOKUP(A234,[2]VA05!$A:$K,11,FALSE)</f>
        <v>45553</v>
      </c>
      <c r="L234" s="10" t="s">
        <v>233</v>
      </c>
      <c r="M234" s="10" t="s">
        <v>155</v>
      </c>
    </row>
    <row r="235" spans="1:13" hidden="1" x14ac:dyDescent="0.25">
      <c r="A235" s="13" t="str">
        <f t="shared" si="6"/>
        <v>50714263760</v>
      </c>
      <c r="B235" s="10">
        <v>1004053633</v>
      </c>
      <c r="C235" s="10">
        <v>507142637</v>
      </c>
      <c r="D235" s="10">
        <v>60</v>
      </c>
      <c r="E235" s="10" t="s">
        <v>10</v>
      </c>
      <c r="F235" s="10">
        <v>1408739</v>
      </c>
      <c r="G235" s="10" t="s">
        <v>37</v>
      </c>
      <c r="H235" s="11">
        <v>26298</v>
      </c>
      <c r="I235" s="11">
        <v>26298</v>
      </c>
      <c r="J235" s="11">
        <f t="shared" si="7"/>
        <v>0</v>
      </c>
      <c r="K235" s="12">
        <f>VLOOKUP(A235,[2]VA05!$A:$K,11,FALSE)</f>
        <v>45553</v>
      </c>
      <c r="L235" s="10" t="s">
        <v>132</v>
      </c>
      <c r="M235" s="10" t="s">
        <v>195</v>
      </c>
    </row>
    <row r="236" spans="1:13" x14ac:dyDescent="0.25">
      <c r="A236" s="13" t="str">
        <f t="shared" si="6"/>
        <v>50714269820</v>
      </c>
      <c r="B236" s="10">
        <v>1004059594</v>
      </c>
      <c r="C236" s="10">
        <v>507142698</v>
      </c>
      <c r="D236" s="10">
        <v>20</v>
      </c>
      <c r="E236" s="10" t="s">
        <v>10</v>
      </c>
      <c r="F236" s="10">
        <v>1408739</v>
      </c>
      <c r="G236" s="10" t="s">
        <v>37</v>
      </c>
      <c r="H236" s="11">
        <v>27864</v>
      </c>
      <c r="I236" s="11">
        <v>19922</v>
      </c>
      <c r="J236" s="11">
        <f t="shared" si="7"/>
        <v>7942</v>
      </c>
      <c r="K236" s="12">
        <f>VLOOKUP(A236,[2]VA05!$A:$K,11,FALSE)</f>
        <v>45553</v>
      </c>
      <c r="L236" s="10" t="s">
        <v>242</v>
      </c>
      <c r="M236" s="10" t="s">
        <v>194</v>
      </c>
    </row>
    <row r="237" spans="1:13" x14ac:dyDescent="0.25">
      <c r="A237" s="13" t="str">
        <f t="shared" si="6"/>
        <v>50714269820</v>
      </c>
      <c r="B237" s="10">
        <v>1004059595</v>
      </c>
      <c r="C237" s="10">
        <v>507142698</v>
      </c>
      <c r="D237" s="10">
        <v>20</v>
      </c>
      <c r="E237" s="10" t="s">
        <v>10</v>
      </c>
      <c r="F237" s="10">
        <v>1408739</v>
      </c>
      <c r="G237" s="10" t="s">
        <v>37</v>
      </c>
      <c r="H237" s="11">
        <v>27864</v>
      </c>
      <c r="I237" s="10">
        <v>0</v>
      </c>
      <c r="J237" s="11">
        <f t="shared" si="7"/>
        <v>27864</v>
      </c>
      <c r="K237" s="12">
        <f>VLOOKUP(A237,[2]VA05!$A:$K,11,FALSE)</f>
        <v>45553</v>
      </c>
      <c r="L237" s="10" t="s">
        <v>254</v>
      </c>
      <c r="M237" s="10" t="s">
        <v>156</v>
      </c>
    </row>
    <row r="238" spans="1:13" x14ac:dyDescent="0.25">
      <c r="A238" s="13" t="str">
        <f t="shared" si="6"/>
        <v>50714269820</v>
      </c>
      <c r="B238" s="10">
        <v>1004059596</v>
      </c>
      <c r="C238" s="10">
        <v>507142698</v>
      </c>
      <c r="D238" s="10">
        <v>20</v>
      </c>
      <c r="E238" s="10" t="s">
        <v>10</v>
      </c>
      <c r="F238" s="10">
        <v>1408739</v>
      </c>
      <c r="G238" s="10" t="s">
        <v>37</v>
      </c>
      <c r="H238" s="11">
        <v>27864</v>
      </c>
      <c r="I238" s="10">
        <v>0</v>
      </c>
      <c r="J238" s="11">
        <f t="shared" si="7"/>
        <v>27864</v>
      </c>
      <c r="K238" s="12">
        <f>VLOOKUP(A238,[2]VA05!$A:$K,11,FALSE)</f>
        <v>45553</v>
      </c>
      <c r="L238" s="10" t="s">
        <v>254</v>
      </c>
      <c r="M238" s="10" t="s">
        <v>156</v>
      </c>
    </row>
    <row r="239" spans="1:13" x14ac:dyDescent="0.25">
      <c r="A239" s="13" t="str">
        <f t="shared" si="6"/>
        <v>50714269820</v>
      </c>
      <c r="B239" s="10">
        <v>1004059597</v>
      </c>
      <c r="C239" s="10">
        <v>507142698</v>
      </c>
      <c r="D239" s="10">
        <v>20</v>
      </c>
      <c r="E239" s="10" t="s">
        <v>10</v>
      </c>
      <c r="F239" s="10">
        <v>1408739</v>
      </c>
      <c r="G239" s="10" t="s">
        <v>37</v>
      </c>
      <c r="H239" s="11">
        <v>26568</v>
      </c>
      <c r="I239" s="10">
        <v>0</v>
      </c>
      <c r="J239" s="11">
        <f t="shared" si="7"/>
        <v>26568</v>
      </c>
      <c r="K239" s="12">
        <f>VLOOKUP(A239,[2]VA05!$A:$K,11,FALSE)</f>
        <v>45553</v>
      </c>
      <c r="L239" s="10" t="s">
        <v>254</v>
      </c>
      <c r="M239" s="10" t="s">
        <v>156</v>
      </c>
    </row>
    <row r="240" spans="1:13" x14ac:dyDescent="0.25">
      <c r="A240" s="13" t="str">
        <f t="shared" si="6"/>
        <v>50714269810</v>
      </c>
      <c r="B240" s="10">
        <v>1004041361</v>
      </c>
      <c r="C240" s="10">
        <v>507142698</v>
      </c>
      <c r="D240" s="10">
        <v>10</v>
      </c>
      <c r="E240" s="10" t="s">
        <v>10</v>
      </c>
      <c r="F240" s="10">
        <v>1408742</v>
      </c>
      <c r="G240" s="10" t="s">
        <v>38</v>
      </c>
      <c r="H240" s="11">
        <v>113465</v>
      </c>
      <c r="I240" s="11">
        <v>70100</v>
      </c>
      <c r="J240" s="11">
        <f t="shared" si="7"/>
        <v>43365</v>
      </c>
      <c r="K240" s="12">
        <f>VLOOKUP(A240,[2]VA05!$A:$K,11,FALSE)</f>
        <v>45553</v>
      </c>
      <c r="L240" s="10" t="s">
        <v>18</v>
      </c>
      <c r="M240" s="10" t="s">
        <v>154</v>
      </c>
    </row>
    <row r="241" spans="1:13" hidden="1" x14ac:dyDescent="0.25">
      <c r="A241" s="13" t="str">
        <f t="shared" si="6"/>
        <v>50714275710</v>
      </c>
      <c r="B241" s="10">
        <v>1004054925</v>
      </c>
      <c r="C241" s="10">
        <v>507142757</v>
      </c>
      <c r="D241" s="10">
        <v>10</v>
      </c>
      <c r="E241" s="10" t="s">
        <v>10</v>
      </c>
      <c r="F241" s="10">
        <v>1411702</v>
      </c>
      <c r="G241" s="10" t="s">
        <v>221</v>
      </c>
      <c r="H241" s="11">
        <v>74055</v>
      </c>
      <c r="I241" s="11">
        <v>74055</v>
      </c>
      <c r="J241" s="11">
        <f t="shared" si="7"/>
        <v>0</v>
      </c>
      <c r="K241" s="12">
        <f>VLOOKUP(A241,[2]VA05!$A:$K,11,FALSE)</f>
        <v>45567</v>
      </c>
      <c r="L241" s="10" t="s">
        <v>232</v>
      </c>
      <c r="M241" s="10" t="s">
        <v>61</v>
      </c>
    </row>
    <row r="242" spans="1:13" x14ac:dyDescent="0.25">
      <c r="A242" s="13" t="str">
        <f t="shared" si="6"/>
        <v>50714275730</v>
      </c>
      <c r="B242" s="10">
        <v>1004054926</v>
      </c>
      <c r="C242" s="10">
        <v>507142757</v>
      </c>
      <c r="D242" s="10">
        <v>30</v>
      </c>
      <c r="E242" s="10" t="s">
        <v>10</v>
      </c>
      <c r="F242" s="10">
        <v>1411702</v>
      </c>
      <c r="G242" s="10" t="s">
        <v>221</v>
      </c>
      <c r="H242" s="11">
        <v>126758</v>
      </c>
      <c r="I242" s="10">
        <v>0</v>
      </c>
      <c r="J242" s="11">
        <f t="shared" si="7"/>
        <v>126758</v>
      </c>
      <c r="K242" s="12">
        <f>VLOOKUP(A242,[2]VA05!$A:$K,11,FALSE)</f>
        <v>45574</v>
      </c>
      <c r="L242" s="10" t="s">
        <v>25</v>
      </c>
      <c r="M242" s="10" t="s">
        <v>178</v>
      </c>
    </row>
    <row r="243" spans="1:13" x14ac:dyDescent="0.25">
      <c r="A243" s="13" t="str">
        <f t="shared" si="6"/>
        <v>50714275750</v>
      </c>
      <c r="B243" s="10">
        <v>1004054927</v>
      </c>
      <c r="C243" s="10">
        <v>507142757</v>
      </c>
      <c r="D243" s="10">
        <v>50</v>
      </c>
      <c r="E243" s="10" t="s">
        <v>10</v>
      </c>
      <c r="F243" s="10">
        <v>1411702</v>
      </c>
      <c r="G243" s="10" t="s">
        <v>221</v>
      </c>
      <c r="H243" s="11">
        <v>63514</v>
      </c>
      <c r="I243" s="10">
        <v>0</v>
      </c>
      <c r="J243" s="11">
        <f t="shared" si="7"/>
        <v>63514</v>
      </c>
      <c r="K243" s="12">
        <f>VLOOKUP(A243,[2]VA05!$A:$K,11,FALSE)</f>
        <v>45587</v>
      </c>
      <c r="L243" s="10" t="s">
        <v>12</v>
      </c>
      <c r="M243" s="10" t="s">
        <v>156</v>
      </c>
    </row>
    <row r="244" spans="1:13" x14ac:dyDescent="0.25">
      <c r="A244" s="13" t="str">
        <f t="shared" si="6"/>
        <v>50714275670</v>
      </c>
      <c r="B244" s="10">
        <v>1004052383</v>
      </c>
      <c r="C244" s="10">
        <v>507142756</v>
      </c>
      <c r="D244" s="10">
        <v>70</v>
      </c>
      <c r="E244" s="10" t="s">
        <v>10</v>
      </c>
      <c r="F244" s="10">
        <v>1411902</v>
      </c>
      <c r="G244" s="10" t="s">
        <v>151</v>
      </c>
      <c r="H244" s="11">
        <v>126758</v>
      </c>
      <c r="I244" s="11">
        <v>51462</v>
      </c>
      <c r="J244" s="11">
        <f t="shared" si="7"/>
        <v>75296</v>
      </c>
      <c r="K244" s="12">
        <f>VLOOKUP(A244,[2]VA05!$A:$K,11,FALSE)</f>
        <v>45582</v>
      </c>
      <c r="L244" s="10" t="s">
        <v>18</v>
      </c>
      <c r="M244" s="10" t="s">
        <v>201</v>
      </c>
    </row>
    <row r="245" spans="1:13" x14ac:dyDescent="0.25">
      <c r="A245" s="13" t="str">
        <f t="shared" si="6"/>
        <v>50714275690</v>
      </c>
      <c r="B245" s="10">
        <v>1004052384</v>
      </c>
      <c r="C245" s="10">
        <v>507142756</v>
      </c>
      <c r="D245" s="10">
        <v>90</v>
      </c>
      <c r="E245" s="10" t="s">
        <v>10</v>
      </c>
      <c r="F245" s="10">
        <v>1411902</v>
      </c>
      <c r="G245" s="10" t="s">
        <v>151</v>
      </c>
      <c r="H245" s="11">
        <v>68920</v>
      </c>
      <c r="I245" s="10">
        <v>0</v>
      </c>
      <c r="J245" s="11">
        <f t="shared" si="7"/>
        <v>68920</v>
      </c>
      <c r="K245" s="12">
        <f>VLOOKUP(A245,[2]VA05!$A:$K,11,FALSE)</f>
        <v>45588</v>
      </c>
      <c r="L245" s="10" t="s">
        <v>12</v>
      </c>
      <c r="M245" s="10" t="s">
        <v>194</v>
      </c>
    </row>
    <row r="246" spans="1:13" x14ac:dyDescent="0.25">
      <c r="A246" s="13" t="str">
        <f t="shared" si="6"/>
        <v>50714275720</v>
      </c>
      <c r="B246" s="10">
        <v>1004052373</v>
      </c>
      <c r="C246" s="10">
        <v>507142757</v>
      </c>
      <c r="D246" s="10">
        <v>20</v>
      </c>
      <c r="E246" s="10" t="s">
        <v>10</v>
      </c>
      <c r="F246" s="10">
        <v>1411705</v>
      </c>
      <c r="G246" s="10" t="s">
        <v>189</v>
      </c>
      <c r="H246" s="11">
        <v>75493</v>
      </c>
      <c r="I246" s="11">
        <v>64152</v>
      </c>
      <c r="J246" s="11">
        <f t="shared" si="7"/>
        <v>11341</v>
      </c>
      <c r="K246" s="12">
        <f>VLOOKUP(A246,[2]VA05!$A:$K,11,FALSE)</f>
        <v>45567</v>
      </c>
      <c r="L246" s="10" t="s">
        <v>11</v>
      </c>
      <c r="M246" s="10" t="s">
        <v>143</v>
      </c>
    </row>
    <row r="247" spans="1:13" x14ac:dyDescent="0.25">
      <c r="A247" s="13" t="str">
        <f t="shared" si="6"/>
        <v>50714275740</v>
      </c>
      <c r="B247" s="10">
        <v>1004052374</v>
      </c>
      <c r="C247" s="10">
        <v>507142757</v>
      </c>
      <c r="D247" s="10">
        <v>40</v>
      </c>
      <c r="E247" s="10" t="s">
        <v>10</v>
      </c>
      <c r="F247" s="10">
        <v>1411705</v>
      </c>
      <c r="G247" s="10" t="s">
        <v>189</v>
      </c>
      <c r="H247" s="11">
        <v>129220</v>
      </c>
      <c r="I247" s="10">
        <v>0</v>
      </c>
      <c r="J247" s="11">
        <f t="shared" si="7"/>
        <v>129220</v>
      </c>
      <c r="K247" s="12">
        <f>VLOOKUP(A247,[2]VA05!$A:$K,11,FALSE)</f>
        <v>45574</v>
      </c>
      <c r="L247" s="10" t="s">
        <v>56</v>
      </c>
      <c r="M247" s="10" t="s">
        <v>143</v>
      </c>
    </row>
    <row r="248" spans="1:13" x14ac:dyDescent="0.25">
      <c r="A248" s="13" t="str">
        <f t="shared" si="6"/>
        <v>50714275760</v>
      </c>
      <c r="B248" s="10">
        <v>1004052375</v>
      </c>
      <c r="C248" s="10">
        <v>507142757</v>
      </c>
      <c r="D248" s="10">
        <v>60</v>
      </c>
      <c r="E248" s="10" t="s">
        <v>10</v>
      </c>
      <c r="F248" s="10">
        <v>1411705</v>
      </c>
      <c r="G248" s="10" t="s">
        <v>189</v>
      </c>
      <c r="H248" s="11">
        <v>64748</v>
      </c>
      <c r="I248" s="10">
        <v>0</v>
      </c>
      <c r="J248" s="11">
        <f t="shared" si="7"/>
        <v>64748</v>
      </c>
      <c r="K248" s="12">
        <f>VLOOKUP(A248,[2]VA05!$A:$K,11,FALSE)</f>
        <v>45587</v>
      </c>
      <c r="L248" s="10" t="s">
        <v>12</v>
      </c>
      <c r="M248" s="10" t="s">
        <v>156</v>
      </c>
    </row>
    <row r="249" spans="1:13" x14ac:dyDescent="0.25">
      <c r="A249" s="13" t="str">
        <f t="shared" si="6"/>
        <v>50714275780</v>
      </c>
      <c r="B249" s="10">
        <v>1004052376</v>
      </c>
      <c r="C249" s="10">
        <v>507142757</v>
      </c>
      <c r="D249" s="10">
        <v>80</v>
      </c>
      <c r="E249" s="10" t="s">
        <v>10</v>
      </c>
      <c r="F249" s="10">
        <v>1411705</v>
      </c>
      <c r="G249" s="10" t="s">
        <v>189</v>
      </c>
      <c r="H249" s="11">
        <v>23145</v>
      </c>
      <c r="I249" s="10">
        <v>0</v>
      </c>
      <c r="J249" s="11">
        <f t="shared" si="7"/>
        <v>23145</v>
      </c>
      <c r="K249" s="12">
        <f>VLOOKUP(A249,[2]VA05!$A:$K,11,FALSE)</f>
        <v>45594</v>
      </c>
      <c r="L249" s="10" t="s">
        <v>12</v>
      </c>
      <c r="M249" s="10" t="s">
        <v>176</v>
      </c>
    </row>
    <row r="250" spans="1:13" x14ac:dyDescent="0.25">
      <c r="A250" s="13" t="str">
        <f t="shared" si="6"/>
        <v>50714275680</v>
      </c>
      <c r="B250" s="10">
        <v>1004052371</v>
      </c>
      <c r="C250" s="10">
        <v>507142756</v>
      </c>
      <c r="D250" s="10">
        <v>80</v>
      </c>
      <c r="E250" s="10" t="s">
        <v>10</v>
      </c>
      <c r="F250" s="10">
        <v>1411900</v>
      </c>
      <c r="G250" s="10" t="s">
        <v>152</v>
      </c>
      <c r="H250" s="11">
        <v>129220</v>
      </c>
      <c r="I250" s="11">
        <v>40422</v>
      </c>
      <c r="J250" s="11">
        <f t="shared" si="7"/>
        <v>88798</v>
      </c>
      <c r="K250" s="12">
        <f>VLOOKUP(A250,[2]VA05!$A:$K,11,FALSE)</f>
        <v>45582</v>
      </c>
      <c r="L250" s="10" t="s">
        <v>18</v>
      </c>
      <c r="M250" s="10" t="s">
        <v>180</v>
      </c>
    </row>
    <row r="251" spans="1:13" x14ac:dyDescent="0.25">
      <c r="A251" s="13" t="str">
        <f t="shared" si="6"/>
        <v>507142756100</v>
      </c>
      <c r="B251" s="10">
        <v>1004052372</v>
      </c>
      <c r="C251" s="10">
        <v>507142756</v>
      </c>
      <c r="D251" s="10">
        <v>100</v>
      </c>
      <c r="E251" s="10" t="s">
        <v>10</v>
      </c>
      <c r="F251" s="10">
        <v>1411900</v>
      </c>
      <c r="G251" s="10" t="s">
        <v>152</v>
      </c>
      <c r="H251" s="11">
        <v>70258</v>
      </c>
      <c r="I251" s="10">
        <v>0</v>
      </c>
      <c r="J251" s="11">
        <f t="shared" si="7"/>
        <v>70258</v>
      </c>
      <c r="K251" s="12">
        <f>VLOOKUP(A251,[2]VA05!$A:$K,11,FALSE)</f>
        <v>45588</v>
      </c>
      <c r="L251" s="10" t="s">
        <v>12</v>
      </c>
      <c r="M251" s="10" t="s">
        <v>178</v>
      </c>
    </row>
    <row r="252" spans="1:13" x14ac:dyDescent="0.25">
      <c r="A252" s="13" t="str">
        <f t="shared" si="6"/>
        <v>50714275710</v>
      </c>
      <c r="B252" s="10">
        <v>1004052377</v>
      </c>
      <c r="C252" s="10">
        <v>507142757</v>
      </c>
      <c r="D252" s="10">
        <v>10</v>
      </c>
      <c r="E252" s="10" t="s">
        <v>10</v>
      </c>
      <c r="F252" s="10">
        <v>1411703</v>
      </c>
      <c r="G252" s="10" t="s">
        <v>190</v>
      </c>
      <c r="H252" s="11">
        <v>71898</v>
      </c>
      <c r="I252" s="11">
        <v>36130</v>
      </c>
      <c r="J252" s="11">
        <f t="shared" si="7"/>
        <v>35768</v>
      </c>
      <c r="K252" s="12">
        <f>VLOOKUP(A252,[2]VA05!$A:$K,11,FALSE)</f>
        <v>45567</v>
      </c>
      <c r="L252" s="10" t="s">
        <v>11</v>
      </c>
      <c r="M252" s="10" t="s">
        <v>143</v>
      </c>
    </row>
    <row r="253" spans="1:13" x14ac:dyDescent="0.25">
      <c r="A253" s="13" t="str">
        <f t="shared" si="6"/>
        <v>50714275730</v>
      </c>
      <c r="B253" s="10">
        <v>1004052378</v>
      </c>
      <c r="C253" s="10">
        <v>507142757</v>
      </c>
      <c r="D253" s="10">
        <v>30</v>
      </c>
      <c r="E253" s="10" t="s">
        <v>10</v>
      </c>
      <c r="F253" s="10">
        <v>1411703</v>
      </c>
      <c r="G253" s="10" t="s">
        <v>190</v>
      </c>
      <c r="H253" s="11">
        <v>123066</v>
      </c>
      <c r="I253" s="10">
        <v>0</v>
      </c>
      <c r="J253" s="11">
        <f t="shared" si="7"/>
        <v>123066</v>
      </c>
      <c r="K253" s="12">
        <f>VLOOKUP(A253,[2]VA05!$A:$K,11,FALSE)</f>
        <v>45574</v>
      </c>
      <c r="L253" s="10" t="s">
        <v>12</v>
      </c>
      <c r="M253" s="10" t="s">
        <v>97</v>
      </c>
    </row>
    <row r="254" spans="1:13" x14ac:dyDescent="0.25">
      <c r="A254" s="13" t="str">
        <f t="shared" si="6"/>
        <v>50714275750</v>
      </c>
      <c r="B254" s="10">
        <v>1004052379</v>
      </c>
      <c r="C254" s="10">
        <v>507142757</v>
      </c>
      <c r="D254" s="10">
        <v>50</v>
      </c>
      <c r="E254" s="10" t="s">
        <v>10</v>
      </c>
      <c r="F254" s="10">
        <v>1411703</v>
      </c>
      <c r="G254" s="10" t="s">
        <v>190</v>
      </c>
      <c r="H254" s="11">
        <v>61664</v>
      </c>
      <c r="I254" s="10">
        <v>0</v>
      </c>
      <c r="J254" s="11">
        <f t="shared" si="7"/>
        <v>61664</v>
      </c>
      <c r="K254" s="12">
        <f>VLOOKUP(A254,[2]VA05!$A:$K,11,FALSE)</f>
        <v>45587</v>
      </c>
      <c r="L254" s="10" t="s">
        <v>12</v>
      </c>
      <c r="M254" s="10" t="s">
        <v>156</v>
      </c>
    </row>
    <row r="255" spans="1:13" x14ac:dyDescent="0.25">
      <c r="A255" s="13" t="str">
        <f t="shared" si="6"/>
        <v>50714275770</v>
      </c>
      <c r="B255" s="10">
        <v>1004052380</v>
      </c>
      <c r="C255" s="10">
        <v>507142757</v>
      </c>
      <c r="D255" s="10">
        <v>70</v>
      </c>
      <c r="E255" s="10" t="s">
        <v>10</v>
      </c>
      <c r="F255" s="10">
        <v>1411703</v>
      </c>
      <c r="G255" s="10" t="s">
        <v>190</v>
      </c>
      <c r="H255" s="11">
        <v>22042</v>
      </c>
      <c r="I255" s="10">
        <v>0</v>
      </c>
      <c r="J255" s="11">
        <f t="shared" si="7"/>
        <v>22042</v>
      </c>
      <c r="K255" s="12">
        <f>VLOOKUP(A255,[2]VA05!$A:$K,11,FALSE)</f>
        <v>45594</v>
      </c>
      <c r="L255" s="10" t="s">
        <v>12</v>
      </c>
      <c r="M255" s="10" t="s">
        <v>176</v>
      </c>
    </row>
    <row r="256" spans="1:13" x14ac:dyDescent="0.25">
      <c r="A256" s="13" t="str">
        <f t="shared" si="6"/>
        <v>50714275670</v>
      </c>
      <c r="B256" s="10">
        <v>1004052381</v>
      </c>
      <c r="C256" s="10">
        <v>507142756</v>
      </c>
      <c r="D256" s="10">
        <v>70</v>
      </c>
      <c r="E256" s="10" t="s">
        <v>10</v>
      </c>
      <c r="F256" s="10">
        <v>1411901</v>
      </c>
      <c r="G256" s="10" t="s">
        <v>153</v>
      </c>
      <c r="H256" s="11">
        <v>123066</v>
      </c>
      <c r="I256" s="11">
        <v>1660</v>
      </c>
      <c r="J256" s="11">
        <f t="shared" si="7"/>
        <v>121406</v>
      </c>
      <c r="K256" s="12">
        <f>VLOOKUP(A256,[2]VA05!$A:$K,11,FALSE)</f>
        <v>45582</v>
      </c>
      <c r="L256" s="10" t="s">
        <v>18</v>
      </c>
      <c r="M256" s="10" t="s">
        <v>154</v>
      </c>
    </row>
    <row r="257" spans="1:13" x14ac:dyDescent="0.25">
      <c r="A257" s="13" t="str">
        <f t="shared" si="6"/>
        <v>50714275690</v>
      </c>
      <c r="B257" s="10">
        <v>1004052382</v>
      </c>
      <c r="C257" s="10">
        <v>507142756</v>
      </c>
      <c r="D257" s="10">
        <v>90</v>
      </c>
      <c r="E257" s="10" t="s">
        <v>10</v>
      </c>
      <c r="F257" s="10">
        <v>1411901</v>
      </c>
      <c r="G257" s="10" t="s">
        <v>153</v>
      </c>
      <c r="H257" s="11">
        <v>66912</v>
      </c>
      <c r="I257" s="10">
        <v>0</v>
      </c>
      <c r="J257" s="11">
        <f t="shared" si="7"/>
        <v>66912</v>
      </c>
      <c r="K257" s="12">
        <f>VLOOKUP(A257,[2]VA05!$A:$K,11,FALSE)</f>
        <v>45588</v>
      </c>
      <c r="L257" s="10" t="s">
        <v>12</v>
      </c>
      <c r="M257" s="10" t="s">
        <v>156</v>
      </c>
    </row>
    <row r="258" spans="1:13" x14ac:dyDescent="0.25">
      <c r="A258" s="13" t="str">
        <f t="shared" si="6"/>
        <v>50714241650</v>
      </c>
      <c r="B258" s="10">
        <v>1004053565</v>
      </c>
      <c r="C258" s="10">
        <v>507142416</v>
      </c>
      <c r="D258" s="10">
        <v>50</v>
      </c>
      <c r="E258" s="10" t="s">
        <v>10</v>
      </c>
      <c r="F258" s="10">
        <v>1172059</v>
      </c>
      <c r="G258" s="10" t="s">
        <v>59</v>
      </c>
      <c r="H258" s="11">
        <v>10195</v>
      </c>
      <c r="I258" s="11">
        <v>7544</v>
      </c>
      <c r="J258" s="11">
        <f t="shared" si="7"/>
        <v>2651</v>
      </c>
      <c r="K258" s="12">
        <f>VLOOKUP(A258,[2]VA05!$A:$K,11,FALSE)</f>
        <v>45573</v>
      </c>
      <c r="L258" s="10" t="s">
        <v>18</v>
      </c>
      <c r="M258" s="10" t="s">
        <v>154</v>
      </c>
    </row>
    <row r="259" spans="1:13" x14ac:dyDescent="0.25">
      <c r="A259" s="13" t="str">
        <f t="shared" si="6"/>
        <v>50714241680</v>
      </c>
      <c r="B259" s="10">
        <v>1004053566</v>
      </c>
      <c r="C259" s="10">
        <v>507142416</v>
      </c>
      <c r="D259" s="10">
        <v>80</v>
      </c>
      <c r="E259" s="10" t="s">
        <v>10</v>
      </c>
      <c r="F259" s="10">
        <v>1172059</v>
      </c>
      <c r="G259" s="10" t="s">
        <v>59</v>
      </c>
      <c r="H259" s="11">
        <v>10195</v>
      </c>
      <c r="I259" s="10">
        <v>0</v>
      </c>
      <c r="J259" s="11">
        <f t="shared" si="7"/>
        <v>10195</v>
      </c>
      <c r="K259" s="12">
        <f>VLOOKUP(A259,[2]VA05!$A:$K,11,FALSE)</f>
        <v>45576</v>
      </c>
      <c r="L259" s="10" t="s">
        <v>56</v>
      </c>
      <c r="M259" s="10" t="s">
        <v>197</v>
      </c>
    </row>
    <row r="260" spans="1:13" x14ac:dyDescent="0.25">
      <c r="A260" s="13" t="str">
        <f t="shared" ref="A260:A272" si="8">C260&amp;D260</f>
        <v>507142416110</v>
      </c>
      <c r="B260" s="10">
        <v>1004053567</v>
      </c>
      <c r="C260" s="10">
        <v>507142416</v>
      </c>
      <c r="D260" s="10">
        <v>110</v>
      </c>
      <c r="E260" s="10" t="s">
        <v>10</v>
      </c>
      <c r="F260" s="10">
        <v>1172059</v>
      </c>
      <c r="G260" s="10" t="s">
        <v>59</v>
      </c>
      <c r="H260" s="11">
        <v>10195</v>
      </c>
      <c r="I260" s="10">
        <v>0</v>
      </c>
      <c r="J260" s="11">
        <f t="shared" ref="J260:J272" si="9">H260-I260</f>
        <v>10195</v>
      </c>
      <c r="K260" s="12">
        <f>VLOOKUP(A260,[2]VA05!$A:$K,11,FALSE)</f>
        <v>45580</v>
      </c>
      <c r="L260" s="10" t="s">
        <v>12</v>
      </c>
      <c r="M260" s="10" t="s">
        <v>202</v>
      </c>
    </row>
    <row r="261" spans="1:13" x14ac:dyDescent="0.25">
      <c r="A261" s="13" t="str">
        <f t="shared" si="8"/>
        <v>507142416200</v>
      </c>
      <c r="B261" s="10">
        <v>1004053568</v>
      </c>
      <c r="C261" s="10">
        <v>507142416</v>
      </c>
      <c r="D261" s="10">
        <v>200</v>
      </c>
      <c r="E261" s="10" t="s">
        <v>10</v>
      </c>
      <c r="F261" s="10">
        <v>1172059</v>
      </c>
      <c r="G261" s="10" t="s">
        <v>59</v>
      </c>
      <c r="H261" s="11">
        <v>10195</v>
      </c>
      <c r="I261" s="10">
        <v>0</v>
      </c>
      <c r="J261" s="11">
        <f t="shared" si="9"/>
        <v>10195</v>
      </c>
      <c r="K261" s="12">
        <f>VLOOKUP(A261,[2]VA05!$A:$K,11,FALSE)</f>
        <v>45582</v>
      </c>
      <c r="L261" s="10" t="s">
        <v>12</v>
      </c>
      <c r="M261" s="10" t="s">
        <v>179</v>
      </c>
    </row>
    <row r="262" spans="1:13" x14ac:dyDescent="0.25">
      <c r="A262" s="13" t="str">
        <f t="shared" si="8"/>
        <v>507142416230</v>
      </c>
      <c r="B262" s="10">
        <v>1004053609</v>
      </c>
      <c r="C262" s="10">
        <v>507142416</v>
      </c>
      <c r="D262" s="10">
        <v>230</v>
      </c>
      <c r="E262" s="10" t="s">
        <v>10</v>
      </c>
      <c r="F262" s="10">
        <v>1172059</v>
      </c>
      <c r="G262" s="10" t="s">
        <v>59</v>
      </c>
      <c r="H262" s="11">
        <v>10195</v>
      </c>
      <c r="I262" s="10">
        <v>0</v>
      </c>
      <c r="J262" s="11">
        <f t="shared" si="9"/>
        <v>10195</v>
      </c>
      <c r="K262" s="12">
        <f>VLOOKUP(A262,[2]VA05!$A:$K,11,FALSE)</f>
        <v>45587</v>
      </c>
      <c r="L262" s="10" t="s">
        <v>12</v>
      </c>
      <c r="M262" s="10" t="s">
        <v>191</v>
      </c>
    </row>
    <row r="263" spans="1:13" x14ac:dyDescent="0.25">
      <c r="A263" s="13" t="str">
        <f t="shared" si="8"/>
        <v>50714267980</v>
      </c>
      <c r="B263" s="10">
        <v>1004053550</v>
      </c>
      <c r="C263" s="10">
        <v>507142679</v>
      </c>
      <c r="D263" s="10">
        <v>80</v>
      </c>
      <c r="E263" s="10" t="s">
        <v>10</v>
      </c>
      <c r="F263" s="10">
        <v>1167435</v>
      </c>
      <c r="G263" s="10" t="s">
        <v>26</v>
      </c>
      <c r="H263" s="11">
        <v>20260</v>
      </c>
      <c r="I263" s="11">
        <v>18146</v>
      </c>
      <c r="J263" s="11">
        <f t="shared" si="9"/>
        <v>2114</v>
      </c>
      <c r="K263" s="12" t="e">
        <f>VLOOKUP(A263,[2]VA05!$A:$K,11,FALSE)</f>
        <v>#N/A</v>
      </c>
      <c r="L263" s="10" t="s">
        <v>18</v>
      </c>
      <c r="M263" s="10" t="s">
        <v>195</v>
      </c>
    </row>
    <row r="264" spans="1:13" x14ac:dyDescent="0.25">
      <c r="A264" s="13" t="str">
        <f t="shared" si="8"/>
        <v>50714268040</v>
      </c>
      <c r="B264" s="10">
        <v>1004053551</v>
      </c>
      <c r="C264" s="10">
        <v>507142680</v>
      </c>
      <c r="D264" s="10">
        <v>40</v>
      </c>
      <c r="E264" s="10" t="s">
        <v>10</v>
      </c>
      <c r="F264" s="10">
        <v>1167435</v>
      </c>
      <c r="G264" s="10" t="s">
        <v>26</v>
      </c>
      <c r="H264" s="11">
        <v>25287</v>
      </c>
      <c r="I264" s="10">
        <v>0</v>
      </c>
      <c r="J264" s="11">
        <f t="shared" si="9"/>
        <v>25287</v>
      </c>
      <c r="K264" s="12">
        <f>VLOOKUP(A264,[2]VA05!$A:$K,11,FALSE)</f>
        <v>45569</v>
      </c>
      <c r="L264" s="10" t="s">
        <v>25</v>
      </c>
      <c r="M264" s="10" t="s">
        <v>156</v>
      </c>
    </row>
    <row r="265" spans="1:13" x14ac:dyDescent="0.25">
      <c r="A265" s="13" t="str">
        <f t="shared" si="8"/>
        <v>50714275420</v>
      </c>
      <c r="B265" s="10">
        <v>1004053562</v>
      </c>
      <c r="C265" s="10">
        <v>507142754</v>
      </c>
      <c r="D265" s="10">
        <v>20</v>
      </c>
      <c r="E265" s="10" t="s">
        <v>10</v>
      </c>
      <c r="F265" s="10">
        <v>1167435</v>
      </c>
      <c r="G265" s="10" t="s">
        <v>26</v>
      </c>
      <c r="H265" s="11">
        <v>20390</v>
      </c>
      <c r="I265" s="10">
        <v>0</v>
      </c>
      <c r="J265" s="11">
        <f t="shared" si="9"/>
        <v>20390</v>
      </c>
      <c r="K265" s="12">
        <f>VLOOKUP(A265,[2]VA05!$A:$K,11,FALSE)</f>
        <v>45611</v>
      </c>
      <c r="L265" s="10" t="s">
        <v>12</v>
      </c>
      <c r="M265" s="10" t="s">
        <v>217</v>
      </c>
    </row>
    <row r="266" spans="1:13" x14ac:dyDescent="0.25">
      <c r="A266" s="13" t="str">
        <f t="shared" si="8"/>
        <v>50714276930</v>
      </c>
      <c r="B266" s="10">
        <v>1004053564</v>
      </c>
      <c r="C266" s="10">
        <v>507142769</v>
      </c>
      <c r="D266" s="10">
        <v>30</v>
      </c>
      <c r="E266" s="10" t="s">
        <v>10</v>
      </c>
      <c r="F266" s="10">
        <v>1167435</v>
      </c>
      <c r="G266" s="10" t="s">
        <v>26</v>
      </c>
      <c r="H266" s="11">
        <v>30683</v>
      </c>
      <c r="I266" s="10">
        <v>0</v>
      </c>
      <c r="J266" s="11">
        <f t="shared" si="9"/>
        <v>30683</v>
      </c>
      <c r="K266" s="12">
        <f>VLOOKUP(A266,[2]VA05!$A:$K,11,FALSE)</f>
        <v>45575</v>
      </c>
      <c r="L266" s="10" t="s">
        <v>12</v>
      </c>
      <c r="M266" s="10" t="s">
        <v>155</v>
      </c>
    </row>
    <row r="267" spans="1:13" x14ac:dyDescent="0.25">
      <c r="A267" s="13" t="str">
        <f t="shared" si="8"/>
        <v>50714283530</v>
      </c>
      <c r="B267" s="10">
        <v>1004060455</v>
      </c>
      <c r="C267" s="10">
        <v>507142835</v>
      </c>
      <c r="D267" s="10">
        <v>30</v>
      </c>
      <c r="E267" s="10" t="s">
        <v>10</v>
      </c>
      <c r="F267" s="10">
        <v>1167435</v>
      </c>
      <c r="G267" s="10" t="s">
        <v>26</v>
      </c>
      <c r="H267" s="11">
        <v>10277</v>
      </c>
      <c r="I267" s="10">
        <v>0</v>
      </c>
      <c r="J267" s="11">
        <f t="shared" si="9"/>
        <v>10277</v>
      </c>
      <c r="K267" s="12">
        <f>VLOOKUP(A267,[2]VA05!$A:$K,11,FALSE)</f>
        <v>45587</v>
      </c>
      <c r="L267" s="10" t="s">
        <v>12</v>
      </c>
      <c r="M267" s="10" t="s">
        <v>109</v>
      </c>
    </row>
    <row r="268" spans="1:13" x14ac:dyDescent="0.25">
      <c r="A268" s="13" t="str">
        <f t="shared" si="8"/>
        <v>50714226530</v>
      </c>
      <c r="B268" s="10">
        <v>1004060456</v>
      </c>
      <c r="C268" s="10">
        <v>507142265</v>
      </c>
      <c r="D268" s="10">
        <v>30</v>
      </c>
      <c r="E268" s="10" t="s">
        <v>10</v>
      </c>
      <c r="F268" s="10">
        <v>1170825</v>
      </c>
      <c r="G268" s="10" t="s">
        <v>252</v>
      </c>
      <c r="H268" s="11">
        <v>40524</v>
      </c>
      <c r="I268" s="10">
        <v>0</v>
      </c>
      <c r="J268" s="11">
        <f t="shared" si="9"/>
        <v>40524</v>
      </c>
      <c r="K268" s="12">
        <f>VLOOKUP(A268,[2]VA05!$A:$K,11,FALSE)</f>
        <v>45576</v>
      </c>
      <c r="L268" s="10" t="s">
        <v>12</v>
      </c>
      <c r="M268" s="10" t="s">
        <v>194</v>
      </c>
    </row>
    <row r="269" spans="1:13" x14ac:dyDescent="0.25">
      <c r="A269" s="13" t="str">
        <f t="shared" si="8"/>
        <v>50714262620</v>
      </c>
      <c r="B269" s="10">
        <v>1004060457</v>
      </c>
      <c r="C269" s="10">
        <v>507142626</v>
      </c>
      <c r="D269" s="10">
        <v>20</v>
      </c>
      <c r="E269" s="10" t="s">
        <v>10</v>
      </c>
      <c r="F269" s="10">
        <v>1170825</v>
      </c>
      <c r="G269" s="10" t="s">
        <v>252</v>
      </c>
      <c r="H269" s="11">
        <v>25425</v>
      </c>
      <c r="I269" s="10">
        <v>0</v>
      </c>
      <c r="J269" s="11">
        <f t="shared" si="9"/>
        <v>25425</v>
      </c>
      <c r="K269" s="12">
        <f>VLOOKUP(A269,[2]VA05!$A:$K,11,FALSE)</f>
        <v>45590</v>
      </c>
      <c r="L269" s="10" t="s">
        <v>12</v>
      </c>
      <c r="M269" s="10" t="s">
        <v>199</v>
      </c>
    </row>
    <row r="270" spans="1:13" x14ac:dyDescent="0.25">
      <c r="A270" s="13" t="str">
        <f t="shared" si="8"/>
        <v>50714270930</v>
      </c>
      <c r="B270" s="10">
        <v>1004060458</v>
      </c>
      <c r="C270" s="10">
        <v>507142709</v>
      </c>
      <c r="D270" s="10">
        <v>30</v>
      </c>
      <c r="E270" s="10" t="s">
        <v>10</v>
      </c>
      <c r="F270" s="10">
        <v>1170825</v>
      </c>
      <c r="G270" s="10" t="s">
        <v>252</v>
      </c>
      <c r="H270" s="11">
        <v>30393</v>
      </c>
      <c r="I270" s="10">
        <v>0</v>
      </c>
      <c r="J270" s="11">
        <f t="shared" si="9"/>
        <v>30393</v>
      </c>
      <c r="K270" s="12">
        <f>VLOOKUP(A270,[2]VA05!$A:$K,11,FALSE)</f>
        <v>45583</v>
      </c>
      <c r="L270" s="10" t="s">
        <v>12</v>
      </c>
      <c r="M270" s="10" t="s">
        <v>179</v>
      </c>
    </row>
    <row r="271" spans="1:13" x14ac:dyDescent="0.25">
      <c r="A271" s="13" t="str">
        <f t="shared" si="8"/>
        <v>50714271030</v>
      </c>
      <c r="B271" s="10">
        <v>1004060459</v>
      </c>
      <c r="C271" s="10">
        <v>507142710</v>
      </c>
      <c r="D271" s="10">
        <v>30</v>
      </c>
      <c r="E271" s="10" t="s">
        <v>10</v>
      </c>
      <c r="F271" s="10">
        <v>1170825</v>
      </c>
      <c r="G271" s="10" t="s">
        <v>252</v>
      </c>
      <c r="H271" s="11">
        <v>30393</v>
      </c>
      <c r="I271" s="10">
        <v>0</v>
      </c>
      <c r="J271" s="11">
        <f t="shared" si="9"/>
        <v>30393</v>
      </c>
      <c r="K271" s="12">
        <f>VLOOKUP(A271,[2]VA05!$A:$K,11,FALSE)</f>
        <v>45596</v>
      </c>
      <c r="L271" s="10" t="s">
        <v>12</v>
      </c>
      <c r="M271" s="10" t="s">
        <v>207</v>
      </c>
    </row>
    <row r="272" spans="1:13" x14ac:dyDescent="0.25">
      <c r="A272" s="13" t="str">
        <f t="shared" si="8"/>
        <v/>
      </c>
      <c r="B272" s="10"/>
      <c r="C272" s="10"/>
      <c r="D272" s="10"/>
      <c r="E272" s="10"/>
      <c r="F272" s="10"/>
      <c r="G272" s="10"/>
      <c r="H272" s="11">
        <v>8987748</v>
      </c>
      <c r="I272" s="11">
        <v>2128894</v>
      </c>
      <c r="J272" s="11">
        <f t="shared" si="9"/>
        <v>6858854</v>
      </c>
      <c r="K272" s="12" t="e">
        <f>VLOOKUP(A272,[2]VA05!$A:$K,11,FALSE)</f>
        <v>#N/A</v>
      </c>
      <c r="L272" s="10"/>
      <c r="M272" s="10"/>
    </row>
  </sheetData>
  <pageMargins left="0.17" right="0.17" top="0.43" bottom="0.75" header="0.3" footer="0.3"/>
  <pageSetup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CD50-A8EB-4919-8B3B-42D7A74ADB8E}">
  <sheetPr filterMode="1"/>
  <dimension ref="A1:M302"/>
  <sheetViews>
    <sheetView workbookViewId="0">
      <selection activeCell="K3" sqref="K3"/>
    </sheetView>
  </sheetViews>
  <sheetFormatPr defaultRowHeight="15" x14ac:dyDescent="0.25"/>
  <cols>
    <col min="2" max="2" width="12.42578125" bestFit="1" customWidth="1"/>
    <col min="3" max="3" width="12" customWidth="1"/>
    <col min="4" max="4" width="4.7109375" customWidth="1"/>
    <col min="5" max="5" width="7.5703125" customWidth="1"/>
    <col min="6" max="6" width="9.28515625" bestFit="1" customWidth="1"/>
    <col min="7" max="7" width="36.85546875" customWidth="1"/>
    <col min="8" max="10" width="9.28515625" bestFit="1" customWidth="1"/>
    <col min="12" max="12" width="5.140625" customWidth="1"/>
  </cols>
  <sheetData>
    <row r="1" spans="1:13" s="13" customFormat="1" ht="23.25" x14ac:dyDescent="0.35">
      <c r="B1" s="1" t="s">
        <v>259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VLOOKUP(A3,[3]VA05!$A:$K,11,FALSE)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VLOOKUP(A4,[3]VA05!$A:$K,11,FALSE)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VLOOKUP(A5,[3]VA05!$A:$K,11,FALSE)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VLOOKUP(A6,[3]VA05!$A:$K,11,FALSE)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VLOOKUP(A7,[3]VA05!$A:$K,11,FALSE)</f>
        <v>45593</v>
      </c>
      <c r="L7" s="10" t="s">
        <v>12</v>
      </c>
      <c r="M7" s="10" t="s">
        <v>140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VLOOKUP(A8,[3]VA05!$A:$K,11,FALSE)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VLOOKUP(A9,[3]VA05!$A:$K,11,FALSE)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VLOOKUP(A10,[3]VA05!$A:$K,11,FALSE)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VLOOKUP(A11,[3]VA05!$A:$K,11,FALSE)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VLOOKUP(A12,[3]VA05!$A:$K,11,FALSE)</f>
        <v>45588</v>
      </c>
      <c r="L12" s="10" t="s">
        <v>12</v>
      </c>
      <c r="M12" s="10" t="s">
        <v>191</v>
      </c>
    </row>
    <row r="13" spans="1:13" hidden="1" x14ac:dyDescent="0.25">
      <c r="A13" s="13" t="str">
        <f t="shared" si="0"/>
        <v>50714273210</v>
      </c>
      <c r="B13" s="10">
        <v>1004052164</v>
      </c>
      <c r="C13" s="10">
        <v>507142732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28402</v>
      </c>
      <c r="I13" s="11">
        <v>28402</v>
      </c>
      <c r="J13" s="11">
        <f t="shared" si="1"/>
        <v>0</v>
      </c>
      <c r="K13" s="12">
        <f>VLOOKUP(A13,[3]VA05!$A:$K,11,FALSE)</f>
        <v>45574</v>
      </c>
      <c r="L13" s="10" t="s">
        <v>28</v>
      </c>
      <c r="M13" s="10" t="s">
        <v>140</v>
      </c>
    </row>
    <row r="14" spans="1:13" x14ac:dyDescent="0.25">
      <c r="A14" s="13" t="str">
        <f t="shared" si="0"/>
        <v>50714278910</v>
      </c>
      <c r="B14" s="10">
        <v>1004052165</v>
      </c>
      <c r="C14" s="10">
        <v>507142789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14201</v>
      </c>
      <c r="I14" s="10">
        <v>0</v>
      </c>
      <c r="J14" s="11">
        <f t="shared" si="1"/>
        <v>14201</v>
      </c>
      <c r="K14" s="12">
        <f>VLOOKUP(A14,[3]VA05!$A:$K,11,FALSE)</f>
        <v>45583</v>
      </c>
      <c r="L14" s="10" t="s">
        <v>56</v>
      </c>
      <c r="M14" s="10" t="s">
        <v>156</v>
      </c>
    </row>
    <row r="15" spans="1:13" x14ac:dyDescent="0.25">
      <c r="A15" s="13" t="str">
        <f t="shared" si="0"/>
        <v>50714282710</v>
      </c>
      <c r="B15" s="10">
        <v>1004061191</v>
      </c>
      <c r="C15" s="10">
        <v>507142827</v>
      </c>
      <c r="D15" s="10">
        <v>10</v>
      </c>
      <c r="E15" s="10" t="s">
        <v>10</v>
      </c>
      <c r="F15" s="10">
        <v>1411198</v>
      </c>
      <c r="G15" s="10" t="s">
        <v>41</v>
      </c>
      <c r="H15" s="11">
        <v>28402</v>
      </c>
      <c r="I15" s="10">
        <v>0</v>
      </c>
      <c r="J15" s="11">
        <f t="shared" si="1"/>
        <v>28402</v>
      </c>
      <c r="K15" s="12">
        <f>VLOOKUP(A15,[3]VA05!$A:$K,11,FALSE)</f>
        <v>45588</v>
      </c>
      <c r="L15" s="10" t="s">
        <v>12</v>
      </c>
      <c r="M15" s="10" t="s">
        <v>178</v>
      </c>
    </row>
    <row r="16" spans="1:13" x14ac:dyDescent="0.25">
      <c r="A16" s="13" t="str">
        <f t="shared" si="0"/>
        <v>50714270810</v>
      </c>
      <c r="B16" s="10">
        <v>1004052046</v>
      </c>
      <c r="C16" s="10">
        <v>507142708</v>
      </c>
      <c r="D16" s="10">
        <v>10</v>
      </c>
      <c r="E16" s="10" t="s">
        <v>10</v>
      </c>
      <c r="F16" s="10">
        <v>1215668</v>
      </c>
      <c r="G16" s="10" t="s">
        <v>108</v>
      </c>
      <c r="H16" s="11">
        <v>11349</v>
      </c>
      <c r="I16" s="10">
        <v>0</v>
      </c>
      <c r="J16" s="11">
        <f t="shared" si="1"/>
        <v>11349</v>
      </c>
      <c r="K16" s="12">
        <f>VLOOKUP(A16,[3]VA05!$A:$K,11,FALSE)</f>
        <v>45588</v>
      </c>
      <c r="L16" s="10" t="s">
        <v>12</v>
      </c>
      <c r="M16" s="10" t="s">
        <v>192</v>
      </c>
    </row>
    <row r="17" spans="1:13" x14ac:dyDescent="0.25">
      <c r="A17" s="13" t="str">
        <f t="shared" si="0"/>
        <v>50714283810</v>
      </c>
      <c r="B17" s="10">
        <v>1004061192</v>
      </c>
      <c r="C17" s="10">
        <v>507142838</v>
      </c>
      <c r="D17" s="10">
        <v>10</v>
      </c>
      <c r="E17" s="10" t="s">
        <v>10</v>
      </c>
      <c r="F17" s="10">
        <v>1171797</v>
      </c>
      <c r="G17" s="10" t="s">
        <v>255</v>
      </c>
      <c r="H17" s="11">
        <v>31141</v>
      </c>
      <c r="I17" s="10">
        <v>0</v>
      </c>
      <c r="J17" s="11">
        <f t="shared" si="1"/>
        <v>31141</v>
      </c>
      <c r="K17" s="12">
        <f>VLOOKUP(A17,[3]VA05!$A:$K,11,FALSE)</f>
        <v>45593</v>
      </c>
      <c r="L17" s="10" t="s">
        <v>12</v>
      </c>
      <c r="M17" s="10" t="s">
        <v>162</v>
      </c>
    </row>
    <row r="18" spans="1:13" x14ac:dyDescent="0.25">
      <c r="A18" s="13" t="str">
        <f t="shared" si="0"/>
        <v>50714270810</v>
      </c>
      <c r="B18" s="10">
        <v>1004052048</v>
      </c>
      <c r="C18" s="10">
        <v>507142708</v>
      </c>
      <c r="D18" s="10">
        <v>10</v>
      </c>
      <c r="E18" s="10" t="s">
        <v>10</v>
      </c>
      <c r="F18" s="10">
        <v>1215666</v>
      </c>
      <c r="G18" s="10" t="s">
        <v>182</v>
      </c>
      <c r="H18" s="11">
        <v>11159</v>
      </c>
      <c r="I18" s="10">
        <v>0</v>
      </c>
      <c r="J18" s="11">
        <f t="shared" si="1"/>
        <v>11159</v>
      </c>
      <c r="K18" s="12">
        <f>VLOOKUP(A18,[3]VA05!$A:$K,11,FALSE)</f>
        <v>45588</v>
      </c>
      <c r="L18" s="10" t="s">
        <v>12</v>
      </c>
      <c r="M18" s="10" t="s">
        <v>191</v>
      </c>
    </row>
    <row r="19" spans="1:13" hidden="1" x14ac:dyDescent="0.25">
      <c r="A19" s="13" t="str">
        <f t="shared" si="0"/>
        <v>50800482020</v>
      </c>
      <c r="B19" s="10">
        <v>1003970409</v>
      </c>
      <c r="C19" s="10">
        <v>508004820</v>
      </c>
      <c r="D19" s="10">
        <v>20</v>
      </c>
      <c r="E19" s="10" t="s">
        <v>10</v>
      </c>
      <c r="F19" s="10">
        <v>1174032</v>
      </c>
      <c r="G19" s="10" t="s">
        <v>261</v>
      </c>
      <c r="H19" s="11">
        <v>10948</v>
      </c>
      <c r="I19" s="10">
        <v>0</v>
      </c>
      <c r="J19" s="11">
        <f t="shared" si="1"/>
        <v>10948</v>
      </c>
      <c r="K19" s="12" t="e">
        <f>VLOOKUP(A19,[3]VA05!$A:$K,11,FALSE)</f>
        <v>#N/A</v>
      </c>
      <c r="L19" s="10" t="s">
        <v>260</v>
      </c>
      <c r="M19" s="10" t="s">
        <v>262</v>
      </c>
    </row>
    <row r="20" spans="1:13" hidden="1" x14ac:dyDescent="0.25">
      <c r="A20" s="13" t="str">
        <f t="shared" si="0"/>
        <v>50714278910</v>
      </c>
      <c r="B20" s="10">
        <v>1004052168</v>
      </c>
      <c r="C20" s="10">
        <v>507142789</v>
      </c>
      <c r="D20" s="10">
        <v>10</v>
      </c>
      <c r="E20" s="10" t="s">
        <v>10</v>
      </c>
      <c r="F20" s="10">
        <v>1411194</v>
      </c>
      <c r="G20" s="10" t="s">
        <v>46</v>
      </c>
      <c r="H20" s="11">
        <v>10299</v>
      </c>
      <c r="I20" s="11">
        <v>10299</v>
      </c>
      <c r="J20" s="11">
        <f t="shared" si="1"/>
        <v>0</v>
      </c>
      <c r="K20" s="12">
        <f>VLOOKUP(A20,[3]VA05!$A:$K,11,FALSE)</f>
        <v>45583</v>
      </c>
      <c r="L20" s="10" t="s">
        <v>28</v>
      </c>
      <c r="M20" s="10" t="s">
        <v>193</v>
      </c>
    </row>
    <row r="21" spans="1:13" x14ac:dyDescent="0.25">
      <c r="A21" s="13" t="str">
        <f t="shared" si="0"/>
        <v>50714277910</v>
      </c>
      <c r="B21" s="10">
        <v>1004053444</v>
      </c>
      <c r="C21" s="10">
        <v>507142779</v>
      </c>
      <c r="D21" s="10">
        <v>10</v>
      </c>
      <c r="E21" s="10" t="s">
        <v>10</v>
      </c>
      <c r="F21" s="10">
        <v>1173944</v>
      </c>
      <c r="G21" s="10" t="s">
        <v>91</v>
      </c>
      <c r="H21" s="11">
        <v>10928</v>
      </c>
      <c r="I21" s="11">
        <v>6045</v>
      </c>
      <c r="J21" s="11">
        <f t="shared" si="1"/>
        <v>4883</v>
      </c>
      <c r="K21" s="12">
        <f>VLOOKUP(A21,[3]VA05!$A:$K,11,FALSE)</f>
        <v>45580</v>
      </c>
      <c r="L21" s="10" t="s">
        <v>18</v>
      </c>
      <c r="M21" s="10" t="s">
        <v>162</v>
      </c>
    </row>
    <row r="22" spans="1:13" x14ac:dyDescent="0.25">
      <c r="A22" s="13" t="str">
        <f t="shared" si="0"/>
        <v>50714278410</v>
      </c>
      <c r="B22" s="10">
        <v>1004053445</v>
      </c>
      <c r="C22" s="10">
        <v>507142784</v>
      </c>
      <c r="D22" s="10">
        <v>10</v>
      </c>
      <c r="E22" s="10" t="s">
        <v>10</v>
      </c>
      <c r="F22" s="10">
        <v>1173944</v>
      </c>
      <c r="G22" s="10" t="s">
        <v>91</v>
      </c>
      <c r="H22" s="11">
        <v>11020</v>
      </c>
      <c r="I22" s="10">
        <v>0</v>
      </c>
      <c r="J22" s="11">
        <f t="shared" si="1"/>
        <v>11020</v>
      </c>
      <c r="K22" s="12">
        <f>VLOOKUP(A22,[3]VA05!$A:$K,11,FALSE)</f>
        <v>45580</v>
      </c>
      <c r="L22" s="10" t="s">
        <v>12</v>
      </c>
      <c r="M22" s="10" t="s">
        <v>162</v>
      </c>
    </row>
    <row r="23" spans="1:13" x14ac:dyDescent="0.25">
      <c r="A23" s="13" t="str">
        <f t="shared" si="0"/>
        <v>50714251220</v>
      </c>
      <c r="B23" s="10">
        <v>1004061391</v>
      </c>
      <c r="C23" s="10">
        <v>507142512</v>
      </c>
      <c r="D23" s="10">
        <v>20</v>
      </c>
      <c r="E23" s="10" t="s">
        <v>10</v>
      </c>
      <c r="F23" s="10">
        <v>1173944</v>
      </c>
      <c r="G23" s="10" t="s">
        <v>91</v>
      </c>
      <c r="H23" s="11">
        <v>11020</v>
      </c>
      <c r="I23" s="10">
        <v>0</v>
      </c>
      <c r="J23" s="11">
        <f t="shared" si="1"/>
        <v>11020</v>
      </c>
      <c r="K23" s="12" t="e">
        <f>VLOOKUP(A23,[3]VA05!$A:$K,11,FALSE)</f>
        <v>#N/A</v>
      </c>
      <c r="L23" s="10" t="s">
        <v>12</v>
      </c>
      <c r="M23" s="10" t="s">
        <v>156</v>
      </c>
    </row>
    <row r="24" spans="1:13" x14ac:dyDescent="0.25">
      <c r="A24" s="13" t="str">
        <f t="shared" si="0"/>
        <v>50714269620</v>
      </c>
      <c r="B24" s="10">
        <v>1004061392</v>
      </c>
      <c r="C24" s="10">
        <v>507142696</v>
      </c>
      <c r="D24" s="10">
        <v>20</v>
      </c>
      <c r="E24" s="10" t="s">
        <v>10</v>
      </c>
      <c r="F24" s="10">
        <v>1173944</v>
      </c>
      <c r="G24" s="10" t="s">
        <v>91</v>
      </c>
      <c r="H24" s="11">
        <v>5603</v>
      </c>
      <c r="I24" s="10">
        <v>0</v>
      </c>
      <c r="J24" s="11">
        <f t="shared" si="1"/>
        <v>5603</v>
      </c>
      <c r="K24" s="12">
        <f>VLOOKUP(A24,[3]VA05!$A:$K,11,FALSE)</f>
        <v>45566</v>
      </c>
      <c r="L24" s="10" t="s">
        <v>12</v>
      </c>
      <c r="M24" s="10" t="s">
        <v>156</v>
      </c>
    </row>
    <row r="25" spans="1:13" x14ac:dyDescent="0.25">
      <c r="A25" s="13" t="str">
        <f t="shared" si="0"/>
        <v>50714282510</v>
      </c>
      <c r="B25" s="10">
        <v>1004061393</v>
      </c>
      <c r="C25" s="10">
        <v>507142825</v>
      </c>
      <c r="D25" s="10">
        <v>10</v>
      </c>
      <c r="E25" s="10" t="s">
        <v>10</v>
      </c>
      <c r="F25" s="10">
        <v>1173944</v>
      </c>
      <c r="G25" s="10" t="s">
        <v>91</v>
      </c>
      <c r="H25" s="11">
        <v>21855</v>
      </c>
      <c r="I25" s="10">
        <v>0</v>
      </c>
      <c r="J25" s="11">
        <f t="shared" si="1"/>
        <v>21855</v>
      </c>
      <c r="K25" s="12">
        <f>VLOOKUP(A25,[3]VA05!$A:$K,11,FALSE)</f>
        <v>45589</v>
      </c>
      <c r="L25" s="10" t="s">
        <v>12</v>
      </c>
      <c r="M25" s="10" t="s">
        <v>191</v>
      </c>
    </row>
    <row r="26" spans="1:13" x14ac:dyDescent="0.25">
      <c r="A26" s="13" t="str">
        <f t="shared" si="0"/>
        <v>50714282910</v>
      </c>
      <c r="B26" s="10">
        <v>1004061394</v>
      </c>
      <c r="C26" s="10">
        <v>507142829</v>
      </c>
      <c r="D26" s="10">
        <v>10</v>
      </c>
      <c r="E26" s="10" t="s">
        <v>10</v>
      </c>
      <c r="F26" s="10">
        <v>1173944</v>
      </c>
      <c r="G26" s="10" t="s">
        <v>91</v>
      </c>
      <c r="H26" s="11">
        <v>11020</v>
      </c>
      <c r="I26" s="10">
        <v>0</v>
      </c>
      <c r="J26" s="11">
        <f t="shared" si="1"/>
        <v>11020</v>
      </c>
      <c r="K26" s="12">
        <f>VLOOKUP(A26,[3]VA05!$A:$K,11,FALSE)</f>
        <v>45582</v>
      </c>
      <c r="L26" s="10" t="s">
        <v>12</v>
      </c>
      <c r="M26" s="10" t="s">
        <v>179</v>
      </c>
    </row>
    <row r="27" spans="1:13" x14ac:dyDescent="0.25">
      <c r="A27" s="13" t="str">
        <f t="shared" si="0"/>
        <v>50714227020</v>
      </c>
      <c r="B27" s="10">
        <v>1004034399</v>
      </c>
      <c r="C27" s="10">
        <v>507142270</v>
      </c>
      <c r="D27" s="10">
        <v>20</v>
      </c>
      <c r="E27" s="10" t="s">
        <v>10</v>
      </c>
      <c r="F27" s="10">
        <v>1187764</v>
      </c>
      <c r="G27" s="10" t="s">
        <v>92</v>
      </c>
      <c r="H27" s="11">
        <v>17325</v>
      </c>
      <c r="I27" s="11">
        <v>4040</v>
      </c>
      <c r="J27" s="11">
        <f t="shared" si="1"/>
        <v>13285</v>
      </c>
      <c r="K27" s="12">
        <f>VLOOKUP(A27,[3]VA05!$A:$K,11,FALSE)</f>
        <v>45565</v>
      </c>
      <c r="L27" s="10" t="s">
        <v>18</v>
      </c>
      <c r="M27" s="10" t="s">
        <v>178</v>
      </c>
    </row>
    <row r="28" spans="1:13" x14ac:dyDescent="0.25">
      <c r="A28" s="13" t="str">
        <f t="shared" si="0"/>
        <v>50714227010</v>
      </c>
      <c r="B28" s="10">
        <v>1004057062</v>
      </c>
      <c r="C28" s="10">
        <v>507142270</v>
      </c>
      <c r="D28" s="10">
        <v>10</v>
      </c>
      <c r="E28" s="10" t="s">
        <v>10</v>
      </c>
      <c r="F28" s="10">
        <v>1187764</v>
      </c>
      <c r="G28" s="10" t="s">
        <v>92</v>
      </c>
      <c r="H28" s="11">
        <v>5776</v>
      </c>
      <c r="I28" s="10">
        <v>0</v>
      </c>
      <c r="J28" s="11">
        <f t="shared" si="1"/>
        <v>5776</v>
      </c>
      <c r="K28" s="12">
        <f>VLOOKUP(A28,[3]VA05!$A:$K,11,FALSE)</f>
        <v>45565</v>
      </c>
      <c r="L28" s="10" t="s">
        <v>12</v>
      </c>
      <c r="M28" s="10" t="s">
        <v>180</v>
      </c>
    </row>
    <row r="29" spans="1:13" x14ac:dyDescent="0.25">
      <c r="A29" s="13" t="str">
        <f t="shared" si="0"/>
        <v>50714283810</v>
      </c>
      <c r="B29" s="10">
        <v>1004061390</v>
      </c>
      <c r="C29" s="10">
        <v>507142838</v>
      </c>
      <c r="D29" s="10">
        <v>10</v>
      </c>
      <c r="E29" s="10" t="s">
        <v>10</v>
      </c>
      <c r="F29" s="10">
        <v>1276494</v>
      </c>
      <c r="G29" s="10" t="s">
        <v>256</v>
      </c>
      <c r="H29" s="11">
        <v>27035</v>
      </c>
      <c r="I29" s="10">
        <v>0</v>
      </c>
      <c r="J29" s="11">
        <f t="shared" si="1"/>
        <v>27035</v>
      </c>
      <c r="K29" s="12">
        <f>VLOOKUP(A29,[3]VA05!$A:$K,11,FALSE)</f>
        <v>45593</v>
      </c>
      <c r="L29" s="10" t="s">
        <v>12</v>
      </c>
      <c r="M29" s="10" t="s">
        <v>191</v>
      </c>
    </row>
    <row r="30" spans="1:13" hidden="1" x14ac:dyDescent="0.25">
      <c r="A30" s="13" t="str">
        <f t="shared" si="0"/>
        <v>50714166710</v>
      </c>
      <c r="B30" s="10">
        <v>1003920458</v>
      </c>
      <c r="C30" s="10">
        <v>507141667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23842</v>
      </c>
      <c r="I30" s="10">
        <v>0</v>
      </c>
      <c r="J30" s="11">
        <f t="shared" si="1"/>
        <v>23842</v>
      </c>
      <c r="K30" s="12" t="e">
        <f>VLOOKUP(A30,[3]VA05!$A:$K,11,FALSE)</f>
        <v>#N/A</v>
      </c>
      <c r="L30" s="10" t="s">
        <v>260</v>
      </c>
      <c r="M30" s="10" t="s">
        <v>263</v>
      </c>
    </row>
    <row r="31" spans="1:13" x14ac:dyDescent="0.25">
      <c r="A31" s="13" t="str">
        <f t="shared" si="0"/>
        <v>50714269620</v>
      </c>
      <c r="B31" s="10">
        <v>1004042037</v>
      </c>
      <c r="C31" s="10">
        <v>507142696</v>
      </c>
      <c r="D31" s="10">
        <v>20</v>
      </c>
      <c r="E31" s="10" t="s">
        <v>10</v>
      </c>
      <c r="F31" s="10">
        <v>1173947</v>
      </c>
      <c r="G31" s="10" t="s">
        <v>36</v>
      </c>
      <c r="H31" s="11">
        <v>12384</v>
      </c>
      <c r="I31" s="11">
        <v>3839</v>
      </c>
      <c r="J31" s="11">
        <f t="shared" si="1"/>
        <v>8545</v>
      </c>
      <c r="K31" s="12">
        <f>VLOOKUP(A31,[3]VA05!$A:$K,11,FALSE)</f>
        <v>45566</v>
      </c>
      <c r="L31" s="10" t="s">
        <v>18</v>
      </c>
      <c r="M31" s="10" t="s">
        <v>84</v>
      </c>
    </row>
    <row r="32" spans="1:13" x14ac:dyDescent="0.25">
      <c r="A32" s="13" t="str">
        <f t="shared" si="0"/>
        <v>50714274010</v>
      </c>
      <c r="B32" s="10">
        <v>1004052269</v>
      </c>
      <c r="C32" s="10">
        <v>507142740</v>
      </c>
      <c r="D32" s="10">
        <v>10</v>
      </c>
      <c r="E32" s="10" t="s">
        <v>10</v>
      </c>
      <c r="F32" s="10">
        <v>1173947</v>
      </c>
      <c r="G32" s="10" t="s">
        <v>36</v>
      </c>
      <c r="H32" s="11">
        <v>12384</v>
      </c>
      <c r="I32" s="10">
        <v>0</v>
      </c>
      <c r="J32" s="11">
        <f t="shared" si="1"/>
        <v>12384</v>
      </c>
      <c r="K32" s="12">
        <f>VLOOKUP(A32,[3]VA05!$A:$K,11,FALSE)</f>
        <v>45573</v>
      </c>
      <c r="L32" s="10" t="s">
        <v>12</v>
      </c>
      <c r="M32" s="10" t="s">
        <v>97</v>
      </c>
    </row>
    <row r="33" spans="1:13" x14ac:dyDescent="0.25">
      <c r="A33" s="13" t="str">
        <f t="shared" si="0"/>
        <v>50714277910</v>
      </c>
      <c r="B33" s="10">
        <v>1004052270</v>
      </c>
      <c r="C33" s="10">
        <v>507142779</v>
      </c>
      <c r="D33" s="10">
        <v>10</v>
      </c>
      <c r="E33" s="10" t="s">
        <v>10</v>
      </c>
      <c r="F33" s="10">
        <v>1173947</v>
      </c>
      <c r="G33" s="10" t="s">
        <v>36</v>
      </c>
      <c r="H33" s="11">
        <v>11922</v>
      </c>
      <c r="I33" s="10">
        <v>0</v>
      </c>
      <c r="J33" s="11">
        <f t="shared" si="1"/>
        <v>11922</v>
      </c>
      <c r="K33" s="12">
        <f>VLOOKUP(A33,[3]VA05!$A:$K,11,FALSE)</f>
        <v>45580</v>
      </c>
      <c r="L33" s="10" t="s">
        <v>12</v>
      </c>
      <c r="M33" s="10" t="s">
        <v>194</v>
      </c>
    </row>
    <row r="34" spans="1:13" x14ac:dyDescent="0.25">
      <c r="A34" s="13" t="str">
        <f t="shared" si="0"/>
        <v>50714278410</v>
      </c>
      <c r="B34" s="10">
        <v>1004052271</v>
      </c>
      <c r="C34" s="10">
        <v>507142784</v>
      </c>
      <c r="D34" s="10">
        <v>10</v>
      </c>
      <c r="E34" s="10" t="s">
        <v>10</v>
      </c>
      <c r="F34" s="10">
        <v>1173947</v>
      </c>
      <c r="G34" s="10" t="s">
        <v>36</v>
      </c>
      <c r="H34" s="11">
        <v>12384</v>
      </c>
      <c r="I34" s="10">
        <v>0</v>
      </c>
      <c r="J34" s="11">
        <f t="shared" si="1"/>
        <v>12384</v>
      </c>
      <c r="K34" s="12">
        <f>VLOOKUP(A34,[3]VA05!$A:$K,11,FALSE)</f>
        <v>45580</v>
      </c>
      <c r="L34" s="10" t="s">
        <v>12</v>
      </c>
      <c r="M34" s="10" t="s">
        <v>97</v>
      </c>
    </row>
    <row r="35" spans="1:13" x14ac:dyDescent="0.25">
      <c r="A35" s="13" t="str">
        <f t="shared" si="0"/>
        <v>50714282510</v>
      </c>
      <c r="B35" s="10">
        <v>1004061395</v>
      </c>
      <c r="C35" s="10">
        <v>507142825</v>
      </c>
      <c r="D35" s="10">
        <v>10</v>
      </c>
      <c r="E35" s="10" t="s">
        <v>10</v>
      </c>
      <c r="F35" s="10">
        <v>1173947</v>
      </c>
      <c r="G35" s="10" t="s">
        <v>36</v>
      </c>
      <c r="H35" s="11">
        <v>23842</v>
      </c>
      <c r="I35" s="10">
        <v>0</v>
      </c>
      <c r="J35" s="11">
        <f t="shared" si="1"/>
        <v>23842</v>
      </c>
      <c r="K35" s="12">
        <f>VLOOKUP(A35,[3]VA05!$A:$K,11,FALSE)</f>
        <v>45589</v>
      </c>
      <c r="L35" s="10" t="s">
        <v>12</v>
      </c>
      <c r="M35" s="10" t="s">
        <v>179</v>
      </c>
    </row>
    <row r="36" spans="1:13" x14ac:dyDescent="0.25">
      <c r="A36" s="13" t="str">
        <f t="shared" si="0"/>
        <v>50714282710</v>
      </c>
      <c r="B36" s="10">
        <v>1004061284</v>
      </c>
      <c r="C36" s="10">
        <v>507142827</v>
      </c>
      <c r="D36" s="10">
        <v>10</v>
      </c>
      <c r="E36" s="10" t="s">
        <v>10</v>
      </c>
      <c r="F36" s="10">
        <v>1411193</v>
      </c>
      <c r="G36" s="10" t="s">
        <v>47</v>
      </c>
      <c r="H36" s="11">
        <v>20598</v>
      </c>
      <c r="I36" s="11">
        <v>6528</v>
      </c>
      <c r="J36" s="11">
        <f t="shared" si="1"/>
        <v>14070</v>
      </c>
      <c r="K36" s="12">
        <f>VLOOKUP(A36,[3]VA05!$A:$K,11,FALSE)</f>
        <v>45588</v>
      </c>
      <c r="L36" s="10" t="s">
        <v>18</v>
      </c>
      <c r="M36" s="10" t="s">
        <v>177</v>
      </c>
    </row>
    <row r="37" spans="1:13" hidden="1" x14ac:dyDescent="0.25">
      <c r="A37" s="13" t="str">
        <f t="shared" si="0"/>
        <v>50714166710</v>
      </c>
      <c r="B37" s="10">
        <v>1003920462</v>
      </c>
      <c r="C37" s="10">
        <v>507141667</v>
      </c>
      <c r="D37" s="10">
        <v>10</v>
      </c>
      <c r="E37" s="10" t="s">
        <v>10</v>
      </c>
      <c r="F37" s="10">
        <v>1171793</v>
      </c>
      <c r="G37" s="10" t="s">
        <v>33</v>
      </c>
      <c r="H37" s="11">
        <v>21582</v>
      </c>
      <c r="I37" s="10">
        <v>0</v>
      </c>
      <c r="J37" s="11">
        <f t="shared" si="1"/>
        <v>21582</v>
      </c>
      <c r="K37" s="12" t="e">
        <f>VLOOKUP(A37,[3]VA05!$A:$K,11,FALSE)</f>
        <v>#N/A</v>
      </c>
      <c r="L37" s="10" t="s">
        <v>260</v>
      </c>
      <c r="M37" s="10" t="s">
        <v>264</v>
      </c>
    </row>
    <row r="38" spans="1:13" x14ac:dyDescent="0.25">
      <c r="A38" s="13" t="str">
        <f t="shared" si="0"/>
        <v>50800514030</v>
      </c>
      <c r="B38" s="10">
        <v>1004050510</v>
      </c>
      <c r="C38" s="10">
        <v>508005140</v>
      </c>
      <c r="D38" s="10">
        <v>30</v>
      </c>
      <c r="E38" s="10" t="s">
        <v>10</v>
      </c>
      <c r="F38" s="10">
        <v>1171793</v>
      </c>
      <c r="G38" s="10" t="s">
        <v>33</v>
      </c>
      <c r="H38" s="11">
        <v>43162</v>
      </c>
      <c r="I38" s="10">
        <v>0</v>
      </c>
      <c r="J38" s="11">
        <f t="shared" si="1"/>
        <v>43162</v>
      </c>
      <c r="K38" s="12">
        <f>VLOOKUP(A38,[3]VA05!$A:$K,11,FALSE)</f>
        <v>45609</v>
      </c>
      <c r="L38" s="10" t="s">
        <v>119</v>
      </c>
      <c r="M38" s="10" t="s">
        <v>161</v>
      </c>
    </row>
    <row r="39" spans="1:13" x14ac:dyDescent="0.25">
      <c r="A39" s="13" t="str">
        <f t="shared" si="0"/>
        <v>50714277910</v>
      </c>
      <c r="B39" s="10">
        <v>1004053448</v>
      </c>
      <c r="C39" s="10">
        <v>507142779</v>
      </c>
      <c r="D39" s="10">
        <v>10</v>
      </c>
      <c r="E39" s="10" t="s">
        <v>10</v>
      </c>
      <c r="F39" s="10">
        <v>1171793</v>
      </c>
      <c r="G39" s="10" t="s">
        <v>33</v>
      </c>
      <c r="H39" s="11">
        <v>10792</v>
      </c>
      <c r="I39" s="10">
        <v>0</v>
      </c>
      <c r="J39" s="11">
        <f t="shared" si="1"/>
        <v>10792</v>
      </c>
      <c r="K39" s="12">
        <f>VLOOKUP(A39,[3]VA05!$A:$K,11,FALSE)</f>
        <v>45580</v>
      </c>
      <c r="L39" s="10" t="s">
        <v>12</v>
      </c>
      <c r="M39" s="10" t="s">
        <v>162</v>
      </c>
    </row>
    <row r="40" spans="1:13" x14ac:dyDescent="0.25">
      <c r="A40" s="13" t="str">
        <f t="shared" si="0"/>
        <v>50714278410</v>
      </c>
      <c r="B40" s="10">
        <v>1004061396</v>
      </c>
      <c r="C40" s="10">
        <v>507142784</v>
      </c>
      <c r="D40" s="10">
        <v>10</v>
      </c>
      <c r="E40" s="10" t="s">
        <v>10</v>
      </c>
      <c r="F40" s="10">
        <v>1171793</v>
      </c>
      <c r="G40" s="10" t="s">
        <v>33</v>
      </c>
      <c r="H40" s="11">
        <v>10882</v>
      </c>
      <c r="I40" s="10">
        <v>0</v>
      </c>
      <c r="J40" s="11">
        <f t="shared" si="1"/>
        <v>10882</v>
      </c>
      <c r="K40" s="12">
        <f>VLOOKUP(A40,[3]VA05!$A:$K,11,FALSE)</f>
        <v>45580</v>
      </c>
      <c r="L40" s="10" t="s">
        <v>12</v>
      </c>
      <c r="M40" s="10" t="s">
        <v>162</v>
      </c>
    </row>
    <row r="41" spans="1:13" x14ac:dyDescent="0.25">
      <c r="A41" s="13" t="str">
        <f t="shared" si="0"/>
        <v>50714282510</v>
      </c>
      <c r="B41" s="10">
        <v>1004061397</v>
      </c>
      <c r="C41" s="10">
        <v>507142825</v>
      </c>
      <c r="D41" s="10">
        <v>10</v>
      </c>
      <c r="E41" s="10" t="s">
        <v>10</v>
      </c>
      <c r="F41" s="10">
        <v>1171793</v>
      </c>
      <c r="G41" s="10" t="s">
        <v>33</v>
      </c>
      <c r="H41" s="11">
        <v>21582</v>
      </c>
      <c r="I41" s="10">
        <v>0</v>
      </c>
      <c r="J41" s="11">
        <f t="shared" si="1"/>
        <v>21582</v>
      </c>
      <c r="K41" s="12">
        <f>VLOOKUP(A41,[3]VA05!$A:$K,11,FALSE)</f>
        <v>45589</v>
      </c>
      <c r="L41" s="10" t="s">
        <v>12</v>
      </c>
      <c r="M41" s="10" t="s">
        <v>191</v>
      </c>
    </row>
    <row r="42" spans="1:13" x14ac:dyDescent="0.25">
      <c r="A42" s="13" t="str">
        <f t="shared" si="0"/>
        <v>50714282910</v>
      </c>
      <c r="B42" s="10">
        <v>1004061398</v>
      </c>
      <c r="C42" s="10">
        <v>507142829</v>
      </c>
      <c r="D42" s="10">
        <v>10</v>
      </c>
      <c r="E42" s="10" t="s">
        <v>10</v>
      </c>
      <c r="F42" s="10">
        <v>1171793</v>
      </c>
      <c r="G42" s="10" t="s">
        <v>33</v>
      </c>
      <c r="H42" s="11">
        <v>10882</v>
      </c>
      <c r="I42" s="10">
        <v>0</v>
      </c>
      <c r="J42" s="11">
        <f t="shared" si="1"/>
        <v>10882</v>
      </c>
      <c r="K42" s="12">
        <f>VLOOKUP(A42,[3]VA05!$A:$K,11,FALSE)</f>
        <v>45582</v>
      </c>
      <c r="L42" s="10" t="s">
        <v>12</v>
      </c>
      <c r="M42" s="10" t="s">
        <v>157</v>
      </c>
    </row>
    <row r="43" spans="1:13" x14ac:dyDescent="0.25">
      <c r="A43" s="13" t="str">
        <f t="shared" si="0"/>
        <v>50714227020</v>
      </c>
      <c r="B43" s="10">
        <v>1004057063</v>
      </c>
      <c r="C43" s="10">
        <v>507142270</v>
      </c>
      <c r="D43" s="10">
        <v>20</v>
      </c>
      <c r="E43" s="10" t="s">
        <v>10</v>
      </c>
      <c r="F43" s="10">
        <v>1187765</v>
      </c>
      <c r="G43" s="10" t="s">
        <v>147</v>
      </c>
      <c r="H43" s="11">
        <v>17325</v>
      </c>
      <c r="I43" s="11">
        <v>10735</v>
      </c>
      <c r="J43" s="11">
        <f t="shared" si="1"/>
        <v>6590</v>
      </c>
      <c r="K43" s="12">
        <f>VLOOKUP(A43,[3]VA05!$A:$K,11,FALSE)</f>
        <v>45565</v>
      </c>
      <c r="L43" s="10" t="s">
        <v>11</v>
      </c>
      <c r="M43" s="10" t="s">
        <v>195</v>
      </c>
    </row>
    <row r="44" spans="1:13" hidden="1" x14ac:dyDescent="0.25">
      <c r="A44" s="13" t="str">
        <f t="shared" si="0"/>
        <v>50714156710</v>
      </c>
      <c r="B44" s="10">
        <v>1003967343</v>
      </c>
      <c r="C44" s="10">
        <v>507141567</v>
      </c>
      <c r="D44" s="10">
        <v>10</v>
      </c>
      <c r="E44" s="10" t="s">
        <v>24</v>
      </c>
      <c r="F44" s="10">
        <v>1169655</v>
      </c>
      <c r="G44" s="10" t="s">
        <v>265</v>
      </c>
      <c r="H44" s="11">
        <v>12000</v>
      </c>
      <c r="I44" s="10">
        <v>0</v>
      </c>
      <c r="J44" s="11">
        <f t="shared" si="1"/>
        <v>12000</v>
      </c>
      <c r="K44" s="12" t="e">
        <f>VLOOKUP(A44,[3]VA05!$A:$K,11,FALSE)</f>
        <v>#N/A</v>
      </c>
      <c r="L44" s="10" t="s">
        <v>260</v>
      </c>
      <c r="M44" s="10" t="s">
        <v>266</v>
      </c>
    </row>
    <row r="45" spans="1:13" hidden="1" x14ac:dyDescent="0.25">
      <c r="A45" s="13" t="str">
        <f t="shared" si="0"/>
        <v>50714265410</v>
      </c>
      <c r="B45" s="10">
        <v>1004036495</v>
      </c>
      <c r="C45" s="10">
        <v>507142654</v>
      </c>
      <c r="D45" s="10">
        <v>10</v>
      </c>
      <c r="E45" s="10" t="s">
        <v>10</v>
      </c>
      <c r="F45" s="10">
        <v>1420608</v>
      </c>
      <c r="G45" s="10" t="s">
        <v>110</v>
      </c>
      <c r="H45" s="11">
        <v>16376</v>
      </c>
      <c r="I45" s="11">
        <v>16376</v>
      </c>
      <c r="J45" s="11">
        <f t="shared" si="1"/>
        <v>0</v>
      </c>
      <c r="K45" s="12">
        <f>VLOOKUP(A45,[3]VA05!$A:$K,11,FALSE)</f>
        <v>45595</v>
      </c>
      <c r="L45" s="10" t="s">
        <v>28</v>
      </c>
      <c r="M45" s="10" t="s">
        <v>194</v>
      </c>
    </row>
    <row r="46" spans="1:13" x14ac:dyDescent="0.25">
      <c r="A46" s="13" t="str">
        <f t="shared" si="0"/>
        <v>50714272510</v>
      </c>
      <c r="B46" s="10">
        <v>1004060450</v>
      </c>
      <c r="C46" s="10">
        <v>507142725</v>
      </c>
      <c r="D46" s="10">
        <v>10</v>
      </c>
      <c r="E46" s="10" t="s">
        <v>10</v>
      </c>
      <c r="F46" s="10">
        <v>1420608</v>
      </c>
      <c r="G46" s="10" t="s">
        <v>110</v>
      </c>
      <c r="H46" s="11">
        <v>16376</v>
      </c>
      <c r="I46" s="10">
        <v>0</v>
      </c>
      <c r="J46" s="11">
        <f t="shared" si="1"/>
        <v>16376</v>
      </c>
      <c r="K46" s="12">
        <f>VLOOKUP(A46,[3]VA05!$A:$K,11,FALSE)</f>
        <v>45573</v>
      </c>
      <c r="L46" s="10" t="s">
        <v>12</v>
      </c>
      <c r="M46" s="10" t="s">
        <v>194</v>
      </c>
    </row>
    <row r="47" spans="1:13" x14ac:dyDescent="0.25">
      <c r="A47" s="13" t="str">
        <f t="shared" si="0"/>
        <v>50714278610</v>
      </c>
      <c r="B47" s="10">
        <v>1004059422</v>
      </c>
      <c r="C47" s="10">
        <v>507142786</v>
      </c>
      <c r="D47" s="10">
        <v>10</v>
      </c>
      <c r="E47" s="10" t="s">
        <v>10</v>
      </c>
      <c r="F47" s="10">
        <v>1149455</v>
      </c>
      <c r="G47" s="10" t="s">
        <v>44</v>
      </c>
      <c r="H47" s="11">
        <v>27228</v>
      </c>
      <c r="I47" s="11">
        <v>12352</v>
      </c>
      <c r="J47" s="11">
        <f t="shared" si="1"/>
        <v>14876</v>
      </c>
      <c r="K47" s="12">
        <f>VLOOKUP(A47,[3]VA05!$A:$K,11,FALSE)</f>
        <v>45581</v>
      </c>
      <c r="L47" s="10" t="s">
        <v>18</v>
      </c>
      <c r="M47" s="10" t="s">
        <v>194</v>
      </c>
    </row>
    <row r="48" spans="1:13" hidden="1" x14ac:dyDescent="0.25">
      <c r="A48" s="13" t="str">
        <f t="shared" si="0"/>
        <v>50714265120</v>
      </c>
      <c r="B48" s="10">
        <v>1004059425</v>
      </c>
      <c r="C48" s="10">
        <v>507142651</v>
      </c>
      <c r="D48" s="10">
        <v>20</v>
      </c>
      <c r="E48" s="10" t="s">
        <v>24</v>
      </c>
      <c r="F48" s="10">
        <v>1149455</v>
      </c>
      <c r="G48" s="10" t="s">
        <v>44</v>
      </c>
      <c r="H48" s="11">
        <v>10000</v>
      </c>
      <c r="I48" s="10">
        <v>0</v>
      </c>
      <c r="J48" s="11">
        <f t="shared" si="1"/>
        <v>10000</v>
      </c>
      <c r="K48" s="12">
        <f>VLOOKUP(A48,[3]VA05!$A:$K,11,FALSE)</f>
        <v>45567</v>
      </c>
      <c r="L48" s="10" t="s">
        <v>13</v>
      </c>
      <c r="M48" s="10" t="s">
        <v>154</v>
      </c>
    </row>
    <row r="49" spans="1:13" hidden="1" x14ac:dyDescent="0.25">
      <c r="A49" s="13" t="str">
        <f t="shared" si="0"/>
        <v>50714248510</v>
      </c>
      <c r="B49" s="10">
        <v>1004052273</v>
      </c>
      <c r="C49" s="10">
        <v>507142485</v>
      </c>
      <c r="D49" s="10">
        <v>10</v>
      </c>
      <c r="E49" s="10" t="s">
        <v>24</v>
      </c>
      <c r="F49" s="10">
        <v>1193509</v>
      </c>
      <c r="G49" s="10" t="s">
        <v>31</v>
      </c>
      <c r="H49" s="11">
        <v>10000</v>
      </c>
      <c r="I49" s="10">
        <v>0</v>
      </c>
      <c r="J49" s="11">
        <f t="shared" si="1"/>
        <v>10000</v>
      </c>
      <c r="K49" s="12" t="e">
        <f>VLOOKUP(A49,[3]VA05!$A:$K,11,FALSE)</f>
        <v>#N/A</v>
      </c>
      <c r="L49" s="10" t="s">
        <v>13</v>
      </c>
      <c r="M49" s="10" t="s">
        <v>97</v>
      </c>
    </row>
    <row r="50" spans="1:13" x14ac:dyDescent="0.25">
      <c r="A50" s="13" t="str">
        <f t="shared" si="0"/>
        <v>50714235110</v>
      </c>
      <c r="B50" s="10">
        <v>1004042803</v>
      </c>
      <c r="C50" s="10">
        <v>507142351</v>
      </c>
      <c r="D50" s="10">
        <v>10</v>
      </c>
      <c r="E50" s="10" t="s">
        <v>10</v>
      </c>
      <c r="F50" s="10">
        <v>1192909</v>
      </c>
      <c r="G50" s="10" t="s">
        <v>35</v>
      </c>
      <c r="H50" s="11">
        <v>16753</v>
      </c>
      <c r="I50" s="11">
        <v>9187</v>
      </c>
      <c r="J50" s="11">
        <f t="shared" si="1"/>
        <v>7566</v>
      </c>
      <c r="K50" s="12">
        <f>VLOOKUP(A50,[3]VA05!$A:$K,11,FALSE)</f>
        <v>45545</v>
      </c>
      <c r="L50" s="10" t="s">
        <v>18</v>
      </c>
      <c r="M50" s="10" t="s">
        <v>111</v>
      </c>
    </row>
    <row r="51" spans="1:13" hidden="1" x14ac:dyDescent="0.25">
      <c r="A51" s="13" t="str">
        <f t="shared" si="0"/>
        <v>50714265410</v>
      </c>
      <c r="B51" s="10">
        <v>1004042744</v>
      </c>
      <c r="C51" s="10">
        <v>507142654</v>
      </c>
      <c r="D51" s="10">
        <v>10</v>
      </c>
      <c r="E51" s="10" t="s">
        <v>10</v>
      </c>
      <c r="F51" s="10">
        <v>1420609</v>
      </c>
      <c r="G51" s="10" t="s">
        <v>133</v>
      </c>
      <c r="H51" s="11">
        <v>16868</v>
      </c>
      <c r="I51" s="11">
        <v>16868</v>
      </c>
      <c r="J51" s="11">
        <f t="shared" si="1"/>
        <v>0</v>
      </c>
      <c r="K51" s="12">
        <f>VLOOKUP(A51,[3]VA05!$A:$K,11,FALSE)</f>
        <v>45595</v>
      </c>
      <c r="L51" s="10" t="s">
        <v>28</v>
      </c>
      <c r="M51" s="10" t="s">
        <v>84</v>
      </c>
    </row>
    <row r="52" spans="1:13" x14ac:dyDescent="0.25">
      <c r="A52" s="13" t="str">
        <f t="shared" si="0"/>
        <v>50714272510</v>
      </c>
      <c r="B52" s="10">
        <v>1004060387</v>
      </c>
      <c r="C52" s="10">
        <v>507142725</v>
      </c>
      <c r="D52" s="10">
        <v>10</v>
      </c>
      <c r="E52" s="10" t="s">
        <v>10</v>
      </c>
      <c r="F52" s="10">
        <v>1420609</v>
      </c>
      <c r="G52" s="10" t="s">
        <v>133</v>
      </c>
      <c r="H52" s="11">
        <v>16868</v>
      </c>
      <c r="I52" s="10">
        <v>0</v>
      </c>
      <c r="J52" s="11">
        <f t="shared" si="1"/>
        <v>16868</v>
      </c>
      <c r="K52" s="12">
        <f>VLOOKUP(A52,[3]VA05!$A:$K,11,FALSE)</f>
        <v>45573</v>
      </c>
      <c r="L52" s="10" t="s">
        <v>56</v>
      </c>
      <c r="M52" s="10" t="s">
        <v>194</v>
      </c>
    </row>
    <row r="53" spans="1:13" x14ac:dyDescent="0.25">
      <c r="A53" s="13" t="str">
        <f t="shared" si="0"/>
        <v>50714278610</v>
      </c>
      <c r="B53" s="10">
        <v>1004056892</v>
      </c>
      <c r="C53" s="10">
        <v>507142786</v>
      </c>
      <c r="D53" s="10">
        <v>10</v>
      </c>
      <c r="E53" s="10" t="s">
        <v>10</v>
      </c>
      <c r="F53" s="10">
        <v>1304095</v>
      </c>
      <c r="G53" s="10" t="s">
        <v>76</v>
      </c>
      <c r="H53" s="11">
        <v>26709</v>
      </c>
      <c r="I53" s="11">
        <v>19200</v>
      </c>
      <c r="J53" s="11">
        <f t="shared" si="1"/>
        <v>7509</v>
      </c>
      <c r="K53" s="12">
        <f>VLOOKUP(A53,[3]VA05!$A:$K,11,FALSE)</f>
        <v>45581</v>
      </c>
      <c r="L53" s="10" t="s">
        <v>18</v>
      </c>
      <c r="M53" s="10" t="s">
        <v>154</v>
      </c>
    </row>
    <row r="54" spans="1:13" x14ac:dyDescent="0.25">
      <c r="A54" s="13" t="str">
        <f t="shared" si="0"/>
        <v>50714265410</v>
      </c>
      <c r="B54" s="10">
        <v>1004045686</v>
      </c>
      <c r="C54" s="10">
        <v>507142654</v>
      </c>
      <c r="D54" s="10">
        <v>10</v>
      </c>
      <c r="E54" s="10" t="s">
        <v>10</v>
      </c>
      <c r="F54" s="10">
        <v>1420607</v>
      </c>
      <c r="G54" s="10" t="s">
        <v>149</v>
      </c>
      <c r="H54" s="11">
        <v>16376</v>
      </c>
      <c r="I54" s="11">
        <v>13154</v>
      </c>
      <c r="J54" s="11">
        <f t="shared" si="1"/>
        <v>3222</v>
      </c>
      <c r="K54" s="12">
        <f>VLOOKUP(A54,[3]VA05!$A:$K,11,FALSE)</f>
        <v>45595</v>
      </c>
      <c r="L54" s="10" t="s">
        <v>18</v>
      </c>
      <c r="M54" s="10" t="s">
        <v>194</v>
      </c>
    </row>
    <row r="55" spans="1:13" x14ac:dyDescent="0.25">
      <c r="A55" s="13" t="str">
        <f t="shared" si="0"/>
        <v>50714272510</v>
      </c>
      <c r="B55" s="10">
        <v>1004060451</v>
      </c>
      <c r="C55" s="10">
        <v>507142725</v>
      </c>
      <c r="D55" s="10">
        <v>10</v>
      </c>
      <c r="E55" s="10" t="s">
        <v>10</v>
      </c>
      <c r="F55" s="10">
        <v>1420607</v>
      </c>
      <c r="G55" s="10" t="s">
        <v>149</v>
      </c>
      <c r="H55" s="11">
        <v>16376</v>
      </c>
      <c r="I55" s="10">
        <v>0</v>
      </c>
      <c r="J55" s="11">
        <f t="shared" si="1"/>
        <v>16376</v>
      </c>
      <c r="K55" s="12">
        <f>VLOOKUP(A55,[3]VA05!$A:$K,11,FALSE)</f>
        <v>45573</v>
      </c>
      <c r="L55" s="10" t="s">
        <v>12</v>
      </c>
      <c r="M55" s="10" t="s">
        <v>194</v>
      </c>
    </row>
    <row r="56" spans="1:13" hidden="1" x14ac:dyDescent="0.25">
      <c r="A56" s="13" t="str">
        <f t="shared" si="0"/>
        <v>50714278610</v>
      </c>
      <c r="B56" s="10">
        <v>1004059423</v>
      </c>
      <c r="C56" s="10">
        <v>507142786</v>
      </c>
      <c r="D56" s="10">
        <v>10</v>
      </c>
      <c r="E56" s="10" t="s">
        <v>10</v>
      </c>
      <c r="F56" s="10">
        <v>1149454</v>
      </c>
      <c r="G56" s="10" t="s">
        <v>246</v>
      </c>
      <c r="H56" s="11">
        <v>27228</v>
      </c>
      <c r="I56" s="11">
        <v>27228</v>
      </c>
      <c r="J56" s="11">
        <f t="shared" si="1"/>
        <v>0</v>
      </c>
      <c r="K56" s="12">
        <f>VLOOKUP(A56,[3]VA05!$A:$K,11,FALSE)</f>
        <v>45581</v>
      </c>
      <c r="L56" s="10" t="s">
        <v>34</v>
      </c>
      <c r="M56" s="10" t="s">
        <v>154</v>
      </c>
    </row>
    <row r="57" spans="1:13" x14ac:dyDescent="0.25">
      <c r="A57" s="13" t="str">
        <f t="shared" si="0"/>
        <v>50714265120</v>
      </c>
      <c r="B57" s="10">
        <v>1004059424</v>
      </c>
      <c r="C57" s="10">
        <v>507142651</v>
      </c>
      <c r="D57" s="10">
        <v>20</v>
      </c>
      <c r="E57" s="10" t="s">
        <v>10</v>
      </c>
      <c r="F57" s="10">
        <v>1149454</v>
      </c>
      <c r="G57" s="10" t="s">
        <v>246</v>
      </c>
      <c r="H57" s="11">
        <v>28966</v>
      </c>
      <c r="I57" s="10">
        <v>0</v>
      </c>
      <c r="J57" s="11">
        <f t="shared" si="1"/>
        <v>28966</v>
      </c>
      <c r="K57" s="12">
        <f>VLOOKUP(A57,[3]VA05!$A:$K,11,FALSE)</f>
        <v>45567</v>
      </c>
      <c r="L57" s="10" t="s">
        <v>27</v>
      </c>
      <c r="M57" s="10" t="s">
        <v>194</v>
      </c>
    </row>
    <row r="58" spans="1:13" x14ac:dyDescent="0.25">
      <c r="A58" s="13" t="str">
        <f t="shared" si="0"/>
        <v>50714273410</v>
      </c>
      <c r="B58" s="10">
        <v>1004054830</v>
      </c>
      <c r="C58" s="10">
        <v>507142734</v>
      </c>
      <c r="D58" s="10">
        <v>10</v>
      </c>
      <c r="E58" s="10" t="s">
        <v>10</v>
      </c>
      <c r="F58" s="10">
        <v>1193508</v>
      </c>
      <c r="G58" s="10" t="s">
        <v>134</v>
      </c>
      <c r="H58" s="11">
        <v>16753</v>
      </c>
      <c r="I58" s="11">
        <v>13900</v>
      </c>
      <c r="J58" s="11">
        <f t="shared" si="1"/>
        <v>2853</v>
      </c>
      <c r="K58" s="12">
        <f>VLOOKUP(A58,[3]VA05!$A:$K,11,FALSE)</f>
        <v>45572</v>
      </c>
      <c r="L58" s="10" t="s">
        <v>18</v>
      </c>
      <c r="M58" s="10" t="s">
        <v>195</v>
      </c>
    </row>
    <row r="59" spans="1:13" x14ac:dyDescent="0.25">
      <c r="A59" s="13" t="str">
        <f t="shared" si="0"/>
        <v>50714274310</v>
      </c>
      <c r="B59" s="10">
        <v>1004054831</v>
      </c>
      <c r="C59" s="10">
        <v>507142743</v>
      </c>
      <c r="D59" s="10">
        <v>10</v>
      </c>
      <c r="E59" s="10" t="s">
        <v>10</v>
      </c>
      <c r="F59" s="10">
        <v>1193508</v>
      </c>
      <c r="G59" s="10" t="s">
        <v>134</v>
      </c>
      <c r="H59" s="11">
        <v>16753</v>
      </c>
      <c r="I59" s="10">
        <v>0</v>
      </c>
      <c r="J59" s="11">
        <f t="shared" si="1"/>
        <v>16753</v>
      </c>
      <c r="K59" s="12">
        <f>VLOOKUP(A59,[3]VA05!$A:$K,11,FALSE)</f>
        <v>45575</v>
      </c>
      <c r="L59" s="10" t="s">
        <v>27</v>
      </c>
      <c r="M59" s="10" t="s">
        <v>195</v>
      </c>
    </row>
    <row r="60" spans="1:13" x14ac:dyDescent="0.25">
      <c r="A60" s="13" t="str">
        <f t="shared" si="0"/>
        <v>50714258410</v>
      </c>
      <c r="B60" s="10">
        <v>1004025718</v>
      </c>
      <c r="C60" s="10">
        <v>507142584</v>
      </c>
      <c r="D60" s="10">
        <v>10</v>
      </c>
      <c r="E60" s="10" t="s">
        <v>10</v>
      </c>
      <c r="F60" s="10">
        <v>1192705</v>
      </c>
      <c r="G60" s="10" t="s">
        <v>45</v>
      </c>
      <c r="H60" s="11">
        <v>29915</v>
      </c>
      <c r="I60" s="11">
        <v>15280</v>
      </c>
      <c r="J60" s="11">
        <f t="shared" si="1"/>
        <v>14635</v>
      </c>
      <c r="K60" s="12">
        <f>VLOOKUP(A60,[3]VA05!$A:$K,11,FALSE)</f>
        <v>45572</v>
      </c>
      <c r="L60" s="10" t="s">
        <v>18</v>
      </c>
      <c r="M60" s="10" t="s">
        <v>66</v>
      </c>
    </row>
    <row r="61" spans="1:13" x14ac:dyDescent="0.25">
      <c r="A61" s="13" t="str">
        <f t="shared" si="0"/>
        <v>50714259810</v>
      </c>
      <c r="B61" s="10">
        <v>1004042031</v>
      </c>
      <c r="C61" s="10">
        <v>507142598</v>
      </c>
      <c r="D61" s="10">
        <v>10</v>
      </c>
      <c r="E61" s="10" t="s">
        <v>10</v>
      </c>
      <c r="F61" s="10">
        <v>1233459</v>
      </c>
      <c r="G61" s="10" t="s">
        <v>121</v>
      </c>
      <c r="H61" s="11">
        <v>15449</v>
      </c>
      <c r="I61" s="11">
        <v>11330</v>
      </c>
      <c r="J61" s="11">
        <f t="shared" si="1"/>
        <v>4119</v>
      </c>
      <c r="K61" s="12">
        <f>VLOOKUP(A61,[3]VA05!$A:$K,11,FALSE)</f>
        <v>45572</v>
      </c>
      <c r="L61" s="10" t="s">
        <v>11</v>
      </c>
      <c r="M61" s="10" t="s">
        <v>106</v>
      </c>
    </row>
    <row r="62" spans="1:13" x14ac:dyDescent="0.25">
      <c r="A62" s="13" t="str">
        <f t="shared" si="0"/>
        <v>50714272410</v>
      </c>
      <c r="B62" s="10">
        <v>1004051405</v>
      </c>
      <c r="C62" s="10">
        <v>507142724</v>
      </c>
      <c r="D62" s="10">
        <v>10</v>
      </c>
      <c r="E62" s="10" t="s">
        <v>10</v>
      </c>
      <c r="F62" s="10">
        <v>1233459</v>
      </c>
      <c r="G62" s="10" t="s">
        <v>121</v>
      </c>
      <c r="H62" s="11">
        <v>10299</v>
      </c>
      <c r="I62" s="10">
        <v>0</v>
      </c>
      <c r="J62" s="11">
        <f t="shared" si="1"/>
        <v>10299</v>
      </c>
      <c r="K62" s="12">
        <f>VLOOKUP(A62,[3]VA05!$A:$K,11,FALSE)</f>
        <v>45594</v>
      </c>
      <c r="L62" s="10" t="s">
        <v>25</v>
      </c>
      <c r="M62" s="10" t="s">
        <v>176</v>
      </c>
    </row>
    <row r="63" spans="1:13" x14ac:dyDescent="0.25">
      <c r="A63" s="13" t="str">
        <f t="shared" si="0"/>
        <v>50714272410</v>
      </c>
      <c r="B63" s="10">
        <v>1004058756</v>
      </c>
      <c r="C63" s="10">
        <v>507142724</v>
      </c>
      <c r="D63" s="10">
        <v>10</v>
      </c>
      <c r="E63" s="10" t="s">
        <v>10</v>
      </c>
      <c r="F63" s="10">
        <v>1233477</v>
      </c>
      <c r="G63" s="10" t="s">
        <v>236</v>
      </c>
      <c r="H63" s="11">
        <v>11006</v>
      </c>
      <c r="I63" s="10">
        <v>0</v>
      </c>
      <c r="J63" s="11">
        <f t="shared" si="1"/>
        <v>11006</v>
      </c>
      <c r="K63" s="12">
        <f>VLOOKUP(A63,[3]VA05!$A:$K,11,FALSE)</f>
        <v>45594</v>
      </c>
      <c r="L63" s="10" t="s">
        <v>12</v>
      </c>
      <c r="M63" s="10" t="s">
        <v>109</v>
      </c>
    </row>
    <row r="64" spans="1:13" hidden="1" x14ac:dyDescent="0.25">
      <c r="A64" s="13" t="str">
        <f t="shared" si="0"/>
        <v>50714165620</v>
      </c>
      <c r="B64" s="10">
        <v>1003928019</v>
      </c>
      <c r="C64" s="10">
        <v>507141656</v>
      </c>
      <c r="D64" s="10">
        <v>20</v>
      </c>
      <c r="E64" s="10" t="s">
        <v>24</v>
      </c>
      <c r="F64" s="10">
        <v>1170081</v>
      </c>
      <c r="G64" s="10" t="s">
        <v>267</v>
      </c>
      <c r="H64" s="11">
        <v>5000</v>
      </c>
      <c r="I64" s="10">
        <v>0</v>
      </c>
      <c r="J64" s="11">
        <f t="shared" si="1"/>
        <v>5000</v>
      </c>
      <c r="K64" s="12" t="e">
        <f>VLOOKUP(A64,[3]VA05!$A:$K,11,FALSE)</f>
        <v>#N/A</v>
      </c>
      <c r="L64" s="10" t="s">
        <v>260</v>
      </c>
      <c r="M64" s="10" t="s">
        <v>268</v>
      </c>
    </row>
    <row r="65" spans="1:13" hidden="1" x14ac:dyDescent="0.25">
      <c r="A65" s="13" t="str">
        <f t="shared" si="0"/>
        <v>50714165620</v>
      </c>
      <c r="B65" s="10">
        <v>1003928021</v>
      </c>
      <c r="C65" s="10">
        <v>507141656</v>
      </c>
      <c r="D65" s="10">
        <v>20</v>
      </c>
      <c r="E65" s="10" t="s">
        <v>24</v>
      </c>
      <c r="F65" s="10">
        <v>1170081</v>
      </c>
      <c r="G65" s="10" t="s">
        <v>267</v>
      </c>
      <c r="H65" s="11">
        <v>5000</v>
      </c>
      <c r="I65" s="10">
        <v>0</v>
      </c>
      <c r="J65" s="11">
        <f t="shared" si="1"/>
        <v>5000</v>
      </c>
      <c r="K65" s="12" t="e">
        <f>VLOOKUP(A65,[3]VA05!$A:$K,11,FALSE)</f>
        <v>#N/A</v>
      </c>
      <c r="L65" s="10" t="s">
        <v>260</v>
      </c>
      <c r="M65" s="10" t="s">
        <v>268</v>
      </c>
    </row>
    <row r="66" spans="1:13" x14ac:dyDescent="0.25">
      <c r="A66" s="13" t="str">
        <f t="shared" si="0"/>
        <v>50714274210</v>
      </c>
      <c r="B66" s="10">
        <v>1004052517</v>
      </c>
      <c r="C66" s="10">
        <v>507142742</v>
      </c>
      <c r="D66" s="10">
        <v>10</v>
      </c>
      <c r="E66" s="10" t="s">
        <v>10</v>
      </c>
      <c r="F66" s="10">
        <v>1209335</v>
      </c>
      <c r="G66" s="10" t="s">
        <v>150</v>
      </c>
      <c r="H66" s="11">
        <v>25576</v>
      </c>
      <c r="I66" s="11">
        <v>15646</v>
      </c>
      <c r="J66" s="11">
        <f t="shared" si="1"/>
        <v>9930</v>
      </c>
      <c r="K66" s="12">
        <f>VLOOKUP(A66,[3]VA05!$A:$K,11,FALSE)</f>
        <v>45575</v>
      </c>
      <c r="L66" s="10" t="s">
        <v>18</v>
      </c>
      <c r="M66" s="10" t="s">
        <v>178</v>
      </c>
    </row>
    <row r="67" spans="1:13" x14ac:dyDescent="0.25">
      <c r="A67" s="13" t="str">
        <f t="shared" si="0"/>
        <v>50714274240</v>
      </c>
      <c r="B67" s="10">
        <v>1004052518</v>
      </c>
      <c r="C67" s="10">
        <v>507142742</v>
      </c>
      <c r="D67" s="10">
        <v>40</v>
      </c>
      <c r="E67" s="10" t="s">
        <v>10</v>
      </c>
      <c r="F67" s="10">
        <v>1209335</v>
      </c>
      <c r="G67" s="10" t="s">
        <v>150</v>
      </c>
      <c r="H67" s="11">
        <v>25576</v>
      </c>
      <c r="I67" s="10">
        <v>0</v>
      </c>
      <c r="J67" s="11">
        <f t="shared" si="1"/>
        <v>25576</v>
      </c>
      <c r="K67" s="12">
        <f>VLOOKUP(A67,[3]VA05!$A:$K,11,FALSE)</f>
        <v>45580</v>
      </c>
      <c r="L67" s="10" t="s">
        <v>12</v>
      </c>
      <c r="M67" s="10" t="s">
        <v>179</v>
      </c>
    </row>
    <row r="68" spans="1:13" x14ac:dyDescent="0.25">
      <c r="A68" s="13" t="str">
        <f t="shared" ref="A68:A131" si="2">C68&amp;D68</f>
        <v>50714274270</v>
      </c>
      <c r="B68" s="10">
        <v>1004052519</v>
      </c>
      <c r="C68" s="10">
        <v>507142742</v>
      </c>
      <c r="D68" s="10">
        <v>70</v>
      </c>
      <c r="E68" s="10" t="s">
        <v>10</v>
      </c>
      <c r="F68" s="10">
        <v>1209335</v>
      </c>
      <c r="G68" s="10" t="s">
        <v>150</v>
      </c>
      <c r="H68" s="11">
        <v>25576</v>
      </c>
      <c r="I68" s="10">
        <v>0</v>
      </c>
      <c r="J68" s="11">
        <f t="shared" ref="J68:J131" si="3">H68-I68</f>
        <v>25576</v>
      </c>
      <c r="K68" s="12">
        <f>VLOOKUP(A68,[3]VA05!$A:$K,11,FALSE)</f>
        <v>45587</v>
      </c>
      <c r="L68" s="10" t="s">
        <v>12</v>
      </c>
      <c r="M68" s="10" t="s">
        <v>109</v>
      </c>
    </row>
    <row r="69" spans="1:13" x14ac:dyDescent="0.25">
      <c r="A69" s="13" t="str">
        <f t="shared" si="2"/>
        <v>507142742100</v>
      </c>
      <c r="B69" s="10">
        <v>1004052522</v>
      </c>
      <c r="C69" s="10">
        <v>507142742</v>
      </c>
      <c r="D69" s="10">
        <v>100</v>
      </c>
      <c r="E69" s="10" t="s">
        <v>10</v>
      </c>
      <c r="F69" s="10">
        <v>1209335</v>
      </c>
      <c r="G69" s="10" t="s">
        <v>150</v>
      </c>
      <c r="H69" s="11">
        <v>25576</v>
      </c>
      <c r="I69" s="10">
        <v>0</v>
      </c>
      <c r="J69" s="11">
        <f t="shared" si="3"/>
        <v>25576</v>
      </c>
      <c r="K69" s="12" t="e">
        <f>VLOOKUP(A69,[3]VA05!$A:$K,11,FALSE)</f>
        <v>#N/A</v>
      </c>
      <c r="L69" s="10" t="s">
        <v>12</v>
      </c>
      <c r="M69" s="10" t="s">
        <v>196</v>
      </c>
    </row>
    <row r="70" spans="1:13" x14ac:dyDescent="0.25">
      <c r="A70" s="13" t="str">
        <f t="shared" si="2"/>
        <v>50714274240</v>
      </c>
      <c r="B70" s="10">
        <v>1004052625</v>
      </c>
      <c r="C70" s="10">
        <v>507142742</v>
      </c>
      <c r="D70" s="10">
        <v>40</v>
      </c>
      <c r="E70" s="10" t="s">
        <v>10</v>
      </c>
      <c r="F70" s="10">
        <v>1437142</v>
      </c>
      <c r="G70" s="10" t="s">
        <v>145</v>
      </c>
      <c r="H70" s="11">
        <v>27661</v>
      </c>
      <c r="I70" s="10">
        <v>0</v>
      </c>
      <c r="J70" s="11">
        <f t="shared" si="3"/>
        <v>27661</v>
      </c>
      <c r="K70" s="12">
        <f>VLOOKUP(A70,[3]VA05!$A:$K,11,FALSE)</f>
        <v>45580</v>
      </c>
      <c r="L70" s="10" t="s">
        <v>12</v>
      </c>
      <c r="M70" s="10" t="s">
        <v>194</v>
      </c>
    </row>
    <row r="71" spans="1:13" x14ac:dyDescent="0.25">
      <c r="A71" s="13" t="str">
        <f t="shared" si="2"/>
        <v>50714274270</v>
      </c>
      <c r="B71" s="10">
        <v>1004052626</v>
      </c>
      <c r="C71" s="10">
        <v>507142742</v>
      </c>
      <c r="D71" s="10">
        <v>70</v>
      </c>
      <c r="E71" s="10" t="s">
        <v>10</v>
      </c>
      <c r="F71" s="10">
        <v>1437142</v>
      </c>
      <c r="G71" s="10" t="s">
        <v>145</v>
      </c>
      <c r="H71" s="11">
        <v>27661</v>
      </c>
      <c r="I71" s="10">
        <v>0</v>
      </c>
      <c r="J71" s="11">
        <f t="shared" si="3"/>
        <v>27661</v>
      </c>
      <c r="K71" s="12">
        <f>VLOOKUP(A71,[3]VA05!$A:$K,11,FALSE)</f>
        <v>45587</v>
      </c>
      <c r="L71" s="10" t="s">
        <v>12</v>
      </c>
      <c r="M71" s="10" t="s">
        <v>179</v>
      </c>
    </row>
    <row r="72" spans="1:13" x14ac:dyDescent="0.25">
      <c r="A72" s="13" t="str">
        <f t="shared" si="2"/>
        <v>507142742100</v>
      </c>
      <c r="B72" s="10">
        <v>1004052627</v>
      </c>
      <c r="C72" s="10">
        <v>507142742</v>
      </c>
      <c r="D72" s="10">
        <v>100</v>
      </c>
      <c r="E72" s="10" t="s">
        <v>10</v>
      </c>
      <c r="F72" s="10">
        <v>1437142</v>
      </c>
      <c r="G72" s="10" t="s">
        <v>145</v>
      </c>
      <c r="H72" s="11">
        <v>27661</v>
      </c>
      <c r="I72" s="10">
        <v>0</v>
      </c>
      <c r="J72" s="11">
        <f t="shared" si="3"/>
        <v>27661</v>
      </c>
      <c r="K72" s="12" t="e">
        <f>VLOOKUP(A72,[3]VA05!$A:$K,11,FALSE)</f>
        <v>#N/A</v>
      </c>
      <c r="L72" s="10" t="s">
        <v>12</v>
      </c>
      <c r="M72" s="10" t="s">
        <v>109</v>
      </c>
    </row>
    <row r="73" spans="1:13" x14ac:dyDescent="0.25">
      <c r="A73" s="13" t="str">
        <f t="shared" si="2"/>
        <v>50714274210</v>
      </c>
      <c r="B73" s="10">
        <v>1004054341</v>
      </c>
      <c r="C73" s="10">
        <v>507142742</v>
      </c>
      <c r="D73" s="10">
        <v>10</v>
      </c>
      <c r="E73" s="10" t="s">
        <v>10</v>
      </c>
      <c r="F73" s="10">
        <v>1437142</v>
      </c>
      <c r="G73" s="10" t="s">
        <v>145</v>
      </c>
      <c r="H73" s="11">
        <v>27661</v>
      </c>
      <c r="I73" s="11">
        <v>11900</v>
      </c>
      <c r="J73" s="11">
        <f t="shared" si="3"/>
        <v>15761</v>
      </c>
      <c r="K73" s="12">
        <f>VLOOKUP(A73,[3]VA05!$A:$K,11,FALSE)</f>
        <v>45575</v>
      </c>
      <c r="L73" s="10" t="s">
        <v>11</v>
      </c>
      <c r="M73" s="10" t="s">
        <v>155</v>
      </c>
    </row>
    <row r="74" spans="1:13" x14ac:dyDescent="0.25">
      <c r="A74" s="13" t="str">
        <f t="shared" si="2"/>
        <v>50714268230</v>
      </c>
      <c r="B74" s="10">
        <v>1004059556</v>
      </c>
      <c r="C74" s="10">
        <v>507142682</v>
      </c>
      <c r="D74" s="10">
        <v>30</v>
      </c>
      <c r="E74" s="10" t="s">
        <v>10</v>
      </c>
      <c r="F74" s="10">
        <v>1440080</v>
      </c>
      <c r="G74" s="10" t="s">
        <v>247</v>
      </c>
      <c r="H74" s="11">
        <v>10524</v>
      </c>
      <c r="I74" s="10">
        <v>0</v>
      </c>
      <c r="J74" s="11">
        <f t="shared" si="3"/>
        <v>10524</v>
      </c>
      <c r="K74" s="12">
        <f>VLOOKUP(A74,[3]VA05!$A:$K,11,FALSE)</f>
        <v>45595</v>
      </c>
      <c r="L74" s="10" t="s">
        <v>12</v>
      </c>
      <c r="M74" s="10" t="s">
        <v>176</v>
      </c>
    </row>
    <row r="75" spans="1:13" x14ac:dyDescent="0.25">
      <c r="A75" s="13" t="str">
        <f t="shared" si="2"/>
        <v>50714242450</v>
      </c>
      <c r="B75" s="10">
        <v>1004019633</v>
      </c>
      <c r="C75" s="10">
        <v>507142424</v>
      </c>
      <c r="D75" s="10">
        <v>50</v>
      </c>
      <c r="E75" s="10" t="s">
        <v>10</v>
      </c>
      <c r="F75" s="10">
        <v>1212309</v>
      </c>
      <c r="G75" s="10" t="s">
        <v>16</v>
      </c>
      <c r="H75" s="11">
        <v>30725</v>
      </c>
      <c r="I75" s="10">
        <v>0</v>
      </c>
      <c r="J75" s="11">
        <f t="shared" si="3"/>
        <v>30725</v>
      </c>
      <c r="K75" s="12" t="e">
        <f>VLOOKUP(A75,[3]VA05!$A:$K,11,FALSE)</f>
        <v>#N/A</v>
      </c>
      <c r="L75" s="10" t="s">
        <v>12</v>
      </c>
      <c r="M75" s="10" t="s">
        <v>82</v>
      </c>
    </row>
    <row r="76" spans="1:13" x14ac:dyDescent="0.25">
      <c r="A76" s="13" t="str">
        <f t="shared" si="2"/>
        <v>50714274220</v>
      </c>
      <c r="B76" s="10">
        <v>1004052511</v>
      </c>
      <c r="C76" s="10">
        <v>507142742</v>
      </c>
      <c r="D76" s="10">
        <v>20</v>
      </c>
      <c r="E76" s="10" t="s">
        <v>10</v>
      </c>
      <c r="F76" s="10">
        <v>1209351</v>
      </c>
      <c r="G76" s="10" t="s">
        <v>135</v>
      </c>
      <c r="H76" s="11">
        <v>25576</v>
      </c>
      <c r="I76" s="11">
        <v>2837</v>
      </c>
      <c r="J76" s="11">
        <f t="shared" si="3"/>
        <v>22739</v>
      </c>
      <c r="K76" s="12">
        <f>VLOOKUP(A76,[3]VA05!$A:$K,11,FALSE)</f>
        <v>45575</v>
      </c>
      <c r="L76" s="10" t="s">
        <v>18</v>
      </c>
      <c r="M76" s="10" t="s">
        <v>197</v>
      </c>
    </row>
    <row r="77" spans="1:13" x14ac:dyDescent="0.25">
      <c r="A77" s="13" t="str">
        <f t="shared" si="2"/>
        <v>50714274250</v>
      </c>
      <c r="B77" s="10">
        <v>1004052512</v>
      </c>
      <c r="C77" s="10">
        <v>507142742</v>
      </c>
      <c r="D77" s="10">
        <v>50</v>
      </c>
      <c r="E77" s="10" t="s">
        <v>10</v>
      </c>
      <c r="F77" s="10">
        <v>1209351</v>
      </c>
      <c r="G77" s="10" t="s">
        <v>135</v>
      </c>
      <c r="H77" s="11">
        <v>25576</v>
      </c>
      <c r="I77" s="10">
        <v>0</v>
      </c>
      <c r="J77" s="11">
        <f t="shared" si="3"/>
        <v>25576</v>
      </c>
      <c r="K77" s="12">
        <f>VLOOKUP(A77,[3]VA05!$A:$K,11,FALSE)</f>
        <v>45580</v>
      </c>
      <c r="L77" s="10" t="s">
        <v>12</v>
      </c>
      <c r="M77" s="10" t="s">
        <v>192</v>
      </c>
    </row>
    <row r="78" spans="1:13" x14ac:dyDescent="0.25">
      <c r="A78" s="13" t="str">
        <f t="shared" si="2"/>
        <v>50714274280</v>
      </c>
      <c r="B78" s="10">
        <v>1004052513</v>
      </c>
      <c r="C78" s="10">
        <v>507142742</v>
      </c>
      <c r="D78" s="10">
        <v>80</v>
      </c>
      <c r="E78" s="10" t="s">
        <v>10</v>
      </c>
      <c r="F78" s="10">
        <v>1209351</v>
      </c>
      <c r="G78" s="10" t="s">
        <v>135</v>
      </c>
      <c r="H78" s="11">
        <v>25576</v>
      </c>
      <c r="I78" s="10">
        <v>0</v>
      </c>
      <c r="J78" s="11">
        <f t="shared" si="3"/>
        <v>25576</v>
      </c>
      <c r="K78" s="12">
        <f>VLOOKUP(A78,[3]VA05!$A:$K,11,FALSE)</f>
        <v>45587</v>
      </c>
      <c r="L78" s="10" t="s">
        <v>12</v>
      </c>
      <c r="M78" s="10" t="s">
        <v>176</v>
      </c>
    </row>
    <row r="79" spans="1:13" x14ac:dyDescent="0.25">
      <c r="A79" s="13" t="str">
        <f t="shared" si="2"/>
        <v>507142742110</v>
      </c>
      <c r="B79" s="10">
        <v>1004052514</v>
      </c>
      <c r="C79" s="10">
        <v>507142742</v>
      </c>
      <c r="D79" s="10">
        <v>110</v>
      </c>
      <c r="E79" s="10" t="s">
        <v>10</v>
      </c>
      <c r="F79" s="10">
        <v>1209351</v>
      </c>
      <c r="G79" s="10" t="s">
        <v>135</v>
      </c>
      <c r="H79" s="11">
        <v>25576</v>
      </c>
      <c r="I79" s="10">
        <v>0</v>
      </c>
      <c r="J79" s="11">
        <f t="shared" si="3"/>
        <v>25576</v>
      </c>
      <c r="K79" s="12" t="e">
        <f>VLOOKUP(A79,[3]VA05!$A:$K,11,FALSE)</f>
        <v>#N/A</v>
      </c>
      <c r="L79" s="10" t="s">
        <v>12</v>
      </c>
      <c r="M79" s="10" t="s">
        <v>198</v>
      </c>
    </row>
    <row r="80" spans="1:13" x14ac:dyDescent="0.25">
      <c r="A80" s="13" t="str">
        <f t="shared" si="2"/>
        <v>50900099220</v>
      </c>
      <c r="B80" s="10">
        <v>1004021332</v>
      </c>
      <c r="C80" s="10">
        <v>509000992</v>
      </c>
      <c r="D80" s="10">
        <v>20</v>
      </c>
      <c r="E80" s="10" t="s">
        <v>10</v>
      </c>
      <c r="F80" s="10">
        <v>1279716</v>
      </c>
      <c r="G80" s="10" t="s">
        <v>54</v>
      </c>
      <c r="H80" s="11">
        <v>10299</v>
      </c>
      <c r="I80" s="10">
        <v>0</v>
      </c>
      <c r="J80" s="11">
        <f t="shared" si="3"/>
        <v>10299</v>
      </c>
      <c r="K80" s="12" t="e">
        <f>VLOOKUP(A80,[3]VA05!$A:$K,11,FALSE)</f>
        <v>#N/A</v>
      </c>
      <c r="L80" s="10" t="s">
        <v>25</v>
      </c>
      <c r="M80" s="10" t="s">
        <v>66</v>
      </c>
    </row>
    <row r="81" spans="1:13" x14ac:dyDescent="0.25">
      <c r="A81" s="13" t="str">
        <f t="shared" si="2"/>
        <v>50714242410</v>
      </c>
      <c r="B81" s="10">
        <v>1004019563</v>
      </c>
      <c r="C81" s="10">
        <v>507142424</v>
      </c>
      <c r="D81" s="10">
        <v>10</v>
      </c>
      <c r="E81" s="10" t="s">
        <v>10</v>
      </c>
      <c r="F81" s="10">
        <v>1212320</v>
      </c>
      <c r="G81" s="10" t="s">
        <v>17</v>
      </c>
      <c r="H81" s="11">
        <v>19568</v>
      </c>
      <c r="I81" s="10">
        <v>0</v>
      </c>
      <c r="J81" s="11">
        <f t="shared" si="3"/>
        <v>19568</v>
      </c>
      <c r="K81" s="12" t="e">
        <f>VLOOKUP(A81,[3]VA05!$A:$K,11,FALSE)</f>
        <v>#N/A</v>
      </c>
      <c r="L81" s="10" t="s">
        <v>239</v>
      </c>
      <c r="M81" s="10" t="s">
        <v>72</v>
      </c>
    </row>
    <row r="82" spans="1:13" x14ac:dyDescent="0.25">
      <c r="A82" s="13" t="str">
        <f t="shared" si="2"/>
        <v>50714242430</v>
      </c>
      <c r="B82" s="10">
        <v>1004019564</v>
      </c>
      <c r="C82" s="10">
        <v>507142424</v>
      </c>
      <c r="D82" s="10">
        <v>30</v>
      </c>
      <c r="E82" s="10" t="s">
        <v>10</v>
      </c>
      <c r="F82" s="10">
        <v>1212320</v>
      </c>
      <c r="G82" s="10" t="s">
        <v>17</v>
      </c>
      <c r="H82" s="11">
        <v>19568</v>
      </c>
      <c r="I82" s="10">
        <v>0</v>
      </c>
      <c r="J82" s="11">
        <f t="shared" si="3"/>
        <v>19568</v>
      </c>
      <c r="K82" s="12" t="e">
        <f>VLOOKUP(A82,[3]VA05!$A:$K,11,FALSE)</f>
        <v>#N/A</v>
      </c>
      <c r="L82" s="10" t="s">
        <v>13</v>
      </c>
      <c r="M82" s="10" t="s">
        <v>69</v>
      </c>
    </row>
    <row r="83" spans="1:13" x14ac:dyDescent="0.25">
      <c r="A83" s="13" t="str">
        <f t="shared" si="2"/>
        <v>50714242450</v>
      </c>
      <c r="B83" s="10">
        <v>1004019566</v>
      </c>
      <c r="C83" s="10">
        <v>507142424</v>
      </c>
      <c r="D83" s="10">
        <v>50</v>
      </c>
      <c r="E83" s="10" t="s">
        <v>10</v>
      </c>
      <c r="F83" s="10">
        <v>1212320</v>
      </c>
      <c r="G83" s="10" t="s">
        <v>17</v>
      </c>
      <c r="H83" s="11">
        <v>30725</v>
      </c>
      <c r="I83" s="10">
        <v>0</v>
      </c>
      <c r="J83" s="11">
        <f t="shared" si="3"/>
        <v>30725</v>
      </c>
      <c r="K83" s="12" t="e">
        <f>VLOOKUP(A83,[3]VA05!$A:$K,11,FALSE)</f>
        <v>#N/A</v>
      </c>
      <c r="L83" s="10" t="s">
        <v>13</v>
      </c>
      <c r="M83" s="10" t="s">
        <v>73</v>
      </c>
    </row>
    <row r="84" spans="1:13" x14ac:dyDescent="0.25">
      <c r="A84" s="13" t="str">
        <f t="shared" si="2"/>
        <v>50714274220</v>
      </c>
      <c r="B84" s="10">
        <v>1004052428</v>
      </c>
      <c r="C84" s="10">
        <v>507142742</v>
      </c>
      <c r="D84" s="10">
        <v>20</v>
      </c>
      <c r="E84" s="10" t="s">
        <v>10</v>
      </c>
      <c r="F84" s="10">
        <v>1437172</v>
      </c>
      <c r="G84" s="10" t="s">
        <v>123</v>
      </c>
      <c r="H84" s="11">
        <v>25576</v>
      </c>
      <c r="I84" s="11">
        <v>7183</v>
      </c>
      <c r="J84" s="11">
        <f t="shared" si="3"/>
        <v>18393</v>
      </c>
      <c r="K84" s="12">
        <f>VLOOKUP(A84,[3]VA05!$A:$K,11,FALSE)</f>
        <v>45575</v>
      </c>
      <c r="L84" s="10" t="s">
        <v>18</v>
      </c>
      <c r="M84" s="10" t="s">
        <v>197</v>
      </c>
    </row>
    <row r="85" spans="1:13" x14ac:dyDescent="0.25">
      <c r="A85" s="13" t="str">
        <f t="shared" si="2"/>
        <v>50714274280</v>
      </c>
      <c r="B85" s="10">
        <v>1004052509</v>
      </c>
      <c r="C85" s="10">
        <v>507142742</v>
      </c>
      <c r="D85" s="10">
        <v>80</v>
      </c>
      <c r="E85" s="10" t="s">
        <v>10</v>
      </c>
      <c r="F85" s="10">
        <v>1437172</v>
      </c>
      <c r="G85" s="10" t="s">
        <v>123</v>
      </c>
      <c r="H85" s="11">
        <v>25576</v>
      </c>
      <c r="I85" s="10">
        <v>0</v>
      </c>
      <c r="J85" s="11">
        <f t="shared" si="3"/>
        <v>25576</v>
      </c>
      <c r="K85" s="12">
        <f>VLOOKUP(A85,[3]VA05!$A:$K,11,FALSE)</f>
        <v>45587</v>
      </c>
      <c r="L85" s="10" t="s">
        <v>12</v>
      </c>
      <c r="M85" s="10" t="s">
        <v>176</v>
      </c>
    </row>
    <row r="86" spans="1:13" x14ac:dyDescent="0.25">
      <c r="A86" s="13" t="str">
        <f t="shared" si="2"/>
        <v>507142742110</v>
      </c>
      <c r="B86" s="10">
        <v>1004052510</v>
      </c>
      <c r="C86" s="10">
        <v>507142742</v>
      </c>
      <c r="D86" s="10">
        <v>110</v>
      </c>
      <c r="E86" s="10" t="s">
        <v>10</v>
      </c>
      <c r="F86" s="10">
        <v>1437172</v>
      </c>
      <c r="G86" s="10" t="s">
        <v>123</v>
      </c>
      <c r="H86" s="11">
        <v>25576</v>
      </c>
      <c r="I86" s="10">
        <v>0</v>
      </c>
      <c r="J86" s="11">
        <f t="shared" si="3"/>
        <v>25576</v>
      </c>
      <c r="K86" s="12" t="e">
        <f>VLOOKUP(A86,[3]VA05!$A:$K,11,FALSE)</f>
        <v>#N/A</v>
      </c>
      <c r="L86" s="10" t="s">
        <v>12</v>
      </c>
      <c r="M86" s="10" t="s">
        <v>198</v>
      </c>
    </row>
    <row r="87" spans="1:13" x14ac:dyDescent="0.25">
      <c r="A87" s="13" t="str">
        <f t="shared" si="2"/>
        <v>50900099220</v>
      </c>
      <c r="B87" s="10">
        <v>1004016985</v>
      </c>
      <c r="C87" s="10">
        <v>509000992</v>
      </c>
      <c r="D87" s="10">
        <v>20</v>
      </c>
      <c r="E87" s="10" t="s">
        <v>10</v>
      </c>
      <c r="F87" s="10">
        <v>1279713</v>
      </c>
      <c r="G87" s="10" t="s">
        <v>55</v>
      </c>
      <c r="H87" s="11">
        <v>10299</v>
      </c>
      <c r="I87" s="10">
        <v>0</v>
      </c>
      <c r="J87" s="11">
        <f t="shared" si="3"/>
        <v>10299</v>
      </c>
      <c r="K87" s="12" t="e">
        <f>VLOOKUP(A87,[3]VA05!$A:$K,11,FALSE)</f>
        <v>#N/A</v>
      </c>
      <c r="L87" s="10" t="s">
        <v>13</v>
      </c>
      <c r="M87" s="10" t="s">
        <v>58</v>
      </c>
    </row>
    <row r="88" spans="1:13" x14ac:dyDescent="0.25">
      <c r="A88" s="13" t="str">
        <f t="shared" si="2"/>
        <v>50900099320</v>
      </c>
      <c r="B88" s="10">
        <v>1004016986</v>
      </c>
      <c r="C88" s="10">
        <v>509000993</v>
      </c>
      <c r="D88" s="10">
        <v>20</v>
      </c>
      <c r="E88" s="10" t="s">
        <v>10</v>
      </c>
      <c r="F88" s="10">
        <v>1279713</v>
      </c>
      <c r="G88" s="10" t="s">
        <v>55</v>
      </c>
      <c r="H88" s="11">
        <v>3262</v>
      </c>
      <c r="I88" s="10">
        <v>0</v>
      </c>
      <c r="J88" s="11">
        <f t="shared" si="3"/>
        <v>3262</v>
      </c>
      <c r="K88" s="12" t="e">
        <f>VLOOKUP(A88,[3]VA05!$A:$K,11,FALSE)</f>
        <v>#N/A</v>
      </c>
      <c r="L88" s="10" t="s">
        <v>12</v>
      </c>
      <c r="M88" s="10" t="s">
        <v>50</v>
      </c>
    </row>
    <row r="89" spans="1:13" x14ac:dyDescent="0.25">
      <c r="A89" s="13" t="str">
        <f t="shared" si="2"/>
        <v>50714274240</v>
      </c>
      <c r="B89" s="10">
        <v>1004049969</v>
      </c>
      <c r="C89" s="10">
        <v>507142742</v>
      </c>
      <c r="D89" s="10">
        <v>40</v>
      </c>
      <c r="E89" s="10" t="s">
        <v>10</v>
      </c>
      <c r="F89" s="10">
        <v>1209336</v>
      </c>
      <c r="G89" s="10" t="s">
        <v>124</v>
      </c>
      <c r="H89" s="11">
        <v>25576</v>
      </c>
      <c r="I89" s="11">
        <v>1312</v>
      </c>
      <c r="J89" s="11">
        <f t="shared" si="3"/>
        <v>24264</v>
      </c>
      <c r="K89" s="12">
        <f>VLOOKUP(A89,[3]VA05!$A:$K,11,FALSE)</f>
        <v>45580</v>
      </c>
      <c r="L89" s="10" t="s">
        <v>18</v>
      </c>
      <c r="M89" s="10" t="s">
        <v>157</v>
      </c>
    </row>
    <row r="90" spans="1:13" x14ac:dyDescent="0.25">
      <c r="A90" s="13" t="str">
        <f t="shared" si="2"/>
        <v>50714274270</v>
      </c>
      <c r="B90" s="10">
        <v>1004052425</v>
      </c>
      <c r="C90" s="10">
        <v>507142742</v>
      </c>
      <c r="D90" s="10">
        <v>70</v>
      </c>
      <c r="E90" s="10" t="s">
        <v>10</v>
      </c>
      <c r="F90" s="10">
        <v>1209336</v>
      </c>
      <c r="G90" s="10" t="s">
        <v>124</v>
      </c>
      <c r="H90" s="11">
        <v>25576</v>
      </c>
      <c r="I90" s="10">
        <v>0</v>
      </c>
      <c r="J90" s="11">
        <f t="shared" si="3"/>
        <v>25576</v>
      </c>
      <c r="K90" s="12">
        <f>VLOOKUP(A90,[3]VA05!$A:$K,11,FALSE)</f>
        <v>45587</v>
      </c>
      <c r="L90" s="10" t="s">
        <v>12</v>
      </c>
      <c r="M90" s="10" t="s">
        <v>199</v>
      </c>
    </row>
    <row r="91" spans="1:13" x14ac:dyDescent="0.25">
      <c r="A91" s="13" t="str">
        <f t="shared" si="2"/>
        <v>507142742100</v>
      </c>
      <c r="B91" s="10">
        <v>1004052426</v>
      </c>
      <c r="C91" s="10">
        <v>507142742</v>
      </c>
      <c r="D91" s="10">
        <v>100</v>
      </c>
      <c r="E91" s="10" t="s">
        <v>10</v>
      </c>
      <c r="F91" s="10">
        <v>1209336</v>
      </c>
      <c r="G91" s="10" t="s">
        <v>124</v>
      </c>
      <c r="H91" s="11">
        <v>25576</v>
      </c>
      <c r="I91" s="10">
        <v>0</v>
      </c>
      <c r="J91" s="11">
        <f t="shared" si="3"/>
        <v>25576</v>
      </c>
      <c r="K91" s="12" t="e">
        <f>VLOOKUP(A91,[3]VA05!$A:$K,11,FALSE)</f>
        <v>#N/A</v>
      </c>
      <c r="L91" s="10" t="s">
        <v>12</v>
      </c>
      <c r="M91" s="10" t="s">
        <v>200</v>
      </c>
    </row>
    <row r="92" spans="1:13" x14ac:dyDescent="0.25">
      <c r="A92" s="13" t="str">
        <f t="shared" si="2"/>
        <v>50714246960</v>
      </c>
      <c r="B92" s="10">
        <v>1004016982</v>
      </c>
      <c r="C92" s="10">
        <v>507142469</v>
      </c>
      <c r="D92" s="10">
        <v>60</v>
      </c>
      <c r="E92" s="10" t="s">
        <v>10</v>
      </c>
      <c r="F92" s="10">
        <v>1212321</v>
      </c>
      <c r="G92" s="10" t="s">
        <v>30</v>
      </c>
      <c r="H92" s="11">
        <v>71577</v>
      </c>
      <c r="I92" s="11">
        <v>8540</v>
      </c>
      <c r="J92" s="11">
        <f t="shared" si="3"/>
        <v>63037</v>
      </c>
      <c r="K92" s="12" t="e">
        <f>VLOOKUP(A92,[3]VA05!$A:$K,11,FALSE)</f>
        <v>#N/A</v>
      </c>
      <c r="L92" s="10" t="s">
        <v>18</v>
      </c>
      <c r="M92" s="10" t="s">
        <v>49</v>
      </c>
    </row>
    <row r="93" spans="1:13" x14ac:dyDescent="0.25">
      <c r="A93" s="13" t="str">
        <f t="shared" si="2"/>
        <v>50714274230</v>
      </c>
      <c r="B93" s="10">
        <v>1004052421</v>
      </c>
      <c r="C93" s="10">
        <v>507142742</v>
      </c>
      <c r="D93" s="10">
        <v>30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>
        <f>VLOOKUP(A93,[3]VA05!$A:$K,11,FALSE)</f>
        <v>45575</v>
      </c>
      <c r="L93" s="10" t="s">
        <v>12</v>
      </c>
      <c r="M93" s="10" t="s">
        <v>197</v>
      </c>
    </row>
    <row r="94" spans="1:13" x14ac:dyDescent="0.25">
      <c r="A94" s="13" t="str">
        <f t="shared" si="2"/>
        <v>50714274260</v>
      </c>
      <c r="B94" s="10">
        <v>1004052422</v>
      </c>
      <c r="C94" s="10">
        <v>507142742</v>
      </c>
      <c r="D94" s="10">
        <v>60</v>
      </c>
      <c r="E94" s="10" t="s">
        <v>10</v>
      </c>
      <c r="F94" s="10">
        <v>1209347</v>
      </c>
      <c r="G94" s="10" t="s">
        <v>136</v>
      </c>
      <c r="H94" s="11">
        <v>25576</v>
      </c>
      <c r="I94" s="10">
        <v>0</v>
      </c>
      <c r="J94" s="11">
        <f t="shared" si="3"/>
        <v>25576</v>
      </c>
      <c r="K94" s="12">
        <f>VLOOKUP(A94,[3]VA05!$A:$K,11,FALSE)</f>
        <v>45580</v>
      </c>
      <c r="L94" s="10" t="s">
        <v>12</v>
      </c>
      <c r="M94" s="10" t="s">
        <v>192</v>
      </c>
    </row>
    <row r="95" spans="1:13" x14ac:dyDescent="0.25">
      <c r="A95" s="13" t="str">
        <f t="shared" si="2"/>
        <v>50714274290</v>
      </c>
      <c r="B95" s="10">
        <v>1004052423</v>
      </c>
      <c r="C95" s="10">
        <v>507142742</v>
      </c>
      <c r="D95" s="10">
        <v>90</v>
      </c>
      <c r="E95" s="10" t="s">
        <v>10</v>
      </c>
      <c r="F95" s="10">
        <v>1209347</v>
      </c>
      <c r="G95" s="10" t="s">
        <v>136</v>
      </c>
      <c r="H95" s="11">
        <v>25576</v>
      </c>
      <c r="I95" s="10">
        <v>0</v>
      </c>
      <c r="J95" s="11">
        <f t="shared" si="3"/>
        <v>25576</v>
      </c>
      <c r="K95" s="12">
        <f>VLOOKUP(A95,[3]VA05!$A:$K,11,FALSE)</f>
        <v>45587</v>
      </c>
      <c r="L95" s="10" t="s">
        <v>12</v>
      </c>
      <c r="M95" s="10" t="s">
        <v>176</v>
      </c>
    </row>
    <row r="96" spans="1:13" x14ac:dyDescent="0.25">
      <c r="A96" s="13" t="str">
        <f t="shared" si="2"/>
        <v>507142742120</v>
      </c>
      <c r="B96" s="10">
        <v>1004052424</v>
      </c>
      <c r="C96" s="10">
        <v>507142742</v>
      </c>
      <c r="D96" s="10">
        <v>120</v>
      </c>
      <c r="E96" s="10" t="s">
        <v>10</v>
      </c>
      <c r="F96" s="10">
        <v>1209347</v>
      </c>
      <c r="G96" s="10" t="s">
        <v>136</v>
      </c>
      <c r="H96" s="11">
        <v>25576</v>
      </c>
      <c r="I96" s="10">
        <v>0</v>
      </c>
      <c r="J96" s="11">
        <f t="shared" si="3"/>
        <v>25576</v>
      </c>
      <c r="K96" s="12" t="e">
        <f>VLOOKUP(A96,[3]VA05!$A:$K,11,FALSE)</f>
        <v>#N/A</v>
      </c>
      <c r="L96" s="10" t="s">
        <v>12</v>
      </c>
      <c r="M96" s="10" t="s">
        <v>198</v>
      </c>
    </row>
    <row r="97" spans="1:13" hidden="1" x14ac:dyDescent="0.25">
      <c r="A97" s="13" t="str">
        <f t="shared" si="2"/>
        <v>50714203150</v>
      </c>
      <c r="B97" s="10">
        <v>1003958713</v>
      </c>
      <c r="C97" s="10">
        <v>507142031</v>
      </c>
      <c r="D97" s="10">
        <v>50</v>
      </c>
      <c r="E97" s="10" t="s">
        <v>10</v>
      </c>
      <c r="F97" s="10">
        <v>1409882</v>
      </c>
      <c r="G97" s="10" t="s">
        <v>39</v>
      </c>
      <c r="H97" s="11">
        <v>45777</v>
      </c>
      <c r="I97" s="10">
        <v>0</v>
      </c>
      <c r="J97" s="11">
        <f t="shared" si="3"/>
        <v>45777</v>
      </c>
      <c r="K97" s="12" t="e">
        <f>VLOOKUP(A97,[3]VA05!$A:$K,11,FALSE)</f>
        <v>#N/A</v>
      </c>
      <c r="L97" s="10" t="s">
        <v>260</v>
      </c>
      <c r="M97" s="10" t="s">
        <v>269</v>
      </c>
    </row>
    <row r="98" spans="1:13" x14ac:dyDescent="0.25">
      <c r="A98" s="13" t="str">
        <f t="shared" si="2"/>
        <v>50714273910</v>
      </c>
      <c r="B98" s="10">
        <v>1004051713</v>
      </c>
      <c r="C98" s="10">
        <v>507142739</v>
      </c>
      <c r="D98" s="10">
        <v>10</v>
      </c>
      <c r="E98" s="10" t="s">
        <v>10</v>
      </c>
      <c r="F98" s="10">
        <v>1409882</v>
      </c>
      <c r="G98" s="10" t="s">
        <v>39</v>
      </c>
      <c r="H98" s="11">
        <v>22415</v>
      </c>
      <c r="I98" s="11">
        <v>16029</v>
      </c>
      <c r="J98" s="11">
        <f t="shared" si="3"/>
        <v>6386</v>
      </c>
      <c r="K98" s="12">
        <f>VLOOKUP(A98,[3]VA05!$A:$K,11,FALSE)</f>
        <v>45568</v>
      </c>
      <c r="L98" s="10" t="s">
        <v>18</v>
      </c>
      <c r="M98" s="10" t="s">
        <v>61</v>
      </c>
    </row>
    <row r="99" spans="1:13" x14ac:dyDescent="0.25">
      <c r="A99" s="13" t="str">
        <f t="shared" si="2"/>
        <v>50714273920</v>
      </c>
      <c r="B99" s="10">
        <v>1004051714</v>
      </c>
      <c r="C99" s="10">
        <v>507142739</v>
      </c>
      <c r="D99" s="10">
        <v>20</v>
      </c>
      <c r="E99" s="10" t="s">
        <v>10</v>
      </c>
      <c r="F99" s="10">
        <v>1409882</v>
      </c>
      <c r="G99" s="10" t="s">
        <v>39</v>
      </c>
      <c r="H99" s="11">
        <v>51460</v>
      </c>
      <c r="I99" s="10">
        <v>0</v>
      </c>
      <c r="J99" s="11">
        <f t="shared" si="3"/>
        <v>51460</v>
      </c>
      <c r="K99" s="12">
        <f>VLOOKUP(A99,[3]VA05!$A:$K,11,FALSE)</f>
        <v>45573</v>
      </c>
      <c r="L99" s="10" t="s">
        <v>12</v>
      </c>
      <c r="M99" s="10" t="s">
        <v>97</v>
      </c>
    </row>
    <row r="100" spans="1:13" x14ac:dyDescent="0.25">
      <c r="A100" s="13" t="str">
        <f t="shared" si="2"/>
        <v>50714273920</v>
      </c>
      <c r="B100" s="10">
        <v>1004056941</v>
      </c>
      <c r="C100" s="10">
        <v>507142739</v>
      </c>
      <c r="D100" s="10">
        <v>20</v>
      </c>
      <c r="E100" s="10" t="s">
        <v>10</v>
      </c>
      <c r="F100" s="10">
        <v>1409883</v>
      </c>
      <c r="G100" s="10" t="s">
        <v>40</v>
      </c>
      <c r="H100" s="11">
        <v>54066</v>
      </c>
      <c r="I100" s="11">
        <v>43302</v>
      </c>
      <c r="J100" s="11">
        <f t="shared" si="3"/>
        <v>10764</v>
      </c>
      <c r="K100" s="12">
        <f>VLOOKUP(A100,[3]VA05!$A:$K,11,FALSE)</f>
        <v>45573</v>
      </c>
      <c r="L100" s="10" t="s">
        <v>11</v>
      </c>
      <c r="M100" s="10" t="s">
        <v>194</v>
      </c>
    </row>
    <row r="101" spans="1:13" x14ac:dyDescent="0.25">
      <c r="A101" s="13" t="str">
        <f t="shared" si="2"/>
        <v>50714273930</v>
      </c>
      <c r="B101" s="10">
        <v>1004057977</v>
      </c>
      <c r="C101" s="10">
        <v>507142739</v>
      </c>
      <c r="D101" s="10">
        <v>30</v>
      </c>
      <c r="E101" s="10" t="s">
        <v>10</v>
      </c>
      <c r="F101" s="10">
        <v>1409883</v>
      </c>
      <c r="G101" s="10" t="s">
        <v>40</v>
      </c>
      <c r="H101" s="11">
        <v>30185</v>
      </c>
      <c r="I101" s="10">
        <v>0</v>
      </c>
      <c r="J101" s="11">
        <f t="shared" si="3"/>
        <v>30185</v>
      </c>
      <c r="K101" s="12">
        <f>VLOOKUP(A101,[3]VA05!$A:$K,11,FALSE)</f>
        <v>45580</v>
      </c>
      <c r="L101" s="10" t="s">
        <v>119</v>
      </c>
      <c r="M101" s="10" t="s">
        <v>155</v>
      </c>
    </row>
    <row r="102" spans="1:13" x14ac:dyDescent="0.25">
      <c r="A102" s="13" t="str">
        <f t="shared" si="2"/>
        <v>50714278010</v>
      </c>
      <c r="B102" s="10">
        <v>1004058757</v>
      </c>
      <c r="C102" s="10">
        <v>507142780</v>
      </c>
      <c r="D102" s="10">
        <v>10</v>
      </c>
      <c r="E102" s="10" t="s">
        <v>10</v>
      </c>
      <c r="F102" s="10">
        <v>1409883</v>
      </c>
      <c r="G102" s="10" t="s">
        <v>40</v>
      </c>
      <c r="H102" s="11">
        <v>34165</v>
      </c>
      <c r="I102" s="10">
        <v>0</v>
      </c>
      <c r="J102" s="11">
        <f t="shared" si="3"/>
        <v>34165</v>
      </c>
      <c r="K102" s="12">
        <f>VLOOKUP(A102,[3]VA05!$A:$K,11,FALSE)</f>
        <v>45580</v>
      </c>
      <c r="L102" s="10" t="s">
        <v>12</v>
      </c>
      <c r="M102" s="10" t="s">
        <v>195</v>
      </c>
    </row>
    <row r="103" spans="1:13" x14ac:dyDescent="0.25">
      <c r="A103" s="13" t="str">
        <f t="shared" si="2"/>
        <v>50714278020</v>
      </c>
      <c r="B103" s="10">
        <v>1004058758</v>
      </c>
      <c r="C103" s="10">
        <v>507142780</v>
      </c>
      <c r="D103" s="10">
        <v>20</v>
      </c>
      <c r="E103" s="10" t="s">
        <v>10</v>
      </c>
      <c r="F103" s="10">
        <v>1409883</v>
      </c>
      <c r="G103" s="10" t="s">
        <v>40</v>
      </c>
      <c r="H103" s="11">
        <v>54066</v>
      </c>
      <c r="I103" s="10">
        <v>0</v>
      </c>
      <c r="J103" s="11">
        <f t="shared" si="3"/>
        <v>54066</v>
      </c>
      <c r="K103" s="12">
        <f>VLOOKUP(A103,[3]VA05!$A:$K,11,FALSE)</f>
        <v>45587</v>
      </c>
      <c r="L103" s="10" t="s">
        <v>12</v>
      </c>
      <c r="M103" s="10" t="s">
        <v>195</v>
      </c>
    </row>
    <row r="104" spans="1:13" x14ac:dyDescent="0.25">
      <c r="A104" s="13" t="str">
        <f t="shared" si="2"/>
        <v>50714278030</v>
      </c>
      <c r="B104" s="10">
        <v>1004058759</v>
      </c>
      <c r="C104" s="10">
        <v>507142780</v>
      </c>
      <c r="D104" s="10">
        <v>30</v>
      </c>
      <c r="E104" s="10" t="s">
        <v>10</v>
      </c>
      <c r="F104" s="10">
        <v>1409883</v>
      </c>
      <c r="G104" s="10" t="s">
        <v>40</v>
      </c>
      <c r="H104" s="11">
        <v>19571</v>
      </c>
      <c r="I104" s="10">
        <v>0</v>
      </c>
      <c r="J104" s="11">
        <f t="shared" si="3"/>
        <v>19571</v>
      </c>
      <c r="K104" s="12">
        <f>VLOOKUP(A104,[3]VA05!$A:$K,11,FALSE)</f>
        <v>45594</v>
      </c>
      <c r="L104" s="10" t="s">
        <v>12</v>
      </c>
      <c r="M104" s="10" t="s">
        <v>192</v>
      </c>
    </row>
    <row r="105" spans="1:13" hidden="1" x14ac:dyDescent="0.25">
      <c r="A105" s="13" t="str">
        <f t="shared" si="2"/>
        <v>50714276510</v>
      </c>
      <c r="B105" s="10">
        <v>1004051406</v>
      </c>
      <c r="C105" s="10">
        <v>507142765</v>
      </c>
      <c r="D105" s="10">
        <v>10</v>
      </c>
      <c r="E105" s="10" t="s">
        <v>10</v>
      </c>
      <c r="F105" s="10">
        <v>1398384</v>
      </c>
      <c r="G105" s="10" t="s">
        <v>168</v>
      </c>
      <c r="H105" s="11">
        <v>11422</v>
      </c>
      <c r="I105" s="11">
        <v>11422</v>
      </c>
      <c r="J105" s="11">
        <f t="shared" si="3"/>
        <v>0</v>
      </c>
      <c r="K105" s="12">
        <f>VLOOKUP(A105,[3]VA05!$A:$K,11,FALSE)</f>
        <v>45560</v>
      </c>
      <c r="L105" s="10" t="s">
        <v>34</v>
      </c>
      <c r="M105" s="10" t="s">
        <v>180</v>
      </c>
    </row>
    <row r="106" spans="1:13" x14ac:dyDescent="0.25">
      <c r="A106" s="13" t="str">
        <f t="shared" si="2"/>
        <v>50714276520</v>
      </c>
      <c r="B106" s="10">
        <v>1004051407</v>
      </c>
      <c r="C106" s="10">
        <v>507142765</v>
      </c>
      <c r="D106" s="10">
        <v>20</v>
      </c>
      <c r="E106" s="10" t="s">
        <v>10</v>
      </c>
      <c r="F106" s="10">
        <v>1398384</v>
      </c>
      <c r="G106" s="10" t="s">
        <v>168</v>
      </c>
      <c r="H106" s="11">
        <v>22842</v>
      </c>
      <c r="I106" s="11">
        <v>5216</v>
      </c>
      <c r="J106" s="11">
        <f t="shared" si="3"/>
        <v>17626</v>
      </c>
      <c r="K106" s="12" t="e">
        <f>VLOOKUP(A106,[3]VA05!$A:$K,11,FALSE)</f>
        <v>#N/A</v>
      </c>
      <c r="L106" s="10" t="s">
        <v>18</v>
      </c>
      <c r="M106" s="10" t="s">
        <v>197</v>
      </c>
    </row>
    <row r="107" spans="1:13" x14ac:dyDescent="0.25">
      <c r="A107" s="13" t="str">
        <f t="shared" si="2"/>
        <v>50714276530</v>
      </c>
      <c r="B107" s="10">
        <v>1004051408</v>
      </c>
      <c r="C107" s="10">
        <v>507142765</v>
      </c>
      <c r="D107" s="10">
        <v>30</v>
      </c>
      <c r="E107" s="10" t="s">
        <v>10</v>
      </c>
      <c r="F107" s="10">
        <v>1398384</v>
      </c>
      <c r="G107" s="10" t="s">
        <v>168</v>
      </c>
      <c r="H107" s="11">
        <v>34807</v>
      </c>
      <c r="I107" s="10">
        <v>0</v>
      </c>
      <c r="J107" s="11">
        <f t="shared" si="3"/>
        <v>34807</v>
      </c>
      <c r="K107" s="12">
        <f>VLOOKUP(A107,[3]VA05!$A:$K,11,FALSE)</f>
        <v>45569</v>
      </c>
      <c r="L107" s="10" t="s">
        <v>12</v>
      </c>
      <c r="M107" s="10" t="s">
        <v>143</v>
      </c>
    </row>
    <row r="108" spans="1:13" x14ac:dyDescent="0.25">
      <c r="A108" s="13" t="str">
        <f t="shared" si="2"/>
        <v>50714276540</v>
      </c>
      <c r="B108" s="10">
        <v>1004052528</v>
      </c>
      <c r="C108" s="10">
        <v>507142765</v>
      </c>
      <c r="D108" s="10">
        <v>40</v>
      </c>
      <c r="E108" s="10" t="s">
        <v>10</v>
      </c>
      <c r="F108" s="10">
        <v>1398384</v>
      </c>
      <c r="G108" s="10" t="s">
        <v>168</v>
      </c>
      <c r="H108" s="11">
        <v>35078</v>
      </c>
      <c r="I108" s="10">
        <v>0</v>
      </c>
      <c r="J108" s="11">
        <f t="shared" si="3"/>
        <v>35078</v>
      </c>
      <c r="K108" s="12">
        <f>VLOOKUP(A108,[3]VA05!$A:$K,11,FALSE)</f>
        <v>45576</v>
      </c>
      <c r="L108" s="10" t="s">
        <v>12</v>
      </c>
      <c r="M108" s="10" t="s">
        <v>195</v>
      </c>
    </row>
    <row r="109" spans="1:13" x14ac:dyDescent="0.25">
      <c r="A109" s="13" t="str">
        <f t="shared" si="2"/>
        <v>50714276550</v>
      </c>
      <c r="B109" s="10">
        <v>1004052529</v>
      </c>
      <c r="C109" s="10">
        <v>507142765</v>
      </c>
      <c r="D109" s="10">
        <v>50</v>
      </c>
      <c r="E109" s="10" t="s">
        <v>10</v>
      </c>
      <c r="F109" s="10">
        <v>1398384</v>
      </c>
      <c r="G109" s="10" t="s">
        <v>168</v>
      </c>
      <c r="H109" s="11">
        <v>45412</v>
      </c>
      <c r="I109" s="10">
        <v>0</v>
      </c>
      <c r="J109" s="11">
        <f t="shared" si="3"/>
        <v>45412</v>
      </c>
      <c r="K109" s="12">
        <f>VLOOKUP(A109,[3]VA05!$A:$K,11,FALSE)</f>
        <v>45583</v>
      </c>
      <c r="L109" s="10" t="s">
        <v>12</v>
      </c>
      <c r="M109" s="10" t="s">
        <v>194</v>
      </c>
    </row>
    <row r="110" spans="1:13" x14ac:dyDescent="0.25">
      <c r="A110" s="13" t="str">
        <f t="shared" si="2"/>
        <v>50714276560</v>
      </c>
      <c r="B110" s="10">
        <v>1004052530</v>
      </c>
      <c r="C110" s="10">
        <v>507142765</v>
      </c>
      <c r="D110" s="10">
        <v>60</v>
      </c>
      <c r="E110" s="10" t="s">
        <v>10</v>
      </c>
      <c r="F110" s="10">
        <v>1398384</v>
      </c>
      <c r="G110" s="10" t="s">
        <v>168</v>
      </c>
      <c r="H110" s="11">
        <v>45412</v>
      </c>
      <c r="I110" s="10">
        <v>0</v>
      </c>
      <c r="J110" s="11">
        <f t="shared" si="3"/>
        <v>45412</v>
      </c>
      <c r="K110" s="12">
        <f>VLOOKUP(A110,[3]VA05!$A:$K,11,FALSE)</f>
        <v>45590</v>
      </c>
      <c r="L110" s="10" t="s">
        <v>12</v>
      </c>
      <c r="M110" s="10" t="s">
        <v>179</v>
      </c>
    </row>
    <row r="111" spans="1:13" hidden="1" x14ac:dyDescent="0.25">
      <c r="A111" s="13" t="str">
        <f t="shared" si="2"/>
        <v>50714276510</v>
      </c>
      <c r="B111" s="10">
        <v>1004052532</v>
      </c>
      <c r="C111" s="10">
        <v>507142765</v>
      </c>
      <c r="D111" s="10">
        <v>10</v>
      </c>
      <c r="E111" s="10" t="s">
        <v>10</v>
      </c>
      <c r="F111" s="10">
        <v>1398385</v>
      </c>
      <c r="G111" s="10" t="s">
        <v>183</v>
      </c>
      <c r="H111" s="11">
        <v>11765</v>
      </c>
      <c r="I111" s="11">
        <v>11765</v>
      </c>
      <c r="J111" s="11">
        <f t="shared" si="3"/>
        <v>0</v>
      </c>
      <c r="K111" s="12">
        <f>VLOOKUP(A111,[3]VA05!$A:$K,11,FALSE)</f>
        <v>45560</v>
      </c>
      <c r="L111" s="10" t="s">
        <v>28</v>
      </c>
      <c r="M111" s="10" t="s">
        <v>178</v>
      </c>
    </row>
    <row r="112" spans="1:13" x14ac:dyDescent="0.25">
      <c r="A112" s="13" t="str">
        <f t="shared" si="2"/>
        <v>50714276520</v>
      </c>
      <c r="B112" s="10">
        <v>1004052533</v>
      </c>
      <c r="C112" s="10">
        <v>507142765</v>
      </c>
      <c r="D112" s="10">
        <v>20</v>
      </c>
      <c r="E112" s="10" t="s">
        <v>10</v>
      </c>
      <c r="F112" s="10">
        <v>1398385</v>
      </c>
      <c r="G112" s="10" t="s">
        <v>183</v>
      </c>
      <c r="H112" s="11">
        <v>23528</v>
      </c>
      <c r="I112" s="11">
        <v>6922</v>
      </c>
      <c r="J112" s="11">
        <f t="shared" si="3"/>
        <v>16606</v>
      </c>
      <c r="K112" s="12" t="e">
        <f>VLOOKUP(A112,[3]VA05!$A:$K,11,FALSE)</f>
        <v>#N/A</v>
      </c>
      <c r="L112" s="10" t="s">
        <v>18</v>
      </c>
      <c r="M112" s="10" t="s">
        <v>197</v>
      </c>
    </row>
    <row r="113" spans="1:13" x14ac:dyDescent="0.25">
      <c r="A113" s="13" t="str">
        <f t="shared" si="2"/>
        <v>50714276530</v>
      </c>
      <c r="B113" s="10">
        <v>1004052534</v>
      </c>
      <c r="C113" s="10">
        <v>507142765</v>
      </c>
      <c r="D113" s="10">
        <v>30</v>
      </c>
      <c r="E113" s="10" t="s">
        <v>10</v>
      </c>
      <c r="F113" s="10">
        <v>1398385</v>
      </c>
      <c r="G113" s="10" t="s">
        <v>183</v>
      </c>
      <c r="H113" s="11">
        <v>35852</v>
      </c>
      <c r="I113" s="10">
        <v>0</v>
      </c>
      <c r="J113" s="11">
        <f t="shared" si="3"/>
        <v>35852</v>
      </c>
      <c r="K113" s="12">
        <f>VLOOKUP(A113,[3]VA05!$A:$K,11,FALSE)</f>
        <v>45569</v>
      </c>
      <c r="L113" s="10" t="s">
        <v>12</v>
      </c>
      <c r="M113" s="10" t="s">
        <v>97</v>
      </c>
    </row>
    <row r="114" spans="1:13" x14ac:dyDescent="0.25">
      <c r="A114" s="13" t="str">
        <f t="shared" si="2"/>
        <v>50714276540</v>
      </c>
      <c r="B114" s="10">
        <v>1004052535</v>
      </c>
      <c r="C114" s="10">
        <v>507142765</v>
      </c>
      <c r="D114" s="10">
        <v>40</v>
      </c>
      <c r="E114" s="10" t="s">
        <v>10</v>
      </c>
      <c r="F114" s="10">
        <v>1398385</v>
      </c>
      <c r="G114" s="10" t="s">
        <v>183</v>
      </c>
      <c r="H114" s="11">
        <v>36131</v>
      </c>
      <c r="I114" s="10">
        <v>0</v>
      </c>
      <c r="J114" s="11">
        <f t="shared" si="3"/>
        <v>36131</v>
      </c>
      <c r="K114" s="12">
        <f>VLOOKUP(A114,[3]VA05!$A:$K,11,FALSE)</f>
        <v>45576</v>
      </c>
      <c r="L114" s="10" t="s">
        <v>12</v>
      </c>
      <c r="M114" s="10" t="s">
        <v>180</v>
      </c>
    </row>
    <row r="115" spans="1:13" x14ac:dyDescent="0.25">
      <c r="A115" s="13" t="str">
        <f t="shared" si="2"/>
        <v>50714276550</v>
      </c>
      <c r="B115" s="10">
        <v>1004052536</v>
      </c>
      <c r="C115" s="10">
        <v>507142765</v>
      </c>
      <c r="D115" s="10">
        <v>50</v>
      </c>
      <c r="E115" s="10" t="s">
        <v>10</v>
      </c>
      <c r="F115" s="10">
        <v>1398385</v>
      </c>
      <c r="G115" s="10" t="s">
        <v>183</v>
      </c>
      <c r="H115" s="11">
        <v>46775</v>
      </c>
      <c r="I115" s="10">
        <v>0</v>
      </c>
      <c r="J115" s="11">
        <f t="shared" si="3"/>
        <v>46775</v>
      </c>
      <c r="K115" s="12">
        <f>VLOOKUP(A115,[3]VA05!$A:$K,11,FALSE)</f>
        <v>45583</v>
      </c>
      <c r="L115" s="10" t="s">
        <v>12</v>
      </c>
      <c r="M115" s="10" t="s">
        <v>201</v>
      </c>
    </row>
    <row r="116" spans="1:13" x14ac:dyDescent="0.25">
      <c r="A116" s="13" t="str">
        <f t="shared" si="2"/>
        <v>50714276560</v>
      </c>
      <c r="B116" s="10">
        <v>1004052537</v>
      </c>
      <c r="C116" s="10">
        <v>507142765</v>
      </c>
      <c r="D116" s="10">
        <v>60</v>
      </c>
      <c r="E116" s="10" t="s">
        <v>10</v>
      </c>
      <c r="F116" s="10">
        <v>1398385</v>
      </c>
      <c r="G116" s="10" t="s">
        <v>183</v>
      </c>
      <c r="H116" s="11">
        <v>46775</v>
      </c>
      <c r="I116" s="10">
        <v>0</v>
      </c>
      <c r="J116" s="11">
        <f t="shared" si="3"/>
        <v>46775</v>
      </c>
      <c r="K116" s="12">
        <f>VLOOKUP(A116,[3]VA05!$A:$K,11,FALSE)</f>
        <v>45590</v>
      </c>
      <c r="L116" s="10" t="s">
        <v>12</v>
      </c>
      <c r="M116" s="10" t="s">
        <v>178</v>
      </c>
    </row>
    <row r="117" spans="1:13" x14ac:dyDescent="0.25">
      <c r="A117" s="13" t="str">
        <f t="shared" si="2"/>
        <v>50714276520</v>
      </c>
      <c r="B117" s="10">
        <v>1004052539</v>
      </c>
      <c r="C117" s="10">
        <v>507142765</v>
      </c>
      <c r="D117" s="10">
        <v>20</v>
      </c>
      <c r="E117" s="10" t="s">
        <v>10</v>
      </c>
      <c r="F117" s="10">
        <v>1398386</v>
      </c>
      <c r="G117" s="10" t="s">
        <v>184</v>
      </c>
      <c r="H117" s="11">
        <v>20765</v>
      </c>
      <c r="I117" s="11">
        <v>20504</v>
      </c>
      <c r="J117" s="11">
        <f t="shared" si="3"/>
        <v>261</v>
      </c>
      <c r="K117" s="12" t="e">
        <f>VLOOKUP(A117,[3]VA05!$A:$K,11,FALSE)</f>
        <v>#N/A</v>
      </c>
      <c r="L117" s="10" t="s">
        <v>18</v>
      </c>
      <c r="M117" s="10" t="s">
        <v>178</v>
      </c>
    </row>
    <row r="118" spans="1:13" x14ac:dyDescent="0.25">
      <c r="A118" s="13" t="str">
        <f t="shared" si="2"/>
        <v>50714276530</v>
      </c>
      <c r="B118" s="10">
        <v>1004052540</v>
      </c>
      <c r="C118" s="10">
        <v>507142765</v>
      </c>
      <c r="D118" s="10">
        <v>30</v>
      </c>
      <c r="E118" s="10" t="s">
        <v>10</v>
      </c>
      <c r="F118" s="10">
        <v>1398386</v>
      </c>
      <c r="G118" s="10" t="s">
        <v>184</v>
      </c>
      <c r="H118" s="11">
        <v>31642</v>
      </c>
      <c r="I118" s="10">
        <v>0</v>
      </c>
      <c r="J118" s="11">
        <f t="shared" si="3"/>
        <v>31642</v>
      </c>
      <c r="K118" s="12">
        <f>VLOOKUP(A118,[3]VA05!$A:$K,11,FALSE)</f>
        <v>45569</v>
      </c>
      <c r="L118" s="10" t="s">
        <v>56</v>
      </c>
      <c r="M118" s="10" t="s">
        <v>180</v>
      </c>
    </row>
    <row r="119" spans="1:13" x14ac:dyDescent="0.25">
      <c r="A119" s="13" t="str">
        <f t="shared" si="2"/>
        <v>50714276540</v>
      </c>
      <c r="B119" s="10">
        <v>1004052541</v>
      </c>
      <c r="C119" s="10">
        <v>507142765</v>
      </c>
      <c r="D119" s="10">
        <v>40</v>
      </c>
      <c r="E119" s="10" t="s">
        <v>10</v>
      </c>
      <c r="F119" s="10">
        <v>1398386</v>
      </c>
      <c r="G119" s="10" t="s">
        <v>184</v>
      </c>
      <c r="H119" s="11">
        <v>31889</v>
      </c>
      <c r="I119" s="10">
        <v>0</v>
      </c>
      <c r="J119" s="11">
        <f t="shared" si="3"/>
        <v>31889</v>
      </c>
      <c r="K119" s="12">
        <f>VLOOKUP(A119,[3]VA05!$A:$K,11,FALSE)</f>
        <v>45576</v>
      </c>
      <c r="L119" s="10" t="s">
        <v>12</v>
      </c>
      <c r="M119" s="10" t="s">
        <v>156</v>
      </c>
    </row>
    <row r="120" spans="1:13" x14ac:dyDescent="0.25">
      <c r="A120" s="13" t="str">
        <f t="shared" si="2"/>
        <v>50714276550</v>
      </c>
      <c r="B120" s="10">
        <v>1004052543</v>
      </c>
      <c r="C120" s="10">
        <v>507142765</v>
      </c>
      <c r="D120" s="10">
        <v>50</v>
      </c>
      <c r="E120" s="10" t="s">
        <v>10</v>
      </c>
      <c r="F120" s="10">
        <v>1398386</v>
      </c>
      <c r="G120" s="10" t="s">
        <v>184</v>
      </c>
      <c r="H120" s="11">
        <v>41283</v>
      </c>
      <c r="I120" s="10">
        <v>0</v>
      </c>
      <c r="J120" s="11">
        <f t="shared" si="3"/>
        <v>41283</v>
      </c>
      <c r="K120" s="12">
        <f>VLOOKUP(A120,[3]VA05!$A:$K,11,FALSE)</f>
        <v>45583</v>
      </c>
      <c r="L120" s="10" t="s">
        <v>12</v>
      </c>
      <c r="M120" s="10" t="s">
        <v>202</v>
      </c>
    </row>
    <row r="121" spans="1:13" x14ac:dyDescent="0.25">
      <c r="A121" s="13" t="str">
        <f t="shared" si="2"/>
        <v>50714276560</v>
      </c>
      <c r="B121" s="10">
        <v>1004052544</v>
      </c>
      <c r="C121" s="10">
        <v>507142765</v>
      </c>
      <c r="D121" s="10">
        <v>60</v>
      </c>
      <c r="E121" s="10" t="s">
        <v>10</v>
      </c>
      <c r="F121" s="10">
        <v>1398386</v>
      </c>
      <c r="G121" s="10" t="s">
        <v>184</v>
      </c>
      <c r="H121" s="11">
        <v>41283</v>
      </c>
      <c r="I121" s="10">
        <v>0</v>
      </c>
      <c r="J121" s="11">
        <f t="shared" si="3"/>
        <v>41283</v>
      </c>
      <c r="K121" s="12">
        <f>VLOOKUP(A121,[3]VA05!$A:$K,11,FALSE)</f>
        <v>45590</v>
      </c>
      <c r="L121" s="10" t="s">
        <v>12</v>
      </c>
      <c r="M121" s="10" t="s">
        <v>191</v>
      </c>
    </row>
    <row r="122" spans="1:13" hidden="1" x14ac:dyDescent="0.25">
      <c r="A122" s="13" t="str">
        <f t="shared" si="2"/>
        <v>50714276630</v>
      </c>
      <c r="B122" s="10">
        <v>1004053432</v>
      </c>
      <c r="C122" s="10">
        <v>507142766</v>
      </c>
      <c r="D122" s="10">
        <v>30</v>
      </c>
      <c r="E122" s="10" t="s">
        <v>10</v>
      </c>
      <c r="F122" s="10">
        <v>1398745</v>
      </c>
      <c r="G122" s="10" t="s">
        <v>212</v>
      </c>
      <c r="H122" s="11">
        <v>33640</v>
      </c>
      <c r="I122" s="11">
        <v>33640</v>
      </c>
      <c r="J122" s="11">
        <f t="shared" si="3"/>
        <v>0</v>
      </c>
      <c r="K122" s="12">
        <f>VLOOKUP(A122,[3]VA05!$A:$K,11,FALSE)</f>
        <v>45596</v>
      </c>
      <c r="L122" s="10" t="s">
        <v>28</v>
      </c>
      <c r="M122" s="10" t="s">
        <v>195</v>
      </c>
    </row>
    <row r="123" spans="1:13" x14ac:dyDescent="0.25">
      <c r="A123" s="13" t="str">
        <f t="shared" si="2"/>
        <v>50714276630</v>
      </c>
      <c r="B123" s="10">
        <v>1004053439</v>
      </c>
      <c r="C123" s="10">
        <v>507142766</v>
      </c>
      <c r="D123" s="10">
        <v>30</v>
      </c>
      <c r="E123" s="10" t="s">
        <v>10</v>
      </c>
      <c r="F123" s="10">
        <v>1398746</v>
      </c>
      <c r="G123" s="10" t="s">
        <v>213</v>
      </c>
      <c r="H123" s="11">
        <v>34650</v>
      </c>
      <c r="I123" s="11">
        <v>32020</v>
      </c>
      <c r="J123" s="11">
        <f t="shared" si="3"/>
        <v>2630</v>
      </c>
      <c r="K123" s="12">
        <f>VLOOKUP(A123,[3]VA05!$A:$K,11,FALSE)</f>
        <v>45596</v>
      </c>
      <c r="L123" s="10" t="s">
        <v>18</v>
      </c>
      <c r="M123" s="10" t="s">
        <v>194</v>
      </c>
    </row>
    <row r="124" spans="1:13" hidden="1" x14ac:dyDescent="0.25">
      <c r="A124" s="13" t="str">
        <f t="shared" si="2"/>
        <v>50714276620</v>
      </c>
      <c r="B124" s="10">
        <v>1004053434</v>
      </c>
      <c r="C124" s="10">
        <v>507142766</v>
      </c>
      <c r="D124" s="10">
        <v>20</v>
      </c>
      <c r="E124" s="10" t="s">
        <v>10</v>
      </c>
      <c r="F124" s="10">
        <v>1398747</v>
      </c>
      <c r="G124" s="10" t="s">
        <v>214</v>
      </c>
      <c r="H124" s="11">
        <v>21136</v>
      </c>
      <c r="I124" s="11">
        <v>21136</v>
      </c>
      <c r="J124" s="11">
        <f t="shared" si="3"/>
        <v>0</v>
      </c>
      <c r="K124" s="12">
        <f>VLOOKUP(A124,[3]VA05!$A:$K,11,FALSE)</f>
        <v>45562</v>
      </c>
      <c r="L124" s="10" t="s">
        <v>28</v>
      </c>
      <c r="M124" s="10" t="s">
        <v>154</v>
      </c>
    </row>
    <row r="125" spans="1:13" x14ac:dyDescent="0.25">
      <c r="A125" s="13" t="str">
        <f t="shared" si="2"/>
        <v>50714276630</v>
      </c>
      <c r="B125" s="10">
        <v>1004053435</v>
      </c>
      <c r="C125" s="10">
        <v>507142766</v>
      </c>
      <c r="D125" s="10">
        <v>30</v>
      </c>
      <c r="E125" s="10" t="s">
        <v>10</v>
      </c>
      <c r="F125" s="10">
        <v>1398747</v>
      </c>
      <c r="G125" s="10" t="s">
        <v>214</v>
      </c>
      <c r="H125" s="11">
        <v>31148</v>
      </c>
      <c r="I125" s="11">
        <v>18987</v>
      </c>
      <c r="J125" s="11">
        <f t="shared" si="3"/>
        <v>12161</v>
      </c>
      <c r="K125" s="12">
        <f>VLOOKUP(A125,[3]VA05!$A:$K,11,FALSE)</f>
        <v>45596</v>
      </c>
      <c r="L125" s="10" t="s">
        <v>18</v>
      </c>
      <c r="M125" s="10" t="s">
        <v>197</v>
      </c>
    </row>
    <row r="126" spans="1:13" x14ac:dyDescent="0.25">
      <c r="A126" s="13" t="str">
        <f t="shared" si="2"/>
        <v>50714270610</v>
      </c>
      <c r="B126" s="10">
        <v>1004052545</v>
      </c>
      <c r="C126" s="10">
        <v>507142706</v>
      </c>
      <c r="D126" s="10">
        <v>10</v>
      </c>
      <c r="E126" s="10" t="s">
        <v>10</v>
      </c>
      <c r="F126" s="10">
        <v>1152845</v>
      </c>
      <c r="G126" s="10" t="s">
        <v>185</v>
      </c>
      <c r="H126" s="11">
        <v>10262</v>
      </c>
      <c r="I126" s="10">
        <v>0</v>
      </c>
      <c r="J126" s="11">
        <f t="shared" si="3"/>
        <v>10262</v>
      </c>
      <c r="K126" s="12">
        <f>VLOOKUP(A126,[3]VA05!$A:$K,11,FALSE)</f>
        <v>45567</v>
      </c>
      <c r="L126" s="10" t="s">
        <v>13</v>
      </c>
      <c r="M126" s="10" t="s">
        <v>195</v>
      </c>
    </row>
    <row r="127" spans="1:13" x14ac:dyDescent="0.25">
      <c r="A127" s="13" t="str">
        <f t="shared" si="2"/>
        <v>50714283610</v>
      </c>
      <c r="B127" s="10">
        <v>1004058753</v>
      </c>
      <c r="C127" s="10">
        <v>507142836</v>
      </c>
      <c r="D127" s="10">
        <v>10</v>
      </c>
      <c r="E127" s="10" t="s">
        <v>10</v>
      </c>
      <c r="F127" s="10">
        <v>1152845</v>
      </c>
      <c r="G127" s="10" t="s">
        <v>185</v>
      </c>
      <c r="H127" s="11">
        <v>25821</v>
      </c>
      <c r="I127" s="10">
        <v>0</v>
      </c>
      <c r="J127" s="11">
        <f t="shared" si="3"/>
        <v>25821</v>
      </c>
      <c r="K127" s="12">
        <f>VLOOKUP(A127,[3]VA05!$A:$K,11,FALSE)</f>
        <v>45588</v>
      </c>
      <c r="L127" s="10" t="s">
        <v>119</v>
      </c>
      <c r="M127" s="10" t="s">
        <v>216</v>
      </c>
    </row>
    <row r="128" spans="1:13" x14ac:dyDescent="0.25">
      <c r="A128" s="13" t="str">
        <f t="shared" si="2"/>
        <v>50714283610</v>
      </c>
      <c r="B128" s="10">
        <v>1004061401</v>
      </c>
      <c r="C128" s="10">
        <v>507142836</v>
      </c>
      <c r="D128" s="10">
        <v>10</v>
      </c>
      <c r="E128" s="10" t="s">
        <v>10</v>
      </c>
      <c r="F128" s="10">
        <v>1206292</v>
      </c>
      <c r="G128" s="10" t="s">
        <v>257</v>
      </c>
      <c r="H128" s="11">
        <v>29436</v>
      </c>
      <c r="I128" s="10">
        <v>0</v>
      </c>
      <c r="J128" s="11">
        <f t="shared" si="3"/>
        <v>29436</v>
      </c>
      <c r="K128" s="12">
        <f>VLOOKUP(A128,[3]VA05!$A:$K,11,FALSE)</f>
        <v>45588</v>
      </c>
      <c r="L128" s="10" t="s">
        <v>12</v>
      </c>
      <c r="M128" s="10" t="s">
        <v>157</v>
      </c>
    </row>
    <row r="129" spans="1:13" hidden="1" x14ac:dyDescent="0.25">
      <c r="A129" s="13" t="str">
        <f t="shared" si="2"/>
        <v>50714270610</v>
      </c>
      <c r="B129" s="10">
        <v>1004052546</v>
      </c>
      <c r="C129" s="10">
        <v>507142706</v>
      </c>
      <c r="D129" s="10">
        <v>10</v>
      </c>
      <c r="E129" s="10" t="s">
        <v>10</v>
      </c>
      <c r="F129" s="10">
        <v>1207631</v>
      </c>
      <c r="G129" s="10" t="s">
        <v>186</v>
      </c>
      <c r="H129" s="11">
        <v>10776</v>
      </c>
      <c r="I129" s="11">
        <v>10776</v>
      </c>
      <c r="J129" s="11">
        <f t="shared" si="3"/>
        <v>0</v>
      </c>
      <c r="K129" s="12">
        <f>VLOOKUP(A129,[3]VA05!$A:$K,11,FALSE)</f>
        <v>45567</v>
      </c>
      <c r="L129" s="10" t="s">
        <v>34</v>
      </c>
      <c r="M129" s="10" t="s">
        <v>195</v>
      </c>
    </row>
    <row r="130" spans="1:13" hidden="1" x14ac:dyDescent="0.25">
      <c r="A130" s="13" t="str">
        <f t="shared" si="2"/>
        <v>50714270610</v>
      </c>
      <c r="B130" s="10">
        <v>1004060364</v>
      </c>
      <c r="C130" s="10">
        <v>507142706</v>
      </c>
      <c r="D130" s="10">
        <v>10</v>
      </c>
      <c r="E130" s="10" t="s">
        <v>24</v>
      </c>
      <c r="F130" s="10">
        <v>1207631</v>
      </c>
      <c r="G130" s="10" t="s">
        <v>186</v>
      </c>
      <c r="H130" s="11">
        <v>5000</v>
      </c>
      <c r="I130" s="10">
        <v>0</v>
      </c>
      <c r="J130" s="11">
        <f t="shared" si="3"/>
        <v>5000</v>
      </c>
      <c r="K130" s="12">
        <f>VLOOKUP(A130,[3]VA05!$A:$K,11,FALSE)</f>
        <v>45567</v>
      </c>
      <c r="L130" s="10" t="s">
        <v>13</v>
      </c>
      <c r="M130" s="10" t="s">
        <v>156</v>
      </c>
    </row>
    <row r="131" spans="1:13" x14ac:dyDescent="0.25">
      <c r="A131" s="13" t="str">
        <f t="shared" si="2"/>
        <v>50714271310</v>
      </c>
      <c r="B131" s="10">
        <v>1004052555</v>
      </c>
      <c r="C131" s="10">
        <v>507142713</v>
      </c>
      <c r="D131" s="10">
        <v>10</v>
      </c>
      <c r="E131" s="10" t="s">
        <v>10</v>
      </c>
      <c r="F131" s="10">
        <v>1172472</v>
      </c>
      <c r="G131" s="10" t="s">
        <v>86</v>
      </c>
      <c r="H131" s="11">
        <v>10524</v>
      </c>
      <c r="I131" s="10">
        <v>246</v>
      </c>
      <c r="J131" s="11">
        <f t="shared" si="3"/>
        <v>10278</v>
      </c>
      <c r="K131" s="12">
        <f>VLOOKUP(A131,[3]VA05!$A:$K,11,FALSE)</f>
        <v>45591</v>
      </c>
      <c r="L131" s="10" t="s">
        <v>18</v>
      </c>
      <c r="M131" s="10" t="s">
        <v>203</v>
      </c>
    </row>
    <row r="132" spans="1:13" x14ac:dyDescent="0.25">
      <c r="A132" s="13" t="str">
        <f t="shared" ref="A132:A195" si="4">C132&amp;D132</f>
        <v>50714271340</v>
      </c>
      <c r="B132" s="10">
        <v>1004052556</v>
      </c>
      <c r="C132" s="10">
        <v>507142713</v>
      </c>
      <c r="D132" s="10">
        <v>40</v>
      </c>
      <c r="E132" s="10" t="s">
        <v>10</v>
      </c>
      <c r="F132" s="10">
        <v>1172472</v>
      </c>
      <c r="G132" s="10" t="s">
        <v>86</v>
      </c>
      <c r="H132" s="11">
        <v>10524</v>
      </c>
      <c r="I132" s="10">
        <v>0</v>
      </c>
      <c r="J132" s="11">
        <f t="shared" ref="J132:J195" si="5">H132-I132</f>
        <v>10524</v>
      </c>
      <c r="K132" s="12">
        <f>VLOOKUP(A132,[3]VA05!$A:$K,11,FALSE)</f>
        <v>45591</v>
      </c>
      <c r="L132" s="10" t="s">
        <v>12</v>
      </c>
      <c r="M132" s="10" t="s">
        <v>203</v>
      </c>
    </row>
    <row r="133" spans="1:13" hidden="1" x14ac:dyDescent="0.25">
      <c r="A133" s="13" t="str">
        <f t="shared" si="4"/>
        <v>50714241640</v>
      </c>
      <c r="B133" s="10">
        <v>1004035739</v>
      </c>
      <c r="C133" s="10">
        <v>507142416</v>
      </c>
      <c r="D133" s="10">
        <v>40</v>
      </c>
      <c r="E133" s="10" t="s">
        <v>10</v>
      </c>
      <c r="F133" s="10">
        <v>1171177</v>
      </c>
      <c r="G133" s="10" t="s">
        <v>88</v>
      </c>
      <c r="H133" s="11">
        <v>10170</v>
      </c>
      <c r="I133" s="10">
        <v>0</v>
      </c>
      <c r="J133" s="11">
        <f t="shared" si="5"/>
        <v>10170</v>
      </c>
      <c r="K133" s="12">
        <f>VLOOKUP(A133,[3]VA05!$A:$K,11,FALSE)</f>
        <v>45573</v>
      </c>
      <c r="L133" s="10" t="s">
        <v>260</v>
      </c>
      <c r="M133" s="10" t="s">
        <v>109</v>
      </c>
    </row>
    <row r="134" spans="1:13" x14ac:dyDescent="0.25">
      <c r="A134" s="13" t="str">
        <f t="shared" si="4"/>
        <v>507142416100</v>
      </c>
      <c r="B134" s="10">
        <v>1004052560</v>
      </c>
      <c r="C134" s="10">
        <v>507142416</v>
      </c>
      <c r="D134" s="10">
        <v>100</v>
      </c>
      <c r="E134" s="10" t="s">
        <v>10</v>
      </c>
      <c r="F134" s="10">
        <v>1171177</v>
      </c>
      <c r="G134" s="10" t="s">
        <v>88</v>
      </c>
      <c r="H134" s="11">
        <v>10170</v>
      </c>
      <c r="I134" s="11">
        <v>1654</v>
      </c>
      <c r="J134" s="11">
        <f t="shared" si="5"/>
        <v>8516</v>
      </c>
      <c r="K134" s="12">
        <f>VLOOKUP(A134,[3]VA05!$A:$K,11,FALSE)</f>
        <v>45580</v>
      </c>
      <c r="L134" s="10" t="s">
        <v>18</v>
      </c>
      <c r="M134" s="10" t="s">
        <v>179</v>
      </c>
    </row>
    <row r="135" spans="1:13" x14ac:dyDescent="0.25">
      <c r="A135" s="13" t="str">
        <f t="shared" si="4"/>
        <v>507142416190</v>
      </c>
      <c r="B135" s="10">
        <v>1004052561</v>
      </c>
      <c r="C135" s="10">
        <v>507142416</v>
      </c>
      <c r="D135" s="10">
        <v>190</v>
      </c>
      <c r="E135" s="10" t="s">
        <v>10</v>
      </c>
      <c r="F135" s="10">
        <v>1171177</v>
      </c>
      <c r="G135" s="10" t="s">
        <v>88</v>
      </c>
      <c r="H135" s="11">
        <v>10170</v>
      </c>
      <c r="I135" s="10">
        <v>0</v>
      </c>
      <c r="J135" s="11">
        <f t="shared" si="5"/>
        <v>10170</v>
      </c>
      <c r="K135" s="12">
        <f>VLOOKUP(A135,[3]VA05!$A:$K,11,FALSE)</f>
        <v>45583</v>
      </c>
      <c r="L135" s="10" t="s">
        <v>12</v>
      </c>
      <c r="M135" s="10" t="s">
        <v>177</v>
      </c>
    </row>
    <row r="136" spans="1:13" x14ac:dyDescent="0.25">
      <c r="A136" s="13" t="str">
        <f t="shared" si="4"/>
        <v>507142416220</v>
      </c>
      <c r="B136" s="10">
        <v>1004052563</v>
      </c>
      <c r="C136" s="10">
        <v>507142416</v>
      </c>
      <c r="D136" s="10">
        <v>220</v>
      </c>
      <c r="E136" s="10" t="s">
        <v>10</v>
      </c>
      <c r="F136" s="10">
        <v>1171177</v>
      </c>
      <c r="G136" s="10" t="s">
        <v>88</v>
      </c>
      <c r="H136" s="11">
        <v>10170</v>
      </c>
      <c r="I136" s="10">
        <v>0</v>
      </c>
      <c r="J136" s="11">
        <f t="shared" si="5"/>
        <v>10170</v>
      </c>
      <c r="K136" s="12">
        <f>VLOOKUP(A136,[3]VA05!$A:$K,11,FALSE)</f>
        <v>45587</v>
      </c>
      <c r="L136" s="10" t="s">
        <v>12</v>
      </c>
      <c r="M136" s="10" t="s">
        <v>109</v>
      </c>
    </row>
    <row r="137" spans="1:13" x14ac:dyDescent="0.25">
      <c r="A137" s="13" t="str">
        <f t="shared" si="4"/>
        <v>50714271320</v>
      </c>
      <c r="B137" s="10">
        <v>1004052564</v>
      </c>
      <c r="C137" s="10">
        <v>507142713</v>
      </c>
      <c r="D137" s="10">
        <v>20</v>
      </c>
      <c r="E137" s="10" t="s">
        <v>10</v>
      </c>
      <c r="F137" s="10">
        <v>1171177</v>
      </c>
      <c r="G137" s="10" t="s">
        <v>88</v>
      </c>
      <c r="H137" s="11">
        <v>10170</v>
      </c>
      <c r="I137" s="10">
        <v>0</v>
      </c>
      <c r="J137" s="11">
        <f t="shared" si="5"/>
        <v>10170</v>
      </c>
      <c r="K137" s="12">
        <f>VLOOKUP(A137,[3]VA05!$A:$K,11,FALSE)</f>
        <v>45591</v>
      </c>
      <c r="L137" s="10" t="s">
        <v>12</v>
      </c>
      <c r="M137" s="10" t="s">
        <v>204</v>
      </c>
    </row>
    <row r="138" spans="1:13" x14ac:dyDescent="0.25">
      <c r="A138" s="13" t="str">
        <f t="shared" si="4"/>
        <v>50714271350</v>
      </c>
      <c r="B138" s="10">
        <v>1004052565</v>
      </c>
      <c r="C138" s="10">
        <v>507142713</v>
      </c>
      <c r="D138" s="10">
        <v>50</v>
      </c>
      <c r="E138" s="10" t="s">
        <v>10</v>
      </c>
      <c r="F138" s="10">
        <v>1171177</v>
      </c>
      <c r="G138" s="10" t="s">
        <v>88</v>
      </c>
      <c r="H138" s="11">
        <v>10170</v>
      </c>
      <c r="I138" s="10">
        <v>0</v>
      </c>
      <c r="J138" s="11">
        <f t="shared" si="5"/>
        <v>10170</v>
      </c>
      <c r="K138" s="12">
        <f>VLOOKUP(A138,[3]VA05!$A:$K,11,FALSE)</f>
        <v>45591</v>
      </c>
      <c r="L138" s="10" t="s">
        <v>12</v>
      </c>
      <c r="M138" s="10" t="s">
        <v>204</v>
      </c>
    </row>
    <row r="139" spans="1:13" hidden="1" x14ac:dyDescent="0.25">
      <c r="A139" s="13" t="str">
        <f t="shared" si="4"/>
        <v>507142416100</v>
      </c>
      <c r="B139" s="10">
        <v>1004052568</v>
      </c>
      <c r="C139" s="10">
        <v>507142416</v>
      </c>
      <c r="D139" s="10">
        <v>100</v>
      </c>
      <c r="E139" s="10" t="s">
        <v>10</v>
      </c>
      <c r="F139" s="10">
        <v>1171178</v>
      </c>
      <c r="G139" s="10" t="s">
        <v>87</v>
      </c>
      <c r="H139" s="11">
        <v>10170</v>
      </c>
      <c r="I139" s="11">
        <v>10170</v>
      </c>
      <c r="J139" s="11">
        <f t="shared" si="5"/>
        <v>0</v>
      </c>
      <c r="K139" s="12">
        <f>VLOOKUP(A139,[3]VA05!$A:$K,11,FALSE)</f>
        <v>45580</v>
      </c>
      <c r="L139" s="10" t="s">
        <v>28</v>
      </c>
      <c r="M139" s="10" t="s">
        <v>179</v>
      </c>
    </row>
    <row r="140" spans="1:13" hidden="1" x14ac:dyDescent="0.25">
      <c r="A140" s="13" t="str">
        <f t="shared" si="4"/>
        <v>507142416190</v>
      </c>
      <c r="B140" s="10">
        <v>1004052609</v>
      </c>
      <c r="C140" s="10">
        <v>507142416</v>
      </c>
      <c r="D140" s="10">
        <v>190</v>
      </c>
      <c r="E140" s="10" t="s">
        <v>10</v>
      </c>
      <c r="F140" s="10">
        <v>1171178</v>
      </c>
      <c r="G140" s="10" t="s">
        <v>87</v>
      </c>
      <c r="H140" s="11">
        <v>10170</v>
      </c>
      <c r="I140" s="11">
        <v>10170</v>
      </c>
      <c r="J140" s="11">
        <f t="shared" si="5"/>
        <v>0</v>
      </c>
      <c r="K140" s="12">
        <f>VLOOKUP(A140,[3]VA05!$A:$K,11,FALSE)</f>
        <v>45583</v>
      </c>
      <c r="L140" s="10" t="s">
        <v>28</v>
      </c>
      <c r="M140" s="10" t="s">
        <v>177</v>
      </c>
    </row>
    <row r="141" spans="1:13" x14ac:dyDescent="0.25">
      <c r="A141" s="13" t="str">
        <f t="shared" si="4"/>
        <v>507142416220</v>
      </c>
      <c r="B141" s="10">
        <v>1004052611</v>
      </c>
      <c r="C141" s="10">
        <v>507142416</v>
      </c>
      <c r="D141" s="10">
        <v>220</v>
      </c>
      <c r="E141" s="10" t="s">
        <v>10</v>
      </c>
      <c r="F141" s="10">
        <v>1171178</v>
      </c>
      <c r="G141" s="10" t="s">
        <v>87</v>
      </c>
      <c r="H141" s="11">
        <v>10170</v>
      </c>
      <c r="I141" s="10">
        <v>0</v>
      </c>
      <c r="J141" s="11">
        <f t="shared" si="5"/>
        <v>10170</v>
      </c>
      <c r="K141" s="12">
        <f>VLOOKUP(A141,[3]VA05!$A:$K,11,FALSE)</f>
        <v>45587</v>
      </c>
      <c r="L141" s="10" t="s">
        <v>12</v>
      </c>
      <c r="M141" s="10" t="s">
        <v>109</v>
      </c>
    </row>
    <row r="142" spans="1:13" x14ac:dyDescent="0.25">
      <c r="A142" s="13" t="str">
        <f t="shared" si="4"/>
        <v>50714271320</v>
      </c>
      <c r="B142" s="10">
        <v>1004052612</v>
      </c>
      <c r="C142" s="10">
        <v>507142713</v>
      </c>
      <c r="D142" s="10">
        <v>20</v>
      </c>
      <c r="E142" s="10" t="s">
        <v>10</v>
      </c>
      <c r="F142" s="10">
        <v>1171178</v>
      </c>
      <c r="G142" s="10" t="s">
        <v>87</v>
      </c>
      <c r="H142" s="11">
        <v>10170</v>
      </c>
      <c r="I142" s="10">
        <v>0</v>
      </c>
      <c r="J142" s="11">
        <f t="shared" si="5"/>
        <v>10170</v>
      </c>
      <c r="K142" s="12">
        <f>VLOOKUP(A142,[3]VA05!$A:$K,11,FALSE)</f>
        <v>45591</v>
      </c>
      <c r="L142" s="10" t="s">
        <v>12</v>
      </c>
      <c r="M142" s="10" t="s">
        <v>204</v>
      </c>
    </row>
    <row r="143" spans="1:13" x14ac:dyDescent="0.25">
      <c r="A143" s="13" t="str">
        <f t="shared" si="4"/>
        <v>50714271350</v>
      </c>
      <c r="B143" s="10">
        <v>1004052613</v>
      </c>
      <c r="C143" s="10">
        <v>507142713</v>
      </c>
      <c r="D143" s="10">
        <v>50</v>
      </c>
      <c r="E143" s="10" t="s">
        <v>10</v>
      </c>
      <c r="F143" s="10">
        <v>1171178</v>
      </c>
      <c r="G143" s="10" t="s">
        <v>87</v>
      </c>
      <c r="H143" s="11">
        <v>10170</v>
      </c>
      <c r="I143" s="10">
        <v>0</v>
      </c>
      <c r="J143" s="11">
        <f t="shared" si="5"/>
        <v>10170</v>
      </c>
      <c r="K143" s="12">
        <f>VLOOKUP(A143,[3]VA05!$A:$K,11,FALSE)</f>
        <v>45591</v>
      </c>
      <c r="L143" s="10" t="s">
        <v>12</v>
      </c>
      <c r="M143" s="10" t="s">
        <v>204</v>
      </c>
    </row>
    <row r="144" spans="1:13" x14ac:dyDescent="0.25">
      <c r="A144" s="13" t="str">
        <f t="shared" si="4"/>
        <v>50714262630</v>
      </c>
      <c r="B144" s="10">
        <v>1004052617</v>
      </c>
      <c r="C144" s="10">
        <v>507142626</v>
      </c>
      <c r="D144" s="10">
        <v>30</v>
      </c>
      <c r="E144" s="10" t="s">
        <v>10</v>
      </c>
      <c r="F144" s="10">
        <v>1172030</v>
      </c>
      <c r="G144" s="10" t="s">
        <v>112</v>
      </c>
      <c r="H144" s="11">
        <v>29055</v>
      </c>
      <c r="I144" s="10">
        <v>0</v>
      </c>
      <c r="J144" s="11">
        <f t="shared" si="5"/>
        <v>29055</v>
      </c>
      <c r="K144" s="12">
        <f>VLOOKUP(A144,[3]VA05!$A:$K,11,FALSE)</f>
        <v>45590</v>
      </c>
      <c r="L144" s="10" t="s">
        <v>12</v>
      </c>
      <c r="M144" s="10" t="s">
        <v>154</v>
      </c>
    </row>
    <row r="145" spans="1:13" x14ac:dyDescent="0.25">
      <c r="A145" s="13" t="str">
        <f t="shared" si="4"/>
        <v>50714226520</v>
      </c>
      <c r="B145" s="10">
        <v>1004058766</v>
      </c>
      <c r="C145" s="10">
        <v>507142265</v>
      </c>
      <c r="D145" s="10">
        <v>20</v>
      </c>
      <c r="E145" s="10" t="s">
        <v>10</v>
      </c>
      <c r="F145" s="10">
        <v>1172347</v>
      </c>
      <c r="G145" s="10" t="s">
        <v>237</v>
      </c>
      <c r="H145" s="11">
        <v>40524</v>
      </c>
      <c r="I145" s="11">
        <v>8784</v>
      </c>
      <c r="J145" s="11">
        <f t="shared" si="5"/>
        <v>31740</v>
      </c>
      <c r="K145" s="12">
        <f>VLOOKUP(A145,[3]VA05!$A:$K,11,FALSE)</f>
        <v>45576</v>
      </c>
      <c r="L145" s="10" t="s">
        <v>11</v>
      </c>
      <c r="M145" s="10" t="s">
        <v>195</v>
      </c>
    </row>
    <row r="146" spans="1:13" x14ac:dyDescent="0.25">
      <c r="A146" s="13" t="str">
        <f t="shared" si="4"/>
        <v>50714270920</v>
      </c>
      <c r="B146" s="10">
        <v>1004061878</v>
      </c>
      <c r="C146" s="10">
        <v>507142709</v>
      </c>
      <c r="D146" s="10">
        <v>20</v>
      </c>
      <c r="E146" s="10" t="s">
        <v>10</v>
      </c>
      <c r="F146" s="10">
        <v>1172347</v>
      </c>
      <c r="G146" s="10" t="s">
        <v>237</v>
      </c>
      <c r="H146" s="11">
        <v>30393</v>
      </c>
      <c r="I146" s="10">
        <v>0</v>
      </c>
      <c r="J146" s="11">
        <f t="shared" si="5"/>
        <v>30393</v>
      </c>
      <c r="K146" s="12">
        <f>VLOOKUP(A146,[3]VA05!$A:$K,11,FALSE)</f>
        <v>45583</v>
      </c>
      <c r="L146" s="10" t="s">
        <v>12</v>
      </c>
      <c r="M146" s="10" t="s">
        <v>197</v>
      </c>
    </row>
    <row r="147" spans="1:13" x14ac:dyDescent="0.25">
      <c r="A147" s="13" t="str">
        <f t="shared" si="4"/>
        <v>50714271020</v>
      </c>
      <c r="B147" s="10">
        <v>1004061879</v>
      </c>
      <c r="C147" s="10">
        <v>507142710</v>
      </c>
      <c r="D147" s="10">
        <v>20</v>
      </c>
      <c r="E147" s="10" t="s">
        <v>10</v>
      </c>
      <c r="F147" s="10">
        <v>1172347</v>
      </c>
      <c r="G147" s="10" t="s">
        <v>237</v>
      </c>
      <c r="H147" s="11">
        <v>30393</v>
      </c>
      <c r="I147" s="10">
        <v>0</v>
      </c>
      <c r="J147" s="11">
        <f t="shared" si="5"/>
        <v>30393</v>
      </c>
      <c r="K147" s="12">
        <f>VLOOKUP(A147,[3]VA05!$A:$K,11,FALSE)</f>
        <v>45596</v>
      </c>
      <c r="L147" s="10" t="s">
        <v>12</v>
      </c>
      <c r="M147" s="10" t="s">
        <v>199</v>
      </c>
    </row>
    <row r="148" spans="1:13" hidden="1" x14ac:dyDescent="0.25">
      <c r="A148" s="13" t="str">
        <f t="shared" si="4"/>
        <v>50714170530</v>
      </c>
      <c r="B148" s="10">
        <v>1003946987</v>
      </c>
      <c r="C148" s="10">
        <v>507141705</v>
      </c>
      <c r="D148" s="10">
        <v>30</v>
      </c>
      <c r="E148" s="10" t="s">
        <v>10</v>
      </c>
      <c r="F148" s="10">
        <v>1167579</v>
      </c>
      <c r="G148" s="10" t="s">
        <v>19</v>
      </c>
      <c r="H148" s="11">
        <v>10195</v>
      </c>
      <c r="I148" s="10">
        <v>0</v>
      </c>
      <c r="J148" s="11">
        <f t="shared" si="5"/>
        <v>10195</v>
      </c>
      <c r="K148" s="12" t="e">
        <f>VLOOKUP(A148,[3]VA05!$A:$K,11,FALSE)</f>
        <v>#N/A</v>
      </c>
      <c r="L148" s="10" t="s">
        <v>260</v>
      </c>
      <c r="M148" s="10" t="s">
        <v>270</v>
      </c>
    </row>
    <row r="149" spans="1:13" hidden="1" x14ac:dyDescent="0.25">
      <c r="A149" s="13" t="str">
        <f t="shared" si="4"/>
        <v>50714276910</v>
      </c>
      <c r="B149" s="10">
        <v>1004052616</v>
      </c>
      <c r="C149" s="10">
        <v>507142769</v>
      </c>
      <c r="D149" s="10">
        <v>10</v>
      </c>
      <c r="E149" s="10" t="s">
        <v>10</v>
      </c>
      <c r="F149" s="10">
        <v>1167579</v>
      </c>
      <c r="G149" s="10" t="s">
        <v>19</v>
      </c>
      <c r="H149" s="11">
        <v>30683</v>
      </c>
      <c r="I149" s="11">
        <v>30683</v>
      </c>
      <c r="J149" s="11">
        <f t="shared" si="5"/>
        <v>0</v>
      </c>
      <c r="K149" s="12">
        <f>VLOOKUP(A149,[3]VA05!$A:$K,11,FALSE)</f>
        <v>45575</v>
      </c>
      <c r="L149" s="10" t="s">
        <v>28</v>
      </c>
      <c r="M149" s="10" t="s">
        <v>155</v>
      </c>
    </row>
    <row r="150" spans="1:13" x14ac:dyDescent="0.25">
      <c r="A150" s="13" t="str">
        <f t="shared" si="4"/>
        <v>50714276920</v>
      </c>
      <c r="B150" s="10">
        <v>1004054833</v>
      </c>
      <c r="C150" s="10">
        <v>507142769</v>
      </c>
      <c r="D150" s="10">
        <v>20</v>
      </c>
      <c r="E150" s="10" t="s">
        <v>10</v>
      </c>
      <c r="F150" s="10">
        <v>1173995</v>
      </c>
      <c r="G150" s="10" t="s">
        <v>20</v>
      </c>
      <c r="H150" s="11">
        <v>34793</v>
      </c>
      <c r="I150" s="11">
        <v>4400</v>
      </c>
      <c r="J150" s="11">
        <f t="shared" si="5"/>
        <v>30393</v>
      </c>
      <c r="K150" s="12">
        <f>VLOOKUP(A150,[3]VA05!$A:$K,11,FALSE)</f>
        <v>45575</v>
      </c>
      <c r="L150" s="10" t="s">
        <v>18</v>
      </c>
      <c r="M150" s="10" t="s">
        <v>201</v>
      </c>
    </row>
    <row r="151" spans="1:13" x14ac:dyDescent="0.25">
      <c r="A151" s="13" t="str">
        <f t="shared" si="4"/>
        <v>50714262610</v>
      </c>
      <c r="B151" s="10">
        <v>1004050514</v>
      </c>
      <c r="C151" s="10">
        <v>507142626</v>
      </c>
      <c r="D151" s="10">
        <v>10</v>
      </c>
      <c r="E151" s="10" t="s">
        <v>10</v>
      </c>
      <c r="F151" s="10">
        <v>1212641</v>
      </c>
      <c r="G151" s="10" t="s">
        <v>99</v>
      </c>
      <c r="H151" s="11">
        <v>25858</v>
      </c>
      <c r="I151" s="10">
        <v>0</v>
      </c>
      <c r="J151" s="11">
        <f t="shared" si="5"/>
        <v>25858</v>
      </c>
      <c r="K151" s="12">
        <f>VLOOKUP(A151,[3]VA05!$A:$K,11,FALSE)</f>
        <v>45590</v>
      </c>
      <c r="L151" s="10" t="s">
        <v>27</v>
      </c>
      <c r="M151" s="10" t="s">
        <v>162</v>
      </c>
    </row>
    <row r="152" spans="1:13" hidden="1" x14ac:dyDescent="0.25">
      <c r="A152" s="13" t="str">
        <f t="shared" si="4"/>
        <v>50714201220</v>
      </c>
      <c r="B152" s="10">
        <v>1003980075</v>
      </c>
      <c r="C152" s="10">
        <v>507142012</v>
      </c>
      <c r="D152" s="10">
        <v>20</v>
      </c>
      <c r="E152" s="10" t="s">
        <v>24</v>
      </c>
      <c r="F152" s="10">
        <v>1171484</v>
      </c>
      <c r="G152" s="10" t="s">
        <v>271</v>
      </c>
      <c r="H152" s="11">
        <v>4000</v>
      </c>
      <c r="I152" s="10">
        <v>0</v>
      </c>
      <c r="J152" s="11">
        <f t="shared" si="5"/>
        <v>4000</v>
      </c>
      <c r="K152" s="12" t="e">
        <f>VLOOKUP(A152,[3]VA05!$A:$K,11,FALSE)</f>
        <v>#N/A</v>
      </c>
      <c r="L152" s="10" t="s">
        <v>260</v>
      </c>
      <c r="M152" s="10" t="s">
        <v>272</v>
      </c>
    </row>
    <row r="153" spans="1:13" x14ac:dyDescent="0.25">
      <c r="A153" s="13" t="str">
        <f t="shared" si="4"/>
        <v>50714270910</v>
      </c>
      <c r="B153" s="10">
        <v>1004058762</v>
      </c>
      <c r="C153" s="10">
        <v>507142709</v>
      </c>
      <c r="D153" s="10">
        <v>10</v>
      </c>
      <c r="E153" s="10" t="s">
        <v>10</v>
      </c>
      <c r="F153" s="10">
        <v>1172346</v>
      </c>
      <c r="G153" s="10" t="s">
        <v>158</v>
      </c>
      <c r="H153" s="11">
        <v>34782</v>
      </c>
      <c r="I153" s="11">
        <v>26828</v>
      </c>
      <c r="J153" s="11">
        <f t="shared" si="5"/>
        <v>7954</v>
      </c>
      <c r="K153" s="12">
        <f>VLOOKUP(A153,[3]VA05!$A:$K,11,FALSE)</f>
        <v>45583</v>
      </c>
      <c r="L153" s="10" t="s">
        <v>18</v>
      </c>
      <c r="M153" s="10" t="s">
        <v>162</v>
      </c>
    </row>
    <row r="154" spans="1:13" x14ac:dyDescent="0.25">
      <c r="A154" s="13" t="str">
        <f t="shared" si="4"/>
        <v>50714271010</v>
      </c>
      <c r="B154" s="10">
        <v>1004058763</v>
      </c>
      <c r="C154" s="10">
        <v>507142710</v>
      </c>
      <c r="D154" s="10">
        <v>10</v>
      </c>
      <c r="E154" s="10" t="s">
        <v>10</v>
      </c>
      <c r="F154" s="10">
        <v>1172346</v>
      </c>
      <c r="G154" s="10" t="s">
        <v>158</v>
      </c>
      <c r="H154" s="11">
        <v>34782</v>
      </c>
      <c r="I154" s="10">
        <v>0</v>
      </c>
      <c r="J154" s="11">
        <f t="shared" si="5"/>
        <v>34782</v>
      </c>
      <c r="K154" s="12">
        <f>VLOOKUP(A154,[3]VA05!$A:$K,11,FALSE)</f>
        <v>45596</v>
      </c>
      <c r="L154" s="10" t="s">
        <v>56</v>
      </c>
      <c r="M154" s="10" t="s">
        <v>176</v>
      </c>
    </row>
    <row r="155" spans="1:13" x14ac:dyDescent="0.25">
      <c r="A155" s="13" t="str">
        <f t="shared" si="4"/>
        <v>50714239710</v>
      </c>
      <c r="B155" s="10">
        <v>1004054834</v>
      </c>
      <c r="C155" s="10">
        <v>507142397</v>
      </c>
      <c r="D155" s="10">
        <v>10</v>
      </c>
      <c r="E155" s="10" t="s">
        <v>10</v>
      </c>
      <c r="F155" s="10">
        <v>1195537</v>
      </c>
      <c r="G155" s="10" t="s">
        <v>220</v>
      </c>
      <c r="H155" s="11">
        <v>62346</v>
      </c>
      <c r="I155" s="10">
        <v>0</v>
      </c>
      <c r="J155" s="11">
        <f t="shared" si="5"/>
        <v>62346</v>
      </c>
      <c r="K155" s="12">
        <f>VLOOKUP(A155,[3]VA05!$A:$K,11,FALSE)</f>
        <v>45579</v>
      </c>
      <c r="L155" s="10" t="s">
        <v>25</v>
      </c>
      <c r="M155" s="10" t="s">
        <v>178</v>
      </c>
    </row>
    <row r="156" spans="1:13" x14ac:dyDescent="0.25">
      <c r="A156" s="13" t="str">
        <f t="shared" si="4"/>
        <v>50714247910</v>
      </c>
      <c r="B156" s="10">
        <v>1004054835</v>
      </c>
      <c r="C156" s="10">
        <v>507142479</v>
      </c>
      <c r="D156" s="10">
        <v>10</v>
      </c>
      <c r="E156" s="10" t="s">
        <v>10</v>
      </c>
      <c r="F156" s="10">
        <v>1195537</v>
      </c>
      <c r="G156" s="10" t="s">
        <v>220</v>
      </c>
      <c r="H156" s="11">
        <v>52994</v>
      </c>
      <c r="I156" s="10">
        <v>0</v>
      </c>
      <c r="J156" s="11">
        <f t="shared" si="5"/>
        <v>52994</v>
      </c>
      <c r="K156" s="12">
        <f>VLOOKUP(A156,[3]VA05!$A:$K,11,FALSE)</f>
        <v>45587</v>
      </c>
      <c r="L156" s="10" t="s">
        <v>12</v>
      </c>
      <c r="M156" s="10" t="s">
        <v>155</v>
      </c>
    </row>
    <row r="157" spans="1:13" x14ac:dyDescent="0.25">
      <c r="A157" s="13" t="str">
        <f t="shared" si="4"/>
        <v>50714248010</v>
      </c>
      <c r="B157" s="10">
        <v>1004052386</v>
      </c>
      <c r="C157" s="10">
        <v>507142480</v>
      </c>
      <c r="D157" s="10">
        <v>10</v>
      </c>
      <c r="E157" s="10" t="s">
        <v>10</v>
      </c>
      <c r="F157" s="10">
        <v>1191883</v>
      </c>
      <c r="G157" s="10" t="s">
        <v>125</v>
      </c>
      <c r="H157" s="11">
        <v>57584</v>
      </c>
      <c r="I157" s="11">
        <v>42089</v>
      </c>
      <c r="J157" s="11">
        <f t="shared" si="5"/>
        <v>15495</v>
      </c>
      <c r="K157" s="12">
        <f>VLOOKUP(A157,[3]VA05!$A:$K,11,FALSE)</f>
        <v>45587</v>
      </c>
      <c r="L157" s="10" t="s">
        <v>18</v>
      </c>
      <c r="M157" s="10" t="s">
        <v>195</v>
      </c>
    </row>
    <row r="158" spans="1:13" x14ac:dyDescent="0.25">
      <c r="A158" s="13" t="str">
        <f t="shared" si="4"/>
        <v>50714248010</v>
      </c>
      <c r="B158" s="10">
        <v>1004042840</v>
      </c>
      <c r="C158" s="10">
        <v>507142480</v>
      </c>
      <c r="D158" s="10">
        <v>10</v>
      </c>
      <c r="E158" s="10" t="s">
        <v>10</v>
      </c>
      <c r="F158" s="10">
        <v>1191882</v>
      </c>
      <c r="G158" s="10" t="s">
        <v>137</v>
      </c>
      <c r="H158" s="11">
        <v>51677</v>
      </c>
      <c r="I158" s="11">
        <v>37145</v>
      </c>
      <c r="J158" s="11">
        <f t="shared" si="5"/>
        <v>14532</v>
      </c>
      <c r="K158" s="12">
        <f>VLOOKUP(A158,[3]VA05!$A:$K,11,FALSE)</f>
        <v>45587</v>
      </c>
      <c r="L158" s="10" t="s">
        <v>11</v>
      </c>
      <c r="M158" s="10" t="s">
        <v>178</v>
      </c>
    </row>
    <row r="159" spans="1:13" hidden="1" x14ac:dyDescent="0.25">
      <c r="A159" s="13" t="str">
        <f t="shared" si="4"/>
        <v>50714248010</v>
      </c>
      <c r="B159" s="10">
        <v>1004056890</v>
      </c>
      <c r="C159" s="10">
        <v>507142480</v>
      </c>
      <c r="D159" s="10">
        <v>10</v>
      </c>
      <c r="E159" s="10" t="s">
        <v>10</v>
      </c>
      <c r="F159" s="10">
        <v>1191889</v>
      </c>
      <c r="G159" s="10" t="s">
        <v>126</v>
      </c>
      <c r="H159" s="11">
        <v>55990</v>
      </c>
      <c r="I159" s="11">
        <v>55990</v>
      </c>
      <c r="J159" s="11">
        <f t="shared" si="5"/>
        <v>0</v>
      </c>
      <c r="K159" s="12">
        <f>VLOOKUP(A159,[3]VA05!$A:$K,11,FALSE)</f>
        <v>45587</v>
      </c>
      <c r="L159" s="10" t="s">
        <v>34</v>
      </c>
      <c r="M159" s="10" t="s">
        <v>201</v>
      </c>
    </row>
    <row r="160" spans="1:13" hidden="1" x14ac:dyDescent="0.25">
      <c r="A160" s="13" t="str">
        <f t="shared" si="4"/>
        <v>50714223250</v>
      </c>
      <c r="B160" s="10">
        <v>1004029422</v>
      </c>
      <c r="C160" s="10">
        <v>507142232</v>
      </c>
      <c r="D160" s="10">
        <v>50</v>
      </c>
      <c r="E160" s="10" t="s">
        <v>24</v>
      </c>
      <c r="F160" s="10">
        <v>1317217</v>
      </c>
      <c r="G160" s="10" t="s">
        <v>273</v>
      </c>
      <c r="H160" s="11">
        <v>12500</v>
      </c>
      <c r="I160" s="10">
        <v>0</v>
      </c>
      <c r="J160" s="11">
        <f t="shared" si="5"/>
        <v>12500</v>
      </c>
      <c r="K160" s="12" t="e">
        <f>VLOOKUP(A160,[3]VA05!$A:$K,11,FALSE)</f>
        <v>#N/A</v>
      </c>
      <c r="L160" s="10" t="s">
        <v>260</v>
      </c>
      <c r="M160" s="10" t="s">
        <v>274</v>
      </c>
    </row>
    <row r="161" spans="1:13" x14ac:dyDescent="0.25">
      <c r="A161" s="13" t="str">
        <f t="shared" si="4"/>
        <v>50714278320</v>
      </c>
      <c r="B161" s="10">
        <v>1004056039</v>
      </c>
      <c r="C161" s="10">
        <v>507142783</v>
      </c>
      <c r="D161" s="10">
        <v>20</v>
      </c>
      <c r="E161" s="10" t="s">
        <v>10</v>
      </c>
      <c r="F161" s="10">
        <v>1161035</v>
      </c>
      <c r="G161" s="10" t="s">
        <v>222</v>
      </c>
      <c r="H161" s="11">
        <v>25747</v>
      </c>
      <c r="I161" s="10">
        <v>0</v>
      </c>
      <c r="J161" s="11">
        <f t="shared" si="5"/>
        <v>25747</v>
      </c>
      <c r="K161" s="12">
        <f>VLOOKUP(A161,[3]VA05!$A:$K,11,FALSE)</f>
        <v>45582</v>
      </c>
      <c r="L161" s="10" t="s">
        <v>13</v>
      </c>
      <c r="M161" s="10" t="s">
        <v>202</v>
      </c>
    </row>
    <row r="162" spans="1:13" x14ac:dyDescent="0.25">
      <c r="A162" s="13" t="str">
        <f t="shared" si="4"/>
        <v>50714271610</v>
      </c>
      <c r="B162" s="10">
        <v>1004056047</v>
      </c>
      <c r="C162" s="10">
        <v>507142716</v>
      </c>
      <c r="D162" s="10">
        <v>10</v>
      </c>
      <c r="E162" s="10" t="s">
        <v>10</v>
      </c>
      <c r="F162" s="10">
        <v>1159340</v>
      </c>
      <c r="G162" s="10" t="s">
        <v>223</v>
      </c>
      <c r="H162" s="11">
        <v>18391</v>
      </c>
      <c r="I162" s="10">
        <v>0</v>
      </c>
      <c r="J162" s="11">
        <f t="shared" si="5"/>
        <v>18391</v>
      </c>
      <c r="K162" s="12">
        <f>VLOOKUP(A162,[3]VA05!$A:$K,11,FALSE)</f>
        <v>45569</v>
      </c>
      <c r="L162" s="10" t="s">
        <v>13</v>
      </c>
      <c r="M162" s="10" t="s">
        <v>180</v>
      </c>
    </row>
    <row r="163" spans="1:13" x14ac:dyDescent="0.25">
      <c r="A163" s="13" t="str">
        <f t="shared" si="4"/>
        <v>50714279710</v>
      </c>
      <c r="B163" s="10">
        <v>1004058006</v>
      </c>
      <c r="C163" s="10">
        <v>507142797</v>
      </c>
      <c r="D163" s="10">
        <v>10</v>
      </c>
      <c r="E163" s="10" t="s">
        <v>10</v>
      </c>
      <c r="F163" s="10">
        <v>1161417</v>
      </c>
      <c r="G163" s="10" t="s">
        <v>228</v>
      </c>
      <c r="H163" s="11">
        <v>25543</v>
      </c>
      <c r="I163" s="10">
        <v>0</v>
      </c>
      <c r="J163" s="11">
        <f t="shared" si="5"/>
        <v>25543</v>
      </c>
      <c r="K163" s="12">
        <f>VLOOKUP(A163,[3]VA05!$A:$K,11,FALSE)</f>
        <v>45588</v>
      </c>
      <c r="L163" s="10" t="s">
        <v>12</v>
      </c>
      <c r="M163" s="10" t="s">
        <v>177</v>
      </c>
    </row>
    <row r="164" spans="1:13" x14ac:dyDescent="0.25">
      <c r="A164" s="13" t="str">
        <f t="shared" si="4"/>
        <v>50714278110</v>
      </c>
      <c r="B164" s="10">
        <v>1004058007</v>
      </c>
      <c r="C164" s="10">
        <v>507142781</v>
      </c>
      <c r="D164" s="10">
        <v>10</v>
      </c>
      <c r="E164" s="10" t="s">
        <v>10</v>
      </c>
      <c r="F164" s="10">
        <v>1161417</v>
      </c>
      <c r="G164" s="10" t="s">
        <v>228</v>
      </c>
      <c r="H164" s="11">
        <v>5109</v>
      </c>
      <c r="I164" s="10">
        <v>0</v>
      </c>
      <c r="J164" s="11">
        <f t="shared" si="5"/>
        <v>5109</v>
      </c>
      <c r="K164" s="12">
        <f>VLOOKUP(A164,[3]VA05!$A:$K,11,FALSE)</f>
        <v>45595</v>
      </c>
      <c r="L164" s="10" t="s">
        <v>12</v>
      </c>
      <c r="M164" s="10" t="s">
        <v>196</v>
      </c>
    </row>
    <row r="165" spans="1:13" x14ac:dyDescent="0.25">
      <c r="A165" s="13" t="str">
        <f t="shared" si="4"/>
        <v>50714271120</v>
      </c>
      <c r="B165" s="10">
        <v>1004058008</v>
      </c>
      <c r="C165" s="10">
        <v>507142711</v>
      </c>
      <c r="D165" s="10">
        <v>20</v>
      </c>
      <c r="E165" s="10" t="s">
        <v>10</v>
      </c>
      <c r="F165" s="10">
        <v>1161417</v>
      </c>
      <c r="G165" s="10" t="s">
        <v>228</v>
      </c>
      <c r="H165" s="11">
        <v>6845</v>
      </c>
      <c r="I165" s="10">
        <v>0</v>
      </c>
      <c r="J165" s="11">
        <f t="shared" si="5"/>
        <v>6845</v>
      </c>
      <c r="K165" s="12">
        <f>VLOOKUP(A165,[3]VA05!$A:$K,11,FALSE)</f>
        <v>45565</v>
      </c>
      <c r="L165" s="10" t="s">
        <v>12</v>
      </c>
      <c r="M165" s="10" t="s">
        <v>155</v>
      </c>
    </row>
    <row r="166" spans="1:13" x14ac:dyDescent="0.25">
      <c r="A166" s="13" t="str">
        <f t="shared" si="4"/>
        <v>50714259410</v>
      </c>
      <c r="B166" s="10">
        <v>1004042029</v>
      </c>
      <c r="C166" s="10">
        <v>507142594</v>
      </c>
      <c r="D166" s="10">
        <v>10</v>
      </c>
      <c r="E166" s="10" t="s">
        <v>10</v>
      </c>
      <c r="F166" s="10">
        <v>1307502</v>
      </c>
      <c r="G166" s="10" t="s">
        <v>127</v>
      </c>
      <c r="H166" s="11">
        <v>5220</v>
      </c>
      <c r="I166" s="10">
        <v>0</v>
      </c>
      <c r="J166" s="11">
        <f t="shared" si="5"/>
        <v>5220</v>
      </c>
      <c r="K166" s="12">
        <f>VLOOKUP(A166,[3]VA05!$A:$K,11,FALSE)</f>
        <v>45552</v>
      </c>
      <c r="L166" s="10" t="s">
        <v>13</v>
      </c>
      <c r="M166" s="10" t="s">
        <v>95</v>
      </c>
    </row>
    <row r="167" spans="1:13" x14ac:dyDescent="0.25">
      <c r="A167" s="13" t="str">
        <f t="shared" si="4"/>
        <v>50714259420</v>
      </c>
      <c r="B167" s="10">
        <v>1004042030</v>
      </c>
      <c r="C167" s="10">
        <v>507142594</v>
      </c>
      <c r="D167" s="10">
        <v>20</v>
      </c>
      <c r="E167" s="10" t="s">
        <v>10</v>
      </c>
      <c r="F167" s="10">
        <v>1307502</v>
      </c>
      <c r="G167" s="10" t="s">
        <v>127</v>
      </c>
      <c r="H167" s="11">
        <v>5220</v>
      </c>
      <c r="I167" s="10">
        <v>0</v>
      </c>
      <c r="J167" s="11">
        <f t="shared" si="5"/>
        <v>5220</v>
      </c>
      <c r="K167" s="12">
        <f>VLOOKUP(A167,[3]VA05!$A:$K,11,FALSE)</f>
        <v>45552</v>
      </c>
      <c r="L167" s="10" t="s">
        <v>13</v>
      </c>
      <c r="M167" s="10" t="s">
        <v>95</v>
      </c>
    </row>
    <row r="168" spans="1:13" hidden="1" x14ac:dyDescent="0.25">
      <c r="A168" s="13" t="str">
        <f t="shared" si="4"/>
        <v>50714259410</v>
      </c>
      <c r="B168" s="10">
        <v>1004060365</v>
      </c>
      <c r="C168" s="10">
        <v>507142594</v>
      </c>
      <c r="D168" s="10">
        <v>10</v>
      </c>
      <c r="E168" s="10" t="s">
        <v>24</v>
      </c>
      <c r="F168" s="10">
        <v>1307502</v>
      </c>
      <c r="G168" s="10" t="s">
        <v>127</v>
      </c>
      <c r="H168" s="11">
        <v>5000</v>
      </c>
      <c r="I168" s="10">
        <v>0</v>
      </c>
      <c r="J168" s="11">
        <f t="shared" si="5"/>
        <v>5000</v>
      </c>
      <c r="K168" s="12">
        <f>VLOOKUP(A168,[3]VA05!$A:$K,11,FALSE)</f>
        <v>45552</v>
      </c>
      <c r="L168" s="10" t="s">
        <v>13</v>
      </c>
      <c r="M168" s="10" t="s">
        <v>156</v>
      </c>
    </row>
    <row r="169" spans="1:13" hidden="1" x14ac:dyDescent="0.25">
      <c r="A169" s="13" t="str">
        <f t="shared" si="4"/>
        <v>50714259420</v>
      </c>
      <c r="B169" s="10">
        <v>1004050306</v>
      </c>
      <c r="C169" s="10">
        <v>507142594</v>
      </c>
      <c r="D169" s="10">
        <v>20</v>
      </c>
      <c r="E169" s="10" t="s">
        <v>10</v>
      </c>
      <c r="F169" s="10">
        <v>1307503</v>
      </c>
      <c r="G169" s="10" t="s">
        <v>159</v>
      </c>
      <c r="H169" s="11">
        <v>5109</v>
      </c>
      <c r="I169" s="11">
        <v>5109</v>
      </c>
      <c r="J169" s="11">
        <f t="shared" si="5"/>
        <v>0</v>
      </c>
      <c r="K169" s="12">
        <f>VLOOKUP(A169,[3]VA05!$A:$K,11,FALSE)</f>
        <v>45552</v>
      </c>
      <c r="L169" s="10" t="s">
        <v>28</v>
      </c>
      <c r="M169" s="10" t="s">
        <v>178</v>
      </c>
    </row>
    <row r="170" spans="1:13" hidden="1" x14ac:dyDescent="0.25">
      <c r="A170" s="13" t="str">
        <f t="shared" si="4"/>
        <v>50714255810</v>
      </c>
      <c r="B170" s="10">
        <v>1004042232</v>
      </c>
      <c r="C170" s="10">
        <v>507142558</v>
      </c>
      <c r="D170" s="10">
        <v>10</v>
      </c>
      <c r="E170" s="10" t="s">
        <v>10</v>
      </c>
      <c r="F170" s="10">
        <v>1209582</v>
      </c>
      <c r="G170" s="10" t="s">
        <v>128</v>
      </c>
      <c r="H170" s="11">
        <v>61302</v>
      </c>
      <c r="I170" s="11">
        <v>61302</v>
      </c>
      <c r="J170" s="11">
        <f t="shared" si="5"/>
        <v>0</v>
      </c>
      <c r="K170" s="12">
        <f>VLOOKUP(A170,[3]VA05!$A:$K,11,FALSE)</f>
        <v>45562</v>
      </c>
      <c r="L170" s="10" t="s">
        <v>28</v>
      </c>
      <c r="M170" s="10" t="s">
        <v>156</v>
      </c>
    </row>
    <row r="171" spans="1:13" hidden="1" x14ac:dyDescent="0.25">
      <c r="A171" s="13" t="str">
        <f t="shared" si="4"/>
        <v>50714255810</v>
      </c>
      <c r="B171" s="10">
        <v>1004035205</v>
      </c>
      <c r="C171" s="10">
        <v>507142558</v>
      </c>
      <c r="D171" s="10">
        <v>10</v>
      </c>
      <c r="E171" s="10" t="s">
        <v>10</v>
      </c>
      <c r="F171" s="10">
        <v>1209580</v>
      </c>
      <c r="G171" s="10" t="s">
        <v>100</v>
      </c>
      <c r="H171" s="11">
        <v>61302</v>
      </c>
      <c r="I171" s="11">
        <v>61302</v>
      </c>
      <c r="J171" s="11">
        <f t="shared" si="5"/>
        <v>0</v>
      </c>
      <c r="K171" s="12">
        <f>VLOOKUP(A171,[3]VA05!$A:$K,11,FALSE)</f>
        <v>45562</v>
      </c>
      <c r="L171" s="10" t="s">
        <v>28</v>
      </c>
      <c r="M171" s="10" t="s">
        <v>194</v>
      </c>
    </row>
    <row r="172" spans="1:13" x14ac:dyDescent="0.25">
      <c r="A172" s="13" t="str">
        <f t="shared" si="4"/>
        <v>50714266510</v>
      </c>
      <c r="B172" s="10">
        <v>1004060360</v>
      </c>
      <c r="C172" s="10">
        <v>507142665</v>
      </c>
      <c r="D172" s="10">
        <v>10</v>
      </c>
      <c r="E172" s="10" t="s">
        <v>10</v>
      </c>
      <c r="F172" s="10">
        <v>1209580</v>
      </c>
      <c r="G172" s="10" t="s">
        <v>100</v>
      </c>
      <c r="H172" s="11">
        <v>30651</v>
      </c>
      <c r="I172" s="10">
        <v>0</v>
      </c>
      <c r="J172" s="11">
        <f t="shared" si="5"/>
        <v>30651</v>
      </c>
      <c r="K172" s="12">
        <f>VLOOKUP(A172,[3]VA05!$A:$K,11,FALSE)</f>
        <v>45603</v>
      </c>
      <c r="L172" s="10" t="s">
        <v>25</v>
      </c>
      <c r="M172" s="10" t="s">
        <v>253</v>
      </c>
    </row>
    <row r="173" spans="1:13" x14ac:dyDescent="0.25">
      <c r="A173" s="13" t="str">
        <f t="shared" si="4"/>
        <v>50714244520</v>
      </c>
      <c r="B173" s="10">
        <v>1004053208</v>
      </c>
      <c r="C173" s="10">
        <v>507142445</v>
      </c>
      <c r="D173" s="10">
        <v>20</v>
      </c>
      <c r="E173" s="10" t="s">
        <v>10</v>
      </c>
      <c r="F173" s="10">
        <v>1210955</v>
      </c>
      <c r="G173" s="10" t="s">
        <v>215</v>
      </c>
      <c r="H173" s="11">
        <v>53210</v>
      </c>
      <c r="I173" s="10">
        <v>0</v>
      </c>
      <c r="J173" s="11">
        <f t="shared" si="5"/>
        <v>53210</v>
      </c>
      <c r="K173" s="12">
        <f>VLOOKUP(A173,[3]VA05!$A:$K,11,FALSE)</f>
        <v>45595</v>
      </c>
      <c r="L173" s="10" t="s">
        <v>239</v>
      </c>
      <c r="M173" s="10" t="s">
        <v>216</v>
      </c>
    </row>
    <row r="174" spans="1:13" x14ac:dyDescent="0.25">
      <c r="A174" s="13" t="str">
        <f t="shared" si="4"/>
        <v>50714244520</v>
      </c>
      <c r="B174" s="10">
        <v>1004052416</v>
      </c>
      <c r="C174" s="10">
        <v>507142445</v>
      </c>
      <c r="D174" s="10">
        <v>20</v>
      </c>
      <c r="E174" s="10" t="s">
        <v>10</v>
      </c>
      <c r="F174" s="10">
        <v>1259266</v>
      </c>
      <c r="G174" s="10" t="s">
        <v>64</v>
      </c>
      <c r="H174" s="11">
        <v>51912</v>
      </c>
      <c r="I174" s="10">
        <v>0</v>
      </c>
      <c r="J174" s="11">
        <f t="shared" si="5"/>
        <v>51912</v>
      </c>
      <c r="K174" s="12">
        <f>VLOOKUP(A174,[3]VA05!$A:$K,11,FALSE)</f>
        <v>45595</v>
      </c>
      <c r="L174" s="10" t="s">
        <v>239</v>
      </c>
      <c r="M174" s="10" t="s">
        <v>199</v>
      </c>
    </row>
    <row r="175" spans="1:13" x14ac:dyDescent="0.25">
      <c r="A175" s="13" t="str">
        <f t="shared" si="4"/>
        <v>50714244520</v>
      </c>
      <c r="B175" s="10">
        <v>1004052417</v>
      </c>
      <c r="C175" s="10">
        <v>507142445</v>
      </c>
      <c r="D175" s="10">
        <v>20</v>
      </c>
      <c r="E175" s="10" t="s">
        <v>10</v>
      </c>
      <c r="F175" s="10">
        <v>1259265</v>
      </c>
      <c r="G175" s="10" t="s">
        <v>187</v>
      </c>
      <c r="H175" s="11">
        <v>53210</v>
      </c>
      <c r="I175" s="10">
        <v>0</v>
      </c>
      <c r="J175" s="11">
        <f t="shared" si="5"/>
        <v>53210</v>
      </c>
      <c r="K175" s="12">
        <f>VLOOKUP(A175,[3]VA05!$A:$K,11,FALSE)</f>
        <v>45595</v>
      </c>
      <c r="L175" s="10" t="s">
        <v>12</v>
      </c>
      <c r="M175" s="10" t="s">
        <v>202</v>
      </c>
    </row>
    <row r="176" spans="1:13" x14ac:dyDescent="0.25">
      <c r="A176" s="13" t="str">
        <f t="shared" si="4"/>
        <v>50714264710</v>
      </c>
      <c r="B176" s="10">
        <v>1004045115</v>
      </c>
      <c r="C176" s="10">
        <v>507142647</v>
      </c>
      <c r="D176" s="10">
        <v>10</v>
      </c>
      <c r="E176" s="10" t="s">
        <v>10</v>
      </c>
      <c r="F176" s="10">
        <v>1168128</v>
      </c>
      <c r="G176" s="10" t="s">
        <v>77</v>
      </c>
      <c r="H176" s="11">
        <v>54355</v>
      </c>
      <c r="I176" s="11">
        <v>3640</v>
      </c>
      <c r="J176" s="11">
        <f t="shared" si="5"/>
        <v>50715</v>
      </c>
      <c r="K176" s="12">
        <f>VLOOKUP(A176,[3]VA05!$A:$K,11,FALSE)</f>
        <v>45565</v>
      </c>
      <c r="L176" s="10" t="s">
        <v>18</v>
      </c>
      <c r="M176" s="10" t="s">
        <v>154</v>
      </c>
    </row>
    <row r="177" spans="1:13" x14ac:dyDescent="0.25">
      <c r="A177" s="13" t="str">
        <f t="shared" si="4"/>
        <v>50714278810</v>
      </c>
      <c r="B177" s="10">
        <v>1004053488</v>
      </c>
      <c r="C177" s="10">
        <v>507142788</v>
      </c>
      <c r="D177" s="10">
        <v>10</v>
      </c>
      <c r="E177" s="10" t="s">
        <v>10</v>
      </c>
      <c r="F177" s="10">
        <v>1168128</v>
      </c>
      <c r="G177" s="10" t="s">
        <v>77</v>
      </c>
      <c r="H177" s="11">
        <v>56529</v>
      </c>
      <c r="I177" s="10">
        <v>0</v>
      </c>
      <c r="J177" s="11">
        <f t="shared" si="5"/>
        <v>56529</v>
      </c>
      <c r="K177" s="12">
        <f>VLOOKUP(A177,[3]VA05!$A:$K,11,FALSE)</f>
        <v>45582</v>
      </c>
      <c r="L177" s="10" t="s">
        <v>12</v>
      </c>
      <c r="M177" s="10" t="s">
        <v>162</v>
      </c>
    </row>
    <row r="178" spans="1:13" hidden="1" x14ac:dyDescent="0.25">
      <c r="A178" s="13" t="str">
        <f t="shared" si="4"/>
        <v>50714264710</v>
      </c>
      <c r="B178" s="10">
        <v>1004038443</v>
      </c>
      <c r="C178" s="10">
        <v>507142647</v>
      </c>
      <c r="D178" s="10">
        <v>10</v>
      </c>
      <c r="E178" s="10" t="s">
        <v>10</v>
      </c>
      <c r="F178" s="10">
        <v>1168125</v>
      </c>
      <c r="G178" s="10" t="s">
        <v>32</v>
      </c>
      <c r="H178" s="11">
        <v>54355</v>
      </c>
      <c r="I178" s="11">
        <v>54355</v>
      </c>
      <c r="J178" s="11">
        <f t="shared" si="5"/>
        <v>0</v>
      </c>
      <c r="K178" s="12">
        <f>VLOOKUP(A178,[3]VA05!$A:$K,11,FALSE)</f>
        <v>45565</v>
      </c>
      <c r="L178" s="10" t="s">
        <v>28</v>
      </c>
      <c r="M178" s="10" t="s">
        <v>180</v>
      </c>
    </row>
    <row r="179" spans="1:13" x14ac:dyDescent="0.25">
      <c r="A179" s="13" t="str">
        <f t="shared" si="4"/>
        <v>50714264910</v>
      </c>
      <c r="B179" s="10">
        <v>1004038445</v>
      </c>
      <c r="C179" s="10">
        <v>507142649</v>
      </c>
      <c r="D179" s="10">
        <v>10</v>
      </c>
      <c r="E179" s="10" t="s">
        <v>10</v>
      </c>
      <c r="F179" s="10">
        <v>1168125</v>
      </c>
      <c r="G179" s="10" t="s">
        <v>32</v>
      </c>
      <c r="H179" s="11">
        <v>51094</v>
      </c>
      <c r="I179" s="11">
        <v>42417</v>
      </c>
      <c r="J179" s="11">
        <f t="shared" si="5"/>
        <v>8677</v>
      </c>
      <c r="K179" s="12" t="e">
        <f>VLOOKUP(A179,[3]VA05!$A:$K,11,FALSE)</f>
        <v>#N/A</v>
      </c>
      <c r="L179" s="10" t="s">
        <v>18</v>
      </c>
      <c r="M179" s="10" t="s">
        <v>154</v>
      </c>
    </row>
    <row r="180" spans="1:13" x14ac:dyDescent="0.25">
      <c r="A180" s="13" t="str">
        <f t="shared" si="4"/>
        <v>50714268810</v>
      </c>
      <c r="B180" s="10">
        <v>1004051400</v>
      </c>
      <c r="C180" s="10">
        <v>507142688</v>
      </c>
      <c r="D180" s="10">
        <v>10</v>
      </c>
      <c r="E180" s="10" t="s">
        <v>10</v>
      </c>
      <c r="F180" s="10">
        <v>1430111</v>
      </c>
      <c r="G180" s="10" t="s">
        <v>101</v>
      </c>
      <c r="H180" s="11">
        <v>122842</v>
      </c>
      <c r="I180" s="11">
        <v>84034</v>
      </c>
      <c r="J180" s="11">
        <f t="shared" si="5"/>
        <v>38808</v>
      </c>
      <c r="K180" s="12">
        <f>VLOOKUP(A180,[3]VA05!$A:$K,11,FALSE)</f>
        <v>45567</v>
      </c>
      <c r="L180" s="10" t="s">
        <v>18</v>
      </c>
      <c r="M180" s="10" t="s">
        <v>107</v>
      </c>
    </row>
    <row r="181" spans="1:13" x14ac:dyDescent="0.25">
      <c r="A181" s="13" t="str">
        <f t="shared" si="4"/>
        <v>50714239390</v>
      </c>
      <c r="B181" s="10">
        <v>1004032826</v>
      </c>
      <c r="C181" s="10">
        <v>507142393</v>
      </c>
      <c r="D181" s="10">
        <v>90</v>
      </c>
      <c r="E181" s="10" t="s">
        <v>10</v>
      </c>
      <c r="F181" s="10">
        <v>1416752</v>
      </c>
      <c r="G181" s="10" t="s">
        <v>52</v>
      </c>
      <c r="H181" s="11">
        <v>47012</v>
      </c>
      <c r="I181" s="11">
        <v>38740</v>
      </c>
      <c r="J181" s="11">
        <f t="shared" si="5"/>
        <v>8272</v>
      </c>
      <c r="K181" s="12" t="e">
        <f>VLOOKUP(A181,[3]VA05!$A:$K,11,FALSE)</f>
        <v>#N/A</v>
      </c>
      <c r="L181" s="10" t="s">
        <v>11</v>
      </c>
      <c r="M181" s="10" t="s">
        <v>73</v>
      </c>
    </row>
    <row r="182" spans="1:13" x14ac:dyDescent="0.25">
      <c r="A182" s="13" t="str">
        <f t="shared" si="4"/>
        <v>507142416150</v>
      </c>
      <c r="B182" s="10">
        <v>1004052419</v>
      </c>
      <c r="C182" s="10">
        <v>507142416</v>
      </c>
      <c r="D182" s="10">
        <v>150</v>
      </c>
      <c r="E182" s="10" t="s">
        <v>10</v>
      </c>
      <c r="F182" s="10">
        <v>1269350</v>
      </c>
      <c r="G182" s="10" t="s">
        <v>188</v>
      </c>
      <c r="H182" s="11">
        <v>10439</v>
      </c>
      <c r="I182" s="10">
        <v>0</v>
      </c>
      <c r="J182" s="11">
        <f t="shared" si="5"/>
        <v>10439</v>
      </c>
      <c r="K182" s="12">
        <f>VLOOKUP(A182,[3]VA05!$A:$K,11,FALSE)</f>
        <v>45576</v>
      </c>
      <c r="L182" s="10" t="s">
        <v>12</v>
      </c>
      <c r="M182" s="10" t="s">
        <v>156</v>
      </c>
    </row>
    <row r="183" spans="1:13" x14ac:dyDescent="0.25">
      <c r="A183" s="13" t="str">
        <f t="shared" si="4"/>
        <v>50714268820</v>
      </c>
      <c r="B183" s="10">
        <v>1004052420</v>
      </c>
      <c r="C183" s="10">
        <v>507142688</v>
      </c>
      <c r="D183" s="10">
        <v>20</v>
      </c>
      <c r="E183" s="10" t="s">
        <v>10</v>
      </c>
      <c r="F183" s="10">
        <v>1430096</v>
      </c>
      <c r="G183" s="10" t="s">
        <v>93</v>
      </c>
      <c r="H183" s="11">
        <v>134120</v>
      </c>
      <c r="I183" s="11">
        <v>94784</v>
      </c>
      <c r="J183" s="11">
        <f t="shared" si="5"/>
        <v>39336</v>
      </c>
      <c r="K183" s="12">
        <f>VLOOKUP(A183,[3]VA05!$A:$K,11,FALSE)</f>
        <v>45567</v>
      </c>
      <c r="L183" s="10" t="s">
        <v>18</v>
      </c>
      <c r="M183" s="10" t="s">
        <v>195</v>
      </c>
    </row>
    <row r="184" spans="1:13" x14ac:dyDescent="0.25">
      <c r="A184" s="13" t="str">
        <f t="shared" si="4"/>
        <v>50714264820</v>
      </c>
      <c r="B184" s="10">
        <v>1004034229</v>
      </c>
      <c r="C184" s="10">
        <v>507142648</v>
      </c>
      <c r="D184" s="10">
        <v>20</v>
      </c>
      <c r="E184" s="10" t="s">
        <v>10</v>
      </c>
      <c r="F184" s="10">
        <v>1421506</v>
      </c>
      <c r="G184" s="10" t="s">
        <v>75</v>
      </c>
      <c r="H184" s="11">
        <v>106418</v>
      </c>
      <c r="I184" s="11">
        <v>87176</v>
      </c>
      <c r="J184" s="11">
        <f t="shared" si="5"/>
        <v>19242</v>
      </c>
      <c r="K184" s="12" t="e">
        <f>VLOOKUP(A184,[3]VA05!$A:$K,11,FALSE)</f>
        <v>#N/A</v>
      </c>
      <c r="L184" s="10" t="s">
        <v>18</v>
      </c>
      <c r="M184" s="10" t="s">
        <v>96</v>
      </c>
    </row>
    <row r="185" spans="1:13" x14ac:dyDescent="0.25">
      <c r="A185" s="13" t="str">
        <f t="shared" si="4"/>
        <v>50714268920</v>
      </c>
      <c r="B185" s="10">
        <v>1004041355</v>
      </c>
      <c r="C185" s="10">
        <v>507142689</v>
      </c>
      <c r="D185" s="10">
        <v>20</v>
      </c>
      <c r="E185" s="10" t="s">
        <v>10</v>
      </c>
      <c r="F185" s="10">
        <v>1187156</v>
      </c>
      <c r="G185" s="10" t="s">
        <v>80</v>
      </c>
      <c r="H185" s="11">
        <v>85860</v>
      </c>
      <c r="I185" s="11">
        <v>28066</v>
      </c>
      <c r="J185" s="11">
        <f t="shared" si="5"/>
        <v>57794</v>
      </c>
      <c r="K185" s="12">
        <f>VLOOKUP(A185,[3]VA05!$A:$K,11,FALSE)</f>
        <v>45558</v>
      </c>
      <c r="L185" s="10" t="s">
        <v>18</v>
      </c>
      <c r="M185" s="10" t="s">
        <v>131</v>
      </c>
    </row>
    <row r="186" spans="1:13" x14ac:dyDescent="0.25">
      <c r="A186" s="13" t="str">
        <f t="shared" si="4"/>
        <v>50714278820</v>
      </c>
      <c r="B186" s="10">
        <v>1004058947</v>
      </c>
      <c r="C186" s="10">
        <v>507142788</v>
      </c>
      <c r="D186" s="10">
        <v>20</v>
      </c>
      <c r="E186" s="10" t="s">
        <v>10</v>
      </c>
      <c r="F186" s="10">
        <v>1187156</v>
      </c>
      <c r="G186" s="10" t="s">
        <v>80</v>
      </c>
      <c r="H186" s="11">
        <v>62884</v>
      </c>
      <c r="I186" s="10">
        <v>0</v>
      </c>
      <c r="J186" s="11">
        <f t="shared" si="5"/>
        <v>62884</v>
      </c>
      <c r="K186" s="12">
        <f>VLOOKUP(A186,[3]VA05!$A:$K,11,FALSE)</f>
        <v>45582</v>
      </c>
      <c r="L186" s="10" t="s">
        <v>12</v>
      </c>
      <c r="M186" s="10" t="s">
        <v>156</v>
      </c>
    </row>
    <row r="187" spans="1:13" hidden="1" x14ac:dyDescent="0.25">
      <c r="A187" s="13" t="str">
        <f t="shared" si="4"/>
        <v>50714208240</v>
      </c>
      <c r="B187" s="10">
        <v>1003985006</v>
      </c>
      <c r="C187" s="10">
        <v>507142082</v>
      </c>
      <c r="D187" s="10">
        <v>40</v>
      </c>
      <c r="E187" s="10" t="s">
        <v>24</v>
      </c>
      <c r="F187" s="10">
        <v>1171152</v>
      </c>
      <c r="G187" s="10" t="s">
        <v>275</v>
      </c>
      <c r="H187" s="11">
        <v>27812</v>
      </c>
      <c r="I187" s="10">
        <v>0</v>
      </c>
      <c r="J187" s="11">
        <f t="shared" si="5"/>
        <v>27812</v>
      </c>
      <c r="K187" s="12" t="e">
        <f>VLOOKUP(A187,[3]VA05!$A:$K,11,FALSE)</f>
        <v>#N/A</v>
      </c>
      <c r="L187" s="10" t="s">
        <v>260</v>
      </c>
      <c r="M187" s="10" t="s">
        <v>276</v>
      </c>
    </row>
    <row r="188" spans="1:13" x14ac:dyDescent="0.25">
      <c r="A188" s="13" t="str">
        <f t="shared" si="4"/>
        <v>507142416140</v>
      </c>
      <c r="B188" s="10">
        <v>1004051396</v>
      </c>
      <c r="C188" s="10">
        <v>507142416</v>
      </c>
      <c r="D188" s="10">
        <v>140</v>
      </c>
      <c r="E188" s="10" t="s">
        <v>10</v>
      </c>
      <c r="F188" s="10">
        <v>1269354</v>
      </c>
      <c r="G188" s="10" t="s">
        <v>169</v>
      </c>
      <c r="H188" s="11">
        <v>10217</v>
      </c>
      <c r="I188" s="10">
        <v>0</v>
      </c>
      <c r="J188" s="11">
        <f t="shared" si="5"/>
        <v>10217</v>
      </c>
      <c r="K188" s="12">
        <f>VLOOKUP(A188,[3]VA05!$A:$K,11,FALSE)</f>
        <v>45576</v>
      </c>
      <c r="L188" s="10" t="s">
        <v>25</v>
      </c>
      <c r="M188" s="10" t="s">
        <v>162</v>
      </c>
    </row>
    <row r="189" spans="1:13" x14ac:dyDescent="0.25">
      <c r="A189" s="13" t="str">
        <f t="shared" si="4"/>
        <v>507142416120</v>
      </c>
      <c r="B189" s="10">
        <v>1004058990</v>
      </c>
      <c r="C189" s="10">
        <v>507142416</v>
      </c>
      <c r="D189" s="10">
        <v>120</v>
      </c>
      <c r="E189" s="10" t="s">
        <v>10</v>
      </c>
      <c r="F189" s="10">
        <v>1255973</v>
      </c>
      <c r="G189" s="10" t="s">
        <v>238</v>
      </c>
      <c r="H189" s="11">
        <v>10217</v>
      </c>
      <c r="I189" s="10">
        <v>0</v>
      </c>
      <c r="J189" s="11">
        <f t="shared" si="5"/>
        <v>10217</v>
      </c>
      <c r="K189" s="12">
        <f>VLOOKUP(A189,[3]VA05!$A:$K,11,FALSE)</f>
        <v>45573</v>
      </c>
      <c r="L189" s="10" t="s">
        <v>12</v>
      </c>
      <c r="M189" s="10" t="s">
        <v>194</v>
      </c>
    </row>
    <row r="190" spans="1:13" x14ac:dyDescent="0.25">
      <c r="A190" s="13" t="str">
        <f t="shared" si="4"/>
        <v>50714271370</v>
      </c>
      <c r="B190" s="10">
        <v>1004042923</v>
      </c>
      <c r="C190" s="10">
        <v>507142713</v>
      </c>
      <c r="D190" s="10">
        <v>70</v>
      </c>
      <c r="E190" s="10" t="s">
        <v>10</v>
      </c>
      <c r="F190" s="10">
        <v>1256197</v>
      </c>
      <c r="G190" s="10" t="s">
        <v>139</v>
      </c>
      <c r="H190" s="11">
        <v>10217</v>
      </c>
      <c r="I190" s="10">
        <v>0</v>
      </c>
      <c r="J190" s="11">
        <f t="shared" si="5"/>
        <v>10217</v>
      </c>
      <c r="K190" s="12">
        <f>VLOOKUP(A190,[3]VA05!$A:$K,11,FALSE)</f>
        <v>45591</v>
      </c>
      <c r="L190" s="10" t="s">
        <v>13</v>
      </c>
      <c r="M190" s="10" t="s">
        <v>142</v>
      </c>
    </row>
    <row r="191" spans="1:13" x14ac:dyDescent="0.25">
      <c r="A191" s="13" t="str">
        <f t="shared" si="4"/>
        <v>50714268810</v>
      </c>
      <c r="B191" s="10">
        <v>1004052619</v>
      </c>
      <c r="C191" s="10">
        <v>507142688</v>
      </c>
      <c r="D191" s="10">
        <v>10</v>
      </c>
      <c r="E191" s="10" t="s">
        <v>10</v>
      </c>
      <c r="F191" s="10">
        <v>1168127</v>
      </c>
      <c r="G191" s="10" t="s">
        <v>21</v>
      </c>
      <c r="H191" s="11">
        <v>122842</v>
      </c>
      <c r="I191" s="11">
        <v>107318</v>
      </c>
      <c r="J191" s="11">
        <f t="shared" si="5"/>
        <v>15524</v>
      </c>
      <c r="K191" s="12">
        <f>VLOOKUP(A191,[3]VA05!$A:$K,11,FALSE)</f>
        <v>45567</v>
      </c>
      <c r="L191" s="10" t="s">
        <v>18</v>
      </c>
      <c r="M191" s="10" t="s">
        <v>156</v>
      </c>
    </row>
    <row r="192" spans="1:13" x14ac:dyDescent="0.25">
      <c r="A192" s="13" t="str">
        <f t="shared" si="4"/>
        <v>507142416130</v>
      </c>
      <c r="B192" s="10">
        <v>1004052620</v>
      </c>
      <c r="C192" s="10">
        <v>507142416</v>
      </c>
      <c r="D192" s="10">
        <v>130</v>
      </c>
      <c r="E192" s="10" t="s">
        <v>10</v>
      </c>
      <c r="F192" s="10">
        <v>1168127</v>
      </c>
      <c r="G192" s="10" t="s">
        <v>21</v>
      </c>
      <c r="H192" s="11">
        <v>10217</v>
      </c>
      <c r="I192" s="10">
        <v>0</v>
      </c>
      <c r="J192" s="11">
        <f t="shared" si="5"/>
        <v>10217</v>
      </c>
      <c r="K192" s="12">
        <f>VLOOKUP(A192,[3]VA05!$A:$K,11,FALSE)</f>
        <v>45573</v>
      </c>
      <c r="L192" s="10" t="s">
        <v>12</v>
      </c>
      <c r="M192" s="10" t="s">
        <v>194</v>
      </c>
    </row>
    <row r="193" spans="1:13" x14ac:dyDescent="0.25">
      <c r="A193" s="13" t="str">
        <f t="shared" si="4"/>
        <v>50714264830</v>
      </c>
      <c r="B193" s="10">
        <v>1004052621</v>
      </c>
      <c r="C193" s="10">
        <v>507142648</v>
      </c>
      <c r="D193" s="10">
        <v>30</v>
      </c>
      <c r="E193" s="10" t="s">
        <v>10</v>
      </c>
      <c r="F193" s="10">
        <v>1168127</v>
      </c>
      <c r="G193" s="10" t="s">
        <v>21</v>
      </c>
      <c r="H193" s="11">
        <v>71748</v>
      </c>
      <c r="I193" s="10">
        <v>0</v>
      </c>
      <c r="J193" s="11">
        <f t="shared" si="5"/>
        <v>71748</v>
      </c>
      <c r="K193" s="12">
        <f>VLOOKUP(A193,[3]VA05!$A:$K,11,FALSE)</f>
        <v>45581</v>
      </c>
      <c r="L193" s="10" t="s">
        <v>12</v>
      </c>
      <c r="M193" s="10" t="s">
        <v>194</v>
      </c>
    </row>
    <row r="194" spans="1:13" x14ac:dyDescent="0.25">
      <c r="A194" s="13" t="str">
        <f t="shared" si="4"/>
        <v>507142416150</v>
      </c>
      <c r="B194" s="10">
        <v>1004052622</v>
      </c>
      <c r="C194" s="10">
        <v>507142416</v>
      </c>
      <c r="D194" s="10">
        <v>150</v>
      </c>
      <c r="E194" s="10" t="s">
        <v>10</v>
      </c>
      <c r="F194" s="10">
        <v>1168127</v>
      </c>
      <c r="G194" s="10" t="s">
        <v>21</v>
      </c>
      <c r="H194" s="11">
        <v>10217</v>
      </c>
      <c r="I194" s="10">
        <v>0</v>
      </c>
      <c r="J194" s="11">
        <f t="shared" si="5"/>
        <v>10217</v>
      </c>
      <c r="K194" s="12">
        <f>VLOOKUP(A194,[3]VA05!$A:$K,11,FALSE)</f>
        <v>45576</v>
      </c>
      <c r="L194" s="10" t="s">
        <v>12</v>
      </c>
      <c r="M194" s="10" t="s">
        <v>162</v>
      </c>
    </row>
    <row r="195" spans="1:13" x14ac:dyDescent="0.25">
      <c r="A195" s="13" t="str">
        <f t="shared" si="4"/>
        <v>50714278810</v>
      </c>
      <c r="B195" s="10">
        <v>1004052623</v>
      </c>
      <c r="C195" s="10">
        <v>507142788</v>
      </c>
      <c r="D195" s="10">
        <v>10</v>
      </c>
      <c r="E195" s="10" t="s">
        <v>10</v>
      </c>
      <c r="F195" s="10">
        <v>1168127</v>
      </c>
      <c r="G195" s="10" t="s">
        <v>21</v>
      </c>
      <c r="H195" s="11">
        <v>56529</v>
      </c>
      <c r="I195" s="10">
        <v>0</v>
      </c>
      <c r="J195" s="11">
        <f t="shared" si="5"/>
        <v>56529</v>
      </c>
      <c r="K195" s="12">
        <f>VLOOKUP(A195,[3]VA05!$A:$K,11,FALSE)</f>
        <v>45582</v>
      </c>
      <c r="L195" s="10" t="s">
        <v>12</v>
      </c>
      <c r="M195" s="10" t="s">
        <v>162</v>
      </c>
    </row>
    <row r="196" spans="1:13" x14ac:dyDescent="0.25">
      <c r="A196" s="13" t="str">
        <f t="shared" ref="A196:A259" si="6">C196&amp;D196</f>
        <v>50714271380</v>
      </c>
      <c r="B196" s="10">
        <v>1004052624</v>
      </c>
      <c r="C196" s="10">
        <v>507142713</v>
      </c>
      <c r="D196" s="10">
        <v>80</v>
      </c>
      <c r="E196" s="10" t="s">
        <v>10</v>
      </c>
      <c r="F196" s="10">
        <v>1168127</v>
      </c>
      <c r="G196" s="10" t="s">
        <v>21</v>
      </c>
      <c r="H196" s="11">
        <v>10217</v>
      </c>
      <c r="I196" s="10">
        <v>0</v>
      </c>
      <c r="J196" s="11">
        <f t="shared" ref="J196:J259" si="7">H196-I196</f>
        <v>10217</v>
      </c>
      <c r="K196" s="12">
        <f>VLOOKUP(A196,[3]VA05!$A:$K,11,FALSE)</f>
        <v>45591</v>
      </c>
      <c r="L196" s="10" t="s">
        <v>12</v>
      </c>
      <c r="M196" s="10" t="s">
        <v>204</v>
      </c>
    </row>
    <row r="197" spans="1:13" x14ac:dyDescent="0.25">
      <c r="A197" s="13" t="str">
        <f t="shared" si="6"/>
        <v>507142416150</v>
      </c>
      <c r="B197" s="10">
        <v>1004051561</v>
      </c>
      <c r="C197" s="10">
        <v>507142416</v>
      </c>
      <c r="D197" s="10">
        <v>150</v>
      </c>
      <c r="E197" s="10" t="s">
        <v>10</v>
      </c>
      <c r="F197" s="10">
        <v>1269318</v>
      </c>
      <c r="G197" s="10" t="s">
        <v>170</v>
      </c>
      <c r="H197" s="11">
        <v>10217</v>
      </c>
      <c r="I197" s="10">
        <v>0</v>
      </c>
      <c r="J197" s="11">
        <f t="shared" si="7"/>
        <v>10217</v>
      </c>
      <c r="K197" s="12">
        <f>VLOOKUP(A197,[3]VA05!$A:$K,11,FALSE)</f>
        <v>45576</v>
      </c>
      <c r="L197" s="10" t="s">
        <v>56</v>
      </c>
      <c r="M197" s="10" t="s">
        <v>162</v>
      </c>
    </row>
    <row r="198" spans="1:13" x14ac:dyDescent="0.25">
      <c r="A198" s="13" t="str">
        <f t="shared" si="6"/>
        <v>507142416130</v>
      </c>
      <c r="B198" s="10">
        <v>1004058014</v>
      </c>
      <c r="C198" s="10">
        <v>507142416</v>
      </c>
      <c r="D198" s="10">
        <v>130</v>
      </c>
      <c r="E198" s="10" t="s">
        <v>10</v>
      </c>
      <c r="F198" s="10">
        <v>1255976</v>
      </c>
      <c r="G198" s="10" t="s">
        <v>229</v>
      </c>
      <c r="H198" s="11">
        <v>10217</v>
      </c>
      <c r="I198" s="10">
        <v>0</v>
      </c>
      <c r="J198" s="11">
        <f t="shared" si="7"/>
        <v>10217</v>
      </c>
      <c r="K198" s="12">
        <f>VLOOKUP(A198,[3]VA05!$A:$K,11,FALSE)</f>
        <v>45573</v>
      </c>
      <c r="L198" s="10" t="s">
        <v>56</v>
      </c>
      <c r="M198" s="10" t="s">
        <v>194</v>
      </c>
    </row>
    <row r="199" spans="1:13" x14ac:dyDescent="0.25">
      <c r="A199" s="13" t="str">
        <f t="shared" si="6"/>
        <v>50714271380</v>
      </c>
      <c r="B199" s="10">
        <v>1004058015</v>
      </c>
      <c r="C199" s="10">
        <v>507142713</v>
      </c>
      <c r="D199" s="10">
        <v>80</v>
      </c>
      <c r="E199" s="10" t="s">
        <v>10</v>
      </c>
      <c r="F199" s="10">
        <v>1256193</v>
      </c>
      <c r="G199" s="10" t="s">
        <v>230</v>
      </c>
      <c r="H199" s="11">
        <v>10217</v>
      </c>
      <c r="I199" s="10">
        <v>0</v>
      </c>
      <c r="J199" s="11">
        <f t="shared" si="7"/>
        <v>10217</v>
      </c>
      <c r="K199" s="12">
        <f>VLOOKUP(A199,[3]VA05!$A:$K,11,FALSE)</f>
        <v>45591</v>
      </c>
      <c r="L199" s="10" t="s">
        <v>12</v>
      </c>
      <c r="M199" s="10" t="s">
        <v>204</v>
      </c>
    </row>
    <row r="200" spans="1:13" hidden="1" x14ac:dyDescent="0.25">
      <c r="A200" s="13" t="str">
        <f t="shared" si="6"/>
        <v>50714268810</v>
      </c>
      <c r="B200" s="10">
        <v>1004058016</v>
      </c>
      <c r="C200" s="10">
        <v>507142688</v>
      </c>
      <c r="D200" s="10">
        <v>10</v>
      </c>
      <c r="E200" s="10" t="s">
        <v>10</v>
      </c>
      <c r="F200" s="10">
        <v>1430110</v>
      </c>
      <c r="G200" s="10" t="s">
        <v>231</v>
      </c>
      <c r="H200" s="11">
        <v>81532</v>
      </c>
      <c r="I200" s="11">
        <v>81532</v>
      </c>
      <c r="J200" s="11">
        <f t="shared" si="7"/>
        <v>0</v>
      </c>
      <c r="K200" s="12">
        <f>VLOOKUP(A200,[3]VA05!$A:$K,11,FALSE)</f>
        <v>45567</v>
      </c>
      <c r="L200" s="10" t="s">
        <v>34</v>
      </c>
      <c r="M200" s="10" t="s">
        <v>155</v>
      </c>
    </row>
    <row r="201" spans="1:13" x14ac:dyDescent="0.25">
      <c r="A201" s="13" t="str">
        <f t="shared" si="6"/>
        <v>50714245510</v>
      </c>
      <c r="B201" s="10">
        <v>1004010713</v>
      </c>
      <c r="C201" s="10">
        <v>507142455</v>
      </c>
      <c r="D201" s="10">
        <v>10</v>
      </c>
      <c r="E201" s="10" t="s">
        <v>10</v>
      </c>
      <c r="F201" s="10">
        <v>1153314</v>
      </c>
      <c r="G201" s="10" t="s">
        <v>60</v>
      </c>
      <c r="H201" s="11">
        <v>26091</v>
      </c>
      <c r="I201" s="11">
        <v>22631</v>
      </c>
      <c r="J201" s="11">
        <f t="shared" si="7"/>
        <v>3460</v>
      </c>
      <c r="K201" s="12" t="e">
        <f>VLOOKUP(A201,[3]VA05!$A:$K,11,FALSE)</f>
        <v>#N/A</v>
      </c>
      <c r="L201" s="10" t="s">
        <v>18</v>
      </c>
      <c r="M201" s="10" t="s">
        <v>61</v>
      </c>
    </row>
    <row r="202" spans="1:13" x14ac:dyDescent="0.25">
      <c r="A202" s="13" t="str">
        <f t="shared" si="6"/>
        <v>50714239390</v>
      </c>
      <c r="B202" s="10">
        <v>1004032825</v>
      </c>
      <c r="C202" s="10">
        <v>507142393</v>
      </c>
      <c r="D202" s="10">
        <v>90</v>
      </c>
      <c r="E202" s="10" t="s">
        <v>10</v>
      </c>
      <c r="F202" s="10">
        <v>1416751</v>
      </c>
      <c r="G202" s="10" t="s">
        <v>57</v>
      </c>
      <c r="H202" s="11">
        <v>45642</v>
      </c>
      <c r="I202" s="10">
        <v>0</v>
      </c>
      <c r="J202" s="11">
        <f t="shared" si="7"/>
        <v>45642</v>
      </c>
      <c r="K202" s="12" t="e">
        <f>VLOOKUP(A202,[3]VA05!$A:$K,11,FALSE)</f>
        <v>#N/A</v>
      </c>
      <c r="L202" s="10" t="s">
        <v>12</v>
      </c>
      <c r="M202" s="10" t="s">
        <v>73</v>
      </c>
    </row>
    <row r="203" spans="1:13" hidden="1" x14ac:dyDescent="0.25">
      <c r="A203" s="13" t="str">
        <f t="shared" si="6"/>
        <v>50714256610</v>
      </c>
      <c r="B203" s="10">
        <v>1004041365</v>
      </c>
      <c r="C203" s="10">
        <v>507142566</v>
      </c>
      <c r="D203" s="10">
        <v>10</v>
      </c>
      <c r="E203" s="10" t="s">
        <v>10</v>
      </c>
      <c r="F203" s="10">
        <v>1170136</v>
      </c>
      <c r="G203" s="10" t="s">
        <v>81</v>
      </c>
      <c r="H203" s="11">
        <v>23298</v>
      </c>
      <c r="I203" s="11">
        <v>23298</v>
      </c>
      <c r="J203" s="11">
        <f t="shared" si="7"/>
        <v>0</v>
      </c>
      <c r="K203" s="12">
        <f>VLOOKUP(A203,[3]VA05!$A:$K,11,FALSE)</f>
        <v>45561</v>
      </c>
      <c r="L203" s="10" t="s">
        <v>34</v>
      </c>
      <c r="M203" s="10" t="s">
        <v>195</v>
      </c>
    </row>
    <row r="204" spans="1:13" x14ac:dyDescent="0.25">
      <c r="A204" s="13" t="str">
        <f t="shared" si="6"/>
        <v>50714256730</v>
      </c>
      <c r="B204" s="10">
        <v>1004041366</v>
      </c>
      <c r="C204" s="10">
        <v>507142567</v>
      </c>
      <c r="D204" s="10">
        <v>30</v>
      </c>
      <c r="E204" s="10" t="s">
        <v>10</v>
      </c>
      <c r="F204" s="10">
        <v>1170136</v>
      </c>
      <c r="G204" s="10" t="s">
        <v>81</v>
      </c>
      <c r="H204" s="11">
        <v>17589</v>
      </c>
      <c r="I204" s="10">
        <v>0</v>
      </c>
      <c r="J204" s="11">
        <f t="shared" si="7"/>
        <v>17589</v>
      </c>
      <c r="K204" s="12">
        <f>VLOOKUP(A204,[3]VA05!$A:$K,11,FALSE)</f>
        <v>45561</v>
      </c>
      <c r="L204" s="10" t="s">
        <v>56</v>
      </c>
      <c r="M204" s="10" t="s">
        <v>85</v>
      </c>
    </row>
    <row r="205" spans="1:13" hidden="1" x14ac:dyDescent="0.25">
      <c r="A205" s="13" t="str">
        <f t="shared" si="6"/>
        <v>50714256230</v>
      </c>
      <c r="B205" s="10">
        <v>1004042741</v>
      </c>
      <c r="C205" s="10">
        <v>507142562</v>
      </c>
      <c r="D205" s="10">
        <v>30</v>
      </c>
      <c r="E205" s="10" t="s">
        <v>10</v>
      </c>
      <c r="F205" s="10">
        <v>1165028</v>
      </c>
      <c r="G205" s="10" t="s">
        <v>68</v>
      </c>
      <c r="H205" s="11">
        <v>85259</v>
      </c>
      <c r="I205" s="11">
        <v>85259</v>
      </c>
      <c r="J205" s="11">
        <f t="shared" si="7"/>
        <v>0</v>
      </c>
      <c r="K205" s="12">
        <f>VLOOKUP(A205,[3]VA05!$A:$K,11,FALSE)</f>
        <v>45573</v>
      </c>
      <c r="L205" s="10" t="s">
        <v>28</v>
      </c>
      <c r="M205" s="10" t="s">
        <v>201</v>
      </c>
    </row>
    <row r="206" spans="1:13" hidden="1" x14ac:dyDescent="0.25">
      <c r="A206" s="13" t="str">
        <f t="shared" si="6"/>
        <v>50714256230</v>
      </c>
      <c r="B206" s="10">
        <v>1004035819</v>
      </c>
      <c r="C206" s="10">
        <v>507142562</v>
      </c>
      <c r="D206" s="10">
        <v>30</v>
      </c>
      <c r="E206" s="10" t="s">
        <v>10</v>
      </c>
      <c r="F206" s="10">
        <v>1176008</v>
      </c>
      <c r="G206" s="10" t="s">
        <v>65</v>
      </c>
      <c r="H206" s="11">
        <v>85259</v>
      </c>
      <c r="I206" s="11">
        <v>85259</v>
      </c>
      <c r="J206" s="11">
        <f t="shared" si="7"/>
        <v>0</v>
      </c>
      <c r="K206" s="12">
        <f>VLOOKUP(A206,[3]VA05!$A:$K,11,FALSE)</f>
        <v>45573</v>
      </c>
      <c r="L206" s="10" t="s">
        <v>28</v>
      </c>
      <c r="M206" s="10" t="s">
        <v>201</v>
      </c>
    </row>
    <row r="207" spans="1:13" x14ac:dyDescent="0.25">
      <c r="A207" s="13" t="str">
        <f t="shared" si="6"/>
        <v>50714256530</v>
      </c>
      <c r="B207" s="10">
        <v>1004044947</v>
      </c>
      <c r="C207" s="10">
        <v>507142565</v>
      </c>
      <c r="D207" s="10">
        <v>30</v>
      </c>
      <c r="E207" s="10" t="s">
        <v>10</v>
      </c>
      <c r="F207" s="10">
        <v>1169065</v>
      </c>
      <c r="G207" s="10" t="s">
        <v>83</v>
      </c>
      <c r="H207" s="11">
        <v>85895</v>
      </c>
      <c r="I207" s="11">
        <v>62845</v>
      </c>
      <c r="J207" s="11">
        <f t="shared" si="7"/>
        <v>23050</v>
      </c>
      <c r="K207" s="12">
        <f>VLOOKUP(A207,[3]VA05!$A:$K,11,FALSE)</f>
        <v>45561</v>
      </c>
      <c r="L207" s="10" t="s">
        <v>18</v>
      </c>
      <c r="M207" s="10" t="s">
        <v>142</v>
      </c>
    </row>
    <row r="208" spans="1:13" x14ac:dyDescent="0.25">
      <c r="A208" s="13" t="str">
        <f t="shared" si="6"/>
        <v>50714256720</v>
      </c>
      <c r="B208" s="10">
        <v>1004044948</v>
      </c>
      <c r="C208" s="10">
        <v>507142567</v>
      </c>
      <c r="D208" s="10">
        <v>20</v>
      </c>
      <c r="E208" s="10" t="s">
        <v>10</v>
      </c>
      <c r="F208" s="10">
        <v>1169065</v>
      </c>
      <c r="G208" s="10" t="s">
        <v>83</v>
      </c>
      <c r="H208" s="11">
        <v>17711</v>
      </c>
      <c r="I208" s="10">
        <v>0</v>
      </c>
      <c r="J208" s="11">
        <f t="shared" si="7"/>
        <v>17711</v>
      </c>
      <c r="K208" s="12">
        <f>VLOOKUP(A208,[3]VA05!$A:$K,11,FALSE)</f>
        <v>45561</v>
      </c>
      <c r="L208" s="10" t="s">
        <v>25</v>
      </c>
      <c r="M208" s="10" t="s">
        <v>178</v>
      </c>
    </row>
    <row r="209" spans="1:13" x14ac:dyDescent="0.25">
      <c r="A209" s="13" t="str">
        <f t="shared" si="6"/>
        <v>50714256730</v>
      </c>
      <c r="B209" s="10">
        <v>1004052387</v>
      </c>
      <c r="C209" s="10">
        <v>507142567</v>
      </c>
      <c r="D209" s="10">
        <v>30</v>
      </c>
      <c r="E209" s="10" t="s">
        <v>10</v>
      </c>
      <c r="F209" s="10">
        <v>1171801</v>
      </c>
      <c r="G209" s="10" t="s">
        <v>71</v>
      </c>
      <c r="H209" s="11">
        <v>16066</v>
      </c>
      <c r="I209" s="11">
        <v>10410</v>
      </c>
      <c r="J209" s="11">
        <f t="shared" si="7"/>
        <v>5656</v>
      </c>
      <c r="K209" s="12">
        <f>VLOOKUP(A209,[3]VA05!$A:$K,11,FALSE)</f>
        <v>45561</v>
      </c>
      <c r="L209" s="10" t="s">
        <v>18</v>
      </c>
      <c r="M209" s="10" t="s">
        <v>155</v>
      </c>
    </row>
    <row r="210" spans="1:13" x14ac:dyDescent="0.25">
      <c r="A210" s="13" t="str">
        <f t="shared" si="6"/>
        <v>50714256520</v>
      </c>
      <c r="B210" s="10">
        <v>1004052388</v>
      </c>
      <c r="C210" s="10">
        <v>507142565</v>
      </c>
      <c r="D210" s="10">
        <v>20</v>
      </c>
      <c r="E210" s="10" t="s">
        <v>10</v>
      </c>
      <c r="F210" s="10">
        <v>1171801</v>
      </c>
      <c r="G210" s="10" t="s">
        <v>71</v>
      </c>
      <c r="H210" s="11">
        <v>79905</v>
      </c>
      <c r="I210" s="10">
        <v>0</v>
      </c>
      <c r="J210" s="11">
        <f t="shared" si="7"/>
        <v>79905</v>
      </c>
      <c r="K210" s="12">
        <f>VLOOKUP(A210,[3]VA05!$A:$K,11,FALSE)</f>
        <v>45580</v>
      </c>
      <c r="L210" s="10" t="s">
        <v>13</v>
      </c>
      <c r="M210" s="10" t="s">
        <v>180</v>
      </c>
    </row>
    <row r="211" spans="1:13" hidden="1" x14ac:dyDescent="0.25">
      <c r="A211" s="13" t="str">
        <f t="shared" si="6"/>
        <v>50714187310</v>
      </c>
      <c r="B211" s="10">
        <v>1003935029</v>
      </c>
      <c r="C211" s="10">
        <v>507141873</v>
      </c>
      <c r="D211" s="10">
        <v>10</v>
      </c>
      <c r="E211" s="10" t="s">
        <v>10</v>
      </c>
      <c r="F211" s="10">
        <v>1411092</v>
      </c>
      <c r="G211" s="10" t="s">
        <v>277</v>
      </c>
      <c r="H211" s="11">
        <v>30900</v>
      </c>
      <c r="I211" s="10">
        <v>0</v>
      </c>
      <c r="J211" s="11">
        <f t="shared" si="7"/>
        <v>30900</v>
      </c>
      <c r="K211" s="12" t="e">
        <f>VLOOKUP(A211,[3]VA05!$A:$K,11,FALSE)</f>
        <v>#N/A</v>
      </c>
      <c r="L211" s="10" t="s">
        <v>278</v>
      </c>
      <c r="M211" s="10" t="s">
        <v>279</v>
      </c>
    </row>
    <row r="212" spans="1:13" hidden="1" x14ac:dyDescent="0.25">
      <c r="A212" s="13" t="str">
        <f t="shared" si="6"/>
        <v>50714276210</v>
      </c>
      <c r="B212" s="10">
        <v>1004051397</v>
      </c>
      <c r="C212" s="10">
        <v>507142762</v>
      </c>
      <c r="D212" s="10">
        <v>10</v>
      </c>
      <c r="E212" s="10" t="s">
        <v>10</v>
      </c>
      <c r="F212" s="10">
        <v>1162016</v>
      </c>
      <c r="G212" s="10" t="s">
        <v>172</v>
      </c>
      <c r="H212" s="11">
        <v>40900</v>
      </c>
      <c r="I212" s="11">
        <v>40900</v>
      </c>
      <c r="J212" s="11">
        <f t="shared" si="7"/>
        <v>0</v>
      </c>
      <c r="K212" s="12">
        <f>VLOOKUP(A212,[3]VA05!$A:$K,11,FALSE)</f>
        <v>45570</v>
      </c>
      <c r="L212" s="10" t="s">
        <v>34</v>
      </c>
      <c r="M212" s="10" t="s">
        <v>154</v>
      </c>
    </row>
    <row r="213" spans="1:13" x14ac:dyDescent="0.25">
      <c r="A213" s="13" t="str">
        <f t="shared" si="6"/>
        <v>50714263610</v>
      </c>
      <c r="B213" s="10">
        <v>1004040222</v>
      </c>
      <c r="C213" s="10">
        <v>507142636</v>
      </c>
      <c r="D213" s="10">
        <v>10</v>
      </c>
      <c r="E213" s="10" t="s">
        <v>10</v>
      </c>
      <c r="F213" s="10">
        <v>1437043</v>
      </c>
      <c r="G213" s="10" t="s">
        <v>115</v>
      </c>
      <c r="H213" s="11">
        <v>51125</v>
      </c>
      <c r="I213" s="11">
        <v>43670</v>
      </c>
      <c r="J213" s="11">
        <f t="shared" si="7"/>
        <v>7455</v>
      </c>
      <c r="K213" s="12">
        <f>VLOOKUP(A213,[3]VA05!$A:$K,11,FALSE)</f>
        <v>45566</v>
      </c>
      <c r="L213" s="10" t="s">
        <v>11</v>
      </c>
      <c r="M213" s="10" t="s">
        <v>116</v>
      </c>
    </row>
    <row r="214" spans="1:13" x14ac:dyDescent="0.25">
      <c r="A214" s="13" t="str">
        <f t="shared" si="6"/>
        <v>50714276210</v>
      </c>
      <c r="B214" s="10">
        <v>1004051398</v>
      </c>
      <c r="C214" s="10">
        <v>507142762</v>
      </c>
      <c r="D214" s="10">
        <v>10</v>
      </c>
      <c r="E214" s="10" t="s">
        <v>10</v>
      </c>
      <c r="F214" s="10">
        <v>1162012</v>
      </c>
      <c r="G214" s="10" t="s">
        <v>173</v>
      </c>
      <c r="H214" s="11">
        <v>40900</v>
      </c>
      <c r="I214" s="11">
        <v>11302</v>
      </c>
      <c r="J214" s="11">
        <f t="shared" si="7"/>
        <v>29598</v>
      </c>
      <c r="K214" s="12">
        <f>VLOOKUP(A214,[3]VA05!$A:$K,11,FALSE)</f>
        <v>45570</v>
      </c>
      <c r="L214" s="10" t="s">
        <v>11</v>
      </c>
      <c r="M214" s="10" t="s">
        <v>178</v>
      </c>
    </row>
    <row r="215" spans="1:13" x14ac:dyDescent="0.25">
      <c r="A215" s="13" t="str">
        <f t="shared" si="6"/>
        <v>50714276210</v>
      </c>
      <c r="B215" s="10">
        <v>1004051399</v>
      </c>
      <c r="C215" s="10">
        <v>507142762</v>
      </c>
      <c r="D215" s="10">
        <v>10</v>
      </c>
      <c r="E215" s="10" t="s">
        <v>10</v>
      </c>
      <c r="F215" s="10">
        <v>1163168</v>
      </c>
      <c r="G215" s="10" t="s">
        <v>174</v>
      </c>
      <c r="H215" s="11">
        <v>40900</v>
      </c>
      <c r="I215" s="11">
        <v>10617</v>
      </c>
      <c r="J215" s="11">
        <f t="shared" si="7"/>
        <v>30283</v>
      </c>
      <c r="K215" s="12">
        <f>VLOOKUP(A215,[3]VA05!$A:$K,11,FALSE)</f>
        <v>45570</v>
      </c>
      <c r="L215" s="10" t="s">
        <v>11</v>
      </c>
      <c r="M215" s="10" t="s">
        <v>201</v>
      </c>
    </row>
    <row r="216" spans="1:13" hidden="1" x14ac:dyDescent="0.25">
      <c r="A216" s="13" t="str">
        <f t="shared" si="6"/>
        <v>50714194510</v>
      </c>
      <c r="B216" s="10">
        <v>1003974005</v>
      </c>
      <c r="C216" s="10">
        <v>507141945</v>
      </c>
      <c r="D216" s="10">
        <v>10</v>
      </c>
      <c r="E216" s="10" t="s">
        <v>24</v>
      </c>
      <c r="F216" s="10">
        <v>1193564</v>
      </c>
      <c r="G216" s="10" t="s">
        <v>280</v>
      </c>
      <c r="H216" s="11">
        <v>5113</v>
      </c>
      <c r="I216" s="10">
        <v>0</v>
      </c>
      <c r="J216" s="11">
        <f t="shared" si="7"/>
        <v>5113</v>
      </c>
      <c r="K216" s="12" t="e">
        <f>VLOOKUP(A216,[3]VA05!$A:$K,11,FALSE)</f>
        <v>#N/A</v>
      </c>
      <c r="L216" s="10" t="s">
        <v>260</v>
      </c>
      <c r="M216" s="10" t="s">
        <v>281</v>
      </c>
    </row>
    <row r="217" spans="1:13" hidden="1" x14ac:dyDescent="0.25">
      <c r="A217" s="13" t="str">
        <f t="shared" si="6"/>
        <v>50714263850</v>
      </c>
      <c r="B217" s="10">
        <v>1004049841</v>
      </c>
      <c r="C217" s="10">
        <v>507142638</v>
      </c>
      <c r="D217" s="10">
        <v>50</v>
      </c>
      <c r="E217" s="10" t="s">
        <v>10</v>
      </c>
      <c r="F217" s="10">
        <v>1361170</v>
      </c>
      <c r="G217" s="10" t="s">
        <v>103</v>
      </c>
      <c r="H217" s="11">
        <v>27540</v>
      </c>
      <c r="I217" s="11">
        <v>27540</v>
      </c>
      <c r="J217" s="11">
        <f t="shared" si="7"/>
        <v>0</v>
      </c>
      <c r="K217" s="12">
        <f>VLOOKUP(A217,[3]VA05!$A:$K,11,FALSE)</f>
        <v>45560</v>
      </c>
      <c r="L217" s="10" t="s">
        <v>224</v>
      </c>
      <c r="M217" s="10" t="s">
        <v>143</v>
      </c>
    </row>
    <row r="218" spans="1:13" x14ac:dyDescent="0.25">
      <c r="A218" s="13" t="str">
        <f t="shared" si="6"/>
        <v>50714263850</v>
      </c>
      <c r="B218" s="10">
        <v>1004049842</v>
      </c>
      <c r="C218" s="10">
        <v>507142638</v>
      </c>
      <c r="D218" s="10">
        <v>50</v>
      </c>
      <c r="E218" s="10" t="s">
        <v>10</v>
      </c>
      <c r="F218" s="10">
        <v>1361170</v>
      </c>
      <c r="G218" s="10" t="s">
        <v>103</v>
      </c>
      <c r="H218" s="11">
        <v>27540</v>
      </c>
      <c r="I218" s="11">
        <v>14050</v>
      </c>
      <c r="J218" s="11">
        <f t="shared" si="7"/>
        <v>13490</v>
      </c>
      <c r="K218" s="12">
        <f>VLOOKUP(A218,[3]VA05!$A:$K,11,FALSE)</f>
        <v>45560</v>
      </c>
      <c r="L218" s="10" t="s">
        <v>11</v>
      </c>
      <c r="M218" s="10" t="s">
        <v>195</v>
      </c>
    </row>
    <row r="219" spans="1:13" x14ac:dyDescent="0.25">
      <c r="A219" s="13" t="str">
        <f t="shared" si="6"/>
        <v>50714263850</v>
      </c>
      <c r="B219" s="10">
        <v>1004049843</v>
      </c>
      <c r="C219" s="10">
        <v>507142638</v>
      </c>
      <c r="D219" s="10">
        <v>50</v>
      </c>
      <c r="E219" s="10" t="s">
        <v>10</v>
      </c>
      <c r="F219" s="10">
        <v>1361170</v>
      </c>
      <c r="G219" s="10" t="s">
        <v>103</v>
      </c>
      <c r="H219" s="11">
        <v>27270</v>
      </c>
      <c r="I219" s="10">
        <v>0</v>
      </c>
      <c r="J219" s="11">
        <f t="shared" si="7"/>
        <v>27270</v>
      </c>
      <c r="K219" s="12">
        <f>VLOOKUP(A219,[3]VA05!$A:$K,11,FALSE)</f>
        <v>45560</v>
      </c>
      <c r="L219" s="10" t="s">
        <v>117</v>
      </c>
      <c r="M219" s="10" t="s">
        <v>143</v>
      </c>
    </row>
    <row r="220" spans="1:13" x14ac:dyDescent="0.25">
      <c r="A220" s="13" t="str">
        <f t="shared" si="6"/>
        <v>50714273810</v>
      </c>
      <c r="B220" s="10">
        <v>1004051551</v>
      </c>
      <c r="C220" s="10">
        <v>507142738</v>
      </c>
      <c r="D220" s="10">
        <v>10</v>
      </c>
      <c r="E220" s="10" t="s">
        <v>10</v>
      </c>
      <c r="F220" s="10">
        <v>1361170</v>
      </c>
      <c r="G220" s="10" t="s">
        <v>103</v>
      </c>
      <c r="H220" s="11">
        <v>27540</v>
      </c>
      <c r="I220" s="10">
        <v>0</v>
      </c>
      <c r="J220" s="11">
        <f t="shared" si="7"/>
        <v>27540</v>
      </c>
      <c r="K220" s="12">
        <f>VLOOKUP(A220,[3]VA05!$A:$K,11,FALSE)</f>
        <v>45567</v>
      </c>
      <c r="L220" s="10" t="s">
        <v>12</v>
      </c>
      <c r="M220" s="10" t="s">
        <v>180</v>
      </c>
    </row>
    <row r="221" spans="1:13" x14ac:dyDescent="0.25">
      <c r="A221" s="13" t="str">
        <f t="shared" si="6"/>
        <v>50714273810</v>
      </c>
      <c r="B221" s="10">
        <v>1004051552</v>
      </c>
      <c r="C221" s="10">
        <v>507142738</v>
      </c>
      <c r="D221" s="10">
        <v>10</v>
      </c>
      <c r="E221" s="10" t="s">
        <v>10</v>
      </c>
      <c r="F221" s="10">
        <v>1361170</v>
      </c>
      <c r="G221" s="10" t="s">
        <v>103</v>
      </c>
      <c r="H221" s="11">
        <v>27540</v>
      </c>
      <c r="I221" s="10">
        <v>0</v>
      </c>
      <c r="J221" s="11">
        <f t="shared" si="7"/>
        <v>27540</v>
      </c>
      <c r="K221" s="12">
        <f>VLOOKUP(A221,[3]VA05!$A:$K,11,FALSE)</f>
        <v>45567</v>
      </c>
      <c r="L221" s="10" t="s">
        <v>12</v>
      </c>
      <c r="M221" s="10" t="s">
        <v>180</v>
      </c>
    </row>
    <row r="222" spans="1:13" x14ac:dyDescent="0.25">
      <c r="A222" s="13" t="str">
        <f t="shared" si="6"/>
        <v>50714273810</v>
      </c>
      <c r="B222" s="10">
        <v>1004051553</v>
      </c>
      <c r="C222" s="10">
        <v>507142738</v>
      </c>
      <c r="D222" s="10">
        <v>10</v>
      </c>
      <c r="E222" s="10" t="s">
        <v>10</v>
      </c>
      <c r="F222" s="10">
        <v>1361170</v>
      </c>
      <c r="G222" s="10" t="s">
        <v>103</v>
      </c>
      <c r="H222" s="11">
        <v>27540</v>
      </c>
      <c r="I222" s="10">
        <v>0</v>
      </c>
      <c r="J222" s="11">
        <f t="shared" si="7"/>
        <v>27540</v>
      </c>
      <c r="K222" s="12">
        <f>VLOOKUP(A222,[3]VA05!$A:$K,11,FALSE)</f>
        <v>45567</v>
      </c>
      <c r="L222" s="10" t="s">
        <v>12</v>
      </c>
      <c r="M222" s="10" t="s">
        <v>180</v>
      </c>
    </row>
    <row r="223" spans="1:13" x14ac:dyDescent="0.25">
      <c r="A223" s="13" t="str">
        <f t="shared" si="6"/>
        <v>50714273810</v>
      </c>
      <c r="B223" s="10">
        <v>1004051554</v>
      </c>
      <c r="C223" s="10">
        <v>507142738</v>
      </c>
      <c r="D223" s="10">
        <v>10</v>
      </c>
      <c r="E223" s="10" t="s">
        <v>10</v>
      </c>
      <c r="F223" s="10">
        <v>1361170</v>
      </c>
      <c r="G223" s="10" t="s">
        <v>103</v>
      </c>
      <c r="H223" s="11">
        <v>27540</v>
      </c>
      <c r="I223" s="10">
        <v>0</v>
      </c>
      <c r="J223" s="11">
        <f t="shared" si="7"/>
        <v>27540</v>
      </c>
      <c r="K223" s="12">
        <f>VLOOKUP(A223,[3]VA05!$A:$K,11,FALSE)</f>
        <v>45567</v>
      </c>
      <c r="L223" s="10" t="s">
        <v>12</v>
      </c>
      <c r="M223" s="10" t="s">
        <v>180</v>
      </c>
    </row>
    <row r="224" spans="1:13" hidden="1" x14ac:dyDescent="0.25">
      <c r="A224" s="13" t="str">
        <f t="shared" si="6"/>
        <v>50714269210</v>
      </c>
      <c r="B224" s="10">
        <v>1004057891</v>
      </c>
      <c r="C224" s="10">
        <v>507142692</v>
      </c>
      <c r="D224" s="10">
        <v>10</v>
      </c>
      <c r="E224" s="10" t="s">
        <v>10</v>
      </c>
      <c r="F224" s="10">
        <v>1367372</v>
      </c>
      <c r="G224" s="10" t="s">
        <v>62</v>
      </c>
      <c r="H224" s="11">
        <v>27540</v>
      </c>
      <c r="I224" s="11">
        <v>27540</v>
      </c>
      <c r="J224" s="11">
        <f t="shared" si="7"/>
        <v>0</v>
      </c>
      <c r="K224" s="12">
        <f>VLOOKUP(A224,[3]VA05!$A:$K,11,FALSE)</f>
        <v>45572</v>
      </c>
      <c r="L224" s="10" t="s">
        <v>34</v>
      </c>
      <c r="M224" s="10" t="s">
        <v>154</v>
      </c>
    </row>
    <row r="225" spans="1:13" hidden="1" x14ac:dyDescent="0.25">
      <c r="A225" s="13" t="str">
        <f t="shared" si="6"/>
        <v>50714269210</v>
      </c>
      <c r="B225" s="10">
        <v>1004057892</v>
      </c>
      <c r="C225" s="10">
        <v>507142692</v>
      </c>
      <c r="D225" s="10">
        <v>10</v>
      </c>
      <c r="E225" s="10" t="s">
        <v>10</v>
      </c>
      <c r="F225" s="10">
        <v>1367372</v>
      </c>
      <c r="G225" s="10" t="s">
        <v>62</v>
      </c>
      <c r="H225" s="11">
        <v>27540</v>
      </c>
      <c r="I225" s="11">
        <v>27540</v>
      </c>
      <c r="J225" s="11">
        <f t="shared" si="7"/>
        <v>0</v>
      </c>
      <c r="K225" s="12">
        <f>VLOOKUP(A225,[3]VA05!$A:$K,11,FALSE)</f>
        <v>45572</v>
      </c>
      <c r="L225" s="10" t="s">
        <v>34</v>
      </c>
      <c r="M225" s="10" t="s">
        <v>194</v>
      </c>
    </row>
    <row r="226" spans="1:13" x14ac:dyDescent="0.25">
      <c r="A226" s="13" t="str">
        <f t="shared" si="6"/>
        <v>50714269230</v>
      </c>
      <c r="B226" s="10">
        <v>1004059598</v>
      </c>
      <c r="C226" s="10">
        <v>507142692</v>
      </c>
      <c r="D226" s="10">
        <v>30</v>
      </c>
      <c r="E226" s="10" t="s">
        <v>10</v>
      </c>
      <c r="F226" s="10">
        <v>1367372</v>
      </c>
      <c r="G226" s="10" t="s">
        <v>62</v>
      </c>
      <c r="H226" s="11">
        <v>25110</v>
      </c>
      <c r="I226" s="10">
        <v>8596</v>
      </c>
      <c r="J226" s="11">
        <f t="shared" si="7"/>
        <v>16514</v>
      </c>
      <c r="K226" s="12">
        <f>VLOOKUP(A226,[3]VA05!$A:$K,11,FALSE)</f>
        <v>45567</v>
      </c>
      <c r="L226" s="10" t="s">
        <v>89</v>
      </c>
      <c r="M226" s="10" t="s">
        <v>197</v>
      </c>
    </row>
    <row r="227" spans="1:13" x14ac:dyDescent="0.25">
      <c r="A227" s="13" t="str">
        <f t="shared" si="6"/>
        <v>50714269230</v>
      </c>
      <c r="B227" s="10">
        <v>1004059599</v>
      </c>
      <c r="C227" s="10">
        <v>507142692</v>
      </c>
      <c r="D227" s="10">
        <v>30</v>
      </c>
      <c r="E227" s="10" t="s">
        <v>10</v>
      </c>
      <c r="F227" s="10">
        <v>1367372</v>
      </c>
      <c r="G227" s="10" t="s">
        <v>62</v>
      </c>
      <c r="H227" s="11">
        <v>25110</v>
      </c>
      <c r="I227" s="10">
        <v>0</v>
      </c>
      <c r="J227" s="11">
        <f t="shared" si="7"/>
        <v>25110</v>
      </c>
      <c r="K227" s="12">
        <f>VLOOKUP(A227,[3]VA05!$A:$K,11,FALSE)</f>
        <v>45567</v>
      </c>
      <c r="L227" s="10" t="s">
        <v>25</v>
      </c>
      <c r="M227" s="10" t="s">
        <v>178</v>
      </c>
    </row>
    <row r="228" spans="1:13" x14ac:dyDescent="0.25">
      <c r="A228" s="13" t="str">
        <f t="shared" si="6"/>
        <v>50714269230</v>
      </c>
      <c r="B228" s="10">
        <v>1004059600</v>
      </c>
      <c r="C228" s="10">
        <v>507142692</v>
      </c>
      <c r="D228" s="10">
        <v>30</v>
      </c>
      <c r="E228" s="10" t="s">
        <v>10</v>
      </c>
      <c r="F228" s="10">
        <v>1367372</v>
      </c>
      <c r="G228" s="10" t="s">
        <v>62</v>
      </c>
      <c r="H228" s="11">
        <v>25110</v>
      </c>
      <c r="I228" s="10">
        <v>0</v>
      </c>
      <c r="J228" s="11">
        <f t="shared" si="7"/>
        <v>25110</v>
      </c>
      <c r="K228" s="12">
        <f>VLOOKUP(A228,[3]VA05!$A:$K,11,FALSE)</f>
        <v>45567</v>
      </c>
      <c r="L228" s="10" t="s">
        <v>25</v>
      </c>
      <c r="M228" s="10" t="s">
        <v>178</v>
      </c>
    </row>
    <row r="229" spans="1:13" x14ac:dyDescent="0.25">
      <c r="A229" s="13" t="str">
        <f t="shared" si="6"/>
        <v>50714269230</v>
      </c>
      <c r="B229" s="10">
        <v>1004059601</v>
      </c>
      <c r="C229" s="10">
        <v>507142692</v>
      </c>
      <c r="D229" s="10">
        <v>30</v>
      </c>
      <c r="E229" s="10" t="s">
        <v>10</v>
      </c>
      <c r="F229" s="10">
        <v>1367372</v>
      </c>
      <c r="G229" s="10" t="s">
        <v>62</v>
      </c>
      <c r="H229" s="11">
        <v>24570</v>
      </c>
      <c r="I229" s="10">
        <v>0</v>
      </c>
      <c r="J229" s="11">
        <f t="shared" si="7"/>
        <v>24570</v>
      </c>
      <c r="K229" s="12">
        <f>VLOOKUP(A229,[3]VA05!$A:$K,11,FALSE)</f>
        <v>45567</v>
      </c>
      <c r="L229" s="10" t="s">
        <v>25</v>
      </c>
      <c r="M229" s="10" t="s">
        <v>178</v>
      </c>
    </row>
    <row r="230" spans="1:13" hidden="1" x14ac:dyDescent="0.25">
      <c r="A230" s="13" t="str">
        <f t="shared" si="6"/>
        <v>50714208620</v>
      </c>
      <c r="B230" s="10">
        <v>1003976459</v>
      </c>
      <c r="C230" s="10">
        <v>507142086</v>
      </c>
      <c r="D230" s="10">
        <v>20</v>
      </c>
      <c r="E230" s="10" t="s">
        <v>10</v>
      </c>
      <c r="F230" s="10">
        <v>1361175</v>
      </c>
      <c r="G230" s="10" t="s">
        <v>22</v>
      </c>
      <c r="H230" s="11">
        <v>28350</v>
      </c>
      <c r="I230" s="10">
        <v>0</v>
      </c>
      <c r="J230" s="11">
        <f t="shared" si="7"/>
        <v>28350</v>
      </c>
      <c r="K230" s="12" t="e">
        <f>VLOOKUP(A230,[3]VA05!$A:$K,11,FALSE)</f>
        <v>#N/A</v>
      </c>
      <c r="L230" s="10" t="s">
        <v>260</v>
      </c>
      <c r="M230" s="10" t="s">
        <v>282</v>
      </c>
    </row>
    <row r="231" spans="1:13" hidden="1" x14ac:dyDescent="0.25">
      <c r="A231" s="13" t="str">
        <f t="shared" si="6"/>
        <v>50714208620</v>
      </c>
      <c r="B231" s="10">
        <v>1003976460</v>
      </c>
      <c r="C231" s="10">
        <v>507142086</v>
      </c>
      <c r="D231" s="10">
        <v>20</v>
      </c>
      <c r="E231" s="10" t="s">
        <v>10</v>
      </c>
      <c r="F231" s="10">
        <v>1361175</v>
      </c>
      <c r="G231" s="10" t="s">
        <v>22</v>
      </c>
      <c r="H231" s="11">
        <v>28350</v>
      </c>
      <c r="I231" s="10">
        <v>0</v>
      </c>
      <c r="J231" s="11">
        <f t="shared" si="7"/>
        <v>28350</v>
      </c>
      <c r="K231" s="12" t="e">
        <f>VLOOKUP(A231,[3]VA05!$A:$K,11,FALSE)</f>
        <v>#N/A</v>
      </c>
      <c r="L231" s="10" t="s">
        <v>260</v>
      </c>
      <c r="M231" s="10" t="s">
        <v>282</v>
      </c>
    </row>
    <row r="232" spans="1:13" hidden="1" x14ac:dyDescent="0.25">
      <c r="A232" s="13" t="str">
        <f t="shared" si="6"/>
        <v>50714208640</v>
      </c>
      <c r="B232" s="10">
        <v>1003976464</v>
      </c>
      <c r="C232" s="10">
        <v>507142086</v>
      </c>
      <c r="D232" s="10">
        <v>40</v>
      </c>
      <c r="E232" s="10" t="s">
        <v>10</v>
      </c>
      <c r="F232" s="10">
        <v>1361175</v>
      </c>
      <c r="G232" s="10" t="s">
        <v>22</v>
      </c>
      <c r="H232" s="11">
        <v>28350</v>
      </c>
      <c r="I232" s="10">
        <v>0</v>
      </c>
      <c r="J232" s="11">
        <f t="shared" si="7"/>
        <v>28350</v>
      </c>
      <c r="K232" s="12" t="e">
        <f>VLOOKUP(A232,[3]VA05!$A:$K,11,FALSE)</f>
        <v>#N/A</v>
      </c>
      <c r="L232" s="10" t="s">
        <v>260</v>
      </c>
      <c r="M232" s="10" t="s">
        <v>269</v>
      </c>
    </row>
    <row r="233" spans="1:13" hidden="1" x14ac:dyDescent="0.25">
      <c r="A233" s="13" t="str">
        <f t="shared" si="6"/>
        <v>50714208640</v>
      </c>
      <c r="B233" s="10">
        <v>1003976465</v>
      </c>
      <c r="C233" s="10">
        <v>507142086</v>
      </c>
      <c r="D233" s="10">
        <v>40</v>
      </c>
      <c r="E233" s="10" t="s">
        <v>10</v>
      </c>
      <c r="F233" s="10">
        <v>1361175</v>
      </c>
      <c r="G233" s="10" t="s">
        <v>22</v>
      </c>
      <c r="H233" s="11">
        <v>28350</v>
      </c>
      <c r="I233" s="10">
        <v>0</v>
      </c>
      <c r="J233" s="11">
        <f t="shared" si="7"/>
        <v>28350</v>
      </c>
      <c r="K233" s="12" t="e">
        <f>VLOOKUP(A233,[3]VA05!$A:$K,11,FALSE)</f>
        <v>#N/A</v>
      </c>
      <c r="L233" s="10" t="s">
        <v>260</v>
      </c>
      <c r="M233" s="10" t="s">
        <v>269</v>
      </c>
    </row>
    <row r="234" spans="1:13" hidden="1" x14ac:dyDescent="0.25">
      <c r="A234" s="13" t="str">
        <f t="shared" si="6"/>
        <v>50714208640</v>
      </c>
      <c r="B234" s="10">
        <v>1003976466</v>
      </c>
      <c r="C234" s="10">
        <v>507142086</v>
      </c>
      <c r="D234" s="10">
        <v>40</v>
      </c>
      <c r="E234" s="10" t="s">
        <v>10</v>
      </c>
      <c r="F234" s="10">
        <v>1361175</v>
      </c>
      <c r="G234" s="10" t="s">
        <v>22</v>
      </c>
      <c r="H234" s="11">
        <v>28350</v>
      </c>
      <c r="I234" s="10">
        <v>0</v>
      </c>
      <c r="J234" s="11">
        <f t="shared" si="7"/>
        <v>28350</v>
      </c>
      <c r="K234" s="12" t="e">
        <f>VLOOKUP(A234,[3]VA05!$A:$K,11,FALSE)</f>
        <v>#N/A</v>
      </c>
      <c r="L234" s="10" t="s">
        <v>260</v>
      </c>
      <c r="M234" s="10" t="s">
        <v>269</v>
      </c>
    </row>
    <row r="235" spans="1:13" hidden="1" x14ac:dyDescent="0.25">
      <c r="A235" s="13" t="str">
        <f t="shared" si="6"/>
        <v>50714208640</v>
      </c>
      <c r="B235" s="10">
        <v>1003976467</v>
      </c>
      <c r="C235" s="10">
        <v>507142086</v>
      </c>
      <c r="D235" s="10">
        <v>40</v>
      </c>
      <c r="E235" s="10" t="s">
        <v>10</v>
      </c>
      <c r="F235" s="10">
        <v>1361175</v>
      </c>
      <c r="G235" s="10" t="s">
        <v>22</v>
      </c>
      <c r="H235" s="11">
        <v>31590</v>
      </c>
      <c r="I235" s="10">
        <v>0</v>
      </c>
      <c r="J235" s="11">
        <f t="shared" si="7"/>
        <v>31590</v>
      </c>
      <c r="K235" s="12" t="e">
        <f>VLOOKUP(A235,[3]VA05!$A:$K,11,FALSE)</f>
        <v>#N/A</v>
      </c>
      <c r="L235" s="10" t="s">
        <v>260</v>
      </c>
      <c r="M235" s="10" t="s">
        <v>269</v>
      </c>
    </row>
    <row r="236" spans="1:13" hidden="1" x14ac:dyDescent="0.25">
      <c r="A236" s="13" t="str">
        <f t="shared" si="6"/>
        <v>50714208660</v>
      </c>
      <c r="B236" s="10">
        <v>1003976468</v>
      </c>
      <c r="C236" s="10">
        <v>507142086</v>
      </c>
      <c r="D236" s="10">
        <v>60</v>
      </c>
      <c r="E236" s="10" t="s">
        <v>10</v>
      </c>
      <c r="F236" s="10">
        <v>1361175</v>
      </c>
      <c r="G236" s="10" t="s">
        <v>22</v>
      </c>
      <c r="H236" s="11">
        <v>28350</v>
      </c>
      <c r="I236" s="10">
        <v>0</v>
      </c>
      <c r="J236" s="11">
        <f t="shared" si="7"/>
        <v>28350</v>
      </c>
      <c r="K236" s="12" t="e">
        <f>VLOOKUP(A236,[3]VA05!$A:$K,11,FALSE)</f>
        <v>#N/A</v>
      </c>
      <c r="L236" s="10" t="s">
        <v>260</v>
      </c>
      <c r="M236" s="10" t="s">
        <v>283</v>
      </c>
    </row>
    <row r="237" spans="1:13" hidden="1" x14ac:dyDescent="0.25">
      <c r="A237" s="13" t="str">
        <f t="shared" si="6"/>
        <v>50714208660</v>
      </c>
      <c r="B237" s="10">
        <v>1003976469</v>
      </c>
      <c r="C237" s="10">
        <v>507142086</v>
      </c>
      <c r="D237" s="10">
        <v>60</v>
      </c>
      <c r="E237" s="10" t="s">
        <v>10</v>
      </c>
      <c r="F237" s="10">
        <v>1361175</v>
      </c>
      <c r="G237" s="10" t="s">
        <v>22</v>
      </c>
      <c r="H237" s="11">
        <v>28350</v>
      </c>
      <c r="I237" s="10">
        <v>0</v>
      </c>
      <c r="J237" s="11">
        <f t="shared" si="7"/>
        <v>28350</v>
      </c>
      <c r="K237" s="12" t="e">
        <f>VLOOKUP(A237,[3]VA05!$A:$K,11,FALSE)</f>
        <v>#N/A</v>
      </c>
      <c r="L237" s="10" t="s">
        <v>260</v>
      </c>
      <c r="M237" s="10" t="s">
        <v>283</v>
      </c>
    </row>
    <row r="238" spans="1:13" hidden="1" x14ac:dyDescent="0.25">
      <c r="A238" s="13" t="str">
        <f t="shared" si="6"/>
        <v>50714208660</v>
      </c>
      <c r="B238" s="10">
        <v>1003976470</v>
      </c>
      <c r="C238" s="10">
        <v>507142086</v>
      </c>
      <c r="D238" s="10">
        <v>60</v>
      </c>
      <c r="E238" s="10" t="s">
        <v>10</v>
      </c>
      <c r="F238" s="10">
        <v>1361175</v>
      </c>
      <c r="G238" s="10" t="s">
        <v>22</v>
      </c>
      <c r="H238" s="11">
        <v>28350</v>
      </c>
      <c r="I238" s="10">
        <v>0</v>
      </c>
      <c r="J238" s="11">
        <f t="shared" si="7"/>
        <v>28350</v>
      </c>
      <c r="K238" s="12" t="e">
        <f>VLOOKUP(A238,[3]VA05!$A:$K,11,FALSE)</f>
        <v>#N/A</v>
      </c>
      <c r="L238" s="10" t="s">
        <v>260</v>
      </c>
      <c r="M238" s="10" t="s">
        <v>283</v>
      </c>
    </row>
    <row r="239" spans="1:13" hidden="1" x14ac:dyDescent="0.25">
      <c r="A239" s="13" t="str">
        <f t="shared" si="6"/>
        <v>50714208660</v>
      </c>
      <c r="B239" s="10">
        <v>1003976471</v>
      </c>
      <c r="C239" s="10">
        <v>507142086</v>
      </c>
      <c r="D239" s="10">
        <v>60</v>
      </c>
      <c r="E239" s="10" t="s">
        <v>10</v>
      </c>
      <c r="F239" s="10">
        <v>1361175</v>
      </c>
      <c r="G239" s="10" t="s">
        <v>22</v>
      </c>
      <c r="H239" s="11">
        <v>25110</v>
      </c>
      <c r="I239" s="10">
        <v>0</v>
      </c>
      <c r="J239" s="11">
        <f t="shared" si="7"/>
        <v>25110</v>
      </c>
      <c r="K239" s="12" t="e">
        <f>VLOOKUP(A239,[3]VA05!$A:$K,11,FALSE)</f>
        <v>#N/A</v>
      </c>
      <c r="L239" s="10" t="s">
        <v>260</v>
      </c>
      <c r="M239" s="10" t="s">
        <v>283</v>
      </c>
    </row>
    <row r="240" spans="1:13" x14ac:dyDescent="0.25">
      <c r="A240" s="13" t="str">
        <f t="shared" si="6"/>
        <v>50714263860</v>
      </c>
      <c r="B240" s="10">
        <v>1004049845</v>
      </c>
      <c r="C240" s="10">
        <v>507142638</v>
      </c>
      <c r="D240" s="10">
        <v>60</v>
      </c>
      <c r="E240" s="10" t="s">
        <v>10</v>
      </c>
      <c r="F240" s="10">
        <v>1361175</v>
      </c>
      <c r="G240" s="10" t="s">
        <v>22</v>
      </c>
      <c r="H240" s="11">
        <v>36850</v>
      </c>
      <c r="I240" s="11">
        <v>4576</v>
      </c>
      <c r="J240" s="11">
        <f t="shared" si="7"/>
        <v>32274</v>
      </c>
      <c r="K240" s="12">
        <f>VLOOKUP(A240,[3]VA05!$A:$K,11,FALSE)</f>
        <v>45560</v>
      </c>
      <c r="L240" s="10" t="s">
        <v>132</v>
      </c>
      <c r="M240" s="10" t="s">
        <v>143</v>
      </c>
    </row>
    <row r="241" spans="1:13" x14ac:dyDescent="0.25">
      <c r="A241" s="13" t="str">
        <f t="shared" si="6"/>
        <v>50714263860</v>
      </c>
      <c r="B241" s="10">
        <v>1004049846</v>
      </c>
      <c r="C241" s="10">
        <v>507142638</v>
      </c>
      <c r="D241" s="10">
        <v>60</v>
      </c>
      <c r="E241" s="10" t="s">
        <v>10</v>
      </c>
      <c r="F241" s="10">
        <v>1361175</v>
      </c>
      <c r="G241" s="10" t="s">
        <v>22</v>
      </c>
      <c r="H241" s="11">
        <v>36190</v>
      </c>
      <c r="I241" s="10">
        <v>0</v>
      </c>
      <c r="J241" s="11">
        <f t="shared" si="7"/>
        <v>36190</v>
      </c>
      <c r="K241" s="12">
        <f>VLOOKUP(A241,[3]VA05!$A:$K,11,FALSE)</f>
        <v>45560</v>
      </c>
      <c r="L241" s="10" t="s">
        <v>241</v>
      </c>
      <c r="M241" s="10" t="s">
        <v>97</v>
      </c>
    </row>
    <row r="242" spans="1:13" x14ac:dyDescent="0.25">
      <c r="A242" s="13" t="str">
        <f t="shared" si="6"/>
        <v>50714269240</v>
      </c>
      <c r="B242" s="10">
        <v>1004060927</v>
      </c>
      <c r="C242" s="10">
        <v>507142692</v>
      </c>
      <c r="D242" s="10">
        <v>40</v>
      </c>
      <c r="E242" s="10" t="s">
        <v>10</v>
      </c>
      <c r="F242" s="10">
        <v>1367370</v>
      </c>
      <c r="G242" s="10" t="s">
        <v>63</v>
      </c>
      <c r="H242" s="11">
        <v>32400</v>
      </c>
      <c r="I242" s="10">
        <v>10708</v>
      </c>
      <c r="J242" s="11">
        <f t="shared" si="7"/>
        <v>21692</v>
      </c>
      <c r="K242" s="12">
        <f>VLOOKUP(A242,[3]VA05!$A:$K,11,FALSE)</f>
        <v>45567</v>
      </c>
      <c r="L242" s="10" t="s">
        <v>240</v>
      </c>
      <c r="M242" s="10" t="s">
        <v>178</v>
      </c>
    </row>
    <row r="243" spans="1:13" x14ac:dyDescent="0.25">
      <c r="A243" s="13" t="str">
        <f t="shared" si="6"/>
        <v>50714269240</v>
      </c>
      <c r="B243" s="10">
        <v>1004060928</v>
      </c>
      <c r="C243" s="10">
        <v>507142692</v>
      </c>
      <c r="D243" s="10">
        <v>40</v>
      </c>
      <c r="E243" s="10" t="s">
        <v>10</v>
      </c>
      <c r="F243" s="10">
        <v>1367370</v>
      </c>
      <c r="G243" s="10" t="s">
        <v>63</v>
      </c>
      <c r="H243" s="11">
        <v>32400</v>
      </c>
      <c r="I243" s="10">
        <v>0</v>
      </c>
      <c r="J243" s="11">
        <f t="shared" si="7"/>
        <v>32400</v>
      </c>
      <c r="K243" s="12">
        <f>VLOOKUP(A243,[3]VA05!$A:$K,11,FALSE)</f>
        <v>45567</v>
      </c>
      <c r="L243" s="10" t="s">
        <v>25</v>
      </c>
      <c r="M243" s="10" t="s">
        <v>178</v>
      </c>
    </row>
    <row r="244" spans="1:13" x14ac:dyDescent="0.25">
      <c r="A244" s="13" t="str">
        <f t="shared" si="6"/>
        <v>50714269240</v>
      </c>
      <c r="B244" s="10">
        <v>1004061129</v>
      </c>
      <c r="C244" s="10">
        <v>507142692</v>
      </c>
      <c r="D244" s="10">
        <v>40</v>
      </c>
      <c r="E244" s="10" t="s">
        <v>10</v>
      </c>
      <c r="F244" s="10">
        <v>1367370</v>
      </c>
      <c r="G244" s="10" t="s">
        <v>63</v>
      </c>
      <c r="H244" s="11">
        <v>34400</v>
      </c>
      <c r="I244" s="10">
        <v>0</v>
      </c>
      <c r="J244" s="11">
        <f t="shared" si="7"/>
        <v>34400</v>
      </c>
      <c r="K244" s="12">
        <f>VLOOKUP(A244,[3]VA05!$A:$K,11,FALSE)</f>
        <v>45567</v>
      </c>
      <c r="L244" s="10" t="s">
        <v>25</v>
      </c>
      <c r="M244" s="10" t="s">
        <v>178</v>
      </c>
    </row>
    <row r="245" spans="1:13" hidden="1" x14ac:dyDescent="0.25">
      <c r="A245" s="13" t="str">
        <f t="shared" si="6"/>
        <v>50714200350</v>
      </c>
      <c r="B245" s="10">
        <v>1003967868</v>
      </c>
      <c r="C245" s="10">
        <v>507142003</v>
      </c>
      <c r="D245" s="10">
        <v>50</v>
      </c>
      <c r="E245" s="10" t="s">
        <v>10</v>
      </c>
      <c r="F245" s="10">
        <v>1361213</v>
      </c>
      <c r="G245" s="10" t="s">
        <v>23</v>
      </c>
      <c r="H245" s="11">
        <v>74809</v>
      </c>
      <c r="I245" s="10">
        <v>0</v>
      </c>
      <c r="J245" s="11">
        <f t="shared" si="7"/>
        <v>74809</v>
      </c>
      <c r="K245" s="12" t="e">
        <f>VLOOKUP(A245,[3]VA05!$A:$K,11,FALSE)</f>
        <v>#N/A</v>
      </c>
      <c r="L245" s="10" t="s">
        <v>260</v>
      </c>
      <c r="M245" s="10" t="s">
        <v>284</v>
      </c>
    </row>
    <row r="246" spans="1:13" x14ac:dyDescent="0.25">
      <c r="A246" s="13" t="str">
        <f t="shared" si="6"/>
        <v>50714263830</v>
      </c>
      <c r="B246" s="10">
        <v>1004043125</v>
      </c>
      <c r="C246" s="10">
        <v>507142638</v>
      </c>
      <c r="D246" s="10">
        <v>30</v>
      </c>
      <c r="E246" s="10" t="s">
        <v>10</v>
      </c>
      <c r="F246" s="10">
        <v>1361213</v>
      </c>
      <c r="G246" s="10" t="s">
        <v>23</v>
      </c>
      <c r="H246" s="11">
        <v>113465</v>
      </c>
      <c r="I246" s="11">
        <v>99340</v>
      </c>
      <c r="J246" s="11">
        <f t="shared" si="7"/>
        <v>14125</v>
      </c>
      <c r="K246" s="12" t="e">
        <f>VLOOKUP(A246,[3]VA05!$A:$K,11,FALSE)</f>
        <v>#N/A</v>
      </c>
      <c r="L246" s="10" t="s">
        <v>18</v>
      </c>
      <c r="M246" s="10" t="s">
        <v>195</v>
      </c>
    </row>
    <row r="247" spans="1:13" x14ac:dyDescent="0.25">
      <c r="A247" s="13" t="str">
        <f t="shared" si="6"/>
        <v>50714263850</v>
      </c>
      <c r="B247" s="10">
        <v>1004043126</v>
      </c>
      <c r="C247" s="10">
        <v>507142638</v>
      </c>
      <c r="D247" s="10">
        <v>50</v>
      </c>
      <c r="E247" s="10" t="s">
        <v>10</v>
      </c>
      <c r="F247" s="10">
        <v>1361213</v>
      </c>
      <c r="G247" s="10" t="s">
        <v>23</v>
      </c>
      <c r="H247" s="11">
        <v>113187</v>
      </c>
      <c r="I247" s="10">
        <v>0</v>
      </c>
      <c r="J247" s="11">
        <f t="shared" si="7"/>
        <v>113187</v>
      </c>
      <c r="K247" s="12">
        <f>VLOOKUP(A247,[3]VA05!$A:$K,11,FALSE)</f>
        <v>45560</v>
      </c>
      <c r="L247" s="10" t="s">
        <v>27</v>
      </c>
      <c r="M247" s="10" t="s">
        <v>178</v>
      </c>
    </row>
    <row r="248" spans="1:13" x14ac:dyDescent="0.25">
      <c r="A248" s="13" t="str">
        <f t="shared" si="6"/>
        <v>50714273810</v>
      </c>
      <c r="B248" s="10">
        <v>1004053617</v>
      </c>
      <c r="C248" s="10">
        <v>507142738</v>
      </c>
      <c r="D248" s="10">
        <v>10</v>
      </c>
      <c r="E248" s="10" t="s">
        <v>10</v>
      </c>
      <c r="F248" s="10">
        <v>1361213</v>
      </c>
      <c r="G248" s="10" t="s">
        <v>23</v>
      </c>
      <c r="H248" s="11">
        <v>113468</v>
      </c>
      <c r="I248" s="10">
        <v>0</v>
      </c>
      <c r="J248" s="11">
        <f t="shared" si="7"/>
        <v>113468</v>
      </c>
      <c r="K248" s="12">
        <f>VLOOKUP(A248,[3]VA05!$A:$K,11,FALSE)</f>
        <v>45567</v>
      </c>
      <c r="L248" s="10" t="s">
        <v>12</v>
      </c>
      <c r="M248" s="10" t="s">
        <v>130</v>
      </c>
    </row>
    <row r="249" spans="1:13" x14ac:dyDescent="0.25">
      <c r="A249" s="13" t="str">
        <f t="shared" si="6"/>
        <v>50714279010</v>
      </c>
      <c r="B249" s="10">
        <v>1004053618</v>
      </c>
      <c r="C249" s="10">
        <v>507142790</v>
      </c>
      <c r="D249" s="10">
        <v>10</v>
      </c>
      <c r="E249" s="10" t="s">
        <v>10</v>
      </c>
      <c r="F249" s="10">
        <v>1361213</v>
      </c>
      <c r="G249" s="10" t="s">
        <v>23</v>
      </c>
      <c r="H249" s="11">
        <v>113465</v>
      </c>
      <c r="I249" s="10">
        <v>0</v>
      </c>
      <c r="J249" s="11">
        <f t="shared" si="7"/>
        <v>113465</v>
      </c>
      <c r="K249" s="12">
        <f>VLOOKUP(A249,[3]VA05!$A:$K,11,FALSE)</f>
        <v>45583</v>
      </c>
      <c r="L249" s="10" t="s">
        <v>12</v>
      </c>
      <c r="M249" s="10" t="s">
        <v>180</v>
      </c>
    </row>
    <row r="250" spans="1:13" hidden="1" x14ac:dyDescent="0.25">
      <c r="A250" s="13" t="str">
        <f t="shared" si="6"/>
        <v>50714263750</v>
      </c>
      <c r="B250" s="10">
        <v>1004053626</v>
      </c>
      <c r="C250" s="10">
        <v>507142637</v>
      </c>
      <c r="D250" s="10">
        <v>50</v>
      </c>
      <c r="E250" s="10" t="s">
        <v>10</v>
      </c>
      <c r="F250" s="10">
        <v>1408740</v>
      </c>
      <c r="G250" s="10" t="s">
        <v>104</v>
      </c>
      <c r="H250" s="11">
        <v>27540</v>
      </c>
      <c r="I250" s="11">
        <v>27540</v>
      </c>
      <c r="J250" s="11">
        <f t="shared" si="7"/>
        <v>0</v>
      </c>
      <c r="K250" s="12">
        <f>VLOOKUP(A250,[3]VA05!$A:$K,11,FALSE)</f>
        <v>45572</v>
      </c>
      <c r="L250" s="10" t="s">
        <v>233</v>
      </c>
      <c r="M250" s="10" t="s">
        <v>154</v>
      </c>
    </row>
    <row r="251" spans="1:13" hidden="1" x14ac:dyDescent="0.25">
      <c r="A251" s="13" t="str">
        <f t="shared" si="6"/>
        <v>50714263750</v>
      </c>
      <c r="B251" s="10">
        <v>1004053627</v>
      </c>
      <c r="C251" s="10">
        <v>507142637</v>
      </c>
      <c r="D251" s="10">
        <v>50</v>
      </c>
      <c r="E251" s="10" t="s">
        <v>10</v>
      </c>
      <c r="F251" s="10">
        <v>1408740</v>
      </c>
      <c r="G251" s="10" t="s">
        <v>104</v>
      </c>
      <c r="H251" s="11">
        <v>27540</v>
      </c>
      <c r="I251" s="11">
        <v>27540</v>
      </c>
      <c r="J251" s="11">
        <f t="shared" si="7"/>
        <v>0</v>
      </c>
      <c r="K251" s="12">
        <f>VLOOKUP(A251,[3]VA05!$A:$K,11,FALSE)</f>
        <v>45572</v>
      </c>
      <c r="L251" s="10" t="s">
        <v>233</v>
      </c>
      <c r="M251" s="10" t="s">
        <v>194</v>
      </c>
    </row>
    <row r="252" spans="1:13" hidden="1" x14ac:dyDescent="0.25">
      <c r="A252" s="13" t="str">
        <f t="shared" si="6"/>
        <v>50714263750</v>
      </c>
      <c r="B252" s="10">
        <v>1004053628</v>
      </c>
      <c r="C252" s="10">
        <v>507142637</v>
      </c>
      <c r="D252" s="10">
        <v>50</v>
      </c>
      <c r="E252" s="10" t="s">
        <v>10</v>
      </c>
      <c r="F252" s="10">
        <v>1408740</v>
      </c>
      <c r="G252" s="10" t="s">
        <v>104</v>
      </c>
      <c r="H252" s="11">
        <v>27540</v>
      </c>
      <c r="I252" s="11">
        <v>27540</v>
      </c>
      <c r="J252" s="11">
        <f t="shared" si="7"/>
        <v>0</v>
      </c>
      <c r="K252" s="12">
        <f>VLOOKUP(A252,[3]VA05!$A:$K,11,FALSE)</f>
        <v>45572</v>
      </c>
      <c r="L252" s="10" t="s">
        <v>11</v>
      </c>
      <c r="M252" s="10" t="s">
        <v>178</v>
      </c>
    </row>
    <row r="253" spans="1:13" hidden="1" x14ac:dyDescent="0.25">
      <c r="A253" s="13" t="str">
        <f t="shared" si="6"/>
        <v>50714263750</v>
      </c>
      <c r="B253" s="10">
        <v>1004053629</v>
      </c>
      <c r="C253" s="10">
        <v>507142637</v>
      </c>
      <c r="D253" s="10">
        <v>50</v>
      </c>
      <c r="E253" s="10" t="s">
        <v>10</v>
      </c>
      <c r="F253" s="10">
        <v>1408740</v>
      </c>
      <c r="G253" s="10" t="s">
        <v>104</v>
      </c>
      <c r="H253" s="11">
        <v>27270</v>
      </c>
      <c r="I253" s="10">
        <v>27270</v>
      </c>
      <c r="J253" s="11">
        <f t="shared" si="7"/>
        <v>0</v>
      </c>
      <c r="K253" s="12">
        <f>VLOOKUP(A253,[3]VA05!$A:$K,11,FALSE)</f>
        <v>45572</v>
      </c>
      <c r="L253" s="10" t="s">
        <v>240</v>
      </c>
      <c r="M253" s="10" t="s">
        <v>154</v>
      </c>
    </row>
    <row r="254" spans="1:13" x14ac:dyDescent="0.25">
      <c r="A254" s="13" t="str">
        <f t="shared" si="6"/>
        <v>50714208810</v>
      </c>
      <c r="B254" s="10">
        <v>1003976472</v>
      </c>
      <c r="C254" s="10">
        <v>507142088</v>
      </c>
      <c r="D254" s="10">
        <v>10</v>
      </c>
      <c r="E254" s="10" t="s">
        <v>10</v>
      </c>
      <c r="F254" s="10">
        <v>1408739</v>
      </c>
      <c r="G254" s="10" t="s">
        <v>37</v>
      </c>
      <c r="H254" s="11">
        <v>28350</v>
      </c>
      <c r="I254" s="10">
        <v>0</v>
      </c>
      <c r="J254" s="11">
        <f t="shared" si="7"/>
        <v>28350</v>
      </c>
      <c r="K254" s="12" t="e">
        <f>VLOOKUP(A254,[3]VA05!$A:$K,11,FALSE)</f>
        <v>#N/A</v>
      </c>
      <c r="L254" s="10" t="s">
        <v>285</v>
      </c>
      <c r="M254" s="10" t="s">
        <v>282</v>
      </c>
    </row>
    <row r="255" spans="1:13" x14ac:dyDescent="0.25">
      <c r="A255" s="13" t="str">
        <f t="shared" si="6"/>
        <v>50714208810</v>
      </c>
      <c r="B255" s="10">
        <v>1003976473</v>
      </c>
      <c r="C255" s="10">
        <v>507142088</v>
      </c>
      <c r="D255" s="10">
        <v>10</v>
      </c>
      <c r="E255" s="10" t="s">
        <v>10</v>
      </c>
      <c r="F255" s="10">
        <v>1408739</v>
      </c>
      <c r="G255" s="10" t="s">
        <v>37</v>
      </c>
      <c r="H255" s="11">
        <v>28350</v>
      </c>
      <c r="I255" s="10">
        <v>0</v>
      </c>
      <c r="J255" s="11">
        <f t="shared" si="7"/>
        <v>28350</v>
      </c>
      <c r="K255" s="12" t="e">
        <f>VLOOKUP(A255,[3]VA05!$A:$K,11,FALSE)</f>
        <v>#N/A</v>
      </c>
      <c r="L255" s="10" t="s">
        <v>285</v>
      </c>
      <c r="M255" s="10" t="s">
        <v>282</v>
      </c>
    </row>
    <row r="256" spans="1:13" hidden="1" x14ac:dyDescent="0.25">
      <c r="A256" s="13" t="str">
        <f t="shared" si="6"/>
        <v>50714208810</v>
      </c>
      <c r="B256" s="10">
        <v>1003976474</v>
      </c>
      <c r="C256" s="10">
        <v>507142088</v>
      </c>
      <c r="D256" s="10">
        <v>10</v>
      </c>
      <c r="E256" s="10" t="s">
        <v>10</v>
      </c>
      <c r="F256" s="10">
        <v>1408739</v>
      </c>
      <c r="G256" s="10" t="s">
        <v>37</v>
      </c>
      <c r="H256" s="11">
        <v>28350</v>
      </c>
      <c r="I256" s="10">
        <v>0</v>
      </c>
      <c r="J256" s="11">
        <f t="shared" si="7"/>
        <v>28350</v>
      </c>
      <c r="K256" s="12" t="e">
        <f>VLOOKUP(A256,[3]VA05!$A:$K,11,FALSE)</f>
        <v>#N/A</v>
      </c>
      <c r="L256" s="10" t="s">
        <v>260</v>
      </c>
      <c r="M256" s="10" t="s">
        <v>282</v>
      </c>
    </row>
    <row r="257" spans="1:13" hidden="1" x14ac:dyDescent="0.25">
      <c r="A257" s="13" t="str">
        <f t="shared" si="6"/>
        <v>50714208810</v>
      </c>
      <c r="B257" s="10">
        <v>1003976475</v>
      </c>
      <c r="C257" s="10">
        <v>507142088</v>
      </c>
      <c r="D257" s="10">
        <v>10</v>
      </c>
      <c r="E257" s="10" t="s">
        <v>10</v>
      </c>
      <c r="F257" s="10">
        <v>1408739</v>
      </c>
      <c r="G257" s="10" t="s">
        <v>37</v>
      </c>
      <c r="H257" s="11">
        <v>28350</v>
      </c>
      <c r="I257" s="10">
        <v>0</v>
      </c>
      <c r="J257" s="11">
        <f t="shared" si="7"/>
        <v>28350</v>
      </c>
      <c r="K257" s="12" t="e">
        <f>VLOOKUP(A257,[3]VA05!$A:$K,11,FALSE)</f>
        <v>#N/A</v>
      </c>
      <c r="L257" s="10" t="s">
        <v>260</v>
      </c>
      <c r="M257" s="10" t="s">
        <v>282</v>
      </c>
    </row>
    <row r="258" spans="1:13" hidden="1" x14ac:dyDescent="0.25">
      <c r="A258" s="13" t="str">
        <f t="shared" si="6"/>
        <v>50714208810</v>
      </c>
      <c r="B258" s="10">
        <v>1003976476</v>
      </c>
      <c r="C258" s="10">
        <v>507142088</v>
      </c>
      <c r="D258" s="10">
        <v>10</v>
      </c>
      <c r="E258" s="10" t="s">
        <v>10</v>
      </c>
      <c r="F258" s="10">
        <v>1408739</v>
      </c>
      <c r="G258" s="10" t="s">
        <v>37</v>
      </c>
      <c r="H258" s="11">
        <v>28350</v>
      </c>
      <c r="I258" s="10">
        <v>0</v>
      </c>
      <c r="J258" s="11">
        <f t="shared" si="7"/>
        <v>28350</v>
      </c>
      <c r="K258" s="12" t="e">
        <f>VLOOKUP(A258,[3]VA05!$A:$K,11,FALSE)</f>
        <v>#N/A</v>
      </c>
      <c r="L258" s="10" t="s">
        <v>260</v>
      </c>
      <c r="M258" s="10" t="s">
        <v>282</v>
      </c>
    </row>
    <row r="259" spans="1:13" hidden="1" x14ac:dyDescent="0.25">
      <c r="A259" s="13" t="str">
        <f t="shared" si="6"/>
        <v>50714208810</v>
      </c>
      <c r="B259" s="10">
        <v>1003976477</v>
      </c>
      <c r="C259" s="10">
        <v>507142088</v>
      </c>
      <c r="D259" s="10">
        <v>10</v>
      </c>
      <c r="E259" s="10" t="s">
        <v>10</v>
      </c>
      <c r="F259" s="10">
        <v>1408739</v>
      </c>
      <c r="G259" s="10" t="s">
        <v>37</v>
      </c>
      <c r="H259" s="11">
        <v>22410</v>
      </c>
      <c r="I259" s="10">
        <v>0</v>
      </c>
      <c r="J259" s="11">
        <f t="shared" si="7"/>
        <v>22410</v>
      </c>
      <c r="K259" s="12" t="e">
        <f>VLOOKUP(A259,[3]VA05!$A:$K,11,FALSE)</f>
        <v>#N/A</v>
      </c>
      <c r="L259" s="10" t="s">
        <v>260</v>
      </c>
      <c r="M259" s="10" t="s">
        <v>282</v>
      </c>
    </row>
    <row r="260" spans="1:13" hidden="1" x14ac:dyDescent="0.25">
      <c r="A260" s="13" t="str">
        <f t="shared" ref="A260:A302" si="8">C260&amp;D260</f>
        <v>50714208830</v>
      </c>
      <c r="B260" s="10">
        <v>1003976478</v>
      </c>
      <c r="C260" s="10">
        <v>507142088</v>
      </c>
      <c r="D260" s="10">
        <v>30</v>
      </c>
      <c r="E260" s="10" t="s">
        <v>10</v>
      </c>
      <c r="F260" s="10">
        <v>1408739</v>
      </c>
      <c r="G260" s="10" t="s">
        <v>37</v>
      </c>
      <c r="H260" s="11">
        <v>28350</v>
      </c>
      <c r="I260" s="10">
        <v>0</v>
      </c>
      <c r="J260" s="11">
        <f t="shared" ref="J260:J302" si="9">H260-I260</f>
        <v>28350</v>
      </c>
      <c r="K260" s="12" t="e">
        <f>VLOOKUP(A260,[3]VA05!$A:$K,11,FALSE)</f>
        <v>#N/A</v>
      </c>
      <c r="L260" s="10" t="s">
        <v>260</v>
      </c>
      <c r="M260" s="10" t="s">
        <v>286</v>
      </c>
    </row>
    <row r="261" spans="1:13" hidden="1" x14ac:dyDescent="0.25">
      <c r="A261" s="13" t="str">
        <f t="shared" si="8"/>
        <v>50714208830</v>
      </c>
      <c r="B261" s="10">
        <v>1003976479</v>
      </c>
      <c r="C261" s="10">
        <v>507142088</v>
      </c>
      <c r="D261" s="10">
        <v>30</v>
      </c>
      <c r="E261" s="10" t="s">
        <v>10</v>
      </c>
      <c r="F261" s="10">
        <v>1408739</v>
      </c>
      <c r="G261" s="10" t="s">
        <v>37</v>
      </c>
      <c r="H261" s="11">
        <v>28350</v>
      </c>
      <c r="I261" s="10">
        <v>0</v>
      </c>
      <c r="J261" s="11">
        <f t="shared" si="9"/>
        <v>28350</v>
      </c>
      <c r="K261" s="12" t="e">
        <f>VLOOKUP(A261,[3]VA05!$A:$K,11,FALSE)</f>
        <v>#N/A</v>
      </c>
      <c r="L261" s="10" t="s">
        <v>260</v>
      </c>
      <c r="M261" s="10" t="s">
        <v>286</v>
      </c>
    </row>
    <row r="262" spans="1:13" hidden="1" x14ac:dyDescent="0.25">
      <c r="A262" s="13" t="str">
        <f t="shared" si="8"/>
        <v>50714208830</v>
      </c>
      <c r="B262" s="10">
        <v>1003976480</v>
      </c>
      <c r="C262" s="10">
        <v>507142088</v>
      </c>
      <c r="D262" s="10">
        <v>30</v>
      </c>
      <c r="E262" s="10" t="s">
        <v>10</v>
      </c>
      <c r="F262" s="10">
        <v>1408739</v>
      </c>
      <c r="G262" s="10" t="s">
        <v>37</v>
      </c>
      <c r="H262" s="11">
        <v>28350</v>
      </c>
      <c r="I262" s="10">
        <v>0</v>
      </c>
      <c r="J262" s="11">
        <f t="shared" si="9"/>
        <v>28350</v>
      </c>
      <c r="K262" s="12" t="e">
        <f>VLOOKUP(A262,[3]VA05!$A:$K,11,FALSE)</f>
        <v>#N/A</v>
      </c>
      <c r="L262" s="10" t="s">
        <v>260</v>
      </c>
      <c r="M262" s="10" t="s">
        <v>286</v>
      </c>
    </row>
    <row r="263" spans="1:13" hidden="1" x14ac:dyDescent="0.25">
      <c r="A263" s="13" t="str">
        <f t="shared" si="8"/>
        <v>50714208830</v>
      </c>
      <c r="B263" s="10">
        <v>1003976481</v>
      </c>
      <c r="C263" s="10">
        <v>507142088</v>
      </c>
      <c r="D263" s="10">
        <v>30</v>
      </c>
      <c r="E263" s="10" t="s">
        <v>10</v>
      </c>
      <c r="F263" s="10">
        <v>1408739</v>
      </c>
      <c r="G263" s="10" t="s">
        <v>37</v>
      </c>
      <c r="H263" s="11">
        <v>25110</v>
      </c>
      <c r="I263" s="10">
        <v>0</v>
      </c>
      <c r="J263" s="11">
        <f t="shared" si="9"/>
        <v>25110</v>
      </c>
      <c r="K263" s="12" t="e">
        <f>VLOOKUP(A263,[3]VA05!$A:$K,11,FALSE)</f>
        <v>#N/A</v>
      </c>
      <c r="L263" s="10" t="s">
        <v>260</v>
      </c>
      <c r="M263" s="10" t="s">
        <v>286</v>
      </c>
    </row>
    <row r="264" spans="1:13" hidden="1" x14ac:dyDescent="0.25">
      <c r="A264" s="13" t="str">
        <f t="shared" si="8"/>
        <v>50714238420</v>
      </c>
      <c r="B264" s="10">
        <v>1004037415</v>
      </c>
      <c r="C264" s="10">
        <v>507142384</v>
      </c>
      <c r="D264" s="10">
        <v>20</v>
      </c>
      <c r="E264" s="10" t="s">
        <v>10</v>
      </c>
      <c r="F264" s="10">
        <v>1408739</v>
      </c>
      <c r="G264" s="10" t="s">
        <v>37</v>
      </c>
      <c r="H264" s="11">
        <v>25640</v>
      </c>
      <c r="I264" s="10">
        <v>0</v>
      </c>
      <c r="J264" s="11">
        <f t="shared" si="9"/>
        <v>25640</v>
      </c>
      <c r="K264" s="12" t="e">
        <f>VLOOKUP(A264,[3]VA05!$A:$K,11,FALSE)</f>
        <v>#N/A</v>
      </c>
      <c r="L264" s="10" t="s">
        <v>260</v>
      </c>
      <c r="M264" s="10" t="s">
        <v>287</v>
      </c>
    </row>
    <row r="265" spans="1:13" hidden="1" x14ac:dyDescent="0.25">
      <c r="A265" s="13" t="str">
        <f t="shared" si="8"/>
        <v>50714238420</v>
      </c>
      <c r="B265" s="10">
        <v>1004037416</v>
      </c>
      <c r="C265" s="10">
        <v>507142384</v>
      </c>
      <c r="D265" s="10">
        <v>20</v>
      </c>
      <c r="E265" s="10" t="s">
        <v>10</v>
      </c>
      <c r="F265" s="10">
        <v>1408739</v>
      </c>
      <c r="G265" s="10" t="s">
        <v>37</v>
      </c>
      <c r="H265" s="11">
        <v>26200</v>
      </c>
      <c r="I265" s="10">
        <v>0</v>
      </c>
      <c r="J265" s="11">
        <f t="shared" si="9"/>
        <v>26200</v>
      </c>
      <c r="K265" s="12" t="e">
        <f>VLOOKUP(A265,[3]VA05!$A:$K,11,FALSE)</f>
        <v>#N/A</v>
      </c>
      <c r="L265" s="10" t="s">
        <v>260</v>
      </c>
      <c r="M265" s="10" t="s">
        <v>287</v>
      </c>
    </row>
    <row r="266" spans="1:13" hidden="1" x14ac:dyDescent="0.25">
      <c r="A266" s="13" t="str">
        <f t="shared" si="8"/>
        <v>50714263760</v>
      </c>
      <c r="B266" s="10">
        <v>1004053633</v>
      </c>
      <c r="C266" s="10">
        <v>507142637</v>
      </c>
      <c r="D266" s="10">
        <v>60</v>
      </c>
      <c r="E266" s="10" t="s">
        <v>10</v>
      </c>
      <c r="F266" s="10">
        <v>1408739</v>
      </c>
      <c r="G266" s="10" t="s">
        <v>37</v>
      </c>
      <c r="H266" s="11">
        <v>26298</v>
      </c>
      <c r="I266" s="11">
        <v>26298</v>
      </c>
      <c r="J266" s="11">
        <f t="shared" si="9"/>
        <v>0</v>
      </c>
      <c r="K266" s="12">
        <f>VLOOKUP(A266,[3]VA05!$A:$K,11,FALSE)</f>
        <v>45572</v>
      </c>
      <c r="L266" s="10" t="s">
        <v>132</v>
      </c>
      <c r="M266" s="10" t="s">
        <v>195</v>
      </c>
    </row>
    <row r="267" spans="1:13" x14ac:dyDescent="0.25">
      <c r="A267" s="13" t="str">
        <f t="shared" si="8"/>
        <v>50714269820</v>
      </c>
      <c r="B267" s="10">
        <v>1004059594</v>
      </c>
      <c r="C267" s="10">
        <v>507142698</v>
      </c>
      <c r="D267" s="10">
        <v>20</v>
      </c>
      <c r="E267" s="10" t="s">
        <v>10</v>
      </c>
      <c r="F267" s="10">
        <v>1408739</v>
      </c>
      <c r="G267" s="10" t="s">
        <v>37</v>
      </c>
      <c r="H267" s="11">
        <v>27864</v>
      </c>
      <c r="I267" s="10">
        <v>19922</v>
      </c>
      <c r="J267" s="11">
        <f t="shared" si="9"/>
        <v>7942</v>
      </c>
      <c r="K267" s="12">
        <f>VLOOKUP(A267,[3]VA05!$A:$K,11,FALSE)</f>
        <v>45553</v>
      </c>
      <c r="L267" s="10" t="s">
        <v>242</v>
      </c>
      <c r="M267" s="10" t="s">
        <v>194</v>
      </c>
    </row>
    <row r="268" spans="1:13" x14ac:dyDescent="0.25">
      <c r="A268" s="13" t="str">
        <f t="shared" si="8"/>
        <v>50714269820</v>
      </c>
      <c r="B268" s="10">
        <v>1004059595</v>
      </c>
      <c r="C268" s="10">
        <v>507142698</v>
      </c>
      <c r="D268" s="10">
        <v>20</v>
      </c>
      <c r="E268" s="10" t="s">
        <v>10</v>
      </c>
      <c r="F268" s="10">
        <v>1408739</v>
      </c>
      <c r="G268" s="10" t="s">
        <v>37</v>
      </c>
      <c r="H268" s="11">
        <v>27864</v>
      </c>
      <c r="I268" s="10">
        <v>0</v>
      </c>
      <c r="J268" s="11">
        <f t="shared" si="9"/>
        <v>27864</v>
      </c>
      <c r="K268" s="12">
        <f>VLOOKUP(A268,[3]VA05!$A:$K,11,FALSE)</f>
        <v>45553</v>
      </c>
      <c r="L268" s="10" t="s">
        <v>254</v>
      </c>
      <c r="M268" s="10" t="s">
        <v>156</v>
      </c>
    </row>
    <row r="269" spans="1:13" x14ac:dyDescent="0.25">
      <c r="A269" s="13" t="str">
        <f t="shared" si="8"/>
        <v>50714269820</v>
      </c>
      <c r="B269" s="10">
        <v>1004059596</v>
      </c>
      <c r="C269" s="10">
        <v>507142698</v>
      </c>
      <c r="D269" s="10">
        <v>20</v>
      </c>
      <c r="E269" s="10" t="s">
        <v>10</v>
      </c>
      <c r="F269" s="10">
        <v>1408739</v>
      </c>
      <c r="G269" s="10" t="s">
        <v>37</v>
      </c>
      <c r="H269" s="11">
        <v>27864</v>
      </c>
      <c r="I269" s="10">
        <v>0</v>
      </c>
      <c r="J269" s="11">
        <f t="shared" si="9"/>
        <v>27864</v>
      </c>
      <c r="K269" s="12">
        <f>VLOOKUP(A269,[3]VA05!$A:$K,11,FALSE)</f>
        <v>45553</v>
      </c>
      <c r="L269" s="10" t="s">
        <v>254</v>
      </c>
      <c r="M269" s="10" t="s">
        <v>156</v>
      </c>
    </row>
    <row r="270" spans="1:13" x14ac:dyDescent="0.25">
      <c r="A270" s="13" t="str">
        <f t="shared" si="8"/>
        <v>50714269820</v>
      </c>
      <c r="B270" s="10">
        <v>1004059597</v>
      </c>
      <c r="C270" s="10">
        <v>507142698</v>
      </c>
      <c r="D270" s="10">
        <v>20</v>
      </c>
      <c r="E270" s="10" t="s">
        <v>10</v>
      </c>
      <c r="F270" s="10">
        <v>1408739</v>
      </c>
      <c r="G270" s="10" t="s">
        <v>37</v>
      </c>
      <c r="H270" s="11">
        <v>26568</v>
      </c>
      <c r="I270" s="10">
        <v>0</v>
      </c>
      <c r="J270" s="11">
        <f t="shared" si="9"/>
        <v>26568</v>
      </c>
      <c r="K270" s="12">
        <f>VLOOKUP(A270,[3]VA05!$A:$K,11,FALSE)</f>
        <v>45553</v>
      </c>
      <c r="L270" s="10" t="s">
        <v>254</v>
      </c>
      <c r="M270" s="10" t="s">
        <v>156</v>
      </c>
    </row>
    <row r="271" spans="1:13" x14ac:dyDescent="0.25">
      <c r="A271" s="13" t="str">
        <f t="shared" si="8"/>
        <v>50714222020</v>
      </c>
      <c r="B271" s="10">
        <v>1003984115</v>
      </c>
      <c r="C271" s="10">
        <v>507142220</v>
      </c>
      <c r="D271" s="10">
        <v>20</v>
      </c>
      <c r="E271" s="10" t="s">
        <v>10</v>
      </c>
      <c r="F271" s="10">
        <v>1420373</v>
      </c>
      <c r="G271" s="10" t="s">
        <v>288</v>
      </c>
      <c r="H271" s="11">
        <v>25272</v>
      </c>
      <c r="I271" s="10">
        <v>0</v>
      </c>
      <c r="J271" s="11">
        <f t="shared" si="9"/>
        <v>25272</v>
      </c>
      <c r="K271" s="12" t="e">
        <f>VLOOKUP(A271,[3]VA05!$A:$K,11,FALSE)</f>
        <v>#N/A</v>
      </c>
      <c r="L271" s="10" t="s">
        <v>285</v>
      </c>
      <c r="M271" s="10" t="s">
        <v>283</v>
      </c>
    </row>
    <row r="272" spans="1:13" x14ac:dyDescent="0.25">
      <c r="A272" s="13" t="str">
        <f t="shared" si="8"/>
        <v>50714269810</v>
      </c>
      <c r="B272" s="10">
        <v>1004041361</v>
      </c>
      <c r="C272" s="10">
        <v>507142698</v>
      </c>
      <c r="D272" s="10">
        <v>10</v>
      </c>
      <c r="E272" s="10" t="s">
        <v>10</v>
      </c>
      <c r="F272" s="10">
        <v>1408742</v>
      </c>
      <c r="G272" s="10" t="s">
        <v>38</v>
      </c>
      <c r="H272" s="11">
        <v>113465</v>
      </c>
      <c r="I272" s="11">
        <v>112772</v>
      </c>
      <c r="J272" s="11">
        <f t="shared" si="9"/>
        <v>693</v>
      </c>
      <c r="K272" s="12">
        <f>VLOOKUP(A272,[3]VA05!$A:$K,11,FALSE)</f>
        <v>45553</v>
      </c>
      <c r="L272" s="10" t="s">
        <v>18</v>
      </c>
      <c r="M272" s="10" t="s">
        <v>154</v>
      </c>
    </row>
    <row r="273" spans="1:13" x14ac:dyDescent="0.25">
      <c r="A273" s="13" t="str">
        <f t="shared" si="8"/>
        <v>50714275730</v>
      </c>
      <c r="B273" s="10">
        <v>1004054926</v>
      </c>
      <c r="C273" s="10">
        <v>507142757</v>
      </c>
      <c r="D273" s="10">
        <v>30</v>
      </c>
      <c r="E273" s="10" t="s">
        <v>10</v>
      </c>
      <c r="F273" s="10">
        <v>1411702</v>
      </c>
      <c r="G273" s="10" t="s">
        <v>221</v>
      </c>
      <c r="H273" s="11">
        <v>126758</v>
      </c>
      <c r="I273" s="11">
        <v>39400</v>
      </c>
      <c r="J273" s="11">
        <f t="shared" si="9"/>
        <v>87358</v>
      </c>
      <c r="K273" s="12">
        <f>VLOOKUP(A273,[3]VA05!$A:$K,11,FALSE)</f>
        <v>45574</v>
      </c>
      <c r="L273" s="10" t="s">
        <v>18</v>
      </c>
      <c r="M273" s="10" t="s">
        <v>178</v>
      </c>
    </row>
    <row r="274" spans="1:13" x14ac:dyDescent="0.25">
      <c r="A274" s="13" t="str">
        <f t="shared" si="8"/>
        <v>50714275750</v>
      </c>
      <c r="B274" s="10">
        <v>1004054927</v>
      </c>
      <c r="C274" s="10">
        <v>507142757</v>
      </c>
      <c r="D274" s="10">
        <v>50</v>
      </c>
      <c r="E274" s="10" t="s">
        <v>10</v>
      </c>
      <c r="F274" s="10">
        <v>1411702</v>
      </c>
      <c r="G274" s="10" t="s">
        <v>221</v>
      </c>
      <c r="H274" s="11">
        <v>63514</v>
      </c>
      <c r="I274" s="10">
        <v>0</v>
      </c>
      <c r="J274" s="11">
        <f t="shared" si="9"/>
        <v>63514</v>
      </c>
      <c r="K274" s="12">
        <f>VLOOKUP(A274,[3]VA05!$A:$K,11,FALSE)</f>
        <v>45587</v>
      </c>
      <c r="L274" s="10" t="s">
        <v>12</v>
      </c>
      <c r="M274" s="10" t="s">
        <v>156</v>
      </c>
    </row>
    <row r="275" spans="1:13" x14ac:dyDescent="0.25">
      <c r="A275" s="13" t="str">
        <f t="shared" si="8"/>
        <v>50714275670</v>
      </c>
      <c r="B275" s="10">
        <v>1004052383</v>
      </c>
      <c r="C275" s="10">
        <v>507142756</v>
      </c>
      <c r="D275" s="10">
        <v>70</v>
      </c>
      <c r="E275" s="10" t="s">
        <v>10</v>
      </c>
      <c r="F275" s="10">
        <v>1411902</v>
      </c>
      <c r="G275" s="10" t="s">
        <v>151</v>
      </c>
      <c r="H275" s="11">
        <v>126758</v>
      </c>
      <c r="I275" s="11">
        <v>51462</v>
      </c>
      <c r="J275" s="11">
        <f t="shared" si="9"/>
        <v>75296</v>
      </c>
      <c r="K275" s="12">
        <f>VLOOKUP(A275,[3]VA05!$A:$K,11,FALSE)</f>
        <v>45582</v>
      </c>
      <c r="L275" s="10" t="s">
        <v>18</v>
      </c>
      <c r="M275" s="10" t="s">
        <v>201</v>
      </c>
    </row>
    <row r="276" spans="1:13" x14ac:dyDescent="0.25">
      <c r="A276" s="13" t="str">
        <f t="shared" si="8"/>
        <v>50714275690</v>
      </c>
      <c r="B276" s="10">
        <v>1004052384</v>
      </c>
      <c r="C276" s="10">
        <v>507142756</v>
      </c>
      <c r="D276" s="10">
        <v>90</v>
      </c>
      <c r="E276" s="10" t="s">
        <v>10</v>
      </c>
      <c r="F276" s="10">
        <v>1411902</v>
      </c>
      <c r="G276" s="10" t="s">
        <v>151</v>
      </c>
      <c r="H276" s="11">
        <v>68920</v>
      </c>
      <c r="I276" s="10">
        <v>0</v>
      </c>
      <c r="J276" s="11">
        <f t="shared" si="9"/>
        <v>68920</v>
      </c>
      <c r="K276" s="12">
        <f>VLOOKUP(A276,[3]VA05!$A:$K,11,FALSE)</f>
        <v>45588</v>
      </c>
      <c r="L276" s="10" t="s">
        <v>12</v>
      </c>
      <c r="M276" s="10" t="s">
        <v>194</v>
      </c>
    </row>
    <row r="277" spans="1:13" hidden="1" x14ac:dyDescent="0.25">
      <c r="A277" s="13" t="str">
        <f t="shared" si="8"/>
        <v>50714275720</v>
      </c>
      <c r="B277" s="10">
        <v>1004052373</v>
      </c>
      <c r="C277" s="10">
        <v>507142757</v>
      </c>
      <c r="D277" s="10">
        <v>20</v>
      </c>
      <c r="E277" s="10" t="s">
        <v>10</v>
      </c>
      <c r="F277" s="10">
        <v>1411705</v>
      </c>
      <c r="G277" s="10" t="s">
        <v>189</v>
      </c>
      <c r="H277" s="11">
        <v>75493</v>
      </c>
      <c r="I277" s="11">
        <v>75493</v>
      </c>
      <c r="J277" s="11">
        <f t="shared" si="9"/>
        <v>0</v>
      </c>
      <c r="K277" s="12">
        <f>VLOOKUP(A277,[3]VA05!$A:$K,11,FALSE)</f>
        <v>45572</v>
      </c>
      <c r="L277" s="10" t="s">
        <v>34</v>
      </c>
      <c r="M277" s="10" t="s">
        <v>143</v>
      </c>
    </row>
    <row r="278" spans="1:13" x14ac:dyDescent="0.25">
      <c r="A278" s="13" t="str">
        <f t="shared" si="8"/>
        <v>50714275740</v>
      </c>
      <c r="B278" s="10">
        <v>1004052374</v>
      </c>
      <c r="C278" s="10">
        <v>507142757</v>
      </c>
      <c r="D278" s="10">
        <v>40</v>
      </c>
      <c r="E278" s="10" t="s">
        <v>10</v>
      </c>
      <c r="F278" s="10">
        <v>1411705</v>
      </c>
      <c r="G278" s="10" t="s">
        <v>189</v>
      </c>
      <c r="H278" s="11">
        <v>129220</v>
      </c>
      <c r="I278" s="11">
        <v>32377</v>
      </c>
      <c r="J278" s="11">
        <f t="shared" si="9"/>
        <v>96843</v>
      </c>
      <c r="K278" s="12">
        <f>VLOOKUP(A278,[3]VA05!$A:$K,11,FALSE)</f>
        <v>45574</v>
      </c>
      <c r="L278" s="10" t="s">
        <v>18</v>
      </c>
      <c r="M278" s="10" t="s">
        <v>197</v>
      </c>
    </row>
    <row r="279" spans="1:13" x14ac:dyDescent="0.25">
      <c r="A279" s="13" t="str">
        <f t="shared" si="8"/>
        <v>50714275760</v>
      </c>
      <c r="B279" s="10">
        <v>1004052375</v>
      </c>
      <c r="C279" s="10">
        <v>507142757</v>
      </c>
      <c r="D279" s="10">
        <v>60</v>
      </c>
      <c r="E279" s="10" t="s">
        <v>10</v>
      </c>
      <c r="F279" s="10">
        <v>1411705</v>
      </c>
      <c r="G279" s="10" t="s">
        <v>189</v>
      </c>
      <c r="H279" s="11">
        <v>64748</v>
      </c>
      <c r="I279" s="10">
        <v>0</v>
      </c>
      <c r="J279" s="11">
        <f t="shared" si="9"/>
        <v>64748</v>
      </c>
      <c r="K279" s="12">
        <f>VLOOKUP(A279,[3]VA05!$A:$K,11,FALSE)</f>
        <v>45587</v>
      </c>
      <c r="L279" s="10" t="s">
        <v>12</v>
      </c>
      <c r="M279" s="10" t="s">
        <v>156</v>
      </c>
    </row>
    <row r="280" spans="1:13" x14ac:dyDescent="0.25">
      <c r="A280" s="13" t="str">
        <f t="shared" si="8"/>
        <v>50714275780</v>
      </c>
      <c r="B280" s="10">
        <v>1004052376</v>
      </c>
      <c r="C280" s="10">
        <v>507142757</v>
      </c>
      <c r="D280" s="10">
        <v>80</v>
      </c>
      <c r="E280" s="10" t="s">
        <v>10</v>
      </c>
      <c r="F280" s="10">
        <v>1411705</v>
      </c>
      <c r="G280" s="10" t="s">
        <v>189</v>
      </c>
      <c r="H280" s="11">
        <v>23145</v>
      </c>
      <c r="I280" s="10">
        <v>0</v>
      </c>
      <c r="J280" s="11">
        <f t="shared" si="9"/>
        <v>23145</v>
      </c>
      <c r="K280" s="12">
        <f>VLOOKUP(A280,[3]VA05!$A:$K,11,FALSE)</f>
        <v>45594</v>
      </c>
      <c r="L280" s="10" t="s">
        <v>12</v>
      </c>
      <c r="M280" s="10" t="s">
        <v>176</v>
      </c>
    </row>
    <row r="281" spans="1:13" x14ac:dyDescent="0.25">
      <c r="A281" s="13" t="str">
        <f t="shared" si="8"/>
        <v>50714275680</v>
      </c>
      <c r="B281" s="10">
        <v>1004052371</v>
      </c>
      <c r="C281" s="10">
        <v>507142756</v>
      </c>
      <c r="D281" s="10">
        <v>80</v>
      </c>
      <c r="E281" s="10" t="s">
        <v>10</v>
      </c>
      <c r="F281" s="10">
        <v>1411900</v>
      </c>
      <c r="G281" s="10" t="s">
        <v>152</v>
      </c>
      <c r="H281" s="11">
        <v>129220</v>
      </c>
      <c r="I281" s="11">
        <v>40422</v>
      </c>
      <c r="J281" s="11">
        <f t="shared" si="9"/>
        <v>88798</v>
      </c>
      <c r="K281" s="12">
        <f>VLOOKUP(A281,[3]VA05!$A:$K,11,FALSE)</f>
        <v>45582</v>
      </c>
      <c r="L281" s="10" t="s">
        <v>18</v>
      </c>
      <c r="M281" s="10" t="s">
        <v>180</v>
      </c>
    </row>
    <row r="282" spans="1:13" x14ac:dyDescent="0.25">
      <c r="A282" s="13" t="str">
        <f t="shared" si="8"/>
        <v>507142756100</v>
      </c>
      <c r="B282" s="10">
        <v>1004052372</v>
      </c>
      <c r="C282" s="10">
        <v>507142756</v>
      </c>
      <c r="D282" s="10">
        <v>100</v>
      </c>
      <c r="E282" s="10" t="s">
        <v>10</v>
      </c>
      <c r="F282" s="10">
        <v>1411900</v>
      </c>
      <c r="G282" s="10" t="s">
        <v>152</v>
      </c>
      <c r="H282" s="11">
        <v>70258</v>
      </c>
      <c r="I282" s="10">
        <v>0</v>
      </c>
      <c r="J282" s="11">
        <f t="shared" si="9"/>
        <v>70258</v>
      </c>
      <c r="K282" s="12">
        <f>VLOOKUP(A282,[3]VA05!$A:$K,11,FALSE)</f>
        <v>45588</v>
      </c>
      <c r="L282" s="10" t="s">
        <v>12</v>
      </c>
      <c r="M282" s="10" t="s">
        <v>178</v>
      </c>
    </row>
    <row r="283" spans="1:13" x14ac:dyDescent="0.25">
      <c r="A283" s="13" t="str">
        <f t="shared" si="8"/>
        <v>50714275710</v>
      </c>
      <c r="B283" s="10">
        <v>1004052377</v>
      </c>
      <c r="C283" s="10">
        <v>507142757</v>
      </c>
      <c r="D283" s="10">
        <v>10</v>
      </c>
      <c r="E283" s="10" t="s">
        <v>10</v>
      </c>
      <c r="F283" s="10">
        <v>1411703</v>
      </c>
      <c r="G283" s="10" t="s">
        <v>190</v>
      </c>
      <c r="H283" s="11">
        <v>71898</v>
      </c>
      <c r="I283" s="11">
        <v>54938</v>
      </c>
      <c r="J283" s="11">
        <f t="shared" si="9"/>
        <v>16960</v>
      </c>
      <c r="K283" s="12">
        <f>VLOOKUP(A283,[3]VA05!$A:$K,11,FALSE)</f>
        <v>45572</v>
      </c>
      <c r="L283" s="10" t="s">
        <v>11</v>
      </c>
      <c r="M283" s="10" t="s">
        <v>143</v>
      </c>
    </row>
    <row r="284" spans="1:13" x14ac:dyDescent="0.25">
      <c r="A284" s="13" t="str">
        <f t="shared" si="8"/>
        <v>50714275730</v>
      </c>
      <c r="B284" s="10">
        <v>1004052378</v>
      </c>
      <c r="C284" s="10">
        <v>507142757</v>
      </c>
      <c r="D284" s="10">
        <v>30</v>
      </c>
      <c r="E284" s="10" t="s">
        <v>10</v>
      </c>
      <c r="F284" s="10">
        <v>1411703</v>
      </c>
      <c r="G284" s="10" t="s">
        <v>190</v>
      </c>
      <c r="H284" s="11">
        <v>123066</v>
      </c>
      <c r="I284" s="10">
        <v>0</v>
      </c>
      <c r="J284" s="11">
        <f t="shared" si="9"/>
        <v>123066</v>
      </c>
      <c r="K284" s="12">
        <f>VLOOKUP(A284,[3]VA05!$A:$K,11,FALSE)</f>
        <v>45574</v>
      </c>
      <c r="L284" s="10" t="s">
        <v>56</v>
      </c>
      <c r="M284" s="10" t="s">
        <v>97</v>
      </c>
    </row>
    <row r="285" spans="1:13" x14ac:dyDescent="0.25">
      <c r="A285" s="13" t="str">
        <f t="shared" si="8"/>
        <v>50714275750</v>
      </c>
      <c r="B285" s="10">
        <v>1004052379</v>
      </c>
      <c r="C285" s="10">
        <v>507142757</v>
      </c>
      <c r="D285" s="10">
        <v>50</v>
      </c>
      <c r="E285" s="10" t="s">
        <v>10</v>
      </c>
      <c r="F285" s="10">
        <v>1411703</v>
      </c>
      <c r="G285" s="10" t="s">
        <v>190</v>
      </c>
      <c r="H285" s="11">
        <v>61664</v>
      </c>
      <c r="I285" s="10">
        <v>0</v>
      </c>
      <c r="J285" s="11">
        <f t="shared" si="9"/>
        <v>61664</v>
      </c>
      <c r="K285" s="12">
        <f>VLOOKUP(A285,[3]VA05!$A:$K,11,FALSE)</f>
        <v>45587</v>
      </c>
      <c r="L285" s="10" t="s">
        <v>12</v>
      </c>
      <c r="M285" s="10" t="s">
        <v>156</v>
      </c>
    </row>
    <row r="286" spans="1:13" x14ac:dyDescent="0.25">
      <c r="A286" s="13" t="str">
        <f t="shared" si="8"/>
        <v>50714275770</v>
      </c>
      <c r="B286" s="10">
        <v>1004052380</v>
      </c>
      <c r="C286" s="10">
        <v>507142757</v>
      </c>
      <c r="D286" s="10">
        <v>70</v>
      </c>
      <c r="E286" s="10" t="s">
        <v>10</v>
      </c>
      <c r="F286" s="10">
        <v>1411703</v>
      </c>
      <c r="G286" s="10" t="s">
        <v>190</v>
      </c>
      <c r="H286" s="11">
        <v>22042</v>
      </c>
      <c r="I286" s="10">
        <v>0</v>
      </c>
      <c r="J286" s="11">
        <f t="shared" si="9"/>
        <v>22042</v>
      </c>
      <c r="K286" s="12">
        <f>VLOOKUP(A286,[3]VA05!$A:$K,11,FALSE)</f>
        <v>45594</v>
      </c>
      <c r="L286" s="10" t="s">
        <v>12</v>
      </c>
      <c r="M286" s="10" t="s">
        <v>176</v>
      </c>
    </row>
    <row r="287" spans="1:13" x14ac:dyDescent="0.25">
      <c r="A287" s="13" t="str">
        <f t="shared" si="8"/>
        <v>50714275670</v>
      </c>
      <c r="B287" s="10">
        <v>1004052381</v>
      </c>
      <c r="C287" s="10">
        <v>507142756</v>
      </c>
      <c r="D287" s="10">
        <v>70</v>
      </c>
      <c r="E287" s="10" t="s">
        <v>10</v>
      </c>
      <c r="F287" s="10">
        <v>1411901</v>
      </c>
      <c r="G287" s="10" t="s">
        <v>153</v>
      </c>
      <c r="H287" s="11">
        <v>123066</v>
      </c>
      <c r="I287" s="11">
        <v>1660</v>
      </c>
      <c r="J287" s="11">
        <f t="shared" si="9"/>
        <v>121406</v>
      </c>
      <c r="K287" s="12">
        <f>VLOOKUP(A287,[3]VA05!$A:$K,11,FALSE)</f>
        <v>45582</v>
      </c>
      <c r="L287" s="10" t="s">
        <v>18</v>
      </c>
      <c r="M287" s="10" t="s">
        <v>154</v>
      </c>
    </row>
    <row r="288" spans="1:13" x14ac:dyDescent="0.25">
      <c r="A288" s="13" t="str">
        <f t="shared" si="8"/>
        <v>50714275690</v>
      </c>
      <c r="B288" s="10">
        <v>1004052382</v>
      </c>
      <c r="C288" s="10">
        <v>507142756</v>
      </c>
      <c r="D288" s="10">
        <v>90</v>
      </c>
      <c r="E288" s="10" t="s">
        <v>10</v>
      </c>
      <c r="F288" s="10">
        <v>1411901</v>
      </c>
      <c r="G288" s="10" t="s">
        <v>153</v>
      </c>
      <c r="H288" s="11">
        <v>66912</v>
      </c>
      <c r="I288" s="10">
        <v>0</v>
      </c>
      <c r="J288" s="11">
        <f t="shared" si="9"/>
        <v>66912</v>
      </c>
      <c r="K288" s="12">
        <f>VLOOKUP(A288,[3]VA05!$A:$K,11,FALSE)</f>
        <v>45588</v>
      </c>
      <c r="L288" s="10" t="s">
        <v>12</v>
      </c>
      <c r="M288" s="10" t="s">
        <v>156</v>
      </c>
    </row>
    <row r="289" spans="1:13" hidden="1" x14ac:dyDescent="0.25">
      <c r="A289" s="13" t="str">
        <f t="shared" si="8"/>
        <v>50714241650</v>
      </c>
      <c r="B289" s="10">
        <v>1004053565</v>
      </c>
      <c r="C289" s="10">
        <v>507142416</v>
      </c>
      <c r="D289" s="10">
        <v>50</v>
      </c>
      <c r="E289" s="10" t="s">
        <v>10</v>
      </c>
      <c r="F289" s="10">
        <v>1172059</v>
      </c>
      <c r="G289" s="10" t="s">
        <v>59</v>
      </c>
      <c r="H289" s="11">
        <v>10195</v>
      </c>
      <c r="I289" s="11">
        <v>10195</v>
      </c>
      <c r="J289" s="11">
        <f t="shared" si="9"/>
        <v>0</v>
      </c>
      <c r="K289" s="12">
        <f>VLOOKUP(A289,[3]VA05!$A:$K,11,FALSE)</f>
        <v>45573</v>
      </c>
      <c r="L289" s="10" t="s">
        <v>28</v>
      </c>
      <c r="M289" s="10" t="s">
        <v>154</v>
      </c>
    </row>
    <row r="290" spans="1:13" x14ac:dyDescent="0.25">
      <c r="A290" s="13" t="str">
        <f t="shared" si="8"/>
        <v>50714241680</v>
      </c>
      <c r="B290" s="10">
        <v>1004053566</v>
      </c>
      <c r="C290" s="10">
        <v>507142416</v>
      </c>
      <c r="D290" s="10">
        <v>80</v>
      </c>
      <c r="E290" s="10" t="s">
        <v>10</v>
      </c>
      <c r="F290" s="10">
        <v>1172059</v>
      </c>
      <c r="G290" s="10" t="s">
        <v>59</v>
      </c>
      <c r="H290" s="11">
        <v>10195</v>
      </c>
      <c r="I290" s="11">
        <v>9805</v>
      </c>
      <c r="J290" s="11">
        <f t="shared" si="9"/>
        <v>390</v>
      </c>
      <c r="K290" s="12">
        <f>VLOOKUP(A290,[3]VA05!$A:$K,11,FALSE)</f>
        <v>45576</v>
      </c>
      <c r="L290" s="10" t="s">
        <v>18</v>
      </c>
      <c r="M290" s="10" t="s">
        <v>197</v>
      </c>
    </row>
    <row r="291" spans="1:13" x14ac:dyDescent="0.25">
      <c r="A291" s="13" t="str">
        <f t="shared" si="8"/>
        <v>507142416110</v>
      </c>
      <c r="B291" s="10">
        <v>1004053567</v>
      </c>
      <c r="C291" s="10">
        <v>507142416</v>
      </c>
      <c r="D291" s="10">
        <v>110</v>
      </c>
      <c r="E291" s="10" t="s">
        <v>10</v>
      </c>
      <c r="F291" s="10">
        <v>1172059</v>
      </c>
      <c r="G291" s="10" t="s">
        <v>59</v>
      </c>
      <c r="H291" s="11">
        <v>10195</v>
      </c>
      <c r="I291" s="10">
        <v>0</v>
      </c>
      <c r="J291" s="11">
        <f t="shared" si="9"/>
        <v>10195</v>
      </c>
      <c r="K291" s="12">
        <f>VLOOKUP(A291,[3]VA05!$A:$K,11,FALSE)</f>
        <v>45580</v>
      </c>
      <c r="L291" s="10" t="s">
        <v>12</v>
      </c>
      <c r="M291" s="10" t="s">
        <v>202</v>
      </c>
    </row>
    <row r="292" spans="1:13" x14ac:dyDescent="0.25">
      <c r="A292" s="13" t="str">
        <f t="shared" si="8"/>
        <v>507142416200</v>
      </c>
      <c r="B292" s="10">
        <v>1004053568</v>
      </c>
      <c r="C292" s="10">
        <v>507142416</v>
      </c>
      <c r="D292" s="10">
        <v>200</v>
      </c>
      <c r="E292" s="10" t="s">
        <v>10</v>
      </c>
      <c r="F292" s="10">
        <v>1172059</v>
      </c>
      <c r="G292" s="10" t="s">
        <v>59</v>
      </c>
      <c r="H292" s="11">
        <v>10195</v>
      </c>
      <c r="I292" s="10">
        <v>0</v>
      </c>
      <c r="J292" s="11">
        <f t="shared" si="9"/>
        <v>10195</v>
      </c>
      <c r="K292" s="12">
        <f>VLOOKUP(A292,[3]VA05!$A:$K,11,FALSE)</f>
        <v>45582</v>
      </c>
      <c r="L292" s="10" t="s">
        <v>12</v>
      </c>
      <c r="M292" s="10" t="s">
        <v>179</v>
      </c>
    </row>
    <row r="293" spans="1:13" x14ac:dyDescent="0.25">
      <c r="A293" s="13" t="str">
        <f t="shared" si="8"/>
        <v>507142416230</v>
      </c>
      <c r="B293" s="10">
        <v>1004053609</v>
      </c>
      <c r="C293" s="10">
        <v>507142416</v>
      </c>
      <c r="D293" s="10">
        <v>230</v>
      </c>
      <c r="E293" s="10" t="s">
        <v>10</v>
      </c>
      <c r="F293" s="10">
        <v>1172059</v>
      </c>
      <c r="G293" s="10" t="s">
        <v>59</v>
      </c>
      <c r="H293" s="11">
        <v>10195</v>
      </c>
      <c r="I293" s="10">
        <v>0</v>
      </c>
      <c r="J293" s="11">
        <f t="shared" si="9"/>
        <v>10195</v>
      </c>
      <c r="K293" s="12">
        <f>VLOOKUP(A293,[3]VA05!$A:$K,11,FALSE)</f>
        <v>45587</v>
      </c>
      <c r="L293" s="10" t="s">
        <v>12</v>
      </c>
      <c r="M293" s="10" t="s">
        <v>191</v>
      </c>
    </row>
    <row r="294" spans="1:13" x14ac:dyDescent="0.25">
      <c r="A294" s="13" t="str">
        <f t="shared" si="8"/>
        <v>50714267980</v>
      </c>
      <c r="B294" s="10">
        <v>1004053550</v>
      </c>
      <c r="C294" s="10">
        <v>507142679</v>
      </c>
      <c r="D294" s="10">
        <v>80</v>
      </c>
      <c r="E294" s="10" t="s">
        <v>10</v>
      </c>
      <c r="F294" s="10">
        <v>1167435</v>
      </c>
      <c r="G294" s="10" t="s">
        <v>26</v>
      </c>
      <c r="H294" s="11">
        <v>20260</v>
      </c>
      <c r="I294" s="11">
        <v>18146</v>
      </c>
      <c r="J294" s="11">
        <f t="shared" si="9"/>
        <v>2114</v>
      </c>
      <c r="K294" s="12" t="e">
        <f>VLOOKUP(A294,[3]VA05!$A:$K,11,FALSE)</f>
        <v>#N/A</v>
      </c>
      <c r="L294" s="10" t="s">
        <v>18</v>
      </c>
      <c r="M294" s="10" t="s">
        <v>195</v>
      </c>
    </row>
    <row r="295" spans="1:13" x14ac:dyDescent="0.25">
      <c r="A295" s="13" t="str">
        <f t="shared" si="8"/>
        <v>50714268040</v>
      </c>
      <c r="B295" s="10">
        <v>1004053551</v>
      </c>
      <c r="C295" s="10">
        <v>507142680</v>
      </c>
      <c r="D295" s="10">
        <v>40</v>
      </c>
      <c r="E295" s="10" t="s">
        <v>10</v>
      </c>
      <c r="F295" s="10">
        <v>1167435</v>
      </c>
      <c r="G295" s="10" t="s">
        <v>26</v>
      </c>
      <c r="H295" s="11">
        <v>25287</v>
      </c>
      <c r="I295" s="10">
        <v>0</v>
      </c>
      <c r="J295" s="11">
        <f t="shared" si="9"/>
        <v>25287</v>
      </c>
      <c r="K295" s="12">
        <f>VLOOKUP(A295,[3]VA05!$A:$K,11,FALSE)</f>
        <v>45572</v>
      </c>
      <c r="L295" s="10" t="s">
        <v>25</v>
      </c>
      <c r="M295" s="10" t="s">
        <v>156</v>
      </c>
    </row>
    <row r="296" spans="1:13" x14ac:dyDescent="0.25">
      <c r="A296" s="13" t="str">
        <f t="shared" si="8"/>
        <v>50714275420</v>
      </c>
      <c r="B296" s="10">
        <v>1004053562</v>
      </c>
      <c r="C296" s="10">
        <v>507142754</v>
      </c>
      <c r="D296" s="10">
        <v>20</v>
      </c>
      <c r="E296" s="10" t="s">
        <v>10</v>
      </c>
      <c r="F296" s="10">
        <v>1167435</v>
      </c>
      <c r="G296" s="10" t="s">
        <v>26</v>
      </c>
      <c r="H296" s="11">
        <v>20390</v>
      </c>
      <c r="I296" s="10">
        <v>0</v>
      </c>
      <c r="J296" s="11">
        <f t="shared" si="9"/>
        <v>20390</v>
      </c>
      <c r="K296" s="12">
        <f>VLOOKUP(A296,[3]VA05!$A:$K,11,FALSE)</f>
        <v>45611</v>
      </c>
      <c r="L296" s="10" t="s">
        <v>12</v>
      </c>
      <c r="M296" s="10" t="s">
        <v>217</v>
      </c>
    </row>
    <row r="297" spans="1:13" x14ac:dyDescent="0.25">
      <c r="A297" s="13" t="str">
        <f t="shared" si="8"/>
        <v>50714276930</v>
      </c>
      <c r="B297" s="10">
        <v>1004053564</v>
      </c>
      <c r="C297" s="10">
        <v>507142769</v>
      </c>
      <c r="D297" s="10">
        <v>30</v>
      </c>
      <c r="E297" s="10" t="s">
        <v>10</v>
      </c>
      <c r="F297" s="10">
        <v>1167435</v>
      </c>
      <c r="G297" s="10" t="s">
        <v>26</v>
      </c>
      <c r="H297" s="11">
        <v>30683</v>
      </c>
      <c r="I297" s="10">
        <v>0</v>
      </c>
      <c r="J297" s="11">
        <f t="shared" si="9"/>
        <v>30683</v>
      </c>
      <c r="K297" s="12">
        <f>VLOOKUP(A297,[3]VA05!$A:$K,11,FALSE)</f>
        <v>45575</v>
      </c>
      <c r="L297" s="10" t="s">
        <v>12</v>
      </c>
      <c r="M297" s="10" t="s">
        <v>155</v>
      </c>
    </row>
    <row r="298" spans="1:13" x14ac:dyDescent="0.25">
      <c r="A298" s="13" t="str">
        <f t="shared" si="8"/>
        <v>50714283530</v>
      </c>
      <c r="B298" s="10">
        <v>1004060455</v>
      </c>
      <c r="C298" s="10">
        <v>507142835</v>
      </c>
      <c r="D298" s="10">
        <v>30</v>
      </c>
      <c r="E298" s="10" t="s">
        <v>10</v>
      </c>
      <c r="F298" s="10">
        <v>1167435</v>
      </c>
      <c r="G298" s="10" t="s">
        <v>26</v>
      </c>
      <c r="H298" s="11">
        <v>10277</v>
      </c>
      <c r="I298" s="10">
        <v>0</v>
      </c>
      <c r="J298" s="11">
        <f t="shared" si="9"/>
        <v>10277</v>
      </c>
      <c r="K298" s="12">
        <f>VLOOKUP(A298,[3]VA05!$A:$K,11,FALSE)</f>
        <v>45587</v>
      </c>
      <c r="L298" s="10" t="s">
        <v>12</v>
      </c>
      <c r="M298" s="10" t="s">
        <v>109</v>
      </c>
    </row>
    <row r="299" spans="1:13" x14ac:dyDescent="0.25">
      <c r="A299" s="13" t="str">
        <f t="shared" si="8"/>
        <v>50714226530</v>
      </c>
      <c r="B299" s="10">
        <v>1004060456</v>
      </c>
      <c r="C299" s="10">
        <v>507142265</v>
      </c>
      <c r="D299" s="10">
        <v>30</v>
      </c>
      <c r="E299" s="10" t="s">
        <v>10</v>
      </c>
      <c r="F299" s="10">
        <v>1170825</v>
      </c>
      <c r="G299" s="10" t="s">
        <v>252</v>
      </c>
      <c r="H299" s="11">
        <v>40524</v>
      </c>
      <c r="I299" s="10">
        <v>0</v>
      </c>
      <c r="J299" s="11">
        <f t="shared" si="9"/>
        <v>40524</v>
      </c>
      <c r="K299" s="12">
        <f>VLOOKUP(A299,[3]VA05!$A:$K,11,FALSE)</f>
        <v>45576</v>
      </c>
      <c r="L299" s="10" t="s">
        <v>12</v>
      </c>
      <c r="M299" s="10" t="s">
        <v>194</v>
      </c>
    </row>
    <row r="300" spans="1:13" x14ac:dyDescent="0.25">
      <c r="A300" s="13" t="str">
        <f t="shared" si="8"/>
        <v>50714262620</v>
      </c>
      <c r="B300" s="10">
        <v>1004060457</v>
      </c>
      <c r="C300" s="10">
        <v>507142626</v>
      </c>
      <c r="D300" s="10">
        <v>20</v>
      </c>
      <c r="E300" s="10" t="s">
        <v>10</v>
      </c>
      <c r="F300" s="10">
        <v>1170825</v>
      </c>
      <c r="G300" s="10" t="s">
        <v>252</v>
      </c>
      <c r="H300" s="11">
        <v>25425</v>
      </c>
      <c r="I300" s="10">
        <v>0</v>
      </c>
      <c r="J300" s="11">
        <f t="shared" si="9"/>
        <v>25425</v>
      </c>
      <c r="K300" s="12">
        <f>VLOOKUP(A300,[3]VA05!$A:$K,11,FALSE)</f>
        <v>45590</v>
      </c>
      <c r="L300" s="10" t="s">
        <v>12</v>
      </c>
      <c r="M300" s="10" t="s">
        <v>199</v>
      </c>
    </row>
    <row r="301" spans="1:13" x14ac:dyDescent="0.25">
      <c r="A301" s="13" t="str">
        <f t="shared" si="8"/>
        <v>50714270930</v>
      </c>
      <c r="B301" s="10">
        <v>1004060458</v>
      </c>
      <c r="C301" s="10">
        <v>507142709</v>
      </c>
      <c r="D301" s="10">
        <v>30</v>
      </c>
      <c r="E301" s="10" t="s">
        <v>10</v>
      </c>
      <c r="F301" s="10">
        <v>1170825</v>
      </c>
      <c r="G301" s="10" t="s">
        <v>252</v>
      </c>
      <c r="H301" s="11">
        <v>30393</v>
      </c>
      <c r="I301" s="10">
        <v>0</v>
      </c>
      <c r="J301" s="11">
        <f t="shared" si="9"/>
        <v>30393</v>
      </c>
      <c r="K301" s="12">
        <f>VLOOKUP(A301,[3]VA05!$A:$K,11,FALSE)</f>
        <v>45583</v>
      </c>
      <c r="L301" s="10" t="s">
        <v>12</v>
      </c>
      <c r="M301" s="10" t="s">
        <v>179</v>
      </c>
    </row>
    <row r="302" spans="1:13" x14ac:dyDescent="0.25">
      <c r="A302" s="13" t="str">
        <f t="shared" si="8"/>
        <v>50714271030</v>
      </c>
      <c r="B302" s="10">
        <v>1004060459</v>
      </c>
      <c r="C302" s="10">
        <v>507142710</v>
      </c>
      <c r="D302" s="10">
        <v>30</v>
      </c>
      <c r="E302" s="10" t="s">
        <v>10</v>
      </c>
      <c r="F302" s="10">
        <v>1170825</v>
      </c>
      <c r="G302" s="10" t="s">
        <v>252</v>
      </c>
      <c r="H302" s="11">
        <v>30393</v>
      </c>
      <c r="I302" s="10">
        <v>0</v>
      </c>
      <c r="J302" s="11">
        <f t="shared" si="9"/>
        <v>30393</v>
      </c>
      <c r="K302" s="12">
        <f>VLOOKUP(A302,[3]VA05!$A:$K,11,FALSE)</f>
        <v>45596</v>
      </c>
      <c r="L302" s="10" t="s">
        <v>12</v>
      </c>
      <c r="M302" s="10" t="s">
        <v>207</v>
      </c>
    </row>
  </sheetData>
  <autoFilter ref="A2:M302" xr:uid="{F5C0CD50-A8EB-4919-8B3B-42D7A74ADB8E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PCNF DLV  PRC  BASC BCRQ GMPS*"/>
        <filter val="REL  MSPT PCNF PRC  BASC BCRQ GMPS PDLV*"/>
        <filter val="REL  MSPT PCNF PRC  BASC BCRQ GMPS SETC"/>
        <filter val="REL  MSPT PCNF PRC  BASC BCRQ SETC"/>
        <filter val="REL  MSPT PPRT PCNF PRC  BASC BCRQ GMPS*"/>
        <filter val="REL  MSPT PRC  BASC BCRQ GMPS RESA SETC"/>
        <filter val="REL  MSPT PRC  BASC BCRQ GMPS SETC"/>
        <filter val="REL  MSPT PRC  BASC BCRQ SETC"/>
        <filter val="REL  MSPT PRT  PCNF DLV  PRC  BASC BCRQ*"/>
        <filter val="REL  MSPT PRT  PCNF PRC  BASC BCRQ GMPS*"/>
        <filter val="REL  MSPT PRT  PRC  BASC BCRQ GMPS RESA*"/>
        <filter val="REL  MSPT PRT  PRC  BASC BCRQ SETC"/>
        <filter val="REL  MSPT PRT  PRC  DLFL BASC BCRQ SETC"/>
        <filter val="REL  PCNF PRC  BASC BCRQ GMPS MACM SETC"/>
        <filter val="REL  PRC  BASC BCRQ MACM SETC"/>
        <filter val="REL  PRT  PCNF DLV  PRC  BASC BCRQ GMPS*"/>
        <filter val="REL  PRT  PCNF PRC  BASC BCRQ GMPS MACM*"/>
        <filter val="REL  PRT  PRC  BASC BCRQ GMPS MACM RESA*"/>
      </filters>
    </filterColumn>
  </autoFilter>
  <pageMargins left="0.2" right="0.2" top="0.25" bottom="0.25" header="0.05" footer="0.05"/>
  <pageSetup scale="106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E975-3F7E-42B9-8B50-8E372A4117E8}">
  <sheetPr filterMode="1"/>
  <dimension ref="A1:M310"/>
  <sheetViews>
    <sheetView topLeftCell="A185" workbookViewId="0">
      <selection activeCell="B198" sqref="B198"/>
    </sheetView>
  </sheetViews>
  <sheetFormatPr defaultRowHeight="15" x14ac:dyDescent="0.25"/>
  <cols>
    <col min="2" max="2" width="12.42578125" bestFit="1" customWidth="1"/>
    <col min="3" max="3" width="12.140625" customWidth="1"/>
    <col min="4" max="4" width="5.42578125" customWidth="1"/>
    <col min="5" max="5" width="6.85546875" customWidth="1"/>
    <col min="6" max="6" width="9.28515625" bestFit="1" customWidth="1"/>
    <col min="7" max="7" width="36.140625" customWidth="1"/>
    <col min="8" max="10" width="9.28515625" bestFit="1" customWidth="1"/>
    <col min="12" max="12" width="4.7109375" customWidth="1"/>
  </cols>
  <sheetData>
    <row r="1" spans="1:13" s="13" customFormat="1" ht="23.25" x14ac:dyDescent="0.35">
      <c r="B1" s="1" t="s">
        <v>289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VLOOKUP(A3,[3]VA05!$A:$K,11,FALSE)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VLOOKUP(A4,[3]VA05!$A:$K,11,FALSE)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VLOOKUP(A5,[3]VA05!$A:$K,11,FALSE)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VLOOKUP(A6,[3]VA05!$A:$K,11,FALSE)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VLOOKUP(A7,[3]VA05!$A:$K,11,FALSE)</f>
        <v>45593</v>
      </c>
      <c r="L7" s="10" t="s">
        <v>12</v>
      </c>
      <c r="M7" s="10" t="s">
        <v>140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VLOOKUP(A8,[3]VA05!$A:$K,11,FALSE)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VLOOKUP(A9,[3]VA05!$A:$K,11,FALSE)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VLOOKUP(A10,[3]VA05!$A:$K,11,FALSE)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VLOOKUP(A11,[3]VA05!$A:$K,11,FALSE)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VLOOKUP(A12,[3]VA05!$A:$K,11,FALSE)</f>
        <v>45588</v>
      </c>
      <c r="L12" s="10" t="s">
        <v>12</v>
      </c>
      <c r="M12" s="10" t="s">
        <v>191</v>
      </c>
    </row>
    <row r="13" spans="1:13" x14ac:dyDescent="0.25">
      <c r="A13" s="13" t="str">
        <f t="shared" si="0"/>
        <v>50714278910</v>
      </c>
      <c r="B13" s="10">
        <v>1004052165</v>
      </c>
      <c r="C13" s="10">
        <v>507142789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14201</v>
      </c>
      <c r="I13" s="11">
        <v>5936</v>
      </c>
      <c r="J13" s="11">
        <f t="shared" si="1"/>
        <v>8265</v>
      </c>
      <c r="K13" s="12">
        <f>VLOOKUP(A13,[3]VA05!$A:$K,11,FALSE)</f>
        <v>45583</v>
      </c>
      <c r="L13" s="10" t="s">
        <v>18</v>
      </c>
      <c r="M13" s="10" t="s">
        <v>162</v>
      </c>
    </row>
    <row r="14" spans="1:13" x14ac:dyDescent="0.25">
      <c r="A14" s="13" t="str">
        <f t="shared" si="0"/>
        <v>50714282710</v>
      </c>
      <c r="B14" s="10">
        <v>1004061191</v>
      </c>
      <c r="C14" s="10">
        <v>507142827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28402</v>
      </c>
      <c r="I14" s="10">
        <v>0</v>
      </c>
      <c r="J14" s="11">
        <f t="shared" si="1"/>
        <v>28402</v>
      </c>
      <c r="K14" s="12">
        <f>VLOOKUP(A14,[3]VA05!$A:$K,11,FALSE)</f>
        <v>45588</v>
      </c>
      <c r="L14" s="10" t="s">
        <v>12</v>
      </c>
      <c r="M14" s="10" t="s">
        <v>178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VLOOKUP(A15,[3]VA05!$A:$K,11,FALSE)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50714283810</v>
      </c>
      <c r="B16" s="10">
        <v>1004061192</v>
      </c>
      <c r="C16" s="10">
        <v>507142838</v>
      </c>
      <c r="D16" s="10">
        <v>10</v>
      </c>
      <c r="E16" s="10" t="s">
        <v>10</v>
      </c>
      <c r="F16" s="10">
        <v>1171797</v>
      </c>
      <c r="G16" s="10" t="s">
        <v>255</v>
      </c>
      <c r="H16" s="11">
        <v>31141</v>
      </c>
      <c r="I16" s="10">
        <v>0</v>
      </c>
      <c r="J16" s="11">
        <f t="shared" si="1"/>
        <v>31141</v>
      </c>
      <c r="K16" s="12">
        <f>VLOOKUP(A16,[3]VA05!$A:$K,11,FALSE)</f>
        <v>45593</v>
      </c>
      <c r="L16" s="10" t="s">
        <v>12</v>
      </c>
      <c r="M16" s="10" t="s">
        <v>162</v>
      </c>
    </row>
    <row r="17" spans="1:13" x14ac:dyDescent="0.25">
      <c r="A17" s="13" t="str">
        <f t="shared" si="0"/>
        <v>50714270810</v>
      </c>
      <c r="B17" s="10">
        <v>1004052048</v>
      </c>
      <c r="C17" s="10">
        <v>507142708</v>
      </c>
      <c r="D17" s="10">
        <v>10</v>
      </c>
      <c r="E17" s="10" t="s">
        <v>10</v>
      </c>
      <c r="F17" s="10">
        <v>1215666</v>
      </c>
      <c r="G17" s="10" t="s">
        <v>182</v>
      </c>
      <c r="H17" s="11">
        <v>11159</v>
      </c>
      <c r="I17" s="10">
        <v>0</v>
      </c>
      <c r="J17" s="11">
        <f t="shared" si="1"/>
        <v>11159</v>
      </c>
      <c r="K17" s="12">
        <f>VLOOKUP(A17,[3]VA05!$A:$K,11,FALSE)</f>
        <v>45588</v>
      </c>
      <c r="L17" s="10" t="s">
        <v>12</v>
      </c>
      <c r="M17" s="10" t="s">
        <v>191</v>
      </c>
    </row>
    <row r="18" spans="1:13" hidden="1" x14ac:dyDescent="0.25">
      <c r="A18" s="13" t="str">
        <f t="shared" si="0"/>
        <v>50800482020</v>
      </c>
      <c r="B18" s="10">
        <v>1003970409</v>
      </c>
      <c r="C18" s="10">
        <v>508004820</v>
      </c>
      <c r="D18" s="10">
        <v>20</v>
      </c>
      <c r="E18" s="10" t="s">
        <v>10</v>
      </c>
      <c r="F18" s="10">
        <v>1174032</v>
      </c>
      <c r="G18" s="10" t="s">
        <v>261</v>
      </c>
      <c r="H18" s="11">
        <v>10948</v>
      </c>
      <c r="I18" s="10">
        <v>0</v>
      </c>
      <c r="J18" s="11">
        <f t="shared" si="1"/>
        <v>10948</v>
      </c>
      <c r="K18" s="12" t="e">
        <f>VLOOKUP(A18,[3]VA05!$A:$K,11,FALSE)</f>
        <v>#N/A</v>
      </c>
      <c r="L18" s="10" t="s">
        <v>260</v>
      </c>
      <c r="M18" s="10" t="s">
        <v>262</v>
      </c>
    </row>
    <row r="19" spans="1:13" hidden="1" x14ac:dyDescent="0.25">
      <c r="A19" s="13" t="str">
        <f t="shared" si="0"/>
        <v>50714277910</v>
      </c>
      <c r="B19" s="10">
        <v>1004053444</v>
      </c>
      <c r="C19" s="10">
        <v>507142779</v>
      </c>
      <c r="D19" s="10">
        <v>10</v>
      </c>
      <c r="E19" s="10" t="s">
        <v>10</v>
      </c>
      <c r="F19" s="10">
        <v>1173944</v>
      </c>
      <c r="G19" s="10" t="s">
        <v>91</v>
      </c>
      <c r="H19" s="11">
        <v>10928</v>
      </c>
      <c r="I19" s="11">
        <v>10928</v>
      </c>
      <c r="J19" s="11">
        <f t="shared" si="1"/>
        <v>0</v>
      </c>
      <c r="K19" s="12">
        <f>VLOOKUP(A19,[3]VA05!$A:$K,11,FALSE)</f>
        <v>45580</v>
      </c>
      <c r="L19" s="10" t="s">
        <v>28</v>
      </c>
      <c r="M19" s="10" t="s">
        <v>162</v>
      </c>
    </row>
    <row r="20" spans="1:13" x14ac:dyDescent="0.25">
      <c r="A20" s="13" t="str">
        <f t="shared" si="0"/>
        <v>50714278410</v>
      </c>
      <c r="B20" s="10">
        <v>1004053445</v>
      </c>
      <c r="C20" s="10">
        <v>507142784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11020</v>
      </c>
      <c r="I20" s="11">
        <v>2817</v>
      </c>
      <c r="J20" s="11">
        <f t="shared" si="1"/>
        <v>8203</v>
      </c>
      <c r="K20" s="12">
        <f>VLOOKUP(A20,[3]VA05!$A:$K,11,FALSE)</f>
        <v>45580</v>
      </c>
      <c r="L20" s="10" t="s">
        <v>18</v>
      </c>
      <c r="M20" s="10" t="s">
        <v>162</v>
      </c>
    </row>
    <row r="21" spans="1:13" x14ac:dyDescent="0.25">
      <c r="A21" s="13" t="str">
        <f t="shared" si="0"/>
        <v>50714251220</v>
      </c>
      <c r="B21" s="10">
        <v>1004061391</v>
      </c>
      <c r="C21" s="10">
        <v>507142512</v>
      </c>
      <c r="D21" s="10">
        <v>20</v>
      </c>
      <c r="E21" s="10" t="s">
        <v>10</v>
      </c>
      <c r="F21" s="10">
        <v>1173944</v>
      </c>
      <c r="G21" s="10" t="s">
        <v>91</v>
      </c>
      <c r="H21" s="11">
        <v>11020</v>
      </c>
      <c r="I21" s="10">
        <v>0</v>
      </c>
      <c r="J21" s="11">
        <f t="shared" si="1"/>
        <v>11020</v>
      </c>
      <c r="K21" s="12" t="e">
        <f>VLOOKUP(A21,[3]VA05!$A:$K,11,FALSE)</f>
        <v>#N/A</v>
      </c>
      <c r="L21" s="10" t="s">
        <v>12</v>
      </c>
      <c r="M21" s="10" t="s">
        <v>156</v>
      </c>
    </row>
    <row r="22" spans="1:13" x14ac:dyDescent="0.25">
      <c r="A22" s="13" t="str">
        <f t="shared" si="0"/>
        <v>50714269620</v>
      </c>
      <c r="B22" s="10">
        <v>1004061392</v>
      </c>
      <c r="C22" s="10">
        <v>507142696</v>
      </c>
      <c r="D22" s="10">
        <v>20</v>
      </c>
      <c r="E22" s="10" t="s">
        <v>10</v>
      </c>
      <c r="F22" s="10">
        <v>1173944</v>
      </c>
      <c r="G22" s="10" t="s">
        <v>91</v>
      </c>
      <c r="H22" s="11">
        <v>5603</v>
      </c>
      <c r="I22" s="10">
        <v>0</v>
      </c>
      <c r="J22" s="11">
        <f t="shared" si="1"/>
        <v>5603</v>
      </c>
      <c r="K22" s="12">
        <f>VLOOKUP(A22,[3]VA05!$A:$K,11,FALSE)</f>
        <v>45566</v>
      </c>
      <c r="L22" s="10" t="s">
        <v>12</v>
      </c>
      <c r="M22" s="10" t="s">
        <v>156</v>
      </c>
    </row>
    <row r="23" spans="1:13" x14ac:dyDescent="0.25">
      <c r="A23" s="13" t="str">
        <f t="shared" si="0"/>
        <v>50714282510</v>
      </c>
      <c r="B23" s="10">
        <v>1004061393</v>
      </c>
      <c r="C23" s="10">
        <v>507142825</v>
      </c>
      <c r="D23" s="10">
        <v>10</v>
      </c>
      <c r="E23" s="10" t="s">
        <v>10</v>
      </c>
      <c r="F23" s="10">
        <v>1173944</v>
      </c>
      <c r="G23" s="10" t="s">
        <v>91</v>
      </c>
      <c r="H23" s="11">
        <v>21855</v>
      </c>
      <c r="I23" s="10">
        <v>0</v>
      </c>
      <c r="J23" s="11">
        <f t="shared" si="1"/>
        <v>21855</v>
      </c>
      <c r="K23" s="12">
        <f>VLOOKUP(A23,[3]VA05!$A:$K,11,FALSE)</f>
        <v>45589</v>
      </c>
      <c r="L23" s="10" t="s">
        <v>12</v>
      </c>
      <c r="M23" s="10" t="s">
        <v>191</v>
      </c>
    </row>
    <row r="24" spans="1:13" x14ac:dyDescent="0.25">
      <c r="A24" s="13" t="str">
        <f t="shared" si="0"/>
        <v>50714282910</v>
      </c>
      <c r="B24" s="10">
        <v>1004061394</v>
      </c>
      <c r="C24" s="10">
        <v>507142829</v>
      </c>
      <c r="D24" s="10">
        <v>10</v>
      </c>
      <c r="E24" s="10" t="s">
        <v>10</v>
      </c>
      <c r="F24" s="10">
        <v>1173944</v>
      </c>
      <c r="G24" s="10" t="s">
        <v>91</v>
      </c>
      <c r="H24" s="11">
        <v>11020</v>
      </c>
      <c r="I24" s="10">
        <v>0</v>
      </c>
      <c r="J24" s="11">
        <f t="shared" si="1"/>
        <v>11020</v>
      </c>
      <c r="K24" s="12">
        <f>VLOOKUP(A24,[3]VA05!$A:$K,11,FALSE)</f>
        <v>45582</v>
      </c>
      <c r="L24" s="10" t="s">
        <v>12</v>
      </c>
      <c r="M24" s="10" t="s">
        <v>179</v>
      </c>
    </row>
    <row r="25" spans="1:13" x14ac:dyDescent="0.25">
      <c r="A25" s="13" t="str">
        <f t="shared" si="0"/>
        <v>50714227020</v>
      </c>
      <c r="B25" s="10">
        <v>1004034399</v>
      </c>
      <c r="C25" s="10">
        <v>507142270</v>
      </c>
      <c r="D25" s="10">
        <v>20</v>
      </c>
      <c r="E25" s="10" t="s">
        <v>10</v>
      </c>
      <c r="F25" s="10">
        <v>1187764</v>
      </c>
      <c r="G25" s="10" t="s">
        <v>92</v>
      </c>
      <c r="H25" s="11">
        <v>17325</v>
      </c>
      <c r="I25" s="11">
        <v>11267</v>
      </c>
      <c r="J25" s="11">
        <f t="shared" si="1"/>
        <v>6058</v>
      </c>
      <c r="K25" s="12">
        <f>VLOOKUP(A25,[3]VA05!$A:$K,11,FALSE)</f>
        <v>45565</v>
      </c>
      <c r="L25" s="10" t="s">
        <v>18</v>
      </c>
      <c r="M25" s="10" t="s">
        <v>178</v>
      </c>
    </row>
    <row r="26" spans="1:13" x14ac:dyDescent="0.25">
      <c r="A26" s="13" t="str">
        <f t="shared" si="0"/>
        <v>50714227010</v>
      </c>
      <c r="B26" s="10">
        <v>1004057062</v>
      </c>
      <c r="C26" s="10">
        <v>507142270</v>
      </c>
      <c r="D26" s="10">
        <v>10</v>
      </c>
      <c r="E26" s="10" t="s">
        <v>10</v>
      </c>
      <c r="F26" s="10">
        <v>1187764</v>
      </c>
      <c r="G26" s="10" t="s">
        <v>92</v>
      </c>
      <c r="H26" s="11">
        <v>5776</v>
      </c>
      <c r="I26" s="10">
        <v>0</v>
      </c>
      <c r="J26" s="11">
        <f t="shared" si="1"/>
        <v>5776</v>
      </c>
      <c r="K26" s="12">
        <f>VLOOKUP(A26,[3]VA05!$A:$K,11,FALSE)</f>
        <v>45565</v>
      </c>
      <c r="L26" s="10" t="s">
        <v>25</v>
      </c>
      <c r="M26" s="10" t="s">
        <v>197</v>
      </c>
    </row>
    <row r="27" spans="1:13" x14ac:dyDescent="0.25">
      <c r="A27" s="13" t="str">
        <f t="shared" si="0"/>
        <v>50714283810</v>
      </c>
      <c r="B27" s="10">
        <v>1004061390</v>
      </c>
      <c r="C27" s="10">
        <v>507142838</v>
      </c>
      <c r="D27" s="10">
        <v>10</v>
      </c>
      <c r="E27" s="10" t="s">
        <v>10</v>
      </c>
      <c r="F27" s="10">
        <v>1276494</v>
      </c>
      <c r="G27" s="10" t="s">
        <v>256</v>
      </c>
      <c r="H27" s="11">
        <v>27035</v>
      </c>
      <c r="I27" s="10">
        <v>0</v>
      </c>
      <c r="J27" s="11">
        <f t="shared" si="1"/>
        <v>27035</v>
      </c>
      <c r="K27" s="12">
        <f>VLOOKUP(A27,[3]VA05!$A:$K,11,FALSE)</f>
        <v>45593</v>
      </c>
      <c r="L27" s="10" t="s">
        <v>12</v>
      </c>
      <c r="M27" s="10" t="s">
        <v>191</v>
      </c>
    </row>
    <row r="28" spans="1:13" hidden="1" x14ac:dyDescent="0.25">
      <c r="A28" s="13" t="str">
        <f t="shared" si="0"/>
        <v>50714166710</v>
      </c>
      <c r="B28" s="10">
        <v>1003920458</v>
      </c>
      <c r="C28" s="10">
        <v>507141667</v>
      </c>
      <c r="D28" s="10">
        <v>10</v>
      </c>
      <c r="E28" s="10" t="s">
        <v>10</v>
      </c>
      <c r="F28" s="10">
        <v>1173947</v>
      </c>
      <c r="G28" s="10" t="s">
        <v>36</v>
      </c>
      <c r="H28" s="11">
        <v>23842</v>
      </c>
      <c r="I28" s="10">
        <v>0</v>
      </c>
      <c r="J28" s="11">
        <f t="shared" si="1"/>
        <v>23842</v>
      </c>
      <c r="K28" s="12" t="e">
        <f>VLOOKUP(A28,[3]VA05!$A:$K,11,FALSE)</f>
        <v>#N/A</v>
      </c>
      <c r="L28" s="10" t="s">
        <v>260</v>
      </c>
      <c r="M28" s="10" t="s">
        <v>263</v>
      </c>
    </row>
    <row r="29" spans="1:13" x14ac:dyDescent="0.25">
      <c r="A29" s="13" t="str">
        <f t="shared" si="0"/>
        <v>50714269620</v>
      </c>
      <c r="B29" s="10">
        <v>1004042037</v>
      </c>
      <c r="C29" s="10">
        <v>507142696</v>
      </c>
      <c r="D29" s="10">
        <v>20</v>
      </c>
      <c r="E29" s="10" t="s">
        <v>10</v>
      </c>
      <c r="F29" s="10">
        <v>1173947</v>
      </c>
      <c r="G29" s="10" t="s">
        <v>36</v>
      </c>
      <c r="H29" s="11">
        <v>12384</v>
      </c>
      <c r="I29" s="11">
        <v>3839</v>
      </c>
      <c r="J29" s="11">
        <f t="shared" si="1"/>
        <v>8545</v>
      </c>
      <c r="K29" s="12">
        <f>VLOOKUP(A29,[3]VA05!$A:$K,11,FALSE)</f>
        <v>45566</v>
      </c>
      <c r="L29" s="10" t="s">
        <v>18</v>
      </c>
      <c r="M29" s="10" t="s">
        <v>84</v>
      </c>
    </row>
    <row r="30" spans="1:13" x14ac:dyDescent="0.25">
      <c r="A30" s="13" t="str">
        <f t="shared" si="0"/>
        <v>50714274010</v>
      </c>
      <c r="B30" s="10">
        <v>1004052269</v>
      </c>
      <c r="C30" s="10">
        <v>507142740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12384</v>
      </c>
      <c r="I30" s="10">
        <v>0</v>
      </c>
      <c r="J30" s="11">
        <f t="shared" si="1"/>
        <v>12384</v>
      </c>
      <c r="K30" s="12">
        <f>VLOOKUP(A30,[3]VA05!$A:$K,11,FALSE)</f>
        <v>45573</v>
      </c>
      <c r="L30" s="10" t="s">
        <v>12</v>
      </c>
      <c r="M30" s="10" t="s">
        <v>97</v>
      </c>
    </row>
    <row r="31" spans="1:13" x14ac:dyDescent="0.25">
      <c r="A31" s="13" t="str">
        <f t="shared" si="0"/>
        <v>50714277910</v>
      </c>
      <c r="B31" s="10">
        <v>1004052270</v>
      </c>
      <c r="C31" s="10">
        <v>507142779</v>
      </c>
      <c r="D31" s="10">
        <v>10</v>
      </c>
      <c r="E31" s="10" t="s">
        <v>10</v>
      </c>
      <c r="F31" s="10">
        <v>1173947</v>
      </c>
      <c r="G31" s="10" t="s">
        <v>36</v>
      </c>
      <c r="H31" s="11">
        <v>11922</v>
      </c>
      <c r="I31" s="10">
        <v>0</v>
      </c>
      <c r="J31" s="11">
        <f t="shared" si="1"/>
        <v>11922</v>
      </c>
      <c r="K31" s="12">
        <f>VLOOKUP(A31,[3]VA05!$A:$K,11,FALSE)</f>
        <v>45580</v>
      </c>
      <c r="L31" s="10" t="s">
        <v>12</v>
      </c>
      <c r="M31" s="10" t="s">
        <v>194</v>
      </c>
    </row>
    <row r="32" spans="1:13" x14ac:dyDescent="0.25">
      <c r="A32" s="13" t="str">
        <f t="shared" si="0"/>
        <v>50714278410</v>
      </c>
      <c r="B32" s="10">
        <v>1004052271</v>
      </c>
      <c r="C32" s="10">
        <v>507142784</v>
      </c>
      <c r="D32" s="10">
        <v>10</v>
      </c>
      <c r="E32" s="10" t="s">
        <v>10</v>
      </c>
      <c r="F32" s="10">
        <v>1173947</v>
      </c>
      <c r="G32" s="10" t="s">
        <v>36</v>
      </c>
      <c r="H32" s="11">
        <v>12384</v>
      </c>
      <c r="I32" s="10">
        <v>0</v>
      </c>
      <c r="J32" s="11">
        <f t="shared" si="1"/>
        <v>12384</v>
      </c>
      <c r="K32" s="12">
        <f>VLOOKUP(A32,[3]VA05!$A:$K,11,FALSE)</f>
        <v>45580</v>
      </c>
      <c r="L32" s="10" t="s">
        <v>12</v>
      </c>
      <c r="M32" s="10" t="s">
        <v>97</v>
      </c>
    </row>
    <row r="33" spans="1:13" x14ac:dyDescent="0.25">
      <c r="A33" s="13" t="str">
        <f t="shared" si="0"/>
        <v>50714282510</v>
      </c>
      <c r="B33" s="10">
        <v>1004061395</v>
      </c>
      <c r="C33" s="10">
        <v>507142825</v>
      </c>
      <c r="D33" s="10">
        <v>10</v>
      </c>
      <c r="E33" s="10" t="s">
        <v>10</v>
      </c>
      <c r="F33" s="10">
        <v>1173947</v>
      </c>
      <c r="G33" s="10" t="s">
        <v>36</v>
      </c>
      <c r="H33" s="11">
        <v>23842</v>
      </c>
      <c r="I33" s="10">
        <v>0</v>
      </c>
      <c r="J33" s="11">
        <f t="shared" si="1"/>
        <v>23842</v>
      </c>
      <c r="K33" s="12">
        <f>VLOOKUP(A33,[3]VA05!$A:$K,11,FALSE)</f>
        <v>45589</v>
      </c>
      <c r="L33" s="10" t="s">
        <v>12</v>
      </c>
      <c r="M33" s="10" t="s">
        <v>179</v>
      </c>
    </row>
    <row r="34" spans="1:13" x14ac:dyDescent="0.25">
      <c r="A34" s="13" t="str">
        <f t="shared" si="0"/>
        <v>50714282710</v>
      </c>
      <c r="B34" s="10">
        <v>1004061284</v>
      </c>
      <c r="C34" s="10">
        <v>507142827</v>
      </c>
      <c r="D34" s="10">
        <v>10</v>
      </c>
      <c r="E34" s="10" t="s">
        <v>10</v>
      </c>
      <c r="F34" s="10">
        <v>1411193</v>
      </c>
      <c r="G34" s="10" t="s">
        <v>47</v>
      </c>
      <c r="H34" s="11">
        <v>20598</v>
      </c>
      <c r="I34" s="11">
        <v>6528</v>
      </c>
      <c r="J34" s="11">
        <f t="shared" si="1"/>
        <v>14070</v>
      </c>
      <c r="K34" s="12">
        <f>VLOOKUP(A34,[3]VA05!$A:$K,11,FALSE)</f>
        <v>45588</v>
      </c>
      <c r="L34" s="10" t="s">
        <v>18</v>
      </c>
      <c r="M34" s="10" t="s">
        <v>177</v>
      </c>
    </row>
    <row r="35" spans="1:13" hidden="1" x14ac:dyDescent="0.25">
      <c r="A35" s="13" t="str">
        <f t="shared" si="0"/>
        <v>50714166710</v>
      </c>
      <c r="B35" s="10">
        <v>1003920462</v>
      </c>
      <c r="C35" s="10">
        <v>507141667</v>
      </c>
      <c r="D35" s="10">
        <v>10</v>
      </c>
      <c r="E35" s="10" t="s">
        <v>10</v>
      </c>
      <c r="F35" s="10">
        <v>1171793</v>
      </c>
      <c r="G35" s="10" t="s">
        <v>33</v>
      </c>
      <c r="H35" s="11">
        <v>21582</v>
      </c>
      <c r="I35" s="10">
        <v>0</v>
      </c>
      <c r="J35" s="11">
        <f t="shared" si="1"/>
        <v>21582</v>
      </c>
      <c r="K35" s="12" t="e">
        <f>VLOOKUP(A35,[3]VA05!$A:$K,11,FALSE)</f>
        <v>#N/A</v>
      </c>
      <c r="L35" s="10" t="s">
        <v>260</v>
      </c>
      <c r="M35" s="10" t="s">
        <v>264</v>
      </c>
    </row>
    <row r="36" spans="1:13" x14ac:dyDescent="0.25">
      <c r="A36" s="13" t="str">
        <f t="shared" si="0"/>
        <v>50800514030</v>
      </c>
      <c r="B36" s="10">
        <v>1004050510</v>
      </c>
      <c r="C36" s="10">
        <v>508005140</v>
      </c>
      <c r="D36" s="10">
        <v>30</v>
      </c>
      <c r="E36" s="10" t="s">
        <v>10</v>
      </c>
      <c r="F36" s="10">
        <v>1171793</v>
      </c>
      <c r="G36" s="10" t="s">
        <v>33</v>
      </c>
      <c r="H36" s="11">
        <v>43162</v>
      </c>
      <c r="I36" s="10">
        <v>0</v>
      </c>
      <c r="J36" s="11">
        <f t="shared" si="1"/>
        <v>43162</v>
      </c>
      <c r="K36" s="12">
        <f>VLOOKUP(A36,[3]VA05!$A:$K,11,FALSE)</f>
        <v>45609</v>
      </c>
      <c r="L36" s="10" t="s">
        <v>119</v>
      </c>
      <c r="M36" s="10" t="s">
        <v>161</v>
      </c>
    </row>
    <row r="37" spans="1:13" x14ac:dyDescent="0.25">
      <c r="A37" s="13" t="str">
        <f t="shared" si="0"/>
        <v>50714277910</v>
      </c>
      <c r="B37" s="10">
        <v>1004053448</v>
      </c>
      <c r="C37" s="10">
        <v>507142779</v>
      </c>
      <c r="D37" s="10">
        <v>10</v>
      </c>
      <c r="E37" s="10" t="s">
        <v>10</v>
      </c>
      <c r="F37" s="10">
        <v>1171793</v>
      </c>
      <c r="G37" s="10" t="s">
        <v>33</v>
      </c>
      <c r="H37" s="11">
        <v>10792</v>
      </c>
      <c r="I37" s="10">
        <v>0</v>
      </c>
      <c r="J37" s="11">
        <f t="shared" si="1"/>
        <v>10792</v>
      </c>
      <c r="K37" s="12">
        <f>VLOOKUP(A37,[3]VA05!$A:$K,11,FALSE)</f>
        <v>45580</v>
      </c>
      <c r="L37" s="10" t="s">
        <v>12</v>
      </c>
      <c r="M37" s="10" t="s">
        <v>162</v>
      </c>
    </row>
    <row r="38" spans="1:13" x14ac:dyDescent="0.25">
      <c r="A38" s="13" t="str">
        <f t="shared" si="0"/>
        <v>50714278410</v>
      </c>
      <c r="B38" s="10">
        <v>1004061396</v>
      </c>
      <c r="C38" s="10">
        <v>507142784</v>
      </c>
      <c r="D38" s="10">
        <v>10</v>
      </c>
      <c r="E38" s="10" t="s">
        <v>10</v>
      </c>
      <c r="F38" s="10">
        <v>1171793</v>
      </c>
      <c r="G38" s="10" t="s">
        <v>33</v>
      </c>
      <c r="H38" s="11">
        <v>10882</v>
      </c>
      <c r="I38" s="10">
        <v>0</v>
      </c>
      <c r="J38" s="11">
        <f t="shared" si="1"/>
        <v>10882</v>
      </c>
      <c r="K38" s="12">
        <f>VLOOKUP(A38,[3]VA05!$A:$K,11,FALSE)</f>
        <v>45580</v>
      </c>
      <c r="L38" s="10" t="s">
        <v>12</v>
      </c>
      <c r="M38" s="10" t="s">
        <v>162</v>
      </c>
    </row>
    <row r="39" spans="1:13" x14ac:dyDescent="0.25">
      <c r="A39" s="13" t="str">
        <f t="shared" si="0"/>
        <v>50714282510</v>
      </c>
      <c r="B39" s="10">
        <v>1004061397</v>
      </c>
      <c r="C39" s="10">
        <v>507142825</v>
      </c>
      <c r="D39" s="10">
        <v>10</v>
      </c>
      <c r="E39" s="10" t="s">
        <v>10</v>
      </c>
      <c r="F39" s="10">
        <v>1171793</v>
      </c>
      <c r="G39" s="10" t="s">
        <v>33</v>
      </c>
      <c r="H39" s="11">
        <v>21582</v>
      </c>
      <c r="I39" s="10">
        <v>0</v>
      </c>
      <c r="J39" s="11">
        <f t="shared" si="1"/>
        <v>21582</v>
      </c>
      <c r="K39" s="12">
        <f>VLOOKUP(A39,[3]VA05!$A:$K,11,FALSE)</f>
        <v>45589</v>
      </c>
      <c r="L39" s="10" t="s">
        <v>12</v>
      </c>
      <c r="M39" s="10" t="s">
        <v>191</v>
      </c>
    </row>
    <row r="40" spans="1:13" x14ac:dyDescent="0.25">
      <c r="A40" s="13" t="str">
        <f t="shared" si="0"/>
        <v>50714282910</v>
      </c>
      <c r="B40" s="10">
        <v>1004061398</v>
      </c>
      <c r="C40" s="10">
        <v>507142829</v>
      </c>
      <c r="D40" s="10">
        <v>10</v>
      </c>
      <c r="E40" s="10" t="s">
        <v>10</v>
      </c>
      <c r="F40" s="10">
        <v>1171793</v>
      </c>
      <c r="G40" s="10" t="s">
        <v>33</v>
      </c>
      <c r="H40" s="11">
        <v>10882</v>
      </c>
      <c r="I40" s="10">
        <v>0</v>
      </c>
      <c r="J40" s="11">
        <f t="shared" si="1"/>
        <v>10882</v>
      </c>
      <c r="K40" s="12">
        <f>VLOOKUP(A40,[3]VA05!$A:$K,11,FALSE)</f>
        <v>45582</v>
      </c>
      <c r="L40" s="10" t="s">
        <v>12</v>
      </c>
      <c r="M40" s="10" t="s">
        <v>157</v>
      </c>
    </row>
    <row r="41" spans="1:13" x14ac:dyDescent="0.25">
      <c r="A41" s="13" t="str">
        <f t="shared" si="0"/>
        <v>50714227020</v>
      </c>
      <c r="B41" s="10">
        <v>1004057063</v>
      </c>
      <c r="C41" s="10">
        <v>507142270</v>
      </c>
      <c r="D41" s="10">
        <v>20</v>
      </c>
      <c r="E41" s="10" t="s">
        <v>10</v>
      </c>
      <c r="F41" s="10">
        <v>1187765</v>
      </c>
      <c r="G41" s="10" t="s">
        <v>147</v>
      </c>
      <c r="H41" s="11">
        <v>17325</v>
      </c>
      <c r="I41" s="11">
        <v>10735</v>
      </c>
      <c r="J41" s="11">
        <f t="shared" si="1"/>
        <v>6590</v>
      </c>
      <c r="K41" s="12">
        <f>VLOOKUP(A41,[3]VA05!$A:$K,11,FALSE)</f>
        <v>45565</v>
      </c>
      <c r="L41" s="10" t="s">
        <v>11</v>
      </c>
      <c r="M41" s="10" t="s">
        <v>195</v>
      </c>
    </row>
    <row r="42" spans="1:13" hidden="1" x14ac:dyDescent="0.25">
      <c r="A42" s="13" t="str">
        <f t="shared" si="0"/>
        <v>50714156710</v>
      </c>
      <c r="B42" s="10">
        <v>1003967343</v>
      </c>
      <c r="C42" s="10">
        <v>507141567</v>
      </c>
      <c r="D42" s="10">
        <v>10</v>
      </c>
      <c r="E42" s="10" t="s">
        <v>24</v>
      </c>
      <c r="F42" s="10">
        <v>1169655</v>
      </c>
      <c r="G42" s="10" t="s">
        <v>265</v>
      </c>
      <c r="H42" s="11">
        <v>12000</v>
      </c>
      <c r="I42" s="10">
        <v>0</v>
      </c>
      <c r="J42" s="11">
        <f t="shared" si="1"/>
        <v>12000</v>
      </c>
      <c r="K42" s="12" t="e">
        <f>VLOOKUP(A42,[3]VA05!$A:$K,11,FALSE)</f>
        <v>#N/A</v>
      </c>
      <c r="L42" s="10" t="s">
        <v>260</v>
      </c>
      <c r="M42" s="10" t="s">
        <v>266</v>
      </c>
    </row>
    <row r="43" spans="1:13" x14ac:dyDescent="0.25">
      <c r="A43" s="13" t="str">
        <f t="shared" si="0"/>
        <v>50714272510</v>
      </c>
      <c r="B43" s="10">
        <v>1004060450</v>
      </c>
      <c r="C43" s="10">
        <v>507142725</v>
      </c>
      <c r="D43" s="10">
        <v>10</v>
      </c>
      <c r="E43" s="10" t="s">
        <v>10</v>
      </c>
      <c r="F43" s="10">
        <v>1420608</v>
      </c>
      <c r="G43" s="10" t="s">
        <v>110</v>
      </c>
      <c r="H43" s="11">
        <v>16376</v>
      </c>
      <c r="I43" s="11">
        <v>6090</v>
      </c>
      <c r="J43" s="11">
        <f t="shared" si="1"/>
        <v>10286</v>
      </c>
      <c r="K43" s="12">
        <f>VLOOKUP(A43,[3]VA05!$A:$K,11,FALSE)</f>
        <v>45573</v>
      </c>
      <c r="L43" s="10" t="s">
        <v>18</v>
      </c>
      <c r="M43" s="10" t="s">
        <v>162</v>
      </c>
    </row>
    <row r="44" spans="1:13" x14ac:dyDescent="0.25">
      <c r="A44" s="13" t="str">
        <f t="shared" si="0"/>
        <v>50714278610</v>
      </c>
      <c r="B44" s="10">
        <v>1004059422</v>
      </c>
      <c r="C44" s="10">
        <v>507142786</v>
      </c>
      <c r="D44" s="10">
        <v>10</v>
      </c>
      <c r="E44" s="10" t="s">
        <v>10</v>
      </c>
      <c r="F44" s="10">
        <v>1149455</v>
      </c>
      <c r="G44" s="10" t="s">
        <v>44</v>
      </c>
      <c r="H44" s="11">
        <v>27228</v>
      </c>
      <c r="I44" s="11">
        <v>12352</v>
      </c>
      <c r="J44" s="11">
        <f t="shared" si="1"/>
        <v>14876</v>
      </c>
      <c r="K44" s="12">
        <f>VLOOKUP(A44,[3]VA05!$A:$K,11,FALSE)</f>
        <v>45581</v>
      </c>
      <c r="L44" s="10" t="s">
        <v>18</v>
      </c>
      <c r="M44" s="10" t="s">
        <v>194</v>
      </c>
    </row>
    <row r="45" spans="1:13" hidden="1" x14ac:dyDescent="0.25">
      <c r="A45" s="13" t="str">
        <f t="shared" si="0"/>
        <v>50714265120</v>
      </c>
      <c r="B45" s="10">
        <v>1004059425</v>
      </c>
      <c r="C45" s="10">
        <v>507142651</v>
      </c>
      <c r="D45" s="10">
        <v>20</v>
      </c>
      <c r="E45" s="10" t="s">
        <v>24</v>
      </c>
      <c r="F45" s="10">
        <v>1149455</v>
      </c>
      <c r="G45" s="10" t="s">
        <v>44</v>
      </c>
      <c r="H45" s="11">
        <v>10000</v>
      </c>
      <c r="I45" s="10">
        <v>0</v>
      </c>
      <c r="J45" s="11">
        <f t="shared" si="1"/>
        <v>10000</v>
      </c>
      <c r="K45" s="12">
        <f>VLOOKUP(A45,[3]VA05!$A:$K,11,FALSE)</f>
        <v>45567</v>
      </c>
      <c r="L45" s="10" t="s">
        <v>13</v>
      </c>
      <c r="M45" s="10" t="s">
        <v>154</v>
      </c>
    </row>
    <row r="46" spans="1:13" hidden="1" x14ac:dyDescent="0.25">
      <c r="A46" s="13" t="str">
        <f t="shared" si="0"/>
        <v>50714248510</v>
      </c>
      <c r="B46" s="10">
        <v>1004052273</v>
      </c>
      <c r="C46" s="10">
        <v>507142485</v>
      </c>
      <c r="D46" s="10">
        <v>10</v>
      </c>
      <c r="E46" s="10" t="s">
        <v>24</v>
      </c>
      <c r="F46" s="10">
        <v>1193509</v>
      </c>
      <c r="G46" s="10" t="s">
        <v>31</v>
      </c>
      <c r="H46" s="11">
        <v>10000</v>
      </c>
      <c r="I46" s="10">
        <v>0</v>
      </c>
      <c r="J46" s="11">
        <f t="shared" si="1"/>
        <v>10000</v>
      </c>
      <c r="K46" s="12" t="e">
        <f>VLOOKUP(A46,[3]VA05!$A:$K,11,FALSE)</f>
        <v>#N/A</v>
      </c>
      <c r="L46" s="10" t="s">
        <v>13</v>
      </c>
      <c r="M46" s="10" t="s">
        <v>97</v>
      </c>
    </row>
    <row r="47" spans="1:13" x14ac:dyDescent="0.25">
      <c r="A47" s="13" t="str">
        <f t="shared" si="0"/>
        <v>50714235110</v>
      </c>
      <c r="B47" s="10">
        <v>1004042803</v>
      </c>
      <c r="C47" s="10">
        <v>507142351</v>
      </c>
      <c r="D47" s="10">
        <v>10</v>
      </c>
      <c r="E47" s="10" t="s">
        <v>10</v>
      </c>
      <c r="F47" s="10">
        <v>1192909</v>
      </c>
      <c r="G47" s="10" t="s">
        <v>35</v>
      </c>
      <c r="H47" s="11">
        <v>16753</v>
      </c>
      <c r="I47" s="11">
        <v>9187</v>
      </c>
      <c r="J47" s="11">
        <f t="shared" si="1"/>
        <v>7566</v>
      </c>
      <c r="K47" s="12">
        <f>VLOOKUP(A47,[3]VA05!$A:$K,11,FALSE)</f>
        <v>45545</v>
      </c>
      <c r="L47" s="10" t="s">
        <v>18</v>
      </c>
      <c r="M47" s="10" t="s">
        <v>111</v>
      </c>
    </row>
    <row r="48" spans="1:13" x14ac:dyDescent="0.25">
      <c r="A48" s="13" t="str">
        <f t="shared" si="0"/>
        <v>50714272510</v>
      </c>
      <c r="B48" s="10">
        <v>1004060387</v>
      </c>
      <c r="C48" s="10">
        <v>507142725</v>
      </c>
      <c r="D48" s="10">
        <v>10</v>
      </c>
      <c r="E48" s="10" t="s">
        <v>10</v>
      </c>
      <c r="F48" s="10">
        <v>1420609</v>
      </c>
      <c r="G48" s="10" t="s">
        <v>133</v>
      </c>
      <c r="H48" s="11">
        <v>16868</v>
      </c>
      <c r="I48" s="11">
        <v>1540</v>
      </c>
      <c r="J48" s="11">
        <f t="shared" si="1"/>
        <v>15328</v>
      </c>
      <c r="K48" s="12">
        <f>VLOOKUP(A48,[3]VA05!$A:$K,11,FALSE)</f>
        <v>45573</v>
      </c>
      <c r="L48" s="10" t="s">
        <v>18</v>
      </c>
      <c r="M48" s="10" t="s">
        <v>162</v>
      </c>
    </row>
    <row r="49" spans="1:13" x14ac:dyDescent="0.25">
      <c r="A49" s="13" t="str">
        <f t="shared" si="0"/>
        <v>50714278610</v>
      </c>
      <c r="B49" s="10">
        <v>1004056892</v>
      </c>
      <c r="C49" s="10">
        <v>507142786</v>
      </c>
      <c r="D49" s="10">
        <v>10</v>
      </c>
      <c r="E49" s="10" t="s">
        <v>10</v>
      </c>
      <c r="F49" s="10">
        <v>1304095</v>
      </c>
      <c r="G49" s="10" t="s">
        <v>76</v>
      </c>
      <c r="H49" s="11">
        <v>26709</v>
      </c>
      <c r="I49" s="11">
        <v>19200</v>
      </c>
      <c r="J49" s="11">
        <f t="shared" si="1"/>
        <v>7509</v>
      </c>
      <c r="K49" s="12">
        <f>VLOOKUP(A49,[3]VA05!$A:$K,11,FALSE)</f>
        <v>45581</v>
      </c>
      <c r="L49" s="10" t="s">
        <v>18</v>
      </c>
      <c r="M49" s="10" t="s">
        <v>154</v>
      </c>
    </row>
    <row r="50" spans="1:13" hidden="1" x14ac:dyDescent="0.25">
      <c r="A50" s="13" t="str">
        <f t="shared" si="0"/>
        <v>50714268610</v>
      </c>
      <c r="B50" s="10">
        <v>1004062044</v>
      </c>
      <c r="C50" s="10">
        <v>507142686</v>
      </c>
      <c r="D50" s="10">
        <v>10</v>
      </c>
      <c r="E50" s="10" t="s">
        <v>24</v>
      </c>
      <c r="F50" s="10">
        <v>1420838</v>
      </c>
      <c r="G50" s="10" t="s">
        <v>290</v>
      </c>
      <c r="H50" s="11">
        <v>10000</v>
      </c>
      <c r="I50" s="10">
        <v>0</v>
      </c>
      <c r="J50" s="11">
        <f t="shared" si="1"/>
        <v>10000</v>
      </c>
      <c r="K50" s="12">
        <f>VLOOKUP(A50,[3]VA05!$A:$K,11,FALSE)</f>
        <v>45573</v>
      </c>
      <c r="L50" s="10" t="s">
        <v>12</v>
      </c>
      <c r="M50" s="10" t="s">
        <v>197</v>
      </c>
    </row>
    <row r="51" spans="1:13" hidden="1" x14ac:dyDescent="0.25">
      <c r="A51" s="13" t="str">
        <f t="shared" si="0"/>
        <v>50714268610</v>
      </c>
      <c r="B51" s="10">
        <v>1004062046</v>
      </c>
      <c r="C51" s="10">
        <v>507142686</v>
      </c>
      <c r="D51" s="10">
        <v>10</v>
      </c>
      <c r="E51" s="10" t="s">
        <v>24</v>
      </c>
      <c r="F51" s="10">
        <v>1420838</v>
      </c>
      <c r="G51" s="10" t="s">
        <v>290</v>
      </c>
      <c r="H51" s="11">
        <v>10000</v>
      </c>
      <c r="I51" s="10">
        <v>0</v>
      </c>
      <c r="J51" s="11">
        <f t="shared" si="1"/>
        <v>10000</v>
      </c>
      <c r="K51" s="12">
        <f>VLOOKUP(A51,[3]VA05!$A:$K,11,FALSE)</f>
        <v>45573</v>
      </c>
      <c r="L51" s="10" t="s">
        <v>13</v>
      </c>
      <c r="M51" s="10" t="s">
        <v>197</v>
      </c>
    </row>
    <row r="52" spans="1:13" hidden="1" x14ac:dyDescent="0.25">
      <c r="A52" s="13" t="str">
        <f t="shared" si="0"/>
        <v>50714265410</v>
      </c>
      <c r="B52" s="10">
        <v>1004045686</v>
      </c>
      <c r="C52" s="10">
        <v>507142654</v>
      </c>
      <c r="D52" s="10">
        <v>10</v>
      </c>
      <c r="E52" s="10" t="s">
        <v>10</v>
      </c>
      <c r="F52" s="10">
        <v>1420607</v>
      </c>
      <c r="G52" s="10" t="s">
        <v>149</v>
      </c>
      <c r="H52" s="11">
        <v>16376</v>
      </c>
      <c r="I52" s="11">
        <v>16376</v>
      </c>
      <c r="J52" s="11">
        <f t="shared" si="1"/>
        <v>0</v>
      </c>
      <c r="K52" s="12">
        <f>VLOOKUP(A52,[3]VA05!$A:$K,11,FALSE)</f>
        <v>45595</v>
      </c>
      <c r="L52" s="10" t="s">
        <v>28</v>
      </c>
      <c r="M52" s="10" t="s">
        <v>194</v>
      </c>
    </row>
    <row r="53" spans="1:13" x14ac:dyDescent="0.25">
      <c r="A53" s="13" t="str">
        <f t="shared" si="0"/>
        <v>50714272510</v>
      </c>
      <c r="B53" s="10">
        <v>1004060451</v>
      </c>
      <c r="C53" s="10">
        <v>507142725</v>
      </c>
      <c r="D53" s="10">
        <v>10</v>
      </c>
      <c r="E53" s="10" t="s">
        <v>10</v>
      </c>
      <c r="F53" s="10">
        <v>1420607</v>
      </c>
      <c r="G53" s="10" t="s">
        <v>149</v>
      </c>
      <c r="H53" s="11">
        <v>16376</v>
      </c>
      <c r="I53" s="10">
        <v>0</v>
      </c>
      <c r="J53" s="11">
        <f t="shared" si="1"/>
        <v>16376</v>
      </c>
      <c r="K53" s="12">
        <f>VLOOKUP(A53,[3]VA05!$A:$K,11,FALSE)</f>
        <v>45573</v>
      </c>
      <c r="L53" s="10" t="s">
        <v>12</v>
      </c>
      <c r="M53" s="10" t="s">
        <v>194</v>
      </c>
    </row>
    <row r="54" spans="1:13" x14ac:dyDescent="0.25">
      <c r="A54" s="13" t="str">
        <f t="shared" si="0"/>
        <v>50714265120</v>
      </c>
      <c r="B54" s="10">
        <v>1004059424</v>
      </c>
      <c r="C54" s="10">
        <v>507142651</v>
      </c>
      <c r="D54" s="10">
        <v>20</v>
      </c>
      <c r="E54" s="10" t="s">
        <v>10</v>
      </c>
      <c r="F54" s="10">
        <v>1149454</v>
      </c>
      <c r="G54" s="10" t="s">
        <v>246</v>
      </c>
      <c r="H54" s="11">
        <v>28966</v>
      </c>
      <c r="I54" s="10">
        <v>0</v>
      </c>
      <c r="J54" s="11">
        <f t="shared" si="1"/>
        <v>28966</v>
      </c>
      <c r="K54" s="12">
        <f>VLOOKUP(A54,[3]VA05!$A:$K,11,FALSE)</f>
        <v>45567</v>
      </c>
      <c r="L54" s="10" t="s">
        <v>27</v>
      </c>
      <c r="M54" s="10" t="s">
        <v>194</v>
      </c>
    </row>
    <row r="55" spans="1:13" x14ac:dyDescent="0.25">
      <c r="A55" s="13" t="str">
        <f t="shared" si="0"/>
        <v>50714273410</v>
      </c>
      <c r="B55" s="10">
        <v>1004054830</v>
      </c>
      <c r="C55" s="10">
        <v>507142734</v>
      </c>
      <c r="D55" s="10">
        <v>10</v>
      </c>
      <c r="E55" s="10" t="s">
        <v>10</v>
      </c>
      <c r="F55" s="10">
        <v>1193508</v>
      </c>
      <c r="G55" s="10" t="s">
        <v>134</v>
      </c>
      <c r="H55" s="11">
        <v>16753</v>
      </c>
      <c r="I55" s="11">
        <v>13900</v>
      </c>
      <c r="J55" s="11">
        <f t="shared" si="1"/>
        <v>2853</v>
      </c>
      <c r="K55" s="12">
        <f>VLOOKUP(A55,[3]VA05!$A:$K,11,FALSE)</f>
        <v>45572</v>
      </c>
      <c r="L55" s="10" t="s">
        <v>18</v>
      </c>
      <c r="M55" s="10" t="s">
        <v>195</v>
      </c>
    </row>
    <row r="56" spans="1:13" x14ac:dyDescent="0.25">
      <c r="A56" s="13" t="str">
        <f t="shared" si="0"/>
        <v>50714274310</v>
      </c>
      <c r="B56" s="10">
        <v>1004054831</v>
      </c>
      <c r="C56" s="10">
        <v>507142743</v>
      </c>
      <c r="D56" s="10">
        <v>10</v>
      </c>
      <c r="E56" s="10" t="s">
        <v>10</v>
      </c>
      <c r="F56" s="10">
        <v>1193508</v>
      </c>
      <c r="G56" s="10" t="s">
        <v>134</v>
      </c>
      <c r="H56" s="11">
        <v>16753</v>
      </c>
      <c r="I56" s="10">
        <v>0</v>
      </c>
      <c r="J56" s="11">
        <f t="shared" si="1"/>
        <v>16753</v>
      </c>
      <c r="K56" s="12">
        <f>VLOOKUP(A56,[3]VA05!$A:$K,11,FALSE)</f>
        <v>45575</v>
      </c>
      <c r="L56" s="10" t="s">
        <v>27</v>
      </c>
      <c r="M56" s="10" t="s">
        <v>195</v>
      </c>
    </row>
    <row r="57" spans="1:13" x14ac:dyDescent="0.25">
      <c r="A57" s="13" t="str">
        <f t="shared" si="0"/>
        <v>50714258410</v>
      </c>
      <c r="B57" s="10">
        <v>1004025718</v>
      </c>
      <c r="C57" s="10">
        <v>507142584</v>
      </c>
      <c r="D57" s="10">
        <v>10</v>
      </c>
      <c r="E57" s="10" t="s">
        <v>10</v>
      </c>
      <c r="F57" s="10">
        <v>1192705</v>
      </c>
      <c r="G57" s="10" t="s">
        <v>45</v>
      </c>
      <c r="H57" s="11">
        <v>29915</v>
      </c>
      <c r="I57" s="11">
        <v>15280</v>
      </c>
      <c r="J57" s="11">
        <f t="shared" si="1"/>
        <v>14635</v>
      </c>
      <c r="K57" s="12">
        <f>VLOOKUP(A57,[3]VA05!$A:$K,11,FALSE)</f>
        <v>45572</v>
      </c>
      <c r="L57" s="10" t="s">
        <v>18</v>
      </c>
      <c r="M57" s="10" t="s">
        <v>66</v>
      </c>
    </row>
    <row r="58" spans="1:13" x14ac:dyDescent="0.25">
      <c r="A58" s="13" t="str">
        <f t="shared" si="0"/>
        <v>50800515530</v>
      </c>
      <c r="B58" s="10">
        <v>1004062671</v>
      </c>
      <c r="C58" s="10">
        <v>508005155</v>
      </c>
      <c r="D58" s="10">
        <v>30</v>
      </c>
      <c r="E58" s="10" t="s">
        <v>10</v>
      </c>
      <c r="F58" s="10">
        <v>1420887</v>
      </c>
      <c r="G58" s="10" t="s">
        <v>291</v>
      </c>
      <c r="H58" s="11">
        <v>16246</v>
      </c>
      <c r="I58" s="10">
        <v>0</v>
      </c>
      <c r="J58" s="11">
        <f t="shared" si="1"/>
        <v>16246</v>
      </c>
      <c r="K58" s="12">
        <f>VLOOKUP(A58,[3]VA05!$A:$K,11,FALSE)</f>
        <v>45580</v>
      </c>
      <c r="L58" s="10" t="s">
        <v>12</v>
      </c>
      <c r="M58" s="10" t="s">
        <v>162</v>
      </c>
    </row>
    <row r="59" spans="1:13" x14ac:dyDescent="0.25">
      <c r="A59" s="13" t="str">
        <f t="shared" si="0"/>
        <v>50714259810</v>
      </c>
      <c r="B59" s="10">
        <v>1004042031</v>
      </c>
      <c r="C59" s="10">
        <v>507142598</v>
      </c>
      <c r="D59" s="10">
        <v>10</v>
      </c>
      <c r="E59" s="10" t="s">
        <v>10</v>
      </c>
      <c r="F59" s="10">
        <v>1233459</v>
      </c>
      <c r="G59" s="10" t="s">
        <v>121</v>
      </c>
      <c r="H59" s="11">
        <v>15449</v>
      </c>
      <c r="I59" s="11">
        <v>11330</v>
      </c>
      <c r="J59" s="11">
        <f t="shared" si="1"/>
        <v>4119</v>
      </c>
      <c r="K59" s="12">
        <f>VLOOKUP(A59,[3]VA05!$A:$K,11,FALSE)</f>
        <v>45572</v>
      </c>
      <c r="L59" s="10" t="s">
        <v>11</v>
      </c>
      <c r="M59" s="10" t="s">
        <v>106</v>
      </c>
    </row>
    <row r="60" spans="1:13" x14ac:dyDescent="0.25">
      <c r="A60" s="13" t="str">
        <f t="shared" si="0"/>
        <v>50714272410</v>
      </c>
      <c r="B60" s="10">
        <v>1004051405</v>
      </c>
      <c r="C60" s="10">
        <v>507142724</v>
      </c>
      <c r="D60" s="10">
        <v>10</v>
      </c>
      <c r="E60" s="10" t="s">
        <v>10</v>
      </c>
      <c r="F60" s="10">
        <v>1233459</v>
      </c>
      <c r="G60" s="10" t="s">
        <v>121</v>
      </c>
      <c r="H60" s="11">
        <v>10299</v>
      </c>
      <c r="I60" s="10">
        <v>0</v>
      </c>
      <c r="J60" s="11">
        <f t="shared" si="1"/>
        <v>10299</v>
      </c>
      <c r="K60" s="12">
        <f>VLOOKUP(A60,[3]VA05!$A:$K,11,FALSE)</f>
        <v>45594</v>
      </c>
      <c r="L60" s="10" t="s">
        <v>25</v>
      </c>
      <c r="M60" s="10" t="s">
        <v>176</v>
      </c>
    </row>
    <row r="61" spans="1:13" x14ac:dyDescent="0.25">
      <c r="A61" s="13" t="str">
        <f t="shared" si="0"/>
        <v>50714272410</v>
      </c>
      <c r="B61" s="10">
        <v>1004058756</v>
      </c>
      <c r="C61" s="10">
        <v>507142724</v>
      </c>
      <c r="D61" s="10">
        <v>10</v>
      </c>
      <c r="E61" s="10" t="s">
        <v>10</v>
      </c>
      <c r="F61" s="10">
        <v>1233477</v>
      </c>
      <c r="G61" s="10" t="s">
        <v>236</v>
      </c>
      <c r="H61" s="11">
        <v>11006</v>
      </c>
      <c r="I61" s="10">
        <v>0</v>
      </c>
      <c r="J61" s="11">
        <f t="shared" si="1"/>
        <v>11006</v>
      </c>
      <c r="K61" s="12">
        <f>VLOOKUP(A61,[3]VA05!$A:$K,11,FALSE)</f>
        <v>45594</v>
      </c>
      <c r="L61" s="10" t="s">
        <v>12</v>
      </c>
      <c r="M61" s="10" t="s">
        <v>109</v>
      </c>
    </row>
    <row r="62" spans="1:13" hidden="1" x14ac:dyDescent="0.25">
      <c r="A62" s="13" t="str">
        <f t="shared" si="0"/>
        <v>50714165620</v>
      </c>
      <c r="B62" s="10">
        <v>1003928019</v>
      </c>
      <c r="C62" s="10">
        <v>507141656</v>
      </c>
      <c r="D62" s="10">
        <v>20</v>
      </c>
      <c r="E62" s="10" t="s">
        <v>24</v>
      </c>
      <c r="F62" s="10">
        <v>1170081</v>
      </c>
      <c r="G62" s="10" t="s">
        <v>267</v>
      </c>
      <c r="H62" s="11">
        <v>5000</v>
      </c>
      <c r="I62" s="10">
        <v>0</v>
      </c>
      <c r="J62" s="11">
        <f t="shared" si="1"/>
        <v>5000</v>
      </c>
      <c r="K62" s="12" t="e">
        <f>VLOOKUP(A62,[3]VA05!$A:$K,11,FALSE)</f>
        <v>#N/A</v>
      </c>
      <c r="L62" s="10" t="s">
        <v>260</v>
      </c>
      <c r="M62" s="10" t="s">
        <v>268</v>
      </c>
    </row>
    <row r="63" spans="1:13" hidden="1" x14ac:dyDescent="0.25">
      <c r="A63" s="13" t="str">
        <f t="shared" si="0"/>
        <v>50714165620</v>
      </c>
      <c r="B63" s="10">
        <v>1003928021</v>
      </c>
      <c r="C63" s="10">
        <v>507141656</v>
      </c>
      <c r="D63" s="10">
        <v>20</v>
      </c>
      <c r="E63" s="10" t="s">
        <v>24</v>
      </c>
      <c r="F63" s="10">
        <v>1170081</v>
      </c>
      <c r="G63" s="10" t="s">
        <v>267</v>
      </c>
      <c r="H63" s="11">
        <v>5000</v>
      </c>
      <c r="I63" s="10">
        <v>0</v>
      </c>
      <c r="J63" s="11">
        <f t="shared" si="1"/>
        <v>5000</v>
      </c>
      <c r="K63" s="12" t="e">
        <f>VLOOKUP(A63,[3]VA05!$A:$K,11,FALSE)</f>
        <v>#N/A</v>
      </c>
      <c r="L63" s="10" t="s">
        <v>260</v>
      </c>
      <c r="M63" s="10" t="s">
        <v>268</v>
      </c>
    </row>
    <row r="64" spans="1:13" x14ac:dyDescent="0.25">
      <c r="A64" s="13" t="str">
        <f t="shared" si="0"/>
        <v>50714274210</v>
      </c>
      <c r="B64" s="10">
        <v>1004052517</v>
      </c>
      <c r="C64" s="10">
        <v>507142742</v>
      </c>
      <c r="D64" s="10">
        <v>10</v>
      </c>
      <c r="E64" s="10" t="s">
        <v>10</v>
      </c>
      <c r="F64" s="10">
        <v>1209335</v>
      </c>
      <c r="G64" s="10" t="s">
        <v>150</v>
      </c>
      <c r="H64" s="11">
        <v>25576</v>
      </c>
      <c r="I64" s="11">
        <v>21334</v>
      </c>
      <c r="J64" s="11">
        <f t="shared" si="1"/>
        <v>4242</v>
      </c>
      <c r="K64" s="12">
        <f>VLOOKUP(A64,[3]VA05!$A:$K,11,FALSE)</f>
        <v>45575</v>
      </c>
      <c r="L64" s="10" t="s">
        <v>18</v>
      </c>
      <c r="M64" s="10" t="s">
        <v>178</v>
      </c>
    </row>
    <row r="65" spans="1:13" x14ac:dyDescent="0.25">
      <c r="A65" s="13" t="str">
        <f t="shared" si="0"/>
        <v>50714274240</v>
      </c>
      <c r="B65" s="10">
        <v>1004052518</v>
      </c>
      <c r="C65" s="10">
        <v>507142742</v>
      </c>
      <c r="D65" s="10">
        <v>40</v>
      </c>
      <c r="E65" s="10" t="s">
        <v>10</v>
      </c>
      <c r="F65" s="10">
        <v>1209335</v>
      </c>
      <c r="G65" s="10" t="s">
        <v>150</v>
      </c>
      <c r="H65" s="11">
        <v>35876</v>
      </c>
      <c r="I65" s="10">
        <v>0</v>
      </c>
      <c r="J65" s="11">
        <f t="shared" si="1"/>
        <v>35876</v>
      </c>
      <c r="K65" s="12">
        <f>VLOOKUP(A65,[3]VA05!$A:$K,11,FALSE)</f>
        <v>45580</v>
      </c>
      <c r="L65" s="10" t="s">
        <v>12</v>
      </c>
      <c r="M65" s="10" t="s">
        <v>202</v>
      </c>
    </row>
    <row r="66" spans="1:13" x14ac:dyDescent="0.25">
      <c r="A66" s="13" t="str">
        <f t="shared" si="0"/>
        <v>50714274270</v>
      </c>
      <c r="B66" s="10">
        <v>1004052519</v>
      </c>
      <c r="C66" s="10">
        <v>507142742</v>
      </c>
      <c r="D66" s="10">
        <v>70</v>
      </c>
      <c r="E66" s="10" t="s">
        <v>10</v>
      </c>
      <c r="F66" s="10">
        <v>1209335</v>
      </c>
      <c r="G66" s="10" t="s">
        <v>150</v>
      </c>
      <c r="H66" s="11">
        <v>25576</v>
      </c>
      <c r="I66" s="10">
        <v>0</v>
      </c>
      <c r="J66" s="11">
        <f t="shared" si="1"/>
        <v>25576</v>
      </c>
      <c r="K66" s="12">
        <f>VLOOKUP(A66,[3]VA05!$A:$K,11,FALSE)</f>
        <v>45587</v>
      </c>
      <c r="L66" s="10" t="s">
        <v>12</v>
      </c>
      <c r="M66" s="10" t="s">
        <v>109</v>
      </c>
    </row>
    <row r="67" spans="1:13" x14ac:dyDescent="0.25">
      <c r="A67" s="13" t="str">
        <f t="shared" si="0"/>
        <v>507142742100</v>
      </c>
      <c r="B67" s="10">
        <v>1004052522</v>
      </c>
      <c r="C67" s="10">
        <v>507142742</v>
      </c>
      <c r="D67" s="10">
        <v>100</v>
      </c>
      <c r="E67" s="10" t="s">
        <v>10</v>
      </c>
      <c r="F67" s="10">
        <v>1209335</v>
      </c>
      <c r="G67" s="10" t="s">
        <v>150</v>
      </c>
      <c r="H67" s="11">
        <v>25576</v>
      </c>
      <c r="I67" s="10">
        <v>0</v>
      </c>
      <c r="J67" s="11">
        <f t="shared" si="1"/>
        <v>25576</v>
      </c>
      <c r="K67" s="12" t="e">
        <f>VLOOKUP(A67,[3]VA05!$A:$K,11,FALSE)</f>
        <v>#N/A</v>
      </c>
      <c r="L67" s="10" t="s">
        <v>12</v>
      </c>
      <c r="M67" s="10" t="s">
        <v>196</v>
      </c>
    </row>
    <row r="68" spans="1:13" x14ac:dyDescent="0.25">
      <c r="A68" s="13" t="str">
        <f t="shared" ref="A68:A131" si="2">C68&amp;D68</f>
        <v>50714285110</v>
      </c>
      <c r="B68" s="10">
        <v>1004062669</v>
      </c>
      <c r="C68" s="10">
        <v>507142851</v>
      </c>
      <c r="D68" s="10">
        <v>10</v>
      </c>
      <c r="E68" s="10" t="s">
        <v>10</v>
      </c>
      <c r="F68" s="10">
        <v>1209335</v>
      </c>
      <c r="G68" s="10" t="s">
        <v>150</v>
      </c>
      <c r="H68" s="11">
        <v>35874</v>
      </c>
      <c r="I68" s="10">
        <v>0</v>
      </c>
      <c r="J68" s="11">
        <f t="shared" ref="J68:J131" si="3">H68-I68</f>
        <v>35874</v>
      </c>
      <c r="K68" s="12">
        <f>VLOOKUP(A68,[3]VA05!$A:$K,11,FALSE)</f>
        <v>45593</v>
      </c>
      <c r="L68" s="10" t="s">
        <v>12</v>
      </c>
      <c r="M68" s="10" t="s">
        <v>157</v>
      </c>
    </row>
    <row r="69" spans="1:13" x14ac:dyDescent="0.25">
      <c r="A69" s="13" t="str">
        <f t="shared" si="2"/>
        <v>50714268230</v>
      </c>
      <c r="B69" s="10">
        <v>1004062670</v>
      </c>
      <c r="C69" s="10">
        <v>507142682</v>
      </c>
      <c r="D69" s="10">
        <v>30</v>
      </c>
      <c r="E69" s="10" t="s">
        <v>10</v>
      </c>
      <c r="F69" s="10">
        <v>1440079</v>
      </c>
      <c r="G69" s="10" t="s">
        <v>292</v>
      </c>
      <c r="H69" s="11">
        <v>10217</v>
      </c>
      <c r="I69" s="10">
        <v>0</v>
      </c>
      <c r="J69" s="11">
        <f t="shared" si="3"/>
        <v>10217</v>
      </c>
      <c r="K69" s="12">
        <f>VLOOKUP(A69,[3]VA05!$A:$K,11,FALSE)</f>
        <v>45595</v>
      </c>
      <c r="L69" s="10" t="s">
        <v>12</v>
      </c>
      <c r="M69" s="10" t="s">
        <v>204</v>
      </c>
    </row>
    <row r="70" spans="1:13" x14ac:dyDescent="0.25">
      <c r="A70" s="13" t="str">
        <f t="shared" si="2"/>
        <v>50714274240</v>
      </c>
      <c r="B70" s="10">
        <v>1004052625</v>
      </c>
      <c r="C70" s="10">
        <v>507142742</v>
      </c>
      <c r="D70" s="10">
        <v>40</v>
      </c>
      <c r="E70" s="10" t="s">
        <v>10</v>
      </c>
      <c r="F70" s="10">
        <v>1437142</v>
      </c>
      <c r="G70" s="10" t="s">
        <v>145</v>
      </c>
      <c r="H70" s="11">
        <v>38800</v>
      </c>
      <c r="I70" s="10">
        <v>0</v>
      </c>
      <c r="J70" s="11">
        <f t="shared" si="3"/>
        <v>38800</v>
      </c>
      <c r="K70" s="12">
        <f>VLOOKUP(A70,[3]VA05!$A:$K,11,FALSE)</f>
        <v>45580</v>
      </c>
      <c r="L70" s="10" t="s">
        <v>12</v>
      </c>
      <c r="M70" s="10" t="s">
        <v>197</v>
      </c>
    </row>
    <row r="71" spans="1:13" x14ac:dyDescent="0.25">
      <c r="A71" s="13" t="str">
        <f t="shared" si="2"/>
        <v>50714274270</v>
      </c>
      <c r="B71" s="10">
        <v>1004052626</v>
      </c>
      <c r="C71" s="10">
        <v>507142742</v>
      </c>
      <c r="D71" s="10">
        <v>70</v>
      </c>
      <c r="E71" s="10" t="s">
        <v>10</v>
      </c>
      <c r="F71" s="10">
        <v>1437142</v>
      </c>
      <c r="G71" s="10" t="s">
        <v>145</v>
      </c>
      <c r="H71" s="11">
        <v>40825</v>
      </c>
      <c r="I71" s="10">
        <v>0</v>
      </c>
      <c r="J71" s="11">
        <f t="shared" si="3"/>
        <v>40825</v>
      </c>
      <c r="K71" s="12">
        <f>VLOOKUP(A71,[3]VA05!$A:$K,11,FALSE)</f>
        <v>45587</v>
      </c>
      <c r="L71" s="10" t="s">
        <v>12</v>
      </c>
      <c r="M71" s="10" t="s">
        <v>162</v>
      </c>
    </row>
    <row r="72" spans="1:13" x14ac:dyDescent="0.25">
      <c r="A72" s="13" t="str">
        <f t="shared" si="2"/>
        <v>507142742100</v>
      </c>
      <c r="B72" s="10">
        <v>1004052627</v>
      </c>
      <c r="C72" s="10">
        <v>507142742</v>
      </c>
      <c r="D72" s="10">
        <v>100</v>
      </c>
      <c r="E72" s="10" t="s">
        <v>10</v>
      </c>
      <c r="F72" s="10">
        <v>1437142</v>
      </c>
      <c r="G72" s="10" t="s">
        <v>145</v>
      </c>
      <c r="H72" s="11">
        <v>27661</v>
      </c>
      <c r="I72" s="10">
        <v>0</v>
      </c>
      <c r="J72" s="11">
        <f t="shared" si="3"/>
        <v>27661</v>
      </c>
      <c r="K72" s="12" t="e">
        <f>VLOOKUP(A72,[3]VA05!$A:$K,11,FALSE)</f>
        <v>#N/A</v>
      </c>
      <c r="L72" s="10" t="s">
        <v>12</v>
      </c>
      <c r="M72" s="10" t="s">
        <v>109</v>
      </c>
    </row>
    <row r="73" spans="1:13" x14ac:dyDescent="0.25">
      <c r="A73" s="13" t="str">
        <f t="shared" si="2"/>
        <v>50714274210</v>
      </c>
      <c r="B73" s="10">
        <v>1004054341</v>
      </c>
      <c r="C73" s="10">
        <v>507142742</v>
      </c>
      <c r="D73" s="10">
        <v>10</v>
      </c>
      <c r="E73" s="10" t="s">
        <v>10</v>
      </c>
      <c r="F73" s="10">
        <v>1437142</v>
      </c>
      <c r="G73" s="10" t="s">
        <v>145</v>
      </c>
      <c r="H73" s="11">
        <v>27661</v>
      </c>
      <c r="I73" s="11">
        <v>11900</v>
      </c>
      <c r="J73" s="11">
        <f t="shared" si="3"/>
        <v>15761</v>
      </c>
      <c r="K73" s="12">
        <f>VLOOKUP(A73,[3]VA05!$A:$K,11,FALSE)</f>
        <v>45575</v>
      </c>
      <c r="L73" s="10" t="s">
        <v>11</v>
      </c>
      <c r="M73" s="10" t="s">
        <v>155</v>
      </c>
    </row>
    <row r="74" spans="1:13" x14ac:dyDescent="0.25">
      <c r="A74" s="13" t="str">
        <f t="shared" si="2"/>
        <v>50714268230</v>
      </c>
      <c r="B74" s="10">
        <v>1004059556</v>
      </c>
      <c r="C74" s="10">
        <v>507142682</v>
      </c>
      <c r="D74" s="10">
        <v>30</v>
      </c>
      <c r="E74" s="10" t="s">
        <v>10</v>
      </c>
      <c r="F74" s="10">
        <v>1440080</v>
      </c>
      <c r="G74" s="10" t="s">
        <v>247</v>
      </c>
      <c r="H74" s="11">
        <v>10524</v>
      </c>
      <c r="I74" s="10">
        <v>0</v>
      </c>
      <c r="J74" s="11">
        <f t="shared" si="3"/>
        <v>10524</v>
      </c>
      <c r="K74" s="12">
        <f>VLOOKUP(A74,[3]VA05!$A:$K,11,FALSE)</f>
        <v>45595</v>
      </c>
      <c r="L74" s="10" t="s">
        <v>12</v>
      </c>
      <c r="M74" s="10" t="s">
        <v>176</v>
      </c>
    </row>
    <row r="75" spans="1:13" x14ac:dyDescent="0.25">
      <c r="A75" s="13" t="str">
        <f t="shared" si="2"/>
        <v>50714242450</v>
      </c>
      <c r="B75" s="10">
        <v>1004019633</v>
      </c>
      <c r="C75" s="10">
        <v>507142424</v>
      </c>
      <c r="D75" s="10">
        <v>50</v>
      </c>
      <c r="E75" s="10" t="s">
        <v>10</v>
      </c>
      <c r="F75" s="10">
        <v>1212309</v>
      </c>
      <c r="G75" s="10" t="s">
        <v>16</v>
      </c>
      <c r="H75" s="11">
        <v>30725</v>
      </c>
      <c r="I75" s="10">
        <v>0</v>
      </c>
      <c r="J75" s="11">
        <f t="shared" si="3"/>
        <v>30725</v>
      </c>
      <c r="K75" s="12" t="e">
        <f>VLOOKUP(A75,[3]VA05!$A:$K,11,FALSE)</f>
        <v>#N/A</v>
      </c>
      <c r="L75" s="10" t="s">
        <v>12</v>
      </c>
      <c r="M75" s="10" t="s">
        <v>82</v>
      </c>
    </row>
    <row r="76" spans="1:13" x14ac:dyDescent="0.25">
      <c r="A76" s="13" t="str">
        <f t="shared" si="2"/>
        <v>50714274220</v>
      </c>
      <c r="B76" s="10">
        <v>1004052511</v>
      </c>
      <c r="C76" s="10">
        <v>507142742</v>
      </c>
      <c r="D76" s="10">
        <v>20</v>
      </c>
      <c r="E76" s="10" t="s">
        <v>10</v>
      </c>
      <c r="F76" s="10">
        <v>1209351</v>
      </c>
      <c r="G76" s="10" t="s">
        <v>135</v>
      </c>
      <c r="H76" s="11">
        <v>25576</v>
      </c>
      <c r="I76" s="11">
        <v>2837</v>
      </c>
      <c r="J76" s="11">
        <f t="shared" si="3"/>
        <v>22739</v>
      </c>
      <c r="K76" s="12">
        <f>VLOOKUP(A76,[3]VA05!$A:$K,11,FALSE)</f>
        <v>45575</v>
      </c>
      <c r="L76" s="10" t="s">
        <v>18</v>
      </c>
      <c r="M76" s="10" t="s">
        <v>197</v>
      </c>
    </row>
    <row r="77" spans="1:13" x14ac:dyDescent="0.25">
      <c r="A77" s="13" t="str">
        <f t="shared" si="2"/>
        <v>50714274250</v>
      </c>
      <c r="B77" s="10">
        <v>1004052512</v>
      </c>
      <c r="C77" s="10">
        <v>507142742</v>
      </c>
      <c r="D77" s="10">
        <v>50</v>
      </c>
      <c r="E77" s="10" t="s">
        <v>10</v>
      </c>
      <c r="F77" s="10">
        <v>1209351</v>
      </c>
      <c r="G77" s="10" t="s">
        <v>135</v>
      </c>
      <c r="H77" s="11">
        <v>25576</v>
      </c>
      <c r="I77" s="10">
        <v>0</v>
      </c>
      <c r="J77" s="11">
        <f t="shared" si="3"/>
        <v>25576</v>
      </c>
      <c r="K77" s="12">
        <f>VLOOKUP(A77,[3]VA05!$A:$K,11,FALSE)</f>
        <v>45580</v>
      </c>
      <c r="L77" s="10" t="s">
        <v>12</v>
      </c>
      <c r="M77" s="10" t="s">
        <v>192</v>
      </c>
    </row>
    <row r="78" spans="1:13" x14ac:dyDescent="0.25">
      <c r="A78" s="13" t="str">
        <f t="shared" si="2"/>
        <v>50714274280</v>
      </c>
      <c r="B78" s="10">
        <v>1004052513</v>
      </c>
      <c r="C78" s="10">
        <v>507142742</v>
      </c>
      <c r="D78" s="10">
        <v>80</v>
      </c>
      <c r="E78" s="10" t="s">
        <v>10</v>
      </c>
      <c r="F78" s="10">
        <v>1209351</v>
      </c>
      <c r="G78" s="10" t="s">
        <v>135</v>
      </c>
      <c r="H78" s="11">
        <v>25576</v>
      </c>
      <c r="I78" s="10">
        <v>0</v>
      </c>
      <c r="J78" s="11">
        <f t="shared" si="3"/>
        <v>25576</v>
      </c>
      <c r="K78" s="12">
        <f>VLOOKUP(A78,[3]VA05!$A:$K,11,FALSE)</f>
        <v>45587</v>
      </c>
      <c r="L78" s="10" t="s">
        <v>12</v>
      </c>
      <c r="M78" s="10" t="s">
        <v>176</v>
      </c>
    </row>
    <row r="79" spans="1:13" x14ac:dyDescent="0.25">
      <c r="A79" s="13" t="str">
        <f t="shared" si="2"/>
        <v>507142742110</v>
      </c>
      <c r="B79" s="10">
        <v>1004052514</v>
      </c>
      <c r="C79" s="10">
        <v>507142742</v>
      </c>
      <c r="D79" s="10">
        <v>110</v>
      </c>
      <c r="E79" s="10" t="s">
        <v>10</v>
      </c>
      <c r="F79" s="10">
        <v>1209351</v>
      </c>
      <c r="G79" s="10" t="s">
        <v>135</v>
      </c>
      <c r="H79" s="11">
        <v>25576</v>
      </c>
      <c r="I79" s="10">
        <v>0</v>
      </c>
      <c r="J79" s="11">
        <f t="shared" si="3"/>
        <v>25576</v>
      </c>
      <c r="K79" s="12" t="e">
        <f>VLOOKUP(A79,[3]VA05!$A:$K,11,FALSE)</f>
        <v>#N/A</v>
      </c>
      <c r="L79" s="10" t="s">
        <v>12</v>
      </c>
      <c r="M79" s="10" t="s">
        <v>198</v>
      </c>
    </row>
    <row r="80" spans="1:13" x14ac:dyDescent="0.25">
      <c r="A80" s="13" t="str">
        <f t="shared" si="2"/>
        <v>50900099220</v>
      </c>
      <c r="B80" s="10">
        <v>1004021332</v>
      </c>
      <c r="C80" s="10">
        <v>509000992</v>
      </c>
      <c r="D80" s="10">
        <v>20</v>
      </c>
      <c r="E80" s="10" t="s">
        <v>10</v>
      </c>
      <c r="F80" s="10">
        <v>1279716</v>
      </c>
      <c r="G80" s="10" t="s">
        <v>54</v>
      </c>
      <c r="H80" s="11">
        <v>10299</v>
      </c>
      <c r="I80" s="10">
        <v>0</v>
      </c>
      <c r="J80" s="11">
        <f t="shared" si="3"/>
        <v>10299</v>
      </c>
      <c r="K80" s="12" t="e">
        <f>VLOOKUP(A80,[3]VA05!$A:$K,11,FALSE)</f>
        <v>#N/A</v>
      </c>
      <c r="L80" s="10" t="s">
        <v>25</v>
      </c>
      <c r="M80" s="10" t="s">
        <v>66</v>
      </c>
    </row>
    <row r="81" spans="1:13" x14ac:dyDescent="0.25">
      <c r="A81" s="13" t="str">
        <f t="shared" si="2"/>
        <v>50714242410</v>
      </c>
      <c r="B81" s="10">
        <v>1004019563</v>
      </c>
      <c r="C81" s="10">
        <v>507142424</v>
      </c>
      <c r="D81" s="10">
        <v>10</v>
      </c>
      <c r="E81" s="10" t="s">
        <v>10</v>
      </c>
      <c r="F81" s="10">
        <v>1212320</v>
      </c>
      <c r="G81" s="10" t="s">
        <v>17</v>
      </c>
      <c r="H81" s="11">
        <v>19568</v>
      </c>
      <c r="I81" s="10">
        <v>0</v>
      </c>
      <c r="J81" s="11">
        <f t="shared" si="3"/>
        <v>19568</v>
      </c>
      <c r="K81" s="12" t="e">
        <f>VLOOKUP(A81,[3]VA05!$A:$K,11,FALSE)</f>
        <v>#N/A</v>
      </c>
      <c r="L81" s="10" t="s">
        <v>239</v>
      </c>
      <c r="M81" s="10" t="s">
        <v>72</v>
      </c>
    </row>
    <row r="82" spans="1:13" x14ac:dyDescent="0.25">
      <c r="A82" s="13" t="str">
        <f t="shared" si="2"/>
        <v>50714242430</v>
      </c>
      <c r="B82" s="10">
        <v>1004019564</v>
      </c>
      <c r="C82" s="10">
        <v>507142424</v>
      </c>
      <c r="D82" s="10">
        <v>30</v>
      </c>
      <c r="E82" s="10" t="s">
        <v>10</v>
      </c>
      <c r="F82" s="10">
        <v>1212320</v>
      </c>
      <c r="G82" s="10" t="s">
        <v>17</v>
      </c>
      <c r="H82" s="11">
        <v>19568</v>
      </c>
      <c r="I82" s="10">
        <v>0</v>
      </c>
      <c r="J82" s="11">
        <f t="shared" si="3"/>
        <v>19568</v>
      </c>
      <c r="K82" s="12" t="e">
        <f>VLOOKUP(A82,[3]VA05!$A:$K,11,FALSE)</f>
        <v>#N/A</v>
      </c>
      <c r="L82" s="10" t="s">
        <v>13</v>
      </c>
      <c r="M82" s="10" t="s">
        <v>69</v>
      </c>
    </row>
    <row r="83" spans="1:13" x14ac:dyDescent="0.25">
      <c r="A83" s="13" t="str">
        <f t="shared" si="2"/>
        <v>50714242450</v>
      </c>
      <c r="B83" s="10">
        <v>1004019566</v>
      </c>
      <c r="C83" s="10">
        <v>507142424</v>
      </c>
      <c r="D83" s="10">
        <v>50</v>
      </c>
      <c r="E83" s="10" t="s">
        <v>10</v>
      </c>
      <c r="F83" s="10">
        <v>1212320</v>
      </c>
      <c r="G83" s="10" t="s">
        <v>17</v>
      </c>
      <c r="H83" s="11">
        <v>30725</v>
      </c>
      <c r="I83" s="10">
        <v>0</v>
      </c>
      <c r="J83" s="11">
        <f t="shared" si="3"/>
        <v>30725</v>
      </c>
      <c r="K83" s="12" t="e">
        <f>VLOOKUP(A83,[3]VA05!$A:$K,11,FALSE)</f>
        <v>#N/A</v>
      </c>
      <c r="L83" s="10" t="s">
        <v>13</v>
      </c>
      <c r="M83" s="10" t="s">
        <v>73</v>
      </c>
    </row>
    <row r="84" spans="1:13" x14ac:dyDescent="0.25">
      <c r="A84" s="13" t="str">
        <f t="shared" si="2"/>
        <v>50714274220</v>
      </c>
      <c r="B84" s="10">
        <v>1004052428</v>
      </c>
      <c r="C84" s="10">
        <v>507142742</v>
      </c>
      <c r="D84" s="10">
        <v>20</v>
      </c>
      <c r="E84" s="10" t="s">
        <v>10</v>
      </c>
      <c r="F84" s="10">
        <v>1437172</v>
      </c>
      <c r="G84" s="10" t="s">
        <v>123</v>
      </c>
      <c r="H84" s="11">
        <v>25576</v>
      </c>
      <c r="I84" s="11">
        <v>7183</v>
      </c>
      <c r="J84" s="11">
        <f t="shared" si="3"/>
        <v>18393</v>
      </c>
      <c r="K84" s="12">
        <f>VLOOKUP(A84,[3]VA05!$A:$K,11,FALSE)</f>
        <v>45575</v>
      </c>
      <c r="L84" s="10" t="s">
        <v>18</v>
      </c>
      <c r="M84" s="10" t="s">
        <v>197</v>
      </c>
    </row>
    <row r="85" spans="1:13" x14ac:dyDescent="0.25">
      <c r="A85" s="13" t="str">
        <f t="shared" si="2"/>
        <v>50714274280</v>
      </c>
      <c r="B85" s="10">
        <v>1004052509</v>
      </c>
      <c r="C85" s="10">
        <v>507142742</v>
      </c>
      <c r="D85" s="10">
        <v>80</v>
      </c>
      <c r="E85" s="10" t="s">
        <v>10</v>
      </c>
      <c r="F85" s="10">
        <v>1437172</v>
      </c>
      <c r="G85" s="10" t="s">
        <v>123</v>
      </c>
      <c r="H85" s="11">
        <v>25576</v>
      </c>
      <c r="I85" s="10">
        <v>0</v>
      </c>
      <c r="J85" s="11">
        <f t="shared" si="3"/>
        <v>25576</v>
      </c>
      <c r="K85" s="12">
        <f>VLOOKUP(A85,[3]VA05!$A:$K,11,FALSE)</f>
        <v>45587</v>
      </c>
      <c r="L85" s="10" t="s">
        <v>12</v>
      </c>
      <c r="M85" s="10" t="s">
        <v>176</v>
      </c>
    </row>
    <row r="86" spans="1:13" x14ac:dyDescent="0.25">
      <c r="A86" s="13" t="str">
        <f t="shared" si="2"/>
        <v>507142742110</v>
      </c>
      <c r="B86" s="10">
        <v>1004052510</v>
      </c>
      <c r="C86" s="10">
        <v>507142742</v>
      </c>
      <c r="D86" s="10">
        <v>110</v>
      </c>
      <c r="E86" s="10" t="s">
        <v>10</v>
      </c>
      <c r="F86" s="10">
        <v>1437172</v>
      </c>
      <c r="G86" s="10" t="s">
        <v>123</v>
      </c>
      <c r="H86" s="11">
        <v>25576</v>
      </c>
      <c r="I86" s="10">
        <v>0</v>
      </c>
      <c r="J86" s="11">
        <f t="shared" si="3"/>
        <v>25576</v>
      </c>
      <c r="K86" s="12" t="e">
        <f>VLOOKUP(A86,[3]VA05!$A:$K,11,FALSE)</f>
        <v>#N/A</v>
      </c>
      <c r="L86" s="10" t="s">
        <v>12</v>
      </c>
      <c r="M86" s="10" t="s">
        <v>198</v>
      </c>
    </row>
    <row r="87" spans="1:13" x14ac:dyDescent="0.25">
      <c r="A87" s="13" t="str">
        <f t="shared" si="2"/>
        <v>50714285120</v>
      </c>
      <c r="B87" s="10">
        <v>1004062192</v>
      </c>
      <c r="C87" s="10">
        <v>507142851</v>
      </c>
      <c r="D87" s="10">
        <v>20</v>
      </c>
      <c r="E87" s="10" t="s">
        <v>10</v>
      </c>
      <c r="F87" s="10">
        <v>1437172</v>
      </c>
      <c r="G87" s="10" t="s">
        <v>123</v>
      </c>
      <c r="H87" s="11">
        <v>35874</v>
      </c>
      <c r="I87" s="10">
        <v>0</v>
      </c>
      <c r="J87" s="11">
        <f t="shared" si="3"/>
        <v>35874</v>
      </c>
      <c r="K87" s="12">
        <f>VLOOKUP(A87,[3]VA05!$A:$K,11,FALSE)</f>
        <v>45593</v>
      </c>
      <c r="L87" s="10" t="s">
        <v>12</v>
      </c>
      <c r="M87" s="10" t="s">
        <v>199</v>
      </c>
    </row>
    <row r="88" spans="1:13" x14ac:dyDescent="0.25">
      <c r="A88" s="13" t="str">
        <f t="shared" si="2"/>
        <v>50900099220</v>
      </c>
      <c r="B88" s="10">
        <v>1004016985</v>
      </c>
      <c r="C88" s="10">
        <v>509000992</v>
      </c>
      <c r="D88" s="10">
        <v>20</v>
      </c>
      <c r="E88" s="10" t="s">
        <v>10</v>
      </c>
      <c r="F88" s="10">
        <v>1279713</v>
      </c>
      <c r="G88" s="10" t="s">
        <v>55</v>
      </c>
      <c r="H88" s="11">
        <v>10299</v>
      </c>
      <c r="I88" s="10">
        <v>0</v>
      </c>
      <c r="J88" s="11">
        <f t="shared" si="3"/>
        <v>10299</v>
      </c>
      <c r="K88" s="12" t="e">
        <f>VLOOKUP(A88,[3]VA05!$A:$K,11,FALSE)</f>
        <v>#N/A</v>
      </c>
      <c r="L88" s="10" t="s">
        <v>13</v>
      </c>
      <c r="M88" s="10" t="s">
        <v>58</v>
      </c>
    </row>
    <row r="89" spans="1:13" x14ac:dyDescent="0.25">
      <c r="A89" s="13" t="str">
        <f t="shared" si="2"/>
        <v>50900099320</v>
      </c>
      <c r="B89" s="10">
        <v>1004016986</v>
      </c>
      <c r="C89" s="10">
        <v>509000993</v>
      </c>
      <c r="D89" s="10">
        <v>20</v>
      </c>
      <c r="E89" s="10" t="s">
        <v>10</v>
      </c>
      <c r="F89" s="10">
        <v>1279713</v>
      </c>
      <c r="G89" s="10" t="s">
        <v>55</v>
      </c>
      <c r="H89" s="11">
        <v>3262</v>
      </c>
      <c r="I89" s="10">
        <v>0</v>
      </c>
      <c r="J89" s="11">
        <f t="shared" si="3"/>
        <v>3262</v>
      </c>
      <c r="K89" s="12" t="e">
        <f>VLOOKUP(A89,[3]VA05!$A:$K,11,FALSE)</f>
        <v>#N/A</v>
      </c>
      <c r="L89" s="10" t="s">
        <v>12</v>
      </c>
      <c r="M89" s="10" t="s">
        <v>50</v>
      </c>
    </row>
    <row r="90" spans="1:13" x14ac:dyDescent="0.25">
      <c r="A90" s="13" t="str">
        <f t="shared" si="2"/>
        <v>50714274240</v>
      </c>
      <c r="B90" s="10">
        <v>1004049969</v>
      </c>
      <c r="C90" s="10">
        <v>507142742</v>
      </c>
      <c r="D90" s="10">
        <v>40</v>
      </c>
      <c r="E90" s="10" t="s">
        <v>10</v>
      </c>
      <c r="F90" s="10">
        <v>1209336</v>
      </c>
      <c r="G90" s="10" t="s">
        <v>124</v>
      </c>
      <c r="H90" s="11">
        <v>25576</v>
      </c>
      <c r="I90" s="11">
        <v>1312</v>
      </c>
      <c r="J90" s="11">
        <f t="shared" si="3"/>
        <v>24264</v>
      </c>
      <c r="K90" s="12">
        <f>VLOOKUP(A90,[3]VA05!$A:$K,11,FALSE)</f>
        <v>45580</v>
      </c>
      <c r="L90" s="10" t="s">
        <v>18</v>
      </c>
      <c r="M90" s="10" t="s">
        <v>157</v>
      </c>
    </row>
    <row r="91" spans="1:13" x14ac:dyDescent="0.25">
      <c r="A91" s="13" t="str">
        <f t="shared" si="2"/>
        <v>50714274270</v>
      </c>
      <c r="B91" s="10">
        <v>1004052425</v>
      </c>
      <c r="C91" s="10">
        <v>507142742</v>
      </c>
      <c r="D91" s="10">
        <v>70</v>
      </c>
      <c r="E91" s="10" t="s">
        <v>10</v>
      </c>
      <c r="F91" s="10">
        <v>1209336</v>
      </c>
      <c r="G91" s="10" t="s">
        <v>124</v>
      </c>
      <c r="H91" s="11">
        <v>25576</v>
      </c>
      <c r="I91" s="10">
        <v>0</v>
      </c>
      <c r="J91" s="11">
        <f t="shared" si="3"/>
        <v>25576</v>
      </c>
      <c r="K91" s="12">
        <f>VLOOKUP(A91,[3]VA05!$A:$K,11,FALSE)</f>
        <v>45587</v>
      </c>
      <c r="L91" s="10" t="s">
        <v>12</v>
      </c>
      <c r="M91" s="10" t="s">
        <v>199</v>
      </c>
    </row>
    <row r="92" spans="1:13" x14ac:dyDescent="0.25">
      <c r="A92" s="13" t="str">
        <f t="shared" si="2"/>
        <v>507142742100</v>
      </c>
      <c r="B92" s="10">
        <v>1004052426</v>
      </c>
      <c r="C92" s="10">
        <v>507142742</v>
      </c>
      <c r="D92" s="10">
        <v>100</v>
      </c>
      <c r="E92" s="10" t="s">
        <v>10</v>
      </c>
      <c r="F92" s="10">
        <v>1209336</v>
      </c>
      <c r="G92" s="10" t="s">
        <v>124</v>
      </c>
      <c r="H92" s="11">
        <v>25576</v>
      </c>
      <c r="I92" s="10">
        <v>0</v>
      </c>
      <c r="J92" s="11">
        <f t="shared" si="3"/>
        <v>25576</v>
      </c>
      <c r="K92" s="12" t="e">
        <f>VLOOKUP(A92,[3]VA05!$A:$K,11,FALSE)</f>
        <v>#N/A</v>
      </c>
      <c r="L92" s="10" t="s">
        <v>12</v>
      </c>
      <c r="M92" s="10" t="s">
        <v>200</v>
      </c>
    </row>
    <row r="93" spans="1:13" x14ac:dyDescent="0.25">
      <c r="A93" s="13" t="str">
        <f t="shared" si="2"/>
        <v>50714246960</v>
      </c>
      <c r="B93" s="10">
        <v>1004016982</v>
      </c>
      <c r="C93" s="10">
        <v>507142469</v>
      </c>
      <c r="D93" s="10">
        <v>60</v>
      </c>
      <c r="E93" s="10" t="s">
        <v>10</v>
      </c>
      <c r="F93" s="10">
        <v>1212321</v>
      </c>
      <c r="G93" s="10" t="s">
        <v>30</v>
      </c>
      <c r="H93" s="11">
        <v>71577</v>
      </c>
      <c r="I93" s="11">
        <v>8540</v>
      </c>
      <c r="J93" s="11">
        <f t="shared" si="3"/>
        <v>63037</v>
      </c>
      <c r="K93" s="12" t="e">
        <f>VLOOKUP(A93,[3]VA05!$A:$K,11,FALSE)</f>
        <v>#N/A</v>
      </c>
      <c r="L93" s="10" t="s">
        <v>18</v>
      </c>
      <c r="M93" s="10" t="s">
        <v>49</v>
      </c>
    </row>
    <row r="94" spans="1:13" x14ac:dyDescent="0.25">
      <c r="A94" s="13" t="str">
        <f t="shared" si="2"/>
        <v>50714274230</v>
      </c>
      <c r="B94" s="10">
        <v>1004052421</v>
      </c>
      <c r="C94" s="10">
        <v>507142742</v>
      </c>
      <c r="D94" s="10">
        <v>30</v>
      </c>
      <c r="E94" s="10" t="s">
        <v>10</v>
      </c>
      <c r="F94" s="10">
        <v>1209347</v>
      </c>
      <c r="G94" s="10" t="s">
        <v>136</v>
      </c>
      <c r="H94" s="11">
        <v>25576</v>
      </c>
      <c r="I94" s="10">
        <v>0</v>
      </c>
      <c r="J94" s="11">
        <f t="shared" si="3"/>
        <v>25576</v>
      </c>
      <c r="K94" s="12">
        <f>VLOOKUP(A94,[3]VA05!$A:$K,11,FALSE)</f>
        <v>45575</v>
      </c>
      <c r="L94" s="10" t="s">
        <v>12</v>
      </c>
      <c r="M94" s="10" t="s">
        <v>197</v>
      </c>
    </row>
    <row r="95" spans="1:13" x14ac:dyDescent="0.25">
      <c r="A95" s="13" t="str">
        <f t="shared" si="2"/>
        <v>50714274260</v>
      </c>
      <c r="B95" s="10">
        <v>1004052422</v>
      </c>
      <c r="C95" s="10">
        <v>507142742</v>
      </c>
      <c r="D95" s="10">
        <v>60</v>
      </c>
      <c r="E95" s="10" t="s">
        <v>10</v>
      </c>
      <c r="F95" s="10">
        <v>1209347</v>
      </c>
      <c r="G95" s="10" t="s">
        <v>136</v>
      </c>
      <c r="H95" s="11">
        <v>25576</v>
      </c>
      <c r="I95" s="10">
        <v>0</v>
      </c>
      <c r="J95" s="11">
        <f t="shared" si="3"/>
        <v>25576</v>
      </c>
      <c r="K95" s="12">
        <f>VLOOKUP(A95,[3]VA05!$A:$K,11,FALSE)</f>
        <v>45580</v>
      </c>
      <c r="L95" s="10" t="s">
        <v>12</v>
      </c>
      <c r="M95" s="10" t="s">
        <v>192</v>
      </c>
    </row>
    <row r="96" spans="1:13" x14ac:dyDescent="0.25">
      <c r="A96" s="13" t="str">
        <f t="shared" si="2"/>
        <v>50714274290</v>
      </c>
      <c r="B96" s="10">
        <v>1004052423</v>
      </c>
      <c r="C96" s="10">
        <v>507142742</v>
      </c>
      <c r="D96" s="10">
        <v>90</v>
      </c>
      <c r="E96" s="10" t="s">
        <v>10</v>
      </c>
      <c r="F96" s="10">
        <v>1209347</v>
      </c>
      <c r="G96" s="10" t="s">
        <v>136</v>
      </c>
      <c r="H96" s="11">
        <v>25576</v>
      </c>
      <c r="I96" s="10">
        <v>0</v>
      </c>
      <c r="J96" s="11">
        <f t="shared" si="3"/>
        <v>25576</v>
      </c>
      <c r="K96" s="12">
        <f>VLOOKUP(A96,[3]VA05!$A:$K,11,FALSE)</f>
        <v>45587</v>
      </c>
      <c r="L96" s="10" t="s">
        <v>12</v>
      </c>
      <c r="M96" s="10" t="s">
        <v>176</v>
      </c>
    </row>
    <row r="97" spans="1:13" x14ac:dyDescent="0.25">
      <c r="A97" s="13" t="str">
        <f t="shared" si="2"/>
        <v>507142742120</v>
      </c>
      <c r="B97" s="10">
        <v>1004052424</v>
      </c>
      <c r="C97" s="10">
        <v>507142742</v>
      </c>
      <c r="D97" s="10">
        <v>120</v>
      </c>
      <c r="E97" s="10" t="s">
        <v>10</v>
      </c>
      <c r="F97" s="10">
        <v>1209347</v>
      </c>
      <c r="G97" s="10" t="s">
        <v>136</v>
      </c>
      <c r="H97" s="11">
        <v>25576</v>
      </c>
      <c r="I97" s="10">
        <v>0</v>
      </c>
      <c r="J97" s="11">
        <f t="shared" si="3"/>
        <v>25576</v>
      </c>
      <c r="K97" s="12" t="e">
        <f>VLOOKUP(A97,[3]VA05!$A:$K,11,FALSE)</f>
        <v>#N/A</v>
      </c>
      <c r="L97" s="10" t="s">
        <v>12</v>
      </c>
      <c r="M97" s="10" t="s">
        <v>198</v>
      </c>
    </row>
    <row r="98" spans="1:13" hidden="1" x14ac:dyDescent="0.25">
      <c r="A98" s="13" t="str">
        <f t="shared" si="2"/>
        <v>50714203150</v>
      </c>
      <c r="B98" s="10">
        <v>1003958713</v>
      </c>
      <c r="C98" s="10">
        <v>507142031</v>
      </c>
      <c r="D98" s="10">
        <v>50</v>
      </c>
      <c r="E98" s="10" t="s">
        <v>10</v>
      </c>
      <c r="F98" s="10">
        <v>1409882</v>
      </c>
      <c r="G98" s="10" t="s">
        <v>39</v>
      </c>
      <c r="H98" s="11">
        <v>45777</v>
      </c>
      <c r="I98" s="10">
        <v>0</v>
      </c>
      <c r="J98" s="11">
        <f t="shared" si="3"/>
        <v>45777</v>
      </c>
      <c r="K98" s="12" t="e">
        <f>VLOOKUP(A98,[3]VA05!$A:$K,11,FALSE)</f>
        <v>#N/A</v>
      </c>
      <c r="L98" s="10" t="s">
        <v>260</v>
      </c>
      <c r="M98" s="10" t="s">
        <v>269</v>
      </c>
    </row>
    <row r="99" spans="1:13" x14ac:dyDescent="0.25">
      <c r="A99" s="13" t="str">
        <f t="shared" si="2"/>
        <v>50714273910</v>
      </c>
      <c r="B99" s="10">
        <v>1004051713</v>
      </c>
      <c r="C99" s="10">
        <v>507142739</v>
      </c>
      <c r="D99" s="10">
        <v>10</v>
      </c>
      <c r="E99" s="10" t="s">
        <v>10</v>
      </c>
      <c r="F99" s="10">
        <v>1409882</v>
      </c>
      <c r="G99" s="10" t="s">
        <v>39</v>
      </c>
      <c r="H99" s="11">
        <v>22415</v>
      </c>
      <c r="I99" s="11">
        <v>16029</v>
      </c>
      <c r="J99" s="11">
        <f t="shared" si="3"/>
        <v>6386</v>
      </c>
      <c r="K99" s="12">
        <f>VLOOKUP(A99,[3]VA05!$A:$K,11,FALSE)</f>
        <v>45568</v>
      </c>
      <c r="L99" s="10" t="s">
        <v>18</v>
      </c>
      <c r="M99" s="10" t="s">
        <v>61</v>
      </c>
    </row>
    <row r="100" spans="1:13" x14ac:dyDescent="0.25">
      <c r="A100" s="13" t="str">
        <f t="shared" si="2"/>
        <v>50714273920</v>
      </c>
      <c r="B100" s="10">
        <v>1004051714</v>
      </c>
      <c r="C100" s="10">
        <v>507142739</v>
      </c>
      <c r="D100" s="10">
        <v>20</v>
      </c>
      <c r="E100" s="10" t="s">
        <v>10</v>
      </c>
      <c r="F100" s="10">
        <v>1409882</v>
      </c>
      <c r="G100" s="10" t="s">
        <v>39</v>
      </c>
      <c r="H100" s="11">
        <v>51460</v>
      </c>
      <c r="I100" s="10">
        <v>0</v>
      </c>
      <c r="J100" s="11">
        <f t="shared" si="3"/>
        <v>51460</v>
      </c>
      <c r="K100" s="12">
        <f>VLOOKUP(A100,[3]VA05!$A:$K,11,FALSE)</f>
        <v>45573</v>
      </c>
      <c r="L100" s="10" t="s">
        <v>56</v>
      </c>
      <c r="M100" s="10" t="s">
        <v>197</v>
      </c>
    </row>
    <row r="101" spans="1:13" x14ac:dyDescent="0.25">
      <c r="A101" s="13" t="str">
        <f t="shared" si="2"/>
        <v>50714273930</v>
      </c>
      <c r="B101" s="10">
        <v>1004062039</v>
      </c>
      <c r="C101" s="10">
        <v>507142739</v>
      </c>
      <c r="D101" s="10">
        <v>30</v>
      </c>
      <c r="E101" s="10" t="s">
        <v>10</v>
      </c>
      <c r="F101" s="10">
        <v>1409882</v>
      </c>
      <c r="G101" s="10" t="s">
        <v>39</v>
      </c>
      <c r="H101" s="11">
        <v>28729</v>
      </c>
      <c r="I101" s="10">
        <v>0</v>
      </c>
      <c r="J101" s="11">
        <f t="shared" si="3"/>
        <v>28729</v>
      </c>
      <c r="K101" s="12">
        <f>VLOOKUP(A101,[3]VA05!$A:$K,11,FALSE)</f>
        <v>45580</v>
      </c>
      <c r="L101" s="10" t="s">
        <v>12</v>
      </c>
      <c r="M101" s="10" t="s">
        <v>197</v>
      </c>
    </row>
    <row r="102" spans="1:13" x14ac:dyDescent="0.25">
      <c r="A102" s="13" t="str">
        <f t="shared" si="2"/>
        <v>50714278010</v>
      </c>
      <c r="B102" s="10">
        <v>1004062040</v>
      </c>
      <c r="C102" s="10">
        <v>507142780</v>
      </c>
      <c r="D102" s="10">
        <v>10</v>
      </c>
      <c r="E102" s="10" t="s">
        <v>10</v>
      </c>
      <c r="F102" s="10">
        <v>1409882</v>
      </c>
      <c r="G102" s="10" t="s">
        <v>39</v>
      </c>
      <c r="H102" s="11">
        <v>32518</v>
      </c>
      <c r="I102" s="10">
        <v>0</v>
      </c>
      <c r="J102" s="11">
        <f t="shared" si="3"/>
        <v>32518</v>
      </c>
      <c r="K102" s="12">
        <f>VLOOKUP(A102,[3]VA05!$A:$K,11,FALSE)</f>
        <v>45580</v>
      </c>
      <c r="L102" s="10" t="s">
        <v>12</v>
      </c>
      <c r="M102" s="10" t="s">
        <v>162</v>
      </c>
    </row>
    <row r="103" spans="1:13" x14ac:dyDescent="0.25">
      <c r="A103" s="13" t="str">
        <f t="shared" si="2"/>
        <v>50714273920</v>
      </c>
      <c r="B103" s="10">
        <v>1004056941</v>
      </c>
      <c r="C103" s="10">
        <v>507142739</v>
      </c>
      <c r="D103" s="10">
        <v>20</v>
      </c>
      <c r="E103" s="10" t="s">
        <v>10</v>
      </c>
      <c r="F103" s="10">
        <v>1409883</v>
      </c>
      <c r="G103" s="10" t="s">
        <v>40</v>
      </c>
      <c r="H103" s="11">
        <v>54066</v>
      </c>
      <c r="I103" s="11">
        <v>45078</v>
      </c>
      <c r="J103" s="11">
        <f t="shared" si="3"/>
        <v>8988</v>
      </c>
      <c r="K103" s="12">
        <f>VLOOKUP(A103,[3]VA05!$A:$K,11,FALSE)</f>
        <v>45573</v>
      </c>
      <c r="L103" s="10" t="s">
        <v>11</v>
      </c>
      <c r="M103" s="10" t="s">
        <v>194</v>
      </c>
    </row>
    <row r="104" spans="1:13" x14ac:dyDescent="0.25">
      <c r="A104" s="13" t="str">
        <f t="shared" si="2"/>
        <v>50714273930</v>
      </c>
      <c r="B104" s="10">
        <v>1004057977</v>
      </c>
      <c r="C104" s="10">
        <v>507142739</v>
      </c>
      <c r="D104" s="10">
        <v>30</v>
      </c>
      <c r="E104" s="10" t="s">
        <v>10</v>
      </c>
      <c r="F104" s="10">
        <v>1409883</v>
      </c>
      <c r="G104" s="10" t="s">
        <v>40</v>
      </c>
      <c r="H104" s="11">
        <v>30185</v>
      </c>
      <c r="I104" s="10">
        <v>0</v>
      </c>
      <c r="J104" s="11">
        <f t="shared" si="3"/>
        <v>30185</v>
      </c>
      <c r="K104" s="12">
        <f>VLOOKUP(A104,[3]VA05!$A:$K,11,FALSE)</f>
        <v>45580</v>
      </c>
      <c r="L104" s="10" t="s">
        <v>119</v>
      </c>
      <c r="M104" s="10" t="s">
        <v>155</v>
      </c>
    </row>
    <row r="105" spans="1:13" x14ac:dyDescent="0.25">
      <c r="A105" s="13" t="str">
        <f t="shared" si="2"/>
        <v>50714278010</v>
      </c>
      <c r="B105" s="10">
        <v>1004058757</v>
      </c>
      <c r="C105" s="10">
        <v>507142780</v>
      </c>
      <c r="D105" s="10">
        <v>10</v>
      </c>
      <c r="E105" s="10" t="s">
        <v>10</v>
      </c>
      <c r="F105" s="10">
        <v>1409883</v>
      </c>
      <c r="G105" s="10" t="s">
        <v>40</v>
      </c>
      <c r="H105" s="11">
        <v>34165</v>
      </c>
      <c r="I105" s="10">
        <v>0</v>
      </c>
      <c r="J105" s="11">
        <f t="shared" si="3"/>
        <v>34165</v>
      </c>
      <c r="K105" s="12">
        <f>VLOOKUP(A105,[3]VA05!$A:$K,11,FALSE)</f>
        <v>45580</v>
      </c>
      <c r="L105" s="10" t="s">
        <v>12</v>
      </c>
      <c r="M105" s="10" t="s">
        <v>195</v>
      </c>
    </row>
    <row r="106" spans="1:13" x14ac:dyDescent="0.25">
      <c r="A106" s="13" t="str">
        <f t="shared" si="2"/>
        <v>50714278020</v>
      </c>
      <c r="B106" s="10">
        <v>1004058758</v>
      </c>
      <c r="C106" s="10">
        <v>507142780</v>
      </c>
      <c r="D106" s="10">
        <v>20</v>
      </c>
      <c r="E106" s="10" t="s">
        <v>10</v>
      </c>
      <c r="F106" s="10">
        <v>1409883</v>
      </c>
      <c r="G106" s="10" t="s">
        <v>40</v>
      </c>
      <c r="H106" s="11">
        <v>54066</v>
      </c>
      <c r="I106" s="10">
        <v>0</v>
      </c>
      <c r="J106" s="11">
        <f t="shared" si="3"/>
        <v>54066</v>
      </c>
      <c r="K106" s="12">
        <f>VLOOKUP(A106,[3]VA05!$A:$K,11,FALSE)</f>
        <v>45587</v>
      </c>
      <c r="L106" s="10" t="s">
        <v>12</v>
      </c>
      <c r="M106" s="10" t="s">
        <v>195</v>
      </c>
    </row>
    <row r="107" spans="1:13" x14ac:dyDescent="0.25">
      <c r="A107" s="13" t="str">
        <f t="shared" si="2"/>
        <v>50714278030</v>
      </c>
      <c r="B107" s="10">
        <v>1004058759</v>
      </c>
      <c r="C107" s="10">
        <v>507142780</v>
      </c>
      <c r="D107" s="10">
        <v>30</v>
      </c>
      <c r="E107" s="10" t="s">
        <v>10</v>
      </c>
      <c r="F107" s="10">
        <v>1409883</v>
      </c>
      <c r="G107" s="10" t="s">
        <v>40</v>
      </c>
      <c r="H107" s="11">
        <v>19571</v>
      </c>
      <c r="I107" s="10">
        <v>0</v>
      </c>
      <c r="J107" s="11">
        <f t="shared" si="3"/>
        <v>19571</v>
      </c>
      <c r="K107" s="12">
        <f>VLOOKUP(A107,[3]VA05!$A:$K,11,FALSE)</f>
        <v>45594</v>
      </c>
      <c r="L107" s="10" t="s">
        <v>12</v>
      </c>
      <c r="M107" s="10" t="s">
        <v>192</v>
      </c>
    </row>
    <row r="108" spans="1:13" x14ac:dyDescent="0.25">
      <c r="A108" s="13" t="str">
        <f t="shared" si="2"/>
        <v>50714276520</v>
      </c>
      <c r="B108" s="10">
        <v>1004051407</v>
      </c>
      <c r="C108" s="10">
        <v>507142765</v>
      </c>
      <c r="D108" s="10">
        <v>20</v>
      </c>
      <c r="E108" s="10" t="s">
        <v>10</v>
      </c>
      <c r="F108" s="10">
        <v>1398384</v>
      </c>
      <c r="G108" s="10" t="s">
        <v>168</v>
      </c>
      <c r="H108" s="11">
        <v>22842</v>
      </c>
      <c r="I108" s="11">
        <v>8768</v>
      </c>
      <c r="J108" s="11">
        <f t="shared" si="3"/>
        <v>14074</v>
      </c>
      <c r="K108" s="12" t="e">
        <f>VLOOKUP(A108,[3]VA05!$A:$K,11,FALSE)</f>
        <v>#N/A</v>
      </c>
      <c r="L108" s="10" t="s">
        <v>18</v>
      </c>
      <c r="M108" s="10" t="s">
        <v>197</v>
      </c>
    </row>
    <row r="109" spans="1:13" x14ac:dyDescent="0.25">
      <c r="A109" s="13" t="str">
        <f t="shared" si="2"/>
        <v>50714276530</v>
      </c>
      <c r="B109" s="10">
        <v>1004051408</v>
      </c>
      <c r="C109" s="10">
        <v>507142765</v>
      </c>
      <c r="D109" s="10">
        <v>30</v>
      </c>
      <c r="E109" s="10" t="s">
        <v>10</v>
      </c>
      <c r="F109" s="10">
        <v>1398384</v>
      </c>
      <c r="G109" s="10" t="s">
        <v>168</v>
      </c>
      <c r="H109" s="11">
        <v>34807</v>
      </c>
      <c r="I109" s="10">
        <v>0</v>
      </c>
      <c r="J109" s="11">
        <f t="shared" si="3"/>
        <v>34807</v>
      </c>
      <c r="K109" s="12">
        <f>VLOOKUP(A109,[3]VA05!$A:$K,11,FALSE)</f>
        <v>45569</v>
      </c>
      <c r="L109" s="10" t="s">
        <v>12</v>
      </c>
      <c r="M109" s="10" t="s">
        <v>143</v>
      </c>
    </row>
    <row r="110" spans="1:13" x14ac:dyDescent="0.25">
      <c r="A110" s="13" t="str">
        <f t="shared" si="2"/>
        <v>50714276540</v>
      </c>
      <c r="B110" s="10">
        <v>1004052528</v>
      </c>
      <c r="C110" s="10">
        <v>507142765</v>
      </c>
      <c r="D110" s="10">
        <v>40</v>
      </c>
      <c r="E110" s="10" t="s">
        <v>10</v>
      </c>
      <c r="F110" s="10">
        <v>1398384</v>
      </c>
      <c r="G110" s="10" t="s">
        <v>168</v>
      </c>
      <c r="H110" s="11">
        <v>35078</v>
      </c>
      <c r="I110" s="10">
        <v>0</v>
      </c>
      <c r="J110" s="11">
        <f t="shared" si="3"/>
        <v>35078</v>
      </c>
      <c r="K110" s="12">
        <f>VLOOKUP(A110,[3]VA05!$A:$K,11,FALSE)</f>
        <v>45576</v>
      </c>
      <c r="L110" s="10" t="s">
        <v>12</v>
      </c>
      <c r="M110" s="10" t="s">
        <v>195</v>
      </c>
    </row>
    <row r="111" spans="1:13" x14ac:dyDescent="0.25">
      <c r="A111" s="13" t="str">
        <f t="shared" si="2"/>
        <v>50714276550</v>
      </c>
      <c r="B111" s="10">
        <v>1004052529</v>
      </c>
      <c r="C111" s="10">
        <v>507142765</v>
      </c>
      <c r="D111" s="10">
        <v>50</v>
      </c>
      <c r="E111" s="10" t="s">
        <v>10</v>
      </c>
      <c r="F111" s="10">
        <v>1398384</v>
      </c>
      <c r="G111" s="10" t="s">
        <v>168</v>
      </c>
      <c r="H111" s="11">
        <v>45412</v>
      </c>
      <c r="I111" s="10">
        <v>0</v>
      </c>
      <c r="J111" s="11">
        <f t="shared" si="3"/>
        <v>45412</v>
      </c>
      <c r="K111" s="12">
        <f>VLOOKUP(A111,[3]VA05!$A:$K,11,FALSE)</f>
        <v>45583</v>
      </c>
      <c r="L111" s="10" t="s">
        <v>12</v>
      </c>
      <c r="M111" s="10" t="s">
        <v>194</v>
      </c>
    </row>
    <row r="112" spans="1:13" x14ac:dyDescent="0.25">
      <c r="A112" s="13" t="str">
        <f t="shared" si="2"/>
        <v>50714276560</v>
      </c>
      <c r="B112" s="10">
        <v>1004052530</v>
      </c>
      <c r="C112" s="10">
        <v>507142765</v>
      </c>
      <c r="D112" s="10">
        <v>60</v>
      </c>
      <c r="E112" s="10" t="s">
        <v>10</v>
      </c>
      <c r="F112" s="10">
        <v>1398384</v>
      </c>
      <c r="G112" s="10" t="s">
        <v>168</v>
      </c>
      <c r="H112" s="11">
        <v>45412</v>
      </c>
      <c r="I112" s="10">
        <v>0</v>
      </c>
      <c r="J112" s="11">
        <f t="shared" si="3"/>
        <v>45412</v>
      </c>
      <c r="K112" s="12">
        <f>VLOOKUP(A112,[3]VA05!$A:$K,11,FALSE)</f>
        <v>45590</v>
      </c>
      <c r="L112" s="10" t="s">
        <v>12</v>
      </c>
      <c r="M112" s="10" t="s">
        <v>179</v>
      </c>
    </row>
    <row r="113" spans="1:13" x14ac:dyDescent="0.25">
      <c r="A113" s="13" t="str">
        <f t="shared" si="2"/>
        <v>50714276520</v>
      </c>
      <c r="B113" s="10">
        <v>1004052533</v>
      </c>
      <c r="C113" s="10">
        <v>507142765</v>
      </c>
      <c r="D113" s="10">
        <v>20</v>
      </c>
      <c r="E113" s="10" t="s">
        <v>10</v>
      </c>
      <c r="F113" s="10">
        <v>1398385</v>
      </c>
      <c r="G113" s="10" t="s">
        <v>183</v>
      </c>
      <c r="H113" s="11">
        <v>23528</v>
      </c>
      <c r="I113" s="11">
        <v>14443</v>
      </c>
      <c r="J113" s="11">
        <f t="shared" si="3"/>
        <v>9085</v>
      </c>
      <c r="K113" s="12" t="e">
        <f>VLOOKUP(A113,[3]VA05!$A:$K,11,FALSE)</f>
        <v>#N/A</v>
      </c>
      <c r="L113" s="10" t="s">
        <v>18</v>
      </c>
      <c r="M113" s="10" t="s">
        <v>197</v>
      </c>
    </row>
    <row r="114" spans="1:13" x14ac:dyDescent="0.25">
      <c r="A114" s="13" t="str">
        <f t="shared" si="2"/>
        <v>50714276530</v>
      </c>
      <c r="B114" s="10">
        <v>1004052534</v>
      </c>
      <c r="C114" s="10">
        <v>507142765</v>
      </c>
      <c r="D114" s="10">
        <v>30</v>
      </c>
      <c r="E114" s="10" t="s">
        <v>10</v>
      </c>
      <c r="F114" s="10">
        <v>1398385</v>
      </c>
      <c r="G114" s="10" t="s">
        <v>183</v>
      </c>
      <c r="H114" s="11">
        <v>35852</v>
      </c>
      <c r="I114" s="10">
        <v>0</v>
      </c>
      <c r="J114" s="11">
        <f t="shared" si="3"/>
        <v>35852</v>
      </c>
      <c r="K114" s="12">
        <f>VLOOKUP(A114,[3]VA05!$A:$K,11,FALSE)</f>
        <v>45569</v>
      </c>
      <c r="L114" s="10" t="s">
        <v>12</v>
      </c>
      <c r="M114" s="10" t="s">
        <v>97</v>
      </c>
    </row>
    <row r="115" spans="1:13" x14ac:dyDescent="0.25">
      <c r="A115" s="13" t="str">
        <f t="shared" si="2"/>
        <v>50714276540</v>
      </c>
      <c r="B115" s="10">
        <v>1004052535</v>
      </c>
      <c r="C115" s="10">
        <v>507142765</v>
      </c>
      <c r="D115" s="10">
        <v>40</v>
      </c>
      <c r="E115" s="10" t="s">
        <v>10</v>
      </c>
      <c r="F115" s="10">
        <v>1398385</v>
      </c>
      <c r="G115" s="10" t="s">
        <v>183</v>
      </c>
      <c r="H115" s="11">
        <v>36131</v>
      </c>
      <c r="I115" s="10">
        <v>0</v>
      </c>
      <c r="J115" s="11">
        <f t="shared" si="3"/>
        <v>36131</v>
      </c>
      <c r="K115" s="12">
        <f>VLOOKUP(A115,[3]VA05!$A:$K,11,FALSE)</f>
        <v>45576</v>
      </c>
      <c r="L115" s="10" t="s">
        <v>12</v>
      </c>
      <c r="M115" s="10" t="s">
        <v>180</v>
      </c>
    </row>
    <row r="116" spans="1:13" x14ac:dyDescent="0.25">
      <c r="A116" s="13" t="str">
        <f t="shared" si="2"/>
        <v>50714276550</v>
      </c>
      <c r="B116" s="10">
        <v>1004052536</v>
      </c>
      <c r="C116" s="10">
        <v>507142765</v>
      </c>
      <c r="D116" s="10">
        <v>50</v>
      </c>
      <c r="E116" s="10" t="s">
        <v>10</v>
      </c>
      <c r="F116" s="10">
        <v>1398385</v>
      </c>
      <c r="G116" s="10" t="s">
        <v>183</v>
      </c>
      <c r="H116" s="11">
        <v>46775</v>
      </c>
      <c r="I116" s="10">
        <v>0</v>
      </c>
      <c r="J116" s="11">
        <f t="shared" si="3"/>
        <v>46775</v>
      </c>
      <c r="K116" s="12">
        <f>VLOOKUP(A116,[3]VA05!$A:$K,11,FALSE)</f>
        <v>45583</v>
      </c>
      <c r="L116" s="10" t="s">
        <v>12</v>
      </c>
      <c r="M116" s="10" t="s">
        <v>201</v>
      </c>
    </row>
    <row r="117" spans="1:13" x14ac:dyDescent="0.25">
      <c r="A117" s="13" t="str">
        <f t="shared" si="2"/>
        <v>50714276560</v>
      </c>
      <c r="B117" s="10">
        <v>1004052537</v>
      </c>
      <c r="C117" s="10">
        <v>507142765</v>
      </c>
      <c r="D117" s="10">
        <v>60</v>
      </c>
      <c r="E117" s="10" t="s">
        <v>10</v>
      </c>
      <c r="F117" s="10">
        <v>1398385</v>
      </c>
      <c r="G117" s="10" t="s">
        <v>183</v>
      </c>
      <c r="H117" s="11">
        <v>46775</v>
      </c>
      <c r="I117" s="10">
        <v>0</v>
      </c>
      <c r="J117" s="11">
        <f t="shared" si="3"/>
        <v>46775</v>
      </c>
      <c r="K117" s="12">
        <f>VLOOKUP(A117,[3]VA05!$A:$K,11,FALSE)</f>
        <v>45590</v>
      </c>
      <c r="L117" s="10" t="s">
        <v>12</v>
      </c>
      <c r="M117" s="10" t="s">
        <v>178</v>
      </c>
    </row>
    <row r="118" spans="1:13" x14ac:dyDescent="0.25">
      <c r="A118" s="13" t="str">
        <f t="shared" si="2"/>
        <v>50714276530</v>
      </c>
      <c r="B118" s="10">
        <v>1004052540</v>
      </c>
      <c r="C118" s="10">
        <v>507142765</v>
      </c>
      <c r="D118" s="10">
        <v>30</v>
      </c>
      <c r="E118" s="10" t="s">
        <v>10</v>
      </c>
      <c r="F118" s="10">
        <v>1398386</v>
      </c>
      <c r="G118" s="10" t="s">
        <v>184</v>
      </c>
      <c r="H118" s="11">
        <v>31642</v>
      </c>
      <c r="I118" s="11">
        <v>2610</v>
      </c>
      <c r="J118" s="11">
        <f t="shared" si="3"/>
        <v>29032</v>
      </c>
      <c r="K118" s="12">
        <f>VLOOKUP(A118,[3]VA05!$A:$K,11,FALSE)</f>
        <v>45569</v>
      </c>
      <c r="L118" s="10" t="s">
        <v>18</v>
      </c>
      <c r="M118" s="10" t="s">
        <v>162</v>
      </c>
    </row>
    <row r="119" spans="1:13" x14ac:dyDescent="0.25">
      <c r="A119" s="13" t="str">
        <f t="shared" si="2"/>
        <v>50714276540</v>
      </c>
      <c r="B119" s="10">
        <v>1004052541</v>
      </c>
      <c r="C119" s="10">
        <v>507142765</v>
      </c>
      <c r="D119" s="10">
        <v>40</v>
      </c>
      <c r="E119" s="10" t="s">
        <v>10</v>
      </c>
      <c r="F119" s="10">
        <v>1398386</v>
      </c>
      <c r="G119" s="10" t="s">
        <v>184</v>
      </c>
      <c r="H119" s="11">
        <v>31889</v>
      </c>
      <c r="I119" s="10">
        <v>0</v>
      </c>
      <c r="J119" s="11">
        <f t="shared" si="3"/>
        <v>31889</v>
      </c>
      <c r="K119" s="12">
        <f>VLOOKUP(A119,[3]VA05!$A:$K,11,FALSE)</f>
        <v>45576</v>
      </c>
      <c r="L119" s="10" t="s">
        <v>12</v>
      </c>
      <c r="M119" s="10" t="s">
        <v>156</v>
      </c>
    </row>
    <row r="120" spans="1:13" x14ac:dyDescent="0.25">
      <c r="A120" s="13" t="str">
        <f t="shared" si="2"/>
        <v>50714276550</v>
      </c>
      <c r="B120" s="10">
        <v>1004052543</v>
      </c>
      <c r="C120" s="10">
        <v>507142765</v>
      </c>
      <c r="D120" s="10">
        <v>50</v>
      </c>
      <c r="E120" s="10" t="s">
        <v>10</v>
      </c>
      <c r="F120" s="10">
        <v>1398386</v>
      </c>
      <c r="G120" s="10" t="s">
        <v>184</v>
      </c>
      <c r="H120" s="11">
        <v>41283</v>
      </c>
      <c r="I120" s="10">
        <v>0</v>
      </c>
      <c r="J120" s="11">
        <f t="shared" si="3"/>
        <v>41283</v>
      </c>
      <c r="K120" s="12">
        <f>VLOOKUP(A120,[3]VA05!$A:$K,11,FALSE)</f>
        <v>45583</v>
      </c>
      <c r="L120" s="10" t="s">
        <v>12</v>
      </c>
      <c r="M120" s="10" t="s">
        <v>202</v>
      </c>
    </row>
    <row r="121" spans="1:13" x14ac:dyDescent="0.25">
      <c r="A121" s="13" t="str">
        <f t="shared" si="2"/>
        <v>50714276560</v>
      </c>
      <c r="B121" s="10">
        <v>1004052544</v>
      </c>
      <c r="C121" s="10">
        <v>507142765</v>
      </c>
      <c r="D121" s="10">
        <v>60</v>
      </c>
      <c r="E121" s="10" t="s">
        <v>10</v>
      </c>
      <c r="F121" s="10">
        <v>1398386</v>
      </c>
      <c r="G121" s="10" t="s">
        <v>184</v>
      </c>
      <c r="H121" s="11">
        <v>41283</v>
      </c>
      <c r="I121" s="10">
        <v>0</v>
      </c>
      <c r="J121" s="11">
        <f t="shared" si="3"/>
        <v>41283</v>
      </c>
      <c r="K121" s="12">
        <f>VLOOKUP(A121,[3]VA05!$A:$K,11,FALSE)</f>
        <v>45590</v>
      </c>
      <c r="L121" s="10" t="s">
        <v>12</v>
      </c>
      <c r="M121" s="10" t="s">
        <v>191</v>
      </c>
    </row>
    <row r="122" spans="1:13" hidden="1" x14ac:dyDescent="0.25">
      <c r="A122" s="13" t="str">
        <f t="shared" si="2"/>
        <v>50714276630</v>
      </c>
      <c r="B122" s="10">
        <v>1004053439</v>
      </c>
      <c r="C122" s="10">
        <v>507142766</v>
      </c>
      <c r="D122" s="10">
        <v>30</v>
      </c>
      <c r="E122" s="10" t="s">
        <v>10</v>
      </c>
      <c r="F122" s="10">
        <v>1398746</v>
      </c>
      <c r="G122" s="10" t="s">
        <v>213</v>
      </c>
      <c r="H122" s="11">
        <v>34650</v>
      </c>
      <c r="I122" s="11">
        <v>34650</v>
      </c>
      <c r="J122" s="11">
        <f t="shared" si="3"/>
        <v>0</v>
      </c>
      <c r="K122" s="12">
        <f>VLOOKUP(A122,[3]VA05!$A:$K,11,FALSE)</f>
        <v>45596</v>
      </c>
      <c r="L122" s="10" t="s">
        <v>28</v>
      </c>
      <c r="M122" s="10" t="s">
        <v>194</v>
      </c>
    </row>
    <row r="123" spans="1:13" x14ac:dyDescent="0.25">
      <c r="A123" s="13" t="str">
        <f t="shared" si="2"/>
        <v>50714276630</v>
      </c>
      <c r="B123" s="10">
        <v>1004053435</v>
      </c>
      <c r="C123" s="10">
        <v>507142766</v>
      </c>
      <c r="D123" s="10">
        <v>30</v>
      </c>
      <c r="E123" s="10" t="s">
        <v>10</v>
      </c>
      <c r="F123" s="10">
        <v>1398747</v>
      </c>
      <c r="G123" s="10" t="s">
        <v>214</v>
      </c>
      <c r="H123" s="11">
        <v>31148</v>
      </c>
      <c r="I123" s="11">
        <v>22387</v>
      </c>
      <c r="J123" s="11">
        <f t="shared" si="3"/>
        <v>8761</v>
      </c>
      <c r="K123" s="12">
        <f>VLOOKUP(A123,[3]VA05!$A:$K,11,FALSE)</f>
        <v>45596</v>
      </c>
      <c r="L123" s="10" t="s">
        <v>18</v>
      </c>
      <c r="M123" s="10" t="s">
        <v>197</v>
      </c>
    </row>
    <row r="124" spans="1:13" x14ac:dyDescent="0.25">
      <c r="A124" s="13" t="str">
        <f t="shared" si="2"/>
        <v>50714270610</v>
      </c>
      <c r="B124" s="10">
        <v>1004052545</v>
      </c>
      <c r="C124" s="10">
        <v>507142706</v>
      </c>
      <c r="D124" s="10">
        <v>10</v>
      </c>
      <c r="E124" s="10" t="s">
        <v>10</v>
      </c>
      <c r="F124" s="10">
        <v>1152845</v>
      </c>
      <c r="G124" s="10" t="s">
        <v>185</v>
      </c>
      <c r="H124" s="11">
        <v>10262</v>
      </c>
      <c r="I124" s="10">
        <v>0</v>
      </c>
      <c r="J124" s="11">
        <f t="shared" si="3"/>
        <v>10262</v>
      </c>
      <c r="K124" s="12">
        <f>VLOOKUP(A124,[3]VA05!$A:$K,11,FALSE)</f>
        <v>45567</v>
      </c>
      <c r="L124" s="10" t="s">
        <v>13</v>
      </c>
      <c r="M124" s="10" t="s">
        <v>195</v>
      </c>
    </row>
    <row r="125" spans="1:13" x14ac:dyDescent="0.25">
      <c r="A125" s="13" t="str">
        <f t="shared" si="2"/>
        <v>50714283610</v>
      </c>
      <c r="B125" s="10">
        <v>1004058753</v>
      </c>
      <c r="C125" s="10">
        <v>507142836</v>
      </c>
      <c r="D125" s="10">
        <v>10</v>
      </c>
      <c r="E125" s="10" t="s">
        <v>10</v>
      </c>
      <c r="F125" s="10">
        <v>1152845</v>
      </c>
      <c r="G125" s="10" t="s">
        <v>185</v>
      </c>
      <c r="H125" s="11">
        <v>25821</v>
      </c>
      <c r="I125" s="10">
        <v>0</v>
      </c>
      <c r="J125" s="11">
        <f t="shared" si="3"/>
        <v>25821</v>
      </c>
      <c r="K125" s="12">
        <f>VLOOKUP(A125,[3]VA05!$A:$K,11,FALSE)</f>
        <v>45588</v>
      </c>
      <c r="L125" s="10" t="s">
        <v>119</v>
      </c>
      <c r="M125" s="10" t="s">
        <v>216</v>
      </c>
    </row>
    <row r="126" spans="1:13" x14ac:dyDescent="0.25">
      <c r="A126" s="13" t="str">
        <f t="shared" si="2"/>
        <v>50714283610</v>
      </c>
      <c r="B126" s="10">
        <v>1004061401</v>
      </c>
      <c r="C126" s="10">
        <v>507142836</v>
      </c>
      <c r="D126" s="10">
        <v>10</v>
      </c>
      <c r="E126" s="10" t="s">
        <v>10</v>
      </c>
      <c r="F126" s="10">
        <v>1206292</v>
      </c>
      <c r="G126" s="10" t="s">
        <v>257</v>
      </c>
      <c r="H126" s="11">
        <v>29436</v>
      </c>
      <c r="I126" s="10">
        <v>0</v>
      </c>
      <c r="J126" s="11">
        <f t="shared" si="3"/>
        <v>29436</v>
      </c>
      <c r="K126" s="12">
        <f>VLOOKUP(A126,[3]VA05!$A:$K,11,FALSE)</f>
        <v>45588</v>
      </c>
      <c r="L126" s="10" t="s">
        <v>12</v>
      </c>
      <c r="M126" s="10" t="s">
        <v>157</v>
      </c>
    </row>
    <row r="127" spans="1:13" hidden="1" x14ac:dyDescent="0.25">
      <c r="A127" s="13" t="str">
        <f t="shared" si="2"/>
        <v>50714270610</v>
      </c>
      <c r="B127" s="10">
        <v>1004060364</v>
      </c>
      <c r="C127" s="10">
        <v>507142706</v>
      </c>
      <c r="D127" s="10">
        <v>10</v>
      </c>
      <c r="E127" s="10" t="s">
        <v>24</v>
      </c>
      <c r="F127" s="10">
        <v>1207631</v>
      </c>
      <c r="G127" s="10" t="s">
        <v>186</v>
      </c>
      <c r="H127" s="11">
        <v>5000</v>
      </c>
      <c r="I127" s="10">
        <v>0</v>
      </c>
      <c r="J127" s="11">
        <f t="shared" si="3"/>
        <v>5000</v>
      </c>
      <c r="K127" s="12">
        <f>VLOOKUP(A127,[3]VA05!$A:$K,11,FALSE)</f>
        <v>45567</v>
      </c>
      <c r="L127" s="10" t="s">
        <v>29</v>
      </c>
      <c r="M127" s="10" t="s">
        <v>156</v>
      </c>
    </row>
    <row r="128" spans="1:13" x14ac:dyDescent="0.25">
      <c r="A128" s="13" t="str">
        <f t="shared" si="2"/>
        <v>50714271310</v>
      </c>
      <c r="B128" s="10">
        <v>1004052555</v>
      </c>
      <c r="C128" s="10">
        <v>507142713</v>
      </c>
      <c r="D128" s="10">
        <v>10</v>
      </c>
      <c r="E128" s="10" t="s">
        <v>10</v>
      </c>
      <c r="F128" s="10">
        <v>1172472</v>
      </c>
      <c r="G128" s="10" t="s">
        <v>86</v>
      </c>
      <c r="H128" s="11">
        <v>10524</v>
      </c>
      <c r="I128" s="10">
        <v>246</v>
      </c>
      <c r="J128" s="11">
        <f t="shared" si="3"/>
        <v>10278</v>
      </c>
      <c r="K128" s="12">
        <f>VLOOKUP(A128,[3]VA05!$A:$K,11,FALSE)</f>
        <v>45591</v>
      </c>
      <c r="L128" s="10" t="s">
        <v>18</v>
      </c>
      <c r="M128" s="10" t="s">
        <v>203</v>
      </c>
    </row>
    <row r="129" spans="1:13" x14ac:dyDescent="0.25">
      <c r="A129" s="13" t="str">
        <f t="shared" si="2"/>
        <v>50714271340</v>
      </c>
      <c r="B129" s="10">
        <v>1004052556</v>
      </c>
      <c r="C129" s="10">
        <v>507142713</v>
      </c>
      <c r="D129" s="10">
        <v>40</v>
      </c>
      <c r="E129" s="10" t="s">
        <v>10</v>
      </c>
      <c r="F129" s="10">
        <v>1172472</v>
      </c>
      <c r="G129" s="10" t="s">
        <v>86</v>
      </c>
      <c r="H129" s="11">
        <v>10524</v>
      </c>
      <c r="I129" s="10">
        <v>0</v>
      </c>
      <c r="J129" s="11">
        <f t="shared" si="3"/>
        <v>10524</v>
      </c>
      <c r="K129" s="12">
        <f>VLOOKUP(A129,[3]VA05!$A:$K,11,FALSE)</f>
        <v>45591</v>
      </c>
      <c r="L129" s="10" t="s">
        <v>12</v>
      </c>
      <c r="M129" s="10" t="s">
        <v>203</v>
      </c>
    </row>
    <row r="130" spans="1:13" hidden="1" x14ac:dyDescent="0.25">
      <c r="A130" s="13" t="str">
        <f t="shared" si="2"/>
        <v>50714241640</v>
      </c>
      <c r="B130" s="10">
        <v>1004035739</v>
      </c>
      <c r="C130" s="10">
        <v>507142416</v>
      </c>
      <c r="D130" s="10">
        <v>40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VLOOKUP(A130,[3]VA05!$A:$K,11,FALSE)</f>
        <v>45573</v>
      </c>
      <c r="L130" s="10" t="s">
        <v>260</v>
      </c>
      <c r="M130" s="10" t="s">
        <v>109</v>
      </c>
    </row>
    <row r="131" spans="1:13" x14ac:dyDescent="0.25">
      <c r="A131" s="13" t="str">
        <f t="shared" si="2"/>
        <v>507142416100</v>
      </c>
      <c r="B131" s="10">
        <v>1004052560</v>
      </c>
      <c r="C131" s="10">
        <v>507142416</v>
      </c>
      <c r="D131" s="10">
        <v>100</v>
      </c>
      <c r="E131" s="10" t="s">
        <v>10</v>
      </c>
      <c r="F131" s="10">
        <v>1171177</v>
      </c>
      <c r="G131" s="10" t="s">
        <v>88</v>
      </c>
      <c r="H131" s="11">
        <v>10170</v>
      </c>
      <c r="I131" s="11">
        <v>1654</v>
      </c>
      <c r="J131" s="11">
        <f t="shared" si="3"/>
        <v>8516</v>
      </c>
      <c r="K131" s="12">
        <f>VLOOKUP(A131,[3]VA05!$A:$K,11,FALSE)</f>
        <v>45580</v>
      </c>
      <c r="L131" s="10" t="s">
        <v>18</v>
      </c>
      <c r="M131" s="10" t="s">
        <v>179</v>
      </c>
    </row>
    <row r="132" spans="1:13" x14ac:dyDescent="0.25">
      <c r="A132" s="13" t="str">
        <f t="shared" ref="A132:A195" si="4">C132&amp;D132</f>
        <v>507142416190</v>
      </c>
      <c r="B132" s="10">
        <v>1004052561</v>
      </c>
      <c r="C132" s="10">
        <v>507142416</v>
      </c>
      <c r="D132" s="10">
        <v>190</v>
      </c>
      <c r="E132" s="10" t="s">
        <v>10</v>
      </c>
      <c r="F132" s="10">
        <v>1171177</v>
      </c>
      <c r="G132" s="10" t="s">
        <v>88</v>
      </c>
      <c r="H132" s="11">
        <v>10170</v>
      </c>
      <c r="I132" s="10">
        <v>0</v>
      </c>
      <c r="J132" s="11">
        <f t="shared" ref="J132:J195" si="5">H132-I132</f>
        <v>10170</v>
      </c>
      <c r="K132" s="12">
        <f>VLOOKUP(A132,[3]VA05!$A:$K,11,FALSE)</f>
        <v>45583</v>
      </c>
      <c r="L132" s="10" t="s">
        <v>12</v>
      </c>
      <c r="M132" s="10" t="s">
        <v>177</v>
      </c>
    </row>
    <row r="133" spans="1:13" x14ac:dyDescent="0.25">
      <c r="A133" s="13" t="str">
        <f t="shared" si="4"/>
        <v>507142416220</v>
      </c>
      <c r="B133" s="10">
        <v>1004052563</v>
      </c>
      <c r="C133" s="10">
        <v>507142416</v>
      </c>
      <c r="D133" s="10">
        <v>220</v>
      </c>
      <c r="E133" s="10" t="s">
        <v>10</v>
      </c>
      <c r="F133" s="10">
        <v>1171177</v>
      </c>
      <c r="G133" s="10" t="s">
        <v>88</v>
      </c>
      <c r="H133" s="11">
        <v>10170</v>
      </c>
      <c r="I133" s="10">
        <v>0</v>
      </c>
      <c r="J133" s="11">
        <f t="shared" si="5"/>
        <v>10170</v>
      </c>
      <c r="K133" s="12">
        <f>VLOOKUP(A133,[3]VA05!$A:$K,11,FALSE)</f>
        <v>45587</v>
      </c>
      <c r="L133" s="10" t="s">
        <v>12</v>
      </c>
      <c r="M133" s="10" t="s">
        <v>109</v>
      </c>
    </row>
    <row r="134" spans="1:13" x14ac:dyDescent="0.25">
      <c r="A134" s="13" t="str">
        <f t="shared" si="4"/>
        <v>50714271320</v>
      </c>
      <c r="B134" s="10">
        <v>1004052564</v>
      </c>
      <c r="C134" s="10">
        <v>507142713</v>
      </c>
      <c r="D134" s="10">
        <v>20</v>
      </c>
      <c r="E134" s="10" t="s">
        <v>10</v>
      </c>
      <c r="F134" s="10">
        <v>1171177</v>
      </c>
      <c r="G134" s="10" t="s">
        <v>88</v>
      </c>
      <c r="H134" s="11">
        <v>10170</v>
      </c>
      <c r="I134" s="10">
        <v>0</v>
      </c>
      <c r="J134" s="11">
        <f t="shared" si="5"/>
        <v>10170</v>
      </c>
      <c r="K134" s="12">
        <f>VLOOKUP(A134,[3]VA05!$A:$K,11,FALSE)</f>
        <v>45591</v>
      </c>
      <c r="L134" s="10" t="s">
        <v>12</v>
      </c>
      <c r="M134" s="10" t="s">
        <v>204</v>
      </c>
    </row>
    <row r="135" spans="1:13" x14ac:dyDescent="0.25">
      <c r="A135" s="13" t="str">
        <f t="shared" si="4"/>
        <v>50714271350</v>
      </c>
      <c r="B135" s="10">
        <v>1004052565</v>
      </c>
      <c r="C135" s="10">
        <v>507142713</v>
      </c>
      <c r="D135" s="10">
        <v>50</v>
      </c>
      <c r="E135" s="10" t="s">
        <v>10</v>
      </c>
      <c r="F135" s="10">
        <v>1171177</v>
      </c>
      <c r="G135" s="10" t="s">
        <v>88</v>
      </c>
      <c r="H135" s="11">
        <v>10170</v>
      </c>
      <c r="I135" s="10">
        <v>0</v>
      </c>
      <c r="J135" s="11">
        <f t="shared" si="5"/>
        <v>10170</v>
      </c>
      <c r="K135" s="12">
        <f>VLOOKUP(A135,[3]VA05!$A:$K,11,FALSE)</f>
        <v>45591</v>
      </c>
      <c r="L135" s="10" t="s">
        <v>12</v>
      </c>
      <c r="M135" s="10" t="s">
        <v>204</v>
      </c>
    </row>
    <row r="136" spans="1:13" x14ac:dyDescent="0.25">
      <c r="A136" s="13" t="str">
        <f t="shared" si="4"/>
        <v>507142416220</v>
      </c>
      <c r="B136" s="10">
        <v>1004052611</v>
      </c>
      <c r="C136" s="10">
        <v>507142416</v>
      </c>
      <c r="D136" s="10">
        <v>220</v>
      </c>
      <c r="E136" s="10" t="s">
        <v>10</v>
      </c>
      <c r="F136" s="10">
        <v>1171178</v>
      </c>
      <c r="G136" s="10" t="s">
        <v>87</v>
      </c>
      <c r="H136" s="11">
        <v>10170</v>
      </c>
      <c r="I136" s="11">
        <v>8760</v>
      </c>
      <c r="J136" s="11">
        <f t="shared" si="5"/>
        <v>1410</v>
      </c>
      <c r="K136" s="12">
        <f>VLOOKUP(A136,[3]VA05!$A:$K,11,FALSE)</f>
        <v>45587</v>
      </c>
      <c r="L136" s="10" t="s">
        <v>18</v>
      </c>
      <c r="M136" s="10" t="s">
        <v>109</v>
      </c>
    </row>
    <row r="137" spans="1:13" x14ac:dyDescent="0.25">
      <c r="A137" s="13" t="str">
        <f t="shared" si="4"/>
        <v>50714271320</v>
      </c>
      <c r="B137" s="10">
        <v>1004052612</v>
      </c>
      <c r="C137" s="10">
        <v>507142713</v>
      </c>
      <c r="D137" s="10">
        <v>20</v>
      </c>
      <c r="E137" s="10" t="s">
        <v>10</v>
      </c>
      <c r="F137" s="10">
        <v>1171178</v>
      </c>
      <c r="G137" s="10" t="s">
        <v>87</v>
      </c>
      <c r="H137" s="11">
        <v>10170</v>
      </c>
      <c r="I137" s="10">
        <v>0</v>
      </c>
      <c r="J137" s="11">
        <f t="shared" si="5"/>
        <v>10170</v>
      </c>
      <c r="K137" s="12">
        <f>VLOOKUP(A137,[3]VA05!$A:$K,11,FALSE)</f>
        <v>45591</v>
      </c>
      <c r="L137" s="10" t="s">
        <v>12</v>
      </c>
      <c r="M137" s="10" t="s">
        <v>204</v>
      </c>
    </row>
    <row r="138" spans="1:13" x14ac:dyDescent="0.25">
      <c r="A138" s="13" t="str">
        <f t="shared" si="4"/>
        <v>50714271350</v>
      </c>
      <c r="B138" s="10">
        <v>1004052613</v>
      </c>
      <c r="C138" s="10">
        <v>507142713</v>
      </c>
      <c r="D138" s="10">
        <v>50</v>
      </c>
      <c r="E138" s="10" t="s">
        <v>10</v>
      </c>
      <c r="F138" s="10">
        <v>1171178</v>
      </c>
      <c r="G138" s="10" t="s">
        <v>87</v>
      </c>
      <c r="H138" s="11">
        <v>10170</v>
      </c>
      <c r="I138" s="10">
        <v>0</v>
      </c>
      <c r="J138" s="11">
        <f t="shared" si="5"/>
        <v>10170</v>
      </c>
      <c r="K138" s="12">
        <f>VLOOKUP(A138,[3]VA05!$A:$K,11,FALSE)</f>
        <v>45591</v>
      </c>
      <c r="L138" s="10" t="s">
        <v>12</v>
      </c>
      <c r="M138" s="10" t="s">
        <v>204</v>
      </c>
    </row>
    <row r="139" spans="1:13" x14ac:dyDescent="0.25">
      <c r="A139" s="13" t="str">
        <f t="shared" si="4"/>
        <v>50714262630</v>
      </c>
      <c r="B139" s="10">
        <v>1004052617</v>
      </c>
      <c r="C139" s="10">
        <v>507142626</v>
      </c>
      <c r="D139" s="10">
        <v>30</v>
      </c>
      <c r="E139" s="10" t="s">
        <v>10</v>
      </c>
      <c r="F139" s="10">
        <v>1172030</v>
      </c>
      <c r="G139" s="10" t="s">
        <v>112</v>
      </c>
      <c r="H139" s="11">
        <v>29055</v>
      </c>
      <c r="I139" s="10">
        <v>0</v>
      </c>
      <c r="J139" s="11">
        <f t="shared" si="5"/>
        <v>29055</v>
      </c>
      <c r="K139" s="12">
        <f>VLOOKUP(A139,[3]VA05!$A:$K,11,FALSE)</f>
        <v>45590</v>
      </c>
      <c r="L139" s="10" t="s">
        <v>12</v>
      </c>
      <c r="M139" s="10" t="s">
        <v>154</v>
      </c>
    </row>
    <row r="140" spans="1:13" x14ac:dyDescent="0.25">
      <c r="A140" s="13" t="str">
        <f t="shared" si="4"/>
        <v>50714226520</v>
      </c>
      <c r="B140" s="10">
        <v>1004058766</v>
      </c>
      <c r="C140" s="10">
        <v>507142265</v>
      </c>
      <c r="D140" s="10">
        <v>20</v>
      </c>
      <c r="E140" s="10" t="s">
        <v>10</v>
      </c>
      <c r="F140" s="10">
        <v>1172347</v>
      </c>
      <c r="G140" s="10" t="s">
        <v>237</v>
      </c>
      <c r="H140" s="11">
        <v>40524</v>
      </c>
      <c r="I140" s="11">
        <v>14784</v>
      </c>
      <c r="J140" s="11">
        <f t="shared" si="5"/>
        <v>25740</v>
      </c>
      <c r="K140" s="12">
        <f>VLOOKUP(A140,[3]VA05!$A:$K,11,FALSE)</f>
        <v>45576</v>
      </c>
      <c r="L140" s="10" t="s">
        <v>11</v>
      </c>
      <c r="M140" s="10" t="s">
        <v>197</v>
      </c>
    </row>
    <row r="141" spans="1:13" x14ac:dyDescent="0.25">
      <c r="A141" s="13" t="str">
        <f t="shared" si="4"/>
        <v>50714270920</v>
      </c>
      <c r="B141" s="10">
        <v>1004061878</v>
      </c>
      <c r="C141" s="10">
        <v>507142709</v>
      </c>
      <c r="D141" s="10">
        <v>20</v>
      </c>
      <c r="E141" s="10" t="s">
        <v>10</v>
      </c>
      <c r="F141" s="10">
        <v>1172347</v>
      </c>
      <c r="G141" s="10" t="s">
        <v>237</v>
      </c>
      <c r="H141" s="11">
        <v>30393</v>
      </c>
      <c r="I141" s="10">
        <v>0</v>
      </c>
      <c r="J141" s="11">
        <f t="shared" si="5"/>
        <v>30393</v>
      </c>
      <c r="K141" s="12">
        <f>VLOOKUP(A141,[3]VA05!$A:$K,11,FALSE)</f>
        <v>45583</v>
      </c>
      <c r="L141" s="10" t="s">
        <v>12</v>
      </c>
      <c r="M141" s="10" t="s">
        <v>197</v>
      </c>
    </row>
    <row r="142" spans="1:13" x14ac:dyDescent="0.25">
      <c r="A142" s="13" t="str">
        <f t="shared" si="4"/>
        <v>50714271020</v>
      </c>
      <c r="B142" s="10">
        <v>1004061879</v>
      </c>
      <c r="C142" s="10">
        <v>507142710</v>
      </c>
      <c r="D142" s="10">
        <v>20</v>
      </c>
      <c r="E142" s="10" t="s">
        <v>10</v>
      </c>
      <c r="F142" s="10">
        <v>1172347</v>
      </c>
      <c r="G142" s="10" t="s">
        <v>237</v>
      </c>
      <c r="H142" s="11">
        <v>30393</v>
      </c>
      <c r="I142" s="10">
        <v>0</v>
      </c>
      <c r="J142" s="11">
        <f t="shared" si="5"/>
        <v>30393</v>
      </c>
      <c r="K142" s="12">
        <f>VLOOKUP(A142,[3]VA05!$A:$K,11,FALSE)</f>
        <v>45596</v>
      </c>
      <c r="L142" s="10" t="s">
        <v>12</v>
      </c>
      <c r="M142" s="10" t="s">
        <v>199</v>
      </c>
    </row>
    <row r="143" spans="1:13" hidden="1" x14ac:dyDescent="0.25">
      <c r="A143" s="13" t="str">
        <f t="shared" si="4"/>
        <v>50714170530</v>
      </c>
      <c r="B143" s="10">
        <v>1003946987</v>
      </c>
      <c r="C143" s="10">
        <v>507141705</v>
      </c>
      <c r="D143" s="10">
        <v>30</v>
      </c>
      <c r="E143" s="10" t="s">
        <v>10</v>
      </c>
      <c r="F143" s="10">
        <v>1167579</v>
      </c>
      <c r="G143" s="10" t="s">
        <v>19</v>
      </c>
      <c r="H143" s="11">
        <v>10195</v>
      </c>
      <c r="I143" s="10">
        <v>0</v>
      </c>
      <c r="J143" s="11">
        <f t="shared" si="5"/>
        <v>10195</v>
      </c>
      <c r="K143" s="12" t="e">
        <f>VLOOKUP(A143,[3]VA05!$A:$K,11,FALSE)</f>
        <v>#N/A</v>
      </c>
      <c r="L143" s="10" t="s">
        <v>260</v>
      </c>
      <c r="M143" s="10" t="s">
        <v>270</v>
      </c>
    </row>
    <row r="144" spans="1:13" x14ac:dyDescent="0.25">
      <c r="A144" s="13" t="str">
        <f t="shared" si="4"/>
        <v>50714276920</v>
      </c>
      <c r="B144" s="10">
        <v>1004054833</v>
      </c>
      <c r="C144" s="10">
        <v>507142769</v>
      </c>
      <c r="D144" s="10">
        <v>20</v>
      </c>
      <c r="E144" s="10" t="s">
        <v>10</v>
      </c>
      <c r="F144" s="10">
        <v>1173995</v>
      </c>
      <c r="G144" s="10" t="s">
        <v>20</v>
      </c>
      <c r="H144" s="11">
        <v>34793</v>
      </c>
      <c r="I144" s="11">
        <v>4400</v>
      </c>
      <c r="J144" s="11">
        <f t="shared" si="5"/>
        <v>30393</v>
      </c>
      <c r="K144" s="12">
        <f>VLOOKUP(A144,[3]VA05!$A:$K,11,FALSE)</f>
        <v>45575</v>
      </c>
      <c r="L144" s="10" t="s">
        <v>18</v>
      </c>
      <c r="M144" s="10" t="s">
        <v>201</v>
      </c>
    </row>
    <row r="145" spans="1:13" x14ac:dyDescent="0.25">
      <c r="A145" s="13" t="str">
        <f t="shared" si="4"/>
        <v>50714262610</v>
      </c>
      <c r="B145" s="10">
        <v>1004050514</v>
      </c>
      <c r="C145" s="10">
        <v>507142626</v>
      </c>
      <c r="D145" s="10">
        <v>10</v>
      </c>
      <c r="E145" s="10" t="s">
        <v>10</v>
      </c>
      <c r="F145" s="10">
        <v>1212641</v>
      </c>
      <c r="G145" s="10" t="s">
        <v>99</v>
      </c>
      <c r="H145" s="11">
        <v>25858</v>
      </c>
      <c r="I145" s="10">
        <v>0</v>
      </c>
      <c r="J145" s="11">
        <f t="shared" si="5"/>
        <v>25858</v>
      </c>
      <c r="K145" s="12">
        <f>VLOOKUP(A145,[3]VA05!$A:$K,11,FALSE)</f>
        <v>45590</v>
      </c>
      <c r="L145" s="10" t="s">
        <v>27</v>
      </c>
      <c r="M145" s="10" t="s">
        <v>162</v>
      </c>
    </row>
    <row r="146" spans="1:13" hidden="1" x14ac:dyDescent="0.25">
      <c r="A146" s="13" t="str">
        <f t="shared" si="4"/>
        <v>50714201220</v>
      </c>
      <c r="B146" s="10">
        <v>1003980075</v>
      </c>
      <c r="C146" s="10">
        <v>507142012</v>
      </c>
      <c r="D146" s="10">
        <v>20</v>
      </c>
      <c r="E146" s="10" t="s">
        <v>24</v>
      </c>
      <c r="F146" s="10">
        <v>1171484</v>
      </c>
      <c r="G146" s="10" t="s">
        <v>271</v>
      </c>
      <c r="H146" s="11">
        <v>4000</v>
      </c>
      <c r="I146" s="10">
        <v>0</v>
      </c>
      <c r="J146" s="11">
        <f t="shared" si="5"/>
        <v>4000</v>
      </c>
      <c r="K146" s="12" t="e">
        <f>VLOOKUP(A146,[3]VA05!$A:$K,11,FALSE)</f>
        <v>#N/A</v>
      </c>
      <c r="L146" s="10" t="s">
        <v>260</v>
      </c>
      <c r="M146" s="10" t="s">
        <v>272</v>
      </c>
    </row>
    <row r="147" spans="1:13" hidden="1" x14ac:dyDescent="0.25">
      <c r="A147" s="13" t="str">
        <f t="shared" si="4"/>
        <v>50714270910</v>
      </c>
      <c r="B147" s="10">
        <v>1004058762</v>
      </c>
      <c r="C147" s="10">
        <v>507142709</v>
      </c>
      <c r="D147" s="10">
        <v>10</v>
      </c>
      <c r="E147" s="10" t="s">
        <v>10</v>
      </c>
      <c r="F147" s="10">
        <v>1172346</v>
      </c>
      <c r="G147" s="10" t="s">
        <v>158</v>
      </c>
      <c r="H147" s="11">
        <v>34782</v>
      </c>
      <c r="I147" s="11">
        <v>34782</v>
      </c>
      <c r="J147" s="11">
        <f t="shared" si="5"/>
        <v>0</v>
      </c>
      <c r="K147" s="12">
        <f>VLOOKUP(A147,[3]VA05!$A:$K,11,FALSE)</f>
        <v>45583</v>
      </c>
      <c r="L147" s="10" t="s">
        <v>28</v>
      </c>
      <c r="M147" s="10" t="s">
        <v>162</v>
      </c>
    </row>
    <row r="148" spans="1:13" x14ac:dyDescent="0.25">
      <c r="A148" s="13" t="str">
        <f t="shared" si="4"/>
        <v>50714271010</v>
      </c>
      <c r="B148" s="10">
        <v>1004058763</v>
      </c>
      <c r="C148" s="10">
        <v>507142710</v>
      </c>
      <c r="D148" s="10">
        <v>10</v>
      </c>
      <c r="E148" s="10" t="s">
        <v>10</v>
      </c>
      <c r="F148" s="10">
        <v>1172346</v>
      </c>
      <c r="G148" s="10" t="s">
        <v>158</v>
      </c>
      <c r="H148" s="11">
        <v>34782</v>
      </c>
      <c r="I148" s="11">
        <v>1046</v>
      </c>
      <c r="J148" s="11">
        <f t="shared" si="5"/>
        <v>33736</v>
      </c>
      <c r="K148" s="12">
        <f>VLOOKUP(A148,[3]VA05!$A:$K,11,FALSE)</f>
        <v>45596</v>
      </c>
      <c r="L148" s="10" t="s">
        <v>18</v>
      </c>
      <c r="M148" s="10" t="s">
        <v>176</v>
      </c>
    </row>
    <row r="149" spans="1:13" x14ac:dyDescent="0.25">
      <c r="A149" s="13" t="str">
        <f t="shared" si="4"/>
        <v>50714239710</v>
      </c>
      <c r="B149" s="10">
        <v>1004054834</v>
      </c>
      <c r="C149" s="10">
        <v>507142397</v>
      </c>
      <c r="D149" s="10">
        <v>10</v>
      </c>
      <c r="E149" s="10" t="s">
        <v>10</v>
      </c>
      <c r="F149" s="10">
        <v>1195537</v>
      </c>
      <c r="G149" s="10" t="s">
        <v>220</v>
      </c>
      <c r="H149" s="11">
        <v>62346</v>
      </c>
      <c r="I149" s="10">
        <v>0</v>
      </c>
      <c r="J149" s="11">
        <f t="shared" si="5"/>
        <v>62346</v>
      </c>
      <c r="K149" s="12">
        <f>VLOOKUP(A149,[3]VA05!$A:$K,11,FALSE)</f>
        <v>45579</v>
      </c>
      <c r="L149" s="10" t="s">
        <v>25</v>
      </c>
      <c r="M149" s="10" t="s">
        <v>178</v>
      </c>
    </row>
    <row r="150" spans="1:13" x14ac:dyDescent="0.25">
      <c r="A150" s="13" t="str">
        <f t="shared" si="4"/>
        <v>50714247910</v>
      </c>
      <c r="B150" s="10">
        <v>1004054835</v>
      </c>
      <c r="C150" s="10">
        <v>507142479</v>
      </c>
      <c r="D150" s="10">
        <v>10</v>
      </c>
      <c r="E150" s="10" t="s">
        <v>10</v>
      </c>
      <c r="F150" s="10">
        <v>1195537</v>
      </c>
      <c r="G150" s="10" t="s">
        <v>220</v>
      </c>
      <c r="H150" s="11">
        <v>52994</v>
      </c>
      <c r="I150" s="10">
        <v>0</v>
      </c>
      <c r="J150" s="11">
        <f t="shared" si="5"/>
        <v>52994</v>
      </c>
      <c r="K150" s="12">
        <f>VLOOKUP(A150,[3]VA05!$A:$K,11,FALSE)</f>
        <v>45587</v>
      </c>
      <c r="L150" s="10" t="s">
        <v>12</v>
      </c>
      <c r="M150" s="10" t="s">
        <v>155</v>
      </c>
    </row>
    <row r="151" spans="1:13" x14ac:dyDescent="0.25">
      <c r="A151" s="13" t="str">
        <f t="shared" si="4"/>
        <v>50714248010</v>
      </c>
      <c r="B151" s="10">
        <v>1004052386</v>
      </c>
      <c r="C151" s="10">
        <v>507142480</v>
      </c>
      <c r="D151" s="10">
        <v>10</v>
      </c>
      <c r="E151" s="10" t="s">
        <v>10</v>
      </c>
      <c r="F151" s="10">
        <v>1191883</v>
      </c>
      <c r="G151" s="10" t="s">
        <v>125</v>
      </c>
      <c r="H151" s="11">
        <v>57584</v>
      </c>
      <c r="I151" s="11">
        <v>42089</v>
      </c>
      <c r="J151" s="11">
        <f t="shared" si="5"/>
        <v>15495</v>
      </c>
      <c r="K151" s="12">
        <f>VLOOKUP(A151,[3]VA05!$A:$K,11,FALSE)</f>
        <v>45587</v>
      </c>
      <c r="L151" s="10" t="s">
        <v>18</v>
      </c>
      <c r="M151" s="10" t="s">
        <v>195</v>
      </c>
    </row>
    <row r="152" spans="1:13" x14ac:dyDescent="0.25">
      <c r="A152" s="13" t="str">
        <f t="shared" si="4"/>
        <v>50714248010</v>
      </c>
      <c r="B152" s="10">
        <v>1004042840</v>
      </c>
      <c r="C152" s="10">
        <v>507142480</v>
      </c>
      <c r="D152" s="10">
        <v>10</v>
      </c>
      <c r="E152" s="10" t="s">
        <v>10</v>
      </c>
      <c r="F152" s="10">
        <v>1191882</v>
      </c>
      <c r="G152" s="10" t="s">
        <v>137</v>
      </c>
      <c r="H152" s="11">
        <v>51677</v>
      </c>
      <c r="I152" s="11">
        <v>43905</v>
      </c>
      <c r="J152" s="11">
        <f t="shared" si="5"/>
        <v>7772</v>
      </c>
      <c r="K152" s="12">
        <f>VLOOKUP(A152,[3]VA05!$A:$K,11,FALSE)</f>
        <v>45587</v>
      </c>
      <c r="L152" s="10" t="s">
        <v>11</v>
      </c>
      <c r="M152" s="10" t="s">
        <v>178</v>
      </c>
    </row>
    <row r="153" spans="1:13" hidden="1" x14ac:dyDescent="0.25">
      <c r="A153" s="13" t="str">
        <f t="shared" si="4"/>
        <v>50714248010</v>
      </c>
      <c r="B153" s="10">
        <v>1004062060</v>
      </c>
      <c r="C153" s="10">
        <v>507142480</v>
      </c>
      <c r="D153" s="10">
        <v>10</v>
      </c>
      <c r="E153" s="10" t="s">
        <v>24</v>
      </c>
      <c r="F153" s="10">
        <v>1191889</v>
      </c>
      <c r="G153" s="10" t="s">
        <v>126</v>
      </c>
      <c r="H153" s="11">
        <v>5000</v>
      </c>
      <c r="I153" s="10">
        <v>0</v>
      </c>
      <c r="J153" s="11">
        <f t="shared" si="5"/>
        <v>5000</v>
      </c>
      <c r="K153" s="12">
        <f>VLOOKUP(A153,[3]VA05!$A:$K,11,FALSE)</f>
        <v>45587</v>
      </c>
      <c r="L153" s="10" t="s">
        <v>12</v>
      </c>
      <c r="M153" s="10" t="s">
        <v>197</v>
      </c>
    </row>
    <row r="154" spans="1:13" hidden="1" x14ac:dyDescent="0.25">
      <c r="A154" s="13" t="str">
        <f t="shared" si="4"/>
        <v>50714223250</v>
      </c>
      <c r="B154" s="10">
        <v>1004029422</v>
      </c>
      <c r="C154" s="10">
        <v>507142232</v>
      </c>
      <c r="D154" s="10">
        <v>50</v>
      </c>
      <c r="E154" s="10" t="s">
        <v>24</v>
      </c>
      <c r="F154" s="10">
        <v>1317217</v>
      </c>
      <c r="G154" s="10" t="s">
        <v>273</v>
      </c>
      <c r="H154" s="11">
        <v>12500</v>
      </c>
      <c r="I154" s="10">
        <v>0</v>
      </c>
      <c r="J154" s="11">
        <f t="shared" si="5"/>
        <v>12500</v>
      </c>
      <c r="K154" s="12" t="e">
        <f>VLOOKUP(A154,[3]VA05!$A:$K,11,FALSE)</f>
        <v>#N/A</v>
      </c>
      <c r="L154" s="10" t="s">
        <v>260</v>
      </c>
      <c r="M154" s="10" t="s">
        <v>274</v>
      </c>
    </row>
    <row r="155" spans="1:13" x14ac:dyDescent="0.25">
      <c r="A155" s="13" t="str">
        <f t="shared" si="4"/>
        <v>50714278320</v>
      </c>
      <c r="B155" s="10">
        <v>1004056039</v>
      </c>
      <c r="C155" s="10">
        <v>507142783</v>
      </c>
      <c r="D155" s="10">
        <v>20</v>
      </c>
      <c r="E155" s="10" t="s">
        <v>10</v>
      </c>
      <c r="F155" s="10">
        <v>1161035</v>
      </c>
      <c r="G155" s="10" t="s">
        <v>222</v>
      </c>
      <c r="H155" s="11">
        <v>25747</v>
      </c>
      <c r="I155" s="10">
        <v>0</v>
      </c>
      <c r="J155" s="11">
        <f t="shared" si="5"/>
        <v>25747</v>
      </c>
      <c r="K155" s="12">
        <f>VLOOKUP(A155,[3]VA05!$A:$K,11,FALSE)</f>
        <v>45582</v>
      </c>
      <c r="L155" s="10" t="s">
        <v>13</v>
      </c>
      <c r="M155" s="10" t="s">
        <v>202</v>
      </c>
    </row>
    <row r="156" spans="1:13" x14ac:dyDescent="0.25">
      <c r="A156" s="13" t="str">
        <f t="shared" si="4"/>
        <v>50714271610</v>
      </c>
      <c r="B156" s="10">
        <v>1004056047</v>
      </c>
      <c r="C156" s="10">
        <v>507142716</v>
      </c>
      <c r="D156" s="10">
        <v>10</v>
      </c>
      <c r="E156" s="10" t="s">
        <v>10</v>
      </c>
      <c r="F156" s="10">
        <v>1159340</v>
      </c>
      <c r="G156" s="10" t="s">
        <v>223</v>
      </c>
      <c r="H156" s="11">
        <v>18391</v>
      </c>
      <c r="I156" s="10">
        <v>0</v>
      </c>
      <c r="J156" s="11">
        <f t="shared" si="5"/>
        <v>18391</v>
      </c>
      <c r="K156" s="12">
        <f>VLOOKUP(A156,[3]VA05!$A:$K,11,FALSE)</f>
        <v>45569</v>
      </c>
      <c r="L156" s="10" t="s">
        <v>13</v>
      </c>
      <c r="M156" s="10" t="s">
        <v>180</v>
      </c>
    </row>
    <row r="157" spans="1:13" x14ac:dyDescent="0.25">
      <c r="A157" s="13" t="str">
        <f t="shared" si="4"/>
        <v>50714279710</v>
      </c>
      <c r="B157" s="10">
        <v>1004058006</v>
      </c>
      <c r="C157" s="10">
        <v>507142797</v>
      </c>
      <c r="D157" s="10">
        <v>10</v>
      </c>
      <c r="E157" s="10" t="s">
        <v>10</v>
      </c>
      <c r="F157" s="10">
        <v>1161417</v>
      </c>
      <c r="G157" s="10" t="s">
        <v>228</v>
      </c>
      <c r="H157" s="11">
        <v>25543</v>
      </c>
      <c r="I157" s="10">
        <v>0</v>
      </c>
      <c r="J157" s="11">
        <f t="shared" si="5"/>
        <v>25543</v>
      </c>
      <c r="K157" s="12">
        <f>VLOOKUP(A157,[3]VA05!$A:$K,11,FALSE)</f>
        <v>45588</v>
      </c>
      <c r="L157" s="10" t="s">
        <v>13</v>
      </c>
      <c r="M157" s="10" t="s">
        <v>177</v>
      </c>
    </row>
    <row r="158" spans="1:13" x14ac:dyDescent="0.25">
      <c r="A158" s="13" t="str">
        <f t="shared" si="4"/>
        <v>50714278110</v>
      </c>
      <c r="B158" s="10">
        <v>1004058007</v>
      </c>
      <c r="C158" s="10">
        <v>507142781</v>
      </c>
      <c r="D158" s="10">
        <v>10</v>
      </c>
      <c r="E158" s="10" t="s">
        <v>10</v>
      </c>
      <c r="F158" s="10">
        <v>1161417</v>
      </c>
      <c r="G158" s="10" t="s">
        <v>228</v>
      </c>
      <c r="H158" s="11">
        <v>5109</v>
      </c>
      <c r="I158" s="10">
        <v>0</v>
      </c>
      <c r="J158" s="11">
        <f t="shared" si="5"/>
        <v>5109</v>
      </c>
      <c r="K158" s="12">
        <f>VLOOKUP(A158,[3]VA05!$A:$K,11,FALSE)</f>
        <v>45595</v>
      </c>
      <c r="L158" s="10" t="s">
        <v>13</v>
      </c>
      <c r="M158" s="10" t="s">
        <v>196</v>
      </c>
    </row>
    <row r="159" spans="1:13" x14ac:dyDescent="0.25">
      <c r="A159" s="13" t="str">
        <f t="shared" si="4"/>
        <v>50714271120</v>
      </c>
      <c r="B159" s="10">
        <v>1004058008</v>
      </c>
      <c r="C159" s="10">
        <v>507142711</v>
      </c>
      <c r="D159" s="10">
        <v>20</v>
      </c>
      <c r="E159" s="10" t="s">
        <v>10</v>
      </c>
      <c r="F159" s="10">
        <v>1161417</v>
      </c>
      <c r="G159" s="10" t="s">
        <v>228</v>
      </c>
      <c r="H159" s="11">
        <v>6845</v>
      </c>
      <c r="I159" s="10">
        <v>0</v>
      </c>
      <c r="J159" s="11">
        <f t="shared" si="5"/>
        <v>6845</v>
      </c>
      <c r="K159" s="12">
        <f>VLOOKUP(A159,[3]VA05!$A:$K,11,FALSE)</f>
        <v>45565</v>
      </c>
      <c r="L159" s="10" t="s">
        <v>12</v>
      </c>
      <c r="M159" s="10" t="s">
        <v>155</v>
      </c>
    </row>
    <row r="160" spans="1:13" hidden="1" x14ac:dyDescent="0.25">
      <c r="A160" s="13" t="str">
        <f t="shared" si="4"/>
        <v>50714259410</v>
      </c>
      <c r="B160" s="10">
        <v>1004042029</v>
      </c>
      <c r="C160" s="10">
        <v>507142594</v>
      </c>
      <c r="D160" s="10">
        <v>10</v>
      </c>
      <c r="E160" s="10" t="s">
        <v>10</v>
      </c>
      <c r="F160" s="10">
        <v>1307502</v>
      </c>
      <c r="G160" s="10" t="s">
        <v>127</v>
      </c>
      <c r="H160" s="11">
        <v>5220</v>
      </c>
      <c r="I160" s="11">
        <v>5220</v>
      </c>
      <c r="J160" s="11">
        <f t="shared" si="5"/>
        <v>0</v>
      </c>
      <c r="K160" s="12">
        <f>VLOOKUP(A160,[3]VA05!$A:$K,11,FALSE)</f>
        <v>45552</v>
      </c>
      <c r="L160" s="10" t="s">
        <v>34</v>
      </c>
      <c r="M160" s="10" t="s">
        <v>95</v>
      </c>
    </row>
    <row r="161" spans="1:13" hidden="1" x14ac:dyDescent="0.25">
      <c r="A161" s="13" t="str">
        <f t="shared" si="4"/>
        <v>50714259420</v>
      </c>
      <c r="B161" s="10">
        <v>1004042030</v>
      </c>
      <c r="C161" s="10">
        <v>507142594</v>
      </c>
      <c r="D161" s="10">
        <v>20</v>
      </c>
      <c r="E161" s="10" t="s">
        <v>10</v>
      </c>
      <c r="F161" s="10">
        <v>1307502</v>
      </c>
      <c r="G161" s="10" t="s">
        <v>127</v>
      </c>
      <c r="H161" s="11">
        <v>5220</v>
      </c>
      <c r="I161" s="11">
        <v>5220</v>
      </c>
      <c r="J161" s="11">
        <f t="shared" si="5"/>
        <v>0</v>
      </c>
      <c r="K161" s="12">
        <f>VLOOKUP(A161,[3]VA05!$A:$K,11,FALSE)</f>
        <v>45552</v>
      </c>
      <c r="L161" s="10" t="s">
        <v>34</v>
      </c>
      <c r="M161" s="10" t="s">
        <v>95</v>
      </c>
    </row>
    <row r="162" spans="1:13" hidden="1" x14ac:dyDescent="0.25">
      <c r="A162" s="13" t="str">
        <f t="shared" si="4"/>
        <v>50714259410</v>
      </c>
      <c r="B162" s="10">
        <v>1004060365</v>
      </c>
      <c r="C162" s="10">
        <v>507142594</v>
      </c>
      <c r="D162" s="10">
        <v>10</v>
      </c>
      <c r="E162" s="10" t="s">
        <v>24</v>
      </c>
      <c r="F162" s="10">
        <v>1307502</v>
      </c>
      <c r="G162" s="10" t="s">
        <v>127</v>
      </c>
      <c r="H162" s="11">
        <v>5000</v>
      </c>
      <c r="I162" s="10">
        <v>0</v>
      </c>
      <c r="J162" s="11">
        <f t="shared" si="5"/>
        <v>5000</v>
      </c>
      <c r="K162" s="12">
        <f>VLOOKUP(A162,[3]VA05!$A:$K,11,FALSE)</f>
        <v>45552</v>
      </c>
      <c r="L162" s="10" t="s">
        <v>13</v>
      </c>
      <c r="M162" s="10" t="s">
        <v>156</v>
      </c>
    </row>
    <row r="163" spans="1:13" x14ac:dyDescent="0.25">
      <c r="A163" s="13" t="str">
        <f t="shared" si="4"/>
        <v>50714266510</v>
      </c>
      <c r="B163" s="10">
        <v>1004060360</v>
      </c>
      <c r="C163" s="10">
        <v>507142665</v>
      </c>
      <c r="D163" s="10">
        <v>10</v>
      </c>
      <c r="E163" s="10" t="s">
        <v>10</v>
      </c>
      <c r="F163" s="10">
        <v>1209580</v>
      </c>
      <c r="G163" s="10" t="s">
        <v>100</v>
      </c>
      <c r="H163" s="11">
        <v>30651</v>
      </c>
      <c r="I163" s="10">
        <v>0</v>
      </c>
      <c r="J163" s="11">
        <f t="shared" si="5"/>
        <v>30651</v>
      </c>
      <c r="K163" s="12">
        <f>VLOOKUP(A163,[3]VA05!$A:$K,11,FALSE)</f>
        <v>45603</v>
      </c>
      <c r="L163" s="10" t="s">
        <v>27</v>
      </c>
      <c r="M163" s="10" t="s">
        <v>253</v>
      </c>
    </row>
    <row r="164" spans="1:13" x14ac:dyDescent="0.25">
      <c r="A164" s="13" t="str">
        <f t="shared" si="4"/>
        <v>50714244520</v>
      </c>
      <c r="B164" s="10">
        <v>1004053208</v>
      </c>
      <c r="C164" s="10">
        <v>507142445</v>
      </c>
      <c r="D164" s="10">
        <v>20</v>
      </c>
      <c r="E164" s="10" t="s">
        <v>10</v>
      </c>
      <c r="F164" s="10">
        <v>1210955</v>
      </c>
      <c r="G164" s="10" t="s">
        <v>215</v>
      </c>
      <c r="H164" s="11">
        <v>53210</v>
      </c>
      <c r="I164" s="10">
        <v>0</v>
      </c>
      <c r="J164" s="11">
        <f t="shared" si="5"/>
        <v>53210</v>
      </c>
      <c r="K164" s="12">
        <f>VLOOKUP(A164,[3]VA05!$A:$K,11,FALSE)</f>
        <v>45595</v>
      </c>
      <c r="L164" s="10" t="s">
        <v>239</v>
      </c>
      <c r="M164" s="10" t="s">
        <v>216</v>
      </c>
    </row>
    <row r="165" spans="1:13" x14ac:dyDescent="0.25">
      <c r="A165" s="13" t="str">
        <f t="shared" si="4"/>
        <v>50714244520</v>
      </c>
      <c r="B165" s="10">
        <v>1004052416</v>
      </c>
      <c r="C165" s="10">
        <v>507142445</v>
      </c>
      <c r="D165" s="10">
        <v>20</v>
      </c>
      <c r="E165" s="10" t="s">
        <v>10</v>
      </c>
      <c r="F165" s="10">
        <v>1259266</v>
      </c>
      <c r="G165" s="10" t="s">
        <v>64</v>
      </c>
      <c r="H165" s="11">
        <v>51912</v>
      </c>
      <c r="I165" s="10">
        <v>0</v>
      </c>
      <c r="J165" s="11">
        <f t="shared" si="5"/>
        <v>51912</v>
      </c>
      <c r="K165" s="12">
        <f>VLOOKUP(A165,[3]VA05!$A:$K,11,FALSE)</f>
        <v>45595</v>
      </c>
      <c r="L165" s="10" t="s">
        <v>239</v>
      </c>
      <c r="M165" s="10" t="s">
        <v>199</v>
      </c>
    </row>
    <row r="166" spans="1:13" x14ac:dyDescent="0.25">
      <c r="A166" s="13" t="str">
        <f t="shared" si="4"/>
        <v>50714244520</v>
      </c>
      <c r="B166" s="10">
        <v>1004052417</v>
      </c>
      <c r="C166" s="10">
        <v>507142445</v>
      </c>
      <c r="D166" s="10">
        <v>20</v>
      </c>
      <c r="E166" s="10" t="s">
        <v>10</v>
      </c>
      <c r="F166" s="10">
        <v>1259265</v>
      </c>
      <c r="G166" s="10" t="s">
        <v>187</v>
      </c>
      <c r="H166" s="11">
        <v>53210</v>
      </c>
      <c r="I166" s="10">
        <v>0</v>
      </c>
      <c r="J166" s="11">
        <f t="shared" si="5"/>
        <v>53210</v>
      </c>
      <c r="K166" s="12">
        <f>VLOOKUP(A166,[3]VA05!$A:$K,11,FALSE)</f>
        <v>45595</v>
      </c>
      <c r="L166" s="10" t="s">
        <v>12</v>
      </c>
      <c r="M166" s="10" t="s">
        <v>202</v>
      </c>
    </row>
    <row r="167" spans="1:13" x14ac:dyDescent="0.25">
      <c r="A167" s="13" t="str">
        <f t="shared" si="4"/>
        <v>50714264710</v>
      </c>
      <c r="B167" s="10">
        <v>1004045115</v>
      </c>
      <c r="C167" s="10">
        <v>507142647</v>
      </c>
      <c r="D167" s="10">
        <v>10</v>
      </c>
      <c r="E167" s="10" t="s">
        <v>10</v>
      </c>
      <c r="F167" s="10">
        <v>1168128</v>
      </c>
      <c r="G167" s="10" t="s">
        <v>77</v>
      </c>
      <c r="H167" s="11">
        <v>54355</v>
      </c>
      <c r="I167" s="11">
        <v>30712</v>
      </c>
      <c r="J167" s="11">
        <f t="shared" si="5"/>
        <v>23643</v>
      </c>
      <c r="K167" s="12">
        <f>VLOOKUP(A167,[3]VA05!$A:$K,11,FALSE)</f>
        <v>45565</v>
      </c>
      <c r="L167" s="10" t="s">
        <v>18</v>
      </c>
      <c r="M167" s="10" t="s">
        <v>154</v>
      </c>
    </row>
    <row r="168" spans="1:13" x14ac:dyDescent="0.25">
      <c r="A168" s="13" t="str">
        <f t="shared" si="4"/>
        <v>50714278810</v>
      </c>
      <c r="B168" s="10">
        <v>1004053488</v>
      </c>
      <c r="C168" s="10">
        <v>507142788</v>
      </c>
      <c r="D168" s="10">
        <v>10</v>
      </c>
      <c r="E168" s="10" t="s">
        <v>10</v>
      </c>
      <c r="F168" s="10">
        <v>1168128</v>
      </c>
      <c r="G168" s="10" t="s">
        <v>77</v>
      </c>
      <c r="H168" s="11">
        <v>56529</v>
      </c>
      <c r="I168" s="10">
        <v>0</v>
      </c>
      <c r="J168" s="11">
        <f t="shared" si="5"/>
        <v>56529</v>
      </c>
      <c r="K168" s="12">
        <f>VLOOKUP(A168,[3]VA05!$A:$K,11,FALSE)</f>
        <v>45582</v>
      </c>
      <c r="L168" s="10" t="s">
        <v>12</v>
      </c>
      <c r="M168" s="10" t="s">
        <v>162</v>
      </c>
    </row>
    <row r="169" spans="1:13" x14ac:dyDescent="0.25">
      <c r="A169" s="13" t="str">
        <f t="shared" si="4"/>
        <v>50714264830</v>
      </c>
      <c r="B169" s="10">
        <v>1004062197</v>
      </c>
      <c r="C169" s="10">
        <v>507142648</v>
      </c>
      <c r="D169" s="10">
        <v>30</v>
      </c>
      <c r="E169" s="10" t="s">
        <v>10</v>
      </c>
      <c r="F169" s="10">
        <v>1168128</v>
      </c>
      <c r="G169" s="10" t="s">
        <v>77</v>
      </c>
      <c r="H169" s="11">
        <v>40343</v>
      </c>
      <c r="I169" s="10">
        <v>0</v>
      </c>
      <c r="J169" s="11">
        <f t="shared" si="5"/>
        <v>40343</v>
      </c>
      <c r="K169" s="12">
        <f>VLOOKUP(A169,[3]VA05!$A:$K,11,FALSE)</f>
        <v>45581</v>
      </c>
      <c r="L169" s="10" t="s">
        <v>12</v>
      </c>
      <c r="M169" s="10" t="s">
        <v>197</v>
      </c>
    </row>
    <row r="170" spans="1:13" x14ac:dyDescent="0.25">
      <c r="A170" s="13" t="str">
        <f t="shared" si="4"/>
        <v>50714268910</v>
      </c>
      <c r="B170" s="10">
        <v>1004062199</v>
      </c>
      <c r="C170" s="10">
        <v>507142689</v>
      </c>
      <c r="D170" s="10">
        <v>10</v>
      </c>
      <c r="E170" s="10" t="s">
        <v>10</v>
      </c>
      <c r="F170" s="10">
        <v>1168128</v>
      </c>
      <c r="G170" s="10" t="s">
        <v>77</v>
      </c>
      <c r="H170" s="11">
        <v>23177</v>
      </c>
      <c r="I170" s="10">
        <v>0</v>
      </c>
      <c r="J170" s="11">
        <f t="shared" si="5"/>
        <v>23177</v>
      </c>
      <c r="K170" s="12">
        <f>VLOOKUP(A170,[3]VA05!$A:$K,11,FALSE)</f>
        <v>45558</v>
      </c>
      <c r="L170" s="10" t="s">
        <v>12</v>
      </c>
      <c r="M170" s="10" t="s">
        <v>197</v>
      </c>
    </row>
    <row r="171" spans="1:13" x14ac:dyDescent="0.25">
      <c r="A171" s="13" t="str">
        <f t="shared" si="4"/>
        <v>50714282810</v>
      </c>
      <c r="B171" s="10">
        <v>1004062200</v>
      </c>
      <c r="C171" s="10">
        <v>507142828</v>
      </c>
      <c r="D171" s="10">
        <v>10</v>
      </c>
      <c r="E171" s="10" t="s">
        <v>10</v>
      </c>
      <c r="F171" s="10">
        <v>1168128</v>
      </c>
      <c r="G171" s="10" t="s">
        <v>77</v>
      </c>
      <c r="H171" s="11">
        <v>122842</v>
      </c>
      <c r="I171" s="10">
        <v>0</v>
      </c>
      <c r="J171" s="11">
        <f t="shared" si="5"/>
        <v>122842</v>
      </c>
      <c r="K171" s="12">
        <f>VLOOKUP(A171,[3]VA05!$A:$K,11,FALSE)</f>
        <v>45588</v>
      </c>
      <c r="L171" s="10" t="s">
        <v>12</v>
      </c>
      <c r="M171" s="10" t="s">
        <v>197</v>
      </c>
    </row>
    <row r="172" spans="1:13" x14ac:dyDescent="0.25">
      <c r="A172" s="13" t="str">
        <f t="shared" si="4"/>
        <v>50714264910</v>
      </c>
      <c r="B172" s="10">
        <v>1004038445</v>
      </c>
      <c r="C172" s="10">
        <v>507142649</v>
      </c>
      <c r="D172" s="10">
        <v>10</v>
      </c>
      <c r="E172" s="10" t="s">
        <v>10</v>
      </c>
      <c r="F172" s="10">
        <v>1168125</v>
      </c>
      <c r="G172" s="10" t="s">
        <v>32</v>
      </c>
      <c r="H172" s="11">
        <v>51094</v>
      </c>
      <c r="I172" s="11">
        <v>46617</v>
      </c>
      <c r="J172" s="11">
        <f t="shared" si="5"/>
        <v>4477</v>
      </c>
      <c r="K172" s="12" t="e">
        <f>VLOOKUP(A172,[3]VA05!$A:$K,11,FALSE)</f>
        <v>#N/A</v>
      </c>
      <c r="L172" s="10" t="s">
        <v>18</v>
      </c>
      <c r="M172" s="10" t="s">
        <v>154</v>
      </c>
    </row>
    <row r="173" spans="1:13" x14ac:dyDescent="0.25">
      <c r="A173" s="13" t="str">
        <f t="shared" si="4"/>
        <v>50714269110</v>
      </c>
      <c r="B173" s="10">
        <v>1004062041</v>
      </c>
      <c r="C173" s="10">
        <v>507142691</v>
      </c>
      <c r="D173" s="10">
        <v>10</v>
      </c>
      <c r="E173" s="10" t="s">
        <v>10</v>
      </c>
      <c r="F173" s="10">
        <v>1168125</v>
      </c>
      <c r="G173" s="10" t="s">
        <v>32</v>
      </c>
      <c r="H173" s="11">
        <v>51094</v>
      </c>
      <c r="I173" s="10">
        <v>0</v>
      </c>
      <c r="J173" s="11">
        <f t="shared" si="5"/>
        <v>51094</v>
      </c>
      <c r="K173" s="12">
        <f>VLOOKUP(A173,[3]VA05!$A:$K,11,FALSE)</f>
        <v>45569</v>
      </c>
      <c r="L173" s="10" t="s">
        <v>12</v>
      </c>
      <c r="M173" s="10" t="s">
        <v>197</v>
      </c>
    </row>
    <row r="174" spans="1:13" x14ac:dyDescent="0.25">
      <c r="A174" s="13" t="str">
        <f t="shared" si="4"/>
        <v>50714278810</v>
      </c>
      <c r="B174" s="10">
        <v>1004062042</v>
      </c>
      <c r="C174" s="10">
        <v>507142788</v>
      </c>
      <c r="D174" s="10">
        <v>10</v>
      </c>
      <c r="E174" s="10" t="s">
        <v>10</v>
      </c>
      <c r="F174" s="10">
        <v>1168125</v>
      </c>
      <c r="G174" s="10" t="s">
        <v>32</v>
      </c>
      <c r="H174" s="11">
        <v>56529</v>
      </c>
      <c r="I174" s="10">
        <v>0</v>
      </c>
      <c r="J174" s="11">
        <f t="shared" si="5"/>
        <v>56529</v>
      </c>
      <c r="K174" s="12">
        <f>VLOOKUP(A174,[3]VA05!$A:$K,11,FALSE)</f>
        <v>45582</v>
      </c>
      <c r="L174" s="10" t="s">
        <v>12</v>
      </c>
      <c r="M174" s="10" t="s">
        <v>162</v>
      </c>
    </row>
    <row r="175" spans="1:13" x14ac:dyDescent="0.25">
      <c r="A175" s="13" t="str">
        <f t="shared" si="4"/>
        <v>50714282810</v>
      </c>
      <c r="B175" s="10">
        <v>1004062043</v>
      </c>
      <c r="C175" s="10">
        <v>507142828</v>
      </c>
      <c r="D175" s="10">
        <v>10</v>
      </c>
      <c r="E175" s="10" t="s">
        <v>10</v>
      </c>
      <c r="F175" s="10">
        <v>1168125</v>
      </c>
      <c r="G175" s="10" t="s">
        <v>32</v>
      </c>
      <c r="H175" s="11">
        <v>122842</v>
      </c>
      <c r="I175" s="10">
        <v>0</v>
      </c>
      <c r="J175" s="11">
        <f t="shared" si="5"/>
        <v>122842</v>
      </c>
      <c r="K175" s="12">
        <f>VLOOKUP(A175,[3]VA05!$A:$K,11,FALSE)</f>
        <v>45588</v>
      </c>
      <c r="L175" s="10" t="s">
        <v>12</v>
      </c>
      <c r="M175" s="10" t="s">
        <v>197</v>
      </c>
    </row>
    <row r="176" spans="1:13" x14ac:dyDescent="0.25">
      <c r="A176" s="13" t="str">
        <f t="shared" si="4"/>
        <v>50714268810</v>
      </c>
      <c r="B176" s="10">
        <v>1004051400</v>
      </c>
      <c r="C176" s="10">
        <v>507142688</v>
      </c>
      <c r="D176" s="10">
        <v>10</v>
      </c>
      <c r="E176" s="10" t="s">
        <v>10</v>
      </c>
      <c r="F176" s="10">
        <v>1430111</v>
      </c>
      <c r="G176" s="10" t="s">
        <v>101</v>
      </c>
      <c r="H176" s="11">
        <v>122842</v>
      </c>
      <c r="I176" s="11">
        <v>84034</v>
      </c>
      <c r="J176" s="11">
        <f t="shared" si="5"/>
        <v>38808</v>
      </c>
      <c r="K176" s="12">
        <f>VLOOKUP(A176,[3]VA05!$A:$K,11,FALSE)</f>
        <v>45567</v>
      </c>
      <c r="L176" s="10" t="s">
        <v>18</v>
      </c>
      <c r="M176" s="10" t="s">
        <v>107</v>
      </c>
    </row>
    <row r="177" spans="1:13" x14ac:dyDescent="0.25">
      <c r="A177" s="13" t="str">
        <f t="shared" si="4"/>
        <v>50714239390</v>
      </c>
      <c r="B177" s="10">
        <v>1004032826</v>
      </c>
      <c r="C177" s="10">
        <v>507142393</v>
      </c>
      <c r="D177" s="10">
        <v>90</v>
      </c>
      <c r="E177" s="10" t="s">
        <v>10</v>
      </c>
      <c r="F177" s="10">
        <v>1416752</v>
      </c>
      <c r="G177" s="10" t="s">
        <v>52</v>
      </c>
      <c r="H177" s="11">
        <v>47012</v>
      </c>
      <c r="I177" s="11">
        <v>38740</v>
      </c>
      <c r="J177" s="11">
        <f t="shared" si="5"/>
        <v>8272</v>
      </c>
      <c r="K177" s="12" t="e">
        <f>VLOOKUP(A177,[3]VA05!$A:$K,11,FALSE)</f>
        <v>#N/A</v>
      </c>
      <c r="L177" s="10" t="s">
        <v>11</v>
      </c>
      <c r="M177" s="10" t="s">
        <v>73</v>
      </c>
    </row>
    <row r="178" spans="1:13" x14ac:dyDescent="0.25">
      <c r="A178" s="13" t="str">
        <f t="shared" si="4"/>
        <v>507142416150</v>
      </c>
      <c r="B178" s="10">
        <v>1004052419</v>
      </c>
      <c r="C178" s="10">
        <v>507142416</v>
      </c>
      <c r="D178" s="10">
        <v>150</v>
      </c>
      <c r="E178" s="10" t="s">
        <v>10</v>
      </c>
      <c r="F178" s="10">
        <v>1269350</v>
      </c>
      <c r="G178" s="10" t="s">
        <v>188</v>
      </c>
      <c r="H178" s="11">
        <v>10439</v>
      </c>
      <c r="I178" s="10">
        <v>0</v>
      </c>
      <c r="J178" s="11">
        <f t="shared" si="5"/>
        <v>10439</v>
      </c>
      <c r="K178" s="12">
        <f>VLOOKUP(A178,[3]VA05!$A:$K,11,FALSE)</f>
        <v>45576</v>
      </c>
      <c r="L178" s="10" t="s">
        <v>12</v>
      </c>
      <c r="M178" s="10" t="s">
        <v>156</v>
      </c>
    </row>
    <row r="179" spans="1:13" x14ac:dyDescent="0.25">
      <c r="A179" s="13" t="str">
        <f t="shared" si="4"/>
        <v>50714268820</v>
      </c>
      <c r="B179" s="10">
        <v>1004052420</v>
      </c>
      <c r="C179" s="10">
        <v>507142688</v>
      </c>
      <c r="D179" s="10">
        <v>20</v>
      </c>
      <c r="E179" s="10" t="s">
        <v>10</v>
      </c>
      <c r="F179" s="10">
        <v>1430096</v>
      </c>
      <c r="G179" s="10" t="s">
        <v>93</v>
      </c>
      <c r="H179" s="11">
        <v>134120</v>
      </c>
      <c r="I179" s="11">
        <v>94784</v>
      </c>
      <c r="J179" s="11">
        <f t="shared" si="5"/>
        <v>39336</v>
      </c>
      <c r="K179" s="12">
        <f>VLOOKUP(A179,[3]VA05!$A:$K,11,FALSE)</f>
        <v>45567</v>
      </c>
      <c r="L179" s="10" t="s">
        <v>18</v>
      </c>
      <c r="M179" s="10" t="s">
        <v>195</v>
      </c>
    </row>
    <row r="180" spans="1:13" x14ac:dyDescent="0.25">
      <c r="A180" s="13" t="str">
        <f t="shared" si="4"/>
        <v>50714264820</v>
      </c>
      <c r="B180" s="10">
        <v>1004034229</v>
      </c>
      <c r="C180" s="10">
        <v>507142648</v>
      </c>
      <c r="D180" s="10">
        <v>20</v>
      </c>
      <c r="E180" s="10" t="s">
        <v>10</v>
      </c>
      <c r="F180" s="10">
        <v>1421506</v>
      </c>
      <c r="G180" s="10" t="s">
        <v>75</v>
      </c>
      <c r="H180" s="11">
        <v>106418</v>
      </c>
      <c r="I180" s="11">
        <v>104960</v>
      </c>
      <c r="J180" s="11">
        <f t="shared" si="5"/>
        <v>1458</v>
      </c>
      <c r="K180" s="12" t="e">
        <f>VLOOKUP(A180,[3]VA05!$A:$K,11,FALSE)</f>
        <v>#N/A</v>
      </c>
      <c r="L180" s="10" t="s">
        <v>18</v>
      </c>
      <c r="M180" s="10" t="s">
        <v>96</v>
      </c>
    </row>
    <row r="181" spans="1:13" x14ac:dyDescent="0.25">
      <c r="A181" s="13" t="str">
        <f t="shared" si="4"/>
        <v>50714268920</v>
      </c>
      <c r="B181" s="10">
        <v>1004041355</v>
      </c>
      <c r="C181" s="10">
        <v>507142689</v>
      </c>
      <c r="D181" s="10">
        <v>20</v>
      </c>
      <c r="E181" s="10" t="s">
        <v>10</v>
      </c>
      <c r="F181" s="10">
        <v>1187156</v>
      </c>
      <c r="G181" s="10" t="s">
        <v>80</v>
      </c>
      <c r="H181" s="11">
        <v>85860</v>
      </c>
      <c r="I181" s="11">
        <v>28066</v>
      </c>
      <c r="J181" s="11">
        <f t="shared" si="5"/>
        <v>57794</v>
      </c>
      <c r="K181" s="12">
        <f>VLOOKUP(A181,[3]VA05!$A:$K,11,FALSE)</f>
        <v>45558</v>
      </c>
      <c r="L181" s="10" t="s">
        <v>18</v>
      </c>
      <c r="M181" s="10" t="s">
        <v>131</v>
      </c>
    </row>
    <row r="182" spans="1:13" x14ac:dyDescent="0.25">
      <c r="A182" s="13" t="str">
        <f t="shared" si="4"/>
        <v>50714278820</v>
      </c>
      <c r="B182" s="10">
        <v>1004058947</v>
      </c>
      <c r="C182" s="10">
        <v>507142788</v>
      </c>
      <c r="D182" s="10">
        <v>20</v>
      </c>
      <c r="E182" s="10" t="s">
        <v>10</v>
      </c>
      <c r="F182" s="10">
        <v>1187156</v>
      </c>
      <c r="G182" s="10" t="s">
        <v>80</v>
      </c>
      <c r="H182" s="11">
        <v>62884</v>
      </c>
      <c r="I182" s="10">
        <v>0</v>
      </c>
      <c r="J182" s="11">
        <f t="shared" si="5"/>
        <v>62884</v>
      </c>
      <c r="K182" s="12">
        <f>VLOOKUP(A182,[3]VA05!$A:$K,11,FALSE)</f>
        <v>45582</v>
      </c>
      <c r="L182" s="10" t="s">
        <v>12</v>
      </c>
      <c r="M182" s="10" t="s">
        <v>156</v>
      </c>
    </row>
    <row r="183" spans="1:13" hidden="1" x14ac:dyDescent="0.25">
      <c r="A183" s="13" t="str">
        <f t="shared" si="4"/>
        <v>50714208240</v>
      </c>
      <c r="B183" s="10">
        <v>1003985006</v>
      </c>
      <c r="C183" s="10">
        <v>507142082</v>
      </c>
      <c r="D183" s="10">
        <v>40</v>
      </c>
      <c r="E183" s="10" t="s">
        <v>24</v>
      </c>
      <c r="F183" s="10">
        <v>1171152</v>
      </c>
      <c r="G183" s="10" t="s">
        <v>275</v>
      </c>
      <c r="H183" s="11">
        <v>27812</v>
      </c>
      <c r="I183" s="10">
        <v>0</v>
      </c>
      <c r="J183" s="11">
        <f t="shared" si="5"/>
        <v>27812</v>
      </c>
      <c r="K183" s="12" t="e">
        <f>VLOOKUP(A183,[3]VA05!$A:$K,11,FALSE)</f>
        <v>#N/A</v>
      </c>
      <c r="L183" s="10" t="s">
        <v>260</v>
      </c>
      <c r="M183" s="10" t="s">
        <v>276</v>
      </c>
    </row>
    <row r="184" spans="1:13" x14ac:dyDescent="0.25">
      <c r="A184" s="13" t="str">
        <f t="shared" si="4"/>
        <v>507142416140</v>
      </c>
      <c r="B184" s="10">
        <v>1004051396</v>
      </c>
      <c r="C184" s="10">
        <v>507142416</v>
      </c>
      <c r="D184" s="10">
        <v>140</v>
      </c>
      <c r="E184" s="10" t="s">
        <v>10</v>
      </c>
      <c r="F184" s="10">
        <v>1269354</v>
      </c>
      <c r="G184" s="10" t="s">
        <v>169</v>
      </c>
      <c r="H184" s="11">
        <v>10217</v>
      </c>
      <c r="I184" s="10">
        <v>0</v>
      </c>
      <c r="J184" s="11">
        <f t="shared" si="5"/>
        <v>10217</v>
      </c>
      <c r="K184" s="12">
        <f>VLOOKUP(A184,[3]VA05!$A:$K,11,FALSE)</f>
        <v>45576</v>
      </c>
      <c r="L184" s="10" t="s">
        <v>25</v>
      </c>
      <c r="M184" s="10" t="s">
        <v>162</v>
      </c>
    </row>
    <row r="185" spans="1:13" x14ac:dyDescent="0.25">
      <c r="A185" s="13" t="str">
        <f t="shared" si="4"/>
        <v>507142416120</v>
      </c>
      <c r="B185" s="10">
        <v>1004058990</v>
      </c>
      <c r="C185" s="10">
        <v>507142416</v>
      </c>
      <c r="D185" s="10">
        <v>120</v>
      </c>
      <c r="E185" s="10" t="s">
        <v>10</v>
      </c>
      <c r="F185" s="10">
        <v>1255973</v>
      </c>
      <c r="G185" s="10" t="s">
        <v>238</v>
      </c>
      <c r="H185" s="11">
        <v>10217</v>
      </c>
      <c r="I185" s="10">
        <v>0</v>
      </c>
      <c r="J185" s="11">
        <f t="shared" si="5"/>
        <v>10217</v>
      </c>
      <c r="K185" s="12">
        <f>VLOOKUP(A185,[3]VA05!$A:$K,11,FALSE)</f>
        <v>45573</v>
      </c>
      <c r="L185" s="10" t="s">
        <v>12</v>
      </c>
      <c r="M185" s="10" t="s">
        <v>194</v>
      </c>
    </row>
    <row r="186" spans="1:13" x14ac:dyDescent="0.25">
      <c r="A186" s="13" t="str">
        <f t="shared" si="4"/>
        <v>50714271370</v>
      </c>
      <c r="B186" s="10">
        <v>1004042923</v>
      </c>
      <c r="C186" s="10">
        <v>507142713</v>
      </c>
      <c r="D186" s="10">
        <v>70</v>
      </c>
      <c r="E186" s="10" t="s">
        <v>10</v>
      </c>
      <c r="F186" s="10">
        <v>1256197</v>
      </c>
      <c r="G186" s="10" t="s">
        <v>139</v>
      </c>
      <c r="H186" s="11">
        <v>10217</v>
      </c>
      <c r="I186" s="10">
        <v>0</v>
      </c>
      <c r="J186" s="11">
        <f t="shared" si="5"/>
        <v>10217</v>
      </c>
      <c r="K186" s="12">
        <f>VLOOKUP(A186,[3]VA05!$A:$K,11,FALSE)</f>
        <v>45591</v>
      </c>
      <c r="L186" s="10" t="s">
        <v>13</v>
      </c>
      <c r="M186" s="10" t="s">
        <v>142</v>
      </c>
    </row>
    <row r="187" spans="1:13" hidden="1" x14ac:dyDescent="0.25">
      <c r="A187" s="13" t="str">
        <f t="shared" si="4"/>
        <v>50714268810</v>
      </c>
      <c r="B187" s="10">
        <v>1004052619</v>
      </c>
      <c r="C187" s="10">
        <v>507142688</v>
      </c>
      <c r="D187" s="10">
        <v>10</v>
      </c>
      <c r="E187" s="10" t="s">
        <v>10</v>
      </c>
      <c r="F187" s="10">
        <v>1168127</v>
      </c>
      <c r="G187" s="10" t="s">
        <v>21</v>
      </c>
      <c r="H187" s="11">
        <v>122842</v>
      </c>
      <c r="I187" s="11">
        <v>122842</v>
      </c>
      <c r="J187" s="11">
        <f t="shared" si="5"/>
        <v>0</v>
      </c>
      <c r="K187" s="12">
        <f>VLOOKUP(A187,[3]VA05!$A:$K,11,FALSE)</f>
        <v>45567</v>
      </c>
      <c r="L187" s="10" t="s">
        <v>28</v>
      </c>
      <c r="M187" s="10" t="s">
        <v>156</v>
      </c>
    </row>
    <row r="188" spans="1:13" hidden="1" x14ac:dyDescent="0.25">
      <c r="A188" s="13" t="str">
        <f t="shared" si="4"/>
        <v>507142416130</v>
      </c>
      <c r="B188" s="10">
        <v>1004052620</v>
      </c>
      <c r="C188" s="10">
        <v>507142416</v>
      </c>
      <c r="D188" s="10">
        <v>130</v>
      </c>
      <c r="E188" s="10" t="s">
        <v>10</v>
      </c>
      <c r="F188" s="10">
        <v>1168127</v>
      </c>
      <c r="G188" s="10" t="s">
        <v>21</v>
      </c>
      <c r="H188" s="11">
        <v>10217</v>
      </c>
      <c r="I188" s="11">
        <v>10217</v>
      </c>
      <c r="J188" s="11">
        <f t="shared" si="5"/>
        <v>0</v>
      </c>
      <c r="K188" s="12">
        <f>VLOOKUP(A188,[3]VA05!$A:$K,11,FALSE)</f>
        <v>45573</v>
      </c>
      <c r="L188" s="10" t="s">
        <v>28</v>
      </c>
      <c r="M188" s="10" t="s">
        <v>162</v>
      </c>
    </row>
    <row r="189" spans="1:13" x14ac:dyDescent="0.25">
      <c r="A189" s="13" t="str">
        <f t="shared" si="4"/>
        <v>50714264830</v>
      </c>
      <c r="B189" s="10">
        <v>1004052621</v>
      </c>
      <c r="C189" s="10">
        <v>507142648</v>
      </c>
      <c r="D189" s="10">
        <v>30</v>
      </c>
      <c r="E189" s="10" t="s">
        <v>10</v>
      </c>
      <c r="F189" s="10">
        <v>1168127</v>
      </c>
      <c r="G189" s="10" t="s">
        <v>21</v>
      </c>
      <c r="H189" s="11">
        <v>71748</v>
      </c>
      <c r="I189" s="11">
        <v>6523</v>
      </c>
      <c r="J189" s="11">
        <f t="shared" si="5"/>
        <v>65225</v>
      </c>
      <c r="K189" s="12">
        <f>VLOOKUP(A189,[3]VA05!$A:$K,11,FALSE)</f>
        <v>45581</v>
      </c>
      <c r="L189" s="10" t="s">
        <v>18</v>
      </c>
      <c r="M189" s="10" t="s">
        <v>162</v>
      </c>
    </row>
    <row r="190" spans="1:13" x14ac:dyDescent="0.25">
      <c r="A190" s="13" t="str">
        <f t="shared" si="4"/>
        <v>507142416150</v>
      </c>
      <c r="B190" s="10">
        <v>1004052622</v>
      </c>
      <c r="C190" s="10">
        <v>507142416</v>
      </c>
      <c r="D190" s="10">
        <v>150</v>
      </c>
      <c r="E190" s="10" t="s">
        <v>10</v>
      </c>
      <c r="F190" s="10">
        <v>1168127</v>
      </c>
      <c r="G190" s="10" t="s">
        <v>21</v>
      </c>
      <c r="H190" s="11">
        <v>10217</v>
      </c>
      <c r="I190" s="10">
        <v>0</v>
      </c>
      <c r="J190" s="11">
        <f t="shared" si="5"/>
        <v>10217</v>
      </c>
      <c r="K190" s="12">
        <f>VLOOKUP(A190,[3]VA05!$A:$K,11,FALSE)</f>
        <v>45576</v>
      </c>
      <c r="L190" s="10" t="s">
        <v>56</v>
      </c>
      <c r="M190" s="10" t="s">
        <v>162</v>
      </c>
    </row>
    <row r="191" spans="1:13" x14ac:dyDescent="0.25">
      <c r="A191" s="13" t="str">
        <f t="shared" si="4"/>
        <v>50714278810</v>
      </c>
      <c r="B191" s="10">
        <v>1004052623</v>
      </c>
      <c r="C191" s="10">
        <v>507142788</v>
      </c>
      <c r="D191" s="10">
        <v>10</v>
      </c>
      <c r="E191" s="10" t="s">
        <v>10</v>
      </c>
      <c r="F191" s="10">
        <v>1168127</v>
      </c>
      <c r="G191" s="10" t="s">
        <v>21</v>
      </c>
      <c r="H191" s="11">
        <v>56529</v>
      </c>
      <c r="I191" s="10">
        <v>0</v>
      </c>
      <c r="J191" s="11">
        <f t="shared" si="5"/>
        <v>56529</v>
      </c>
      <c r="K191" s="12">
        <f>VLOOKUP(A191,[3]VA05!$A:$K,11,FALSE)</f>
        <v>45582</v>
      </c>
      <c r="L191" s="10" t="s">
        <v>12</v>
      </c>
      <c r="M191" s="10" t="s">
        <v>162</v>
      </c>
    </row>
    <row r="192" spans="1:13" x14ac:dyDescent="0.25">
      <c r="A192" s="13" t="str">
        <f t="shared" si="4"/>
        <v>50714271380</v>
      </c>
      <c r="B192" s="10">
        <v>1004052624</v>
      </c>
      <c r="C192" s="10">
        <v>507142713</v>
      </c>
      <c r="D192" s="10">
        <v>80</v>
      </c>
      <c r="E192" s="10" t="s">
        <v>10</v>
      </c>
      <c r="F192" s="10">
        <v>1168127</v>
      </c>
      <c r="G192" s="10" t="s">
        <v>21</v>
      </c>
      <c r="H192" s="11">
        <v>10217</v>
      </c>
      <c r="I192" s="10">
        <v>0</v>
      </c>
      <c r="J192" s="11">
        <f t="shared" si="5"/>
        <v>10217</v>
      </c>
      <c r="K192" s="12">
        <f>VLOOKUP(A192,[3]VA05!$A:$K,11,FALSE)</f>
        <v>45591</v>
      </c>
      <c r="L192" s="10" t="s">
        <v>12</v>
      </c>
      <c r="M192" s="10" t="s">
        <v>204</v>
      </c>
    </row>
    <row r="193" spans="1:13" x14ac:dyDescent="0.25">
      <c r="A193" s="13" t="str">
        <f t="shared" si="4"/>
        <v>507142416150</v>
      </c>
      <c r="B193" s="10">
        <v>1004051561</v>
      </c>
      <c r="C193" s="10">
        <v>507142416</v>
      </c>
      <c r="D193" s="10">
        <v>150</v>
      </c>
      <c r="E193" s="10" t="s">
        <v>10</v>
      </c>
      <c r="F193" s="10">
        <v>1269318</v>
      </c>
      <c r="G193" s="10" t="s">
        <v>170</v>
      </c>
      <c r="H193" s="11">
        <v>10217</v>
      </c>
      <c r="I193" s="10">
        <v>0</v>
      </c>
      <c r="J193" s="11">
        <f t="shared" si="5"/>
        <v>10217</v>
      </c>
      <c r="K193" s="12">
        <f>VLOOKUP(A193,[3]VA05!$A:$K,11,FALSE)</f>
        <v>45576</v>
      </c>
      <c r="L193" s="10" t="s">
        <v>56</v>
      </c>
      <c r="M193" s="10" t="s">
        <v>162</v>
      </c>
    </row>
    <row r="194" spans="1:13" x14ac:dyDescent="0.25">
      <c r="A194" s="13" t="str">
        <f t="shared" si="4"/>
        <v>507142416130</v>
      </c>
      <c r="B194" s="10">
        <v>1004058014</v>
      </c>
      <c r="C194" s="10">
        <v>507142416</v>
      </c>
      <c r="D194" s="10">
        <v>130</v>
      </c>
      <c r="E194" s="10" t="s">
        <v>10</v>
      </c>
      <c r="F194" s="10">
        <v>1255976</v>
      </c>
      <c r="G194" s="10" t="s">
        <v>229</v>
      </c>
      <c r="H194" s="11">
        <v>10217</v>
      </c>
      <c r="I194" s="10">
        <v>0</v>
      </c>
      <c r="J194" s="11">
        <f t="shared" si="5"/>
        <v>10217</v>
      </c>
      <c r="K194" s="12">
        <f>VLOOKUP(A194,[3]VA05!$A:$K,11,FALSE)</f>
        <v>45573</v>
      </c>
      <c r="L194" s="10" t="s">
        <v>56</v>
      </c>
      <c r="M194" s="10" t="s">
        <v>194</v>
      </c>
    </row>
    <row r="195" spans="1:13" x14ac:dyDescent="0.25">
      <c r="A195" s="13" t="str">
        <f t="shared" si="4"/>
        <v>50714271380</v>
      </c>
      <c r="B195" s="10">
        <v>1004058015</v>
      </c>
      <c r="C195" s="10">
        <v>507142713</v>
      </c>
      <c r="D195" s="10">
        <v>80</v>
      </c>
      <c r="E195" s="10" t="s">
        <v>10</v>
      </c>
      <c r="F195" s="10">
        <v>1256193</v>
      </c>
      <c r="G195" s="10" t="s">
        <v>230</v>
      </c>
      <c r="H195" s="11">
        <v>10217</v>
      </c>
      <c r="I195" s="10">
        <v>0</v>
      </c>
      <c r="J195" s="11">
        <f t="shared" si="5"/>
        <v>10217</v>
      </c>
      <c r="K195" s="12">
        <f>VLOOKUP(A195,[3]VA05!$A:$K,11,FALSE)</f>
        <v>45591</v>
      </c>
      <c r="L195" s="10" t="s">
        <v>12</v>
      </c>
      <c r="M195" s="10" t="s">
        <v>204</v>
      </c>
    </row>
    <row r="196" spans="1:13" x14ac:dyDescent="0.25">
      <c r="A196" s="13" t="str">
        <f t="shared" ref="A196:A259" si="6">C196&amp;D196</f>
        <v>50714245510</v>
      </c>
      <c r="B196" s="10">
        <v>1004010713</v>
      </c>
      <c r="C196" s="10">
        <v>507142455</v>
      </c>
      <c r="D196" s="10">
        <v>10</v>
      </c>
      <c r="E196" s="10" t="s">
        <v>10</v>
      </c>
      <c r="F196" s="10">
        <v>1153314</v>
      </c>
      <c r="G196" s="10" t="s">
        <v>60</v>
      </c>
      <c r="H196" s="11">
        <v>26091</v>
      </c>
      <c r="I196" s="11">
        <v>22631</v>
      </c>
      <c r="J196" s="11">
        <f t="shared" ref="J196:J259" si="7">H196-I196</f>
        <v>3460</v>
      </c>
      <c r="K196" s="12" t="e">
        <f>VLOOKUP(A196,[3]VA05!$A:$K,11,FALSE)</f>
        <v>#N/A</v>
      </c>
      <c r="L196" s="10" t="s">
        <v>18</v>
      </c>
      <c r="M196" s="10" t="s">
        <v>61</v>
      </c>
    </row>
    <row r="197" spans="1:13" x14ac:dyDescent="0.25">
      <c r="A197" s="13" t="str">
        <f t="shared" si="6"/>
        <v>50714239390</v>
      </c>
      <c r="B197" s="10">
        <v>1004032825</v>
      </c>
      <c r="C197" s="10">
        <v>507142393</v>
      </c>
      <c r="D197" s="10">
        <v>90</v>
      </c>
      <c r="E197" s="10" t="s">
        <v>10</v>
      </c>
      <c r="F197" s="10">
        <v>1416751</v>
      </c>
      <c r="G197" s="10" t="s">
        <v>57</v>
      </c>
      <c r="H197" s="11">
        <v>45642</v>
      </c>
      <c r="I197" s="10">
        <v>0</v>
      </c>
      <c r="J197" s="11">
        <f t="shared" si="7"/>
        <v>45642</v>
      </c>
      <c r="K197" s="12" t="e">
        <f>VLOOKUP(A197,[3]VA05!$A:$K,11,FALSE)</f>
        <v>#N/A</v>
      </c>
      <c r="L197" s="10" t="s">
        <v>12</v>
      </c>
      <c r="M197" s="10" t="s">
        <v>73</v>
      </c>
    </row>
    <row r="198" spans="1:13" x14ac:dyDescent="0.25">
      <c r="A198" s="13" t="str">
        <f t="shared" si="6"/>
        <v>50714256730</v>
      </c>
      <c r="B198" s="10">
        <v>1004041366</v>
      </c>
      <c r="C198" s="10">
        <v>507142567</v>
      </c>
      <c r="D198" s="10">
        <v>30</v>
      </c>
      <c r="E198" s="10" t="s">
        <v>10</v>
      </c>
      <c r="F198" s="10">
        <v>1170136</v>
      </c>
      <c r="G198" s="10" t="s">
        <v>81</v>
      </c>
      <c r="H198" s="11">
        <v>17589</v>
      </c>
      <c r="I198" s="11">
        <v>8184</v>
      </c>
      <c r="J198" s="11">
        <f t="shared" si="7"/>
        <v>9405</v>
      </c>
      <c r="K198" s="12">
        <f>VLOOKUP(A198,[3]VA05!$A:$K,11,FALSE)</f>
        <v>45561</v>
      </c>
      <c r="L198" s="10" t="s">
        <v>18</v>
      </c>
      <c r="M198" s="10" t="s">
        <v>197</v>
      </c>
    </row>
    <row r="199" spans="1:13" x14ac:dyDescent="0.25">
      <c r="A199" s="13" t="str">
        <f t="shared" si="6"/>
        <v>50714256230</v>
      </c>
      <c r="B199" s="10">
        <v>1004062057</v>
      </c>
      <c r="C199" s="10">
        <v>507142562</v>
      </c>
      <c r="D199" s="10">
        <v>30</v>
      </c>
      <c r="E199" s="10" t="s">
        <v>10</v>
      </c>
      <c r="F199" s="10">
        <v>1165028</v>
      </c>
      <c r="G199" s="10" t="s">
        <v>68</v>
      </c>
      <c r="H199" s="11">
        <v>11000</v>
      </c>
      <c r="I199" s="10">
        <v>0</v>
      </c>
      <c r="J199" s="11">
        <f t="shared" si="7"/>
        <v>11000</v>
      </c>
      <c r="K199" s="12">
        <f>VLOOKUP(A199,[3]VA05!$A:$K,11,FALSE)</f>
        <v>45573</v>
      </c>
      <c r="L199" s="10" t="s">
        <v>12</v>
      </c>
      <c r="M199" s="10" t="s">
        <v>162</v>
      </c>
    </row>
    <row r="200" spans="1:13" hidden="1" x14ac:dyDescent="0.25">
      <c r="A200" s="13" t="str">
        <f t="shared" si="6"/>
        <v>50714256610</v>
      </c>
      <c r="B200" s="10">
        <v>1004062059</v>
      </c>
      <c r="C200" s="10">
        <v>507142566</v>
      </c>
      <c r="D200" s="10">
        <v>10</v>
      </c>
      <c r="E200" s="10" t="s">
        <v>24</v>
      </c>
      <c r="F200" s="10">
        <v>1165028</v>
      </c>
      <c r="G200" s="10" t="s">
        <v>68</v>
      </c>
      <c r="H200" s="11">
        <v>25000</v>
      </c>
      <c r="I200" s="10">
        <v>0</v>
      </c>
      <c r="J200" s="11">
        <f t="shared" si="7"/>
        <v>25000</v>
      </c>
      <c r="K200" s="12">
        <f>VLOOKUP(A200,[3]VA05!$A:$K,11,FALSE)</f>
        <v>45561</v>
      </c>
      <c r="L200" s="10" t="s">
        <v>12</v>
      </c>
      <c r="M200" s="10" t="s">
        <v>197</v>
      </c>
    </row>
    <row r="201" spans="1:13" hidden="1" x14ac:dyDescent="0.25">
      <c r="A201" s="13" t="str">
        <f t="shared" si="6"/>
        <v>50714256230</v>
      </c>
      <c r="B201" s="10">
        <v>1004062191</v>
      </c>
      <c r="C201" s="10">
        <v>507142562</v>
      </c>
      <c r="D201" s="10">
        <v>30</v>
      </c>
      <c r="E201" s="10" t="s">
        <v>24</v>
      </c>
      <c r="F201" s="10">
        <v>1170133</v>
      </c>
      <c r="G201" s="10" t="s">
        <v>70</v>
      </c>
      <c r="H201" s="11">
        <v>19000</v>
      </c>
      <c r="I201" s="10">
        <v>0</v>
      </c>
      <c r="J201" s="11">
        <f t="shared" si="7"/>
        <v>19000</v>
      </c>
      <c r="K201" s="12">
        <f>VLOOKUP(A201,[3]VA05!$A:$K,11,FALSE)</f>
        <v>45573</v>
      </c>
      <c r="L201" s="10" t="s">
        <v>12</v>
      </c>
      <c r="M201" s="10" t="s">
        <v>162</v>
      </c>
    </row>
    <row r="202" spans="1:13" x14ac:dyDescent="0.25">
      <c r="A202" s="13" t="str">
        <f t="shared" si="6"/>
        <v>50714256530</v>
      </c>
      <c r="B202" s="10">
        <v>1004044947</v>
      </c>
      <c r="C202" s="10">
        <v>507142565</v>
      </c>
      <c r="D202" s="10">
        <v>30</v>
      </c>
      <c r="E202" s="10" t="s">
        <v>10</v>
      </c>
      <c r="F202" s="10">
        <v>1169065</v>
      </c>
      <c r="G202" s="10" t="s">
        <v>83</v>
      </c>
      <c r="H202" s="11">
        <v>85895</v>
      </c>
      <c r="I202" s="11">
        <v>78427</v>
      </c>
      <c r="J202" s="11">
        <f t="shared" si="7"/>
        <v>7468</v>
      </c>
      <c r="K202" s="12">
        <f>VLOOKUP(A202,[3]VA05!$A:$K,11,FALSE)</f>
        <v>45561</v>
      </c>
      <c r="L202" s="10" t="s">
        <v>18</v>
      </c>
      <c r="M202" s="10" t="s">
        <v>142</v>
      </c>
    </row>
    <row r="203" spans="1:13" x14ac:dyDescent="0.25">
      <c r="A203" s="13" t="str">
        <f t="shared" si="6"/>
        <v>50714256720</v>
      </c>
      <c r="B203" s="10">
        <v>1004044948</v>
      </c>
      <c r="C203" s="10">
        <v>507142567</v>
      </c>
      <c r="D203" s="10">
        <v>20</v>
      </c>
      <c r="E203" s="10" t="s">
        <v>10</v>
      </c>
      <c r="F203" s="10">
        <v>1169065</v>
      </c>
      <c r="G203" s="10" t="s">
        <v>83</v>
      </c>
      <c r="H203" s="11">
        <v>17711</v>
      </c>
      <c r="I203" s="10">
        <v>0</v>
      </c>
      <c r="J203" s="11">
        <f t="shared" si="7"/>
        <v>17711</v>
      </c>
      <c r="K203" s="12">
        <f>VLOOKUP(A203,[3]VA05!$A:$K,11,FALSE)</f>
        <v>45561</v>
      </c>
      <c r="L203" s="10" t="s">
        <v>25</v>
      </c>
      <c r="M203" s="10" t="s">
        <v>178</v>
      </c>
    </row>
    <row r="204" spans="1:13" x14ac:dyDescent="0.25">
      <c r="A204" s="13" t="str">
        <f t="shared" si="6"/>
        <v>50714256730</v>
      </c>
      <c r="B204" s="10">
        <v>1004052387</v>
      </c>
      <c r="C204" s="10">
        <v>507142567</v>
      </c>
      <c r="D204" s="10">
        <v>30</v>
      </c>
      <c r="E204" s="10" t="s">
        <v>10</v>
      </c>
      <c r="F204" s="10">
        <v>1171801</v>
      </c>
      <c r="G204" s="10" t="s">
        <v>71</v>
      </c>
      <c r="H204" s="11">
        <v>16066</v>
      </c>
      <c r="I204" s="11">
        <v>10410</v>
      </c>
      <c r="J204" s="11">
        <f t="shared" si="7"/>
        <v>5656</v>
      </c>
      <c r="K204" s="12">
        <f>VLOOKUP(A204,[3]VA05!$A:$K,11,FALSE)</f>
        <v>45561</v>
      </c>
      <c r="L204" s="10" t="s">
        <v>18</v>
      </c>
      <c r="M204" s="10" t="s">
        <v>155</v>
      </c>
    </row>
    <row r="205" spans="1:13" x14ac:dyDescent="0.25">
      <c r="A205" s="13" t="str">
        <f t="shared" si="6"/>
        <v>50714256520</v>
      </c>
      <c r="B205" s="10">
        <v>1004052388</v>
      </c>
      <c r="C205" s="10">
        <v>507142565</v>
      </c>
      <c r="D205" s="10">
        <v>20</v>
      </c>
      <c r="E205" s="10" t="s">
        <v>10</v>
      </c>
      <c r="F205" s="10">
        <v>1171801</v>
      </c>
      <c r="G205" s="10" t="s">
        <v>71</v>
      </c>
      <c r="H205" s="11">
        <v>79905</v>
      </c>
      <c r="I205" s="10">
        <v>0</v>
      </c>
      <c r="J205" s="11">
        <f t="shared" si="7"/>
        <v>79905</v>
      </c>
      <c r="K205" s="12">
        <f>VLOOKUP(A205,[3]VA05!$A:$K,11,FALSE)</f>
        <v>45580</v>
      </c>
      <c r="L205" s="10" t="s">
        <v>13</v>
      </c>
      <c r="M205" s="10" t="s">
        <v>180</v>
      </c>
    </row>
    <row r="206" spans="1:13" hidden="1" x14ac:dyDescent="0.25">
      <c r="A206" s="13" t="str">
        <f t="shared" si="6"/>
        <v>50714187310</v>
      </c>
      <c r="B206" s="10">
        <v>1003935029</v>
      </c>
      <c r="C206" s="10">
        <v>507141873</v>
      </c>
      <c r="D206" s="10">
        <v>10</v>
      </c>
      <c r="E206" s="10" t="s">
        <v>10</v>
      </c>
      <c r="F206" s="10">
        <v>1411092</v>
      </c>
      <c r="G206" s="10" t="s">
        <v>277</v>
      </c>
      <c r="H206" s="11">
        <v>30900</v>
      </c>
      <c r="I206" s="10">
        <v>0</v>
      </c>
      <c r="J206" s="11">
        <f t="shared" si="7"/>
        <v>30900</v>
      </c>
      <c r="K206" s="12" t="e">
        <f>VLOOKUP(A206,[3]VA05!$A:$K,11,FALSE)</f>
        <v>#N/A</v>
      </c>
      <c r="L206" s="10" t="s">
        <v>278</v>
      </c>
      <c r="M206" s="10" t="s">
        <v>279</v>
      </c>
    </row>
    <row r="207" spans="1:13" hidden="1" x14ac:dyDescent="0.25">
      <c r="A207" s="13" t="str">
        <f t="shared" si="6"/>
        <v>50714276210</v>
      </c>
      <c r="B207" s="10">
        <v>1004062062</v>
      </c>
      <c r="C207" s="10">
        <v>507142762</v>
      </c>
      <c r="D207" s="10">
        <v>10</v>
      </c>
      <c r="E207" s="10" t="s">
        <v>24</v>
      </c>
      <c r="F207" s="10">
        <v>1162016</v>
      </c>
      <c r="G207" s="10" t="s">
        <v>172</v>
      </c>
      <c r="H207" s="11">
        <v>10000</v>
      </c>
      <c r="I207" s="10">
        <v>0</v>
      </c>
      <c r="J207" s="11">
        <f t="shared" si="7"/>
        <v>10000</v>
      </c>
      <c r="K207" s="12">
        <f>VLOOKUP(A207,[3]VA05!$A:$K,11,FALSE)</f>
        <v>45570</v>
      </c>
      <c r="L207" s="10" t="s">
        <v>12</v>
      </c>
      <c r="M207" s="10" t="s">
        <v>197</v>
      </c>
    </row>
    <row r="208" spans="1:13" x14ac:dyDescent="0.25">
      <c r="A208" s="13" t="str">
        <f t="shared" si="6"/>
        <v>50714263610</v>
      </c>
      <c r="B208" s="10">
        <v>1004040222</v>
      </c>
      <c r="C208" s="10">
        <v>507142636</v>
      </c>
      <c r="D208" s="10">
        <v>10</v>
      </c>
      <c r="E208" s="10" t="s">
        <v>10</v>
      </c>
      <c r="F208" s="10">
        <v>1437043</v>
      </c>
      <c r="G208" s="10" t="s">
        <v>115</v>
      </c>
      <c r="H208" s="11">
        <v>51125</v>
      </c>
      <c r="I208" s="11">
        <v>43670</v>
      </c>
      <c r="J208" s="11">
        <f t="shared" si="7"/>
        <v>7455</v>
      </c>
      <c r="K208" s="12">
        <f>VLOOKUP(A208,[3]VA05!$A:$K,11,FALSE)</f>
        <v>45566</v>
      </c>
      <c r="L208" s="10" t="s">
        <v>11</v>
      </c>
      <c r="M208" s="10" t="s">
        <v>116</v>
      </c>
    </row>
    <row r="209" spans="1:13" x14ac:dyDescent="0.25">
      <c r="A209" s="13" t="str">
        <f t="shared" si="6"/>
        <v>50714276210</v>
      </c>
      <c r="B209" s="10">
        <v>1004051398</v>
      </c>
      <c r="C209" s="10">
        <v>507142762</v>
      </c>
      <c r="D209" s="10">
        <v>10</v>
      </c>
      <c r="E209" s="10" t="s">
        <v>10</v>
      </c>
      <c r="F209" s="10">
        <v>1162012</v>
      </c>
      <c r="G209" s="10" t="s">
        <v>173</v>
      </c>
      <c r="H209" s="11">
        <v>40900</v>
      </c>
      <c r="I209" s="11">
        <v>17187</v>
      </c>
      <c r="J209" s="11">
        <f t="shared" si="7"/>
        <v>23713</v>
      </c>
      <c r="K209" s="12">
        <f>VLOOKUP(A209,[3]VA05!$A:$K,11,FALSE)</f>
        <v>45570</v>
      </c>
      <c r="L209" s="10" t="s">
        <v>11</v>
      </c>
      <c r="M209" s="10" t="s">
        <v>178</v>
      </c>
    </row>
    <row r="210" spans="1:13" x14ac:dyDescent="0.25">
      <c r="A210" s="13" t="str">
        <f t="shared" si="6"/>
        <v>50714276210</v>
      </c>
      <c r="B210" s="10">
        <v>1004051399</v>
      </c>
      <c r="C210" s="10">
        <v>507142762</v>
      </c>
      <c r="D210" s="10">
        <v>10</v>
      </c>
      <c r="E210" s="10" t="s">
        <v>10</v>
      </c>
      <c r="F210" s="10">
        <v>1163168</v>
      </c>
      <c r="G210" s="10" t="s">
        <v>174</v>
      </c>
      <c r="H210" s="11">
        <v>40900</v>
      </c>
      <c r="I210" s="11">
        <v>19559</v>
      </c>
      <c r="J210" s="11">
        <f t="shared" si="7"/>
        <v>21341</v>
      </c>
      <c r="K210" s="12">
        <f>VLOOKUP(A210,[3]VA05!$A:$K,11,FALSE)</f>
        <v>45570</v>
      </c>
      <c r="L210" s="10" t="s">
        <v>11</v>
      </c>
      <c r="M210" s="10" t="s">
        <v>197</v>
      </c>
    </row>
    <row r="211" spans="1:13" hidden="1" x14ac:dyDescent="0.25">
      <c r="A211" s="13" t="str">
        <f t="shared" si="6"/>
        <v>50714194510</v>
      </c>
      <c r="B211" s="10">
        <v>1003974005</v>
      </c>
      <c r="C211" s="10">
        <v>507141945</v>
      </c>
      <c r="D211" s="10">
        <v>10</v>
      </c>
      <c r="E211" s="10" t="s">
        <v>24</v>
      </c>
      <c r="F211" s="10">
        <v>1193564</v>
      </c>
      <c r="G211" s="10" t="s">
        <v>280</v>
      </c>
      <c r="H211" s="11">
        <v>5113</v>
      </c>
      <c r="I211" s="10">
        <v>0</v>
      </c>
      <c r="J211" s="11">
        <f t="shared" si="7"/>
        <v>5113</v>
      </c>
      <c r="K211" s="12" t="e">
        <f>VLOOKUP(A211,[3]VA05!$A:$K,11,FALSE)</f>
        <v>#N/A</v>
      </c>
      <c r="L211" s="10" t="s">
        <v>260</v>
      </c>
      <c r="M211" s="10" t="s">
        <v>281</v>
      </c>
    </row>
    <row r="212" spans="1:13" hidden="1" x14ac:dyDescent="0.25">
      <c r="A212" s="13" t="str">
        <f t="shared" si="6"/>
        <v>50714263850</v>
      </c>
      <c r="B212" s="10">
        <v>1004049841</v>
      </c>
      <c r="C212" s="10">
        <v>507142638</v>
      </c>
      <c r="D212" s="10">
        <v>50</v>
      </c>
      <c r="E212" s="10" t="s">
        <v>10</v>
      </c>
      <c r="F212" s="10">
        <v>1361170</v>
      </c>
      <c r="G212" s="10" t="s">
        <v>103</v>
      </c>
      <c r="H212" s="11">
        <v>27540</v>
      </c>
      <c r="I212" s="11">
        <v>27540</v>
      </c>
      <c r="J212" s="11">
        <f t="shared" si="7"/>
        <v>0</v>
      </c>
      <c r="K212" s="12">
        <f>VLOOKUP(A212,[3]VA05!$A:$K,11,FALSE)</f>
        <v>45560</v>
      </c>
      <c r="L212" s="10" t="s">
        <v>224</v>
      </c>
      <c r="M212" s="10" t="s">
        <v>143</v>
      </c>
    </row>
    <row r="213" spans="1:13" x14ac:dyDescent="0.25">
      <c r="A213" s="13" t="str">
        <f t="shared" si="6"/>
        <v>50714263850</v>
      </c>
      <c r="B213" s="10">
        <v>1004049842</v>
      </c>
      <c r="C213" s="10">
        <v>507142638</v>
      </c>
      <c r="D213" s="10">
        <v>50</v>
      </c>
      <c r="E213" s="10" t="s">
        <v>10</v>
      </c>
      <c r="F213" s="10">
        <v>1361170</v>
      </c>
      <c r="G213" s="10" t="s">
        <v>103</v>
      </c>
      <c r="H213" s="11">
        <v>27540</v>
      </c>
      <c r="I213" s="11">
        <v>23938</v>
      </c>
      <c r="J213" s="11">
        <f t="shared" si="7"/>
        <v>3602</v>
      </c>
      <c r="K213" s="12">
        <f>VLOOKUP(A213,[3]VA05!$A:$K,11,FALSE)</f>
        <v>45560</v>
      </c>
      <c r="L213" s="10" t="s">
        <v>11</v>
      </c>
      <c r="M213" s="10" t="s">
        <v>195</v>
      </c>
    </row>
    <row r="214" spans="1:13" x14ac:dyDescent="0.25">
      <c r="A214" s="13" t="str">
        <f t="shared" si="6"/>
        <v>50714263850</v>
      </c>
      <c r="B214" s="10">
        <v>1004049843</v>
      </c>
      <c r="C214" s="10">
        <v>507142638</v>
      </c>
      <c r="D214" s="10">
        <v>50</v>
      </c>
      <c r="E214" s="10" t="s">
        <v>10</v>
      </c>
      <c r="F214" s="10">
        <v>1361170</v>
      </c>
      <c r="G214" s="10" t="s">
        <v>103</v>
      </c>
      <c r="H214" s="11">
        <v>27270</v>
      </c>
      <c r="I214" s="10">
        <v>0</v>
      </c>
      <c r="J214" s="11">
        <f t="shared" si="7"/>
        <v>27270</v>
      </c>
      <c r="K214" s="12">
        <f>VLOOKUP(A214,[3]VA05!$A:$K,11,FALSE)</f>
        <v>45560</v>
      </c>
      <c r="L214" s="10" t="s">
        <v>117</v>
      </c>
      <c r="M214" s="10" t="s">
        <v>143</v>
      </c>
    </row>
    <row r="215" spans="1:13" x14ac:dyDescent="0.25">
      <c r="A215" s="13" t="str">
        <f t="shared" si="6"/>
        <v>50714273810</v>
      </c>
      <c r="B215" s="10">
        <v>1004051551</v>
      </c>
      <c r="C215" s="10">
        <v>507142738</v>
      </c>
      <c r="D215" s="10">
        <v>10</v>
      </c>
      <c r="E215" s="10" t="s">
        <v>10</v>
      </c>
      <c r="F215" s="10">
        <v>1361170</v>
      </c>
      <c r="G215" s="10" t="s">
        <v>103</v>
      </c>
      <c r="H215" s="11">
        <v>27540</v>
      </c>
      <c r="I215" s="10">
        <v>0</v>
      </c>
      <c r="J215" s="11">
        <f t="shared" si="7"/>
        <v>27540</v>
      </c>
      <c r="K215" s="12">
        <f>VLOOKUP(A215,[3]VA05!$A:$K,11,FALSE)</f>
        <v>45567</v>
      </c>
      <c r="L215" s="10" t="s">
        <v>12</v>
      </c>
      <c r="M215" s="10" t="s">
        <v>180</v>
      </c>
    </row>
    <row r="216" spans="1:13" x14ac:dyDescent="0.25">
      <c r="A216" s="13" t="str">
        <f t="shared" si="6"/>
        <v>50714273810</v>
      </c>
      <c r="B216" s="10">
        <v>1004051552</v>
      </c>
      <c r="C216" s="10">
        <v>507142738</v>
      </c>
      <c r="D216" s="10">
        <v>10</v>
      </c>
      <c r="E216" s="10" t="s">
        <v>10</v>
      </c>
      <c r="F216" s="10">
        <v>1361170</v>
      </c>
      <c r="G216" s="10" t="s">
        <v>103</v>
      </c>
      <c r="H216" s="11">
        <v>27540</v>
      </c>
      <c r="I216" s="10">
        <v>0</v>
      </c>
      <c r="J216" s="11">
        <f t="shared" si="7"/>
        <v>27540</v>
      </c>
      <c r="K216" s="12">
        <f>VLOOKUP(A216,[3]VA05!$A:$K,11,FALSE)</f>
        <v>45567</v>
      </c>
      <c r="L216" s="10" t="s">
        <v>12</v>
      </c>
      <c r="M216" s="10" t="s">
        <v>180</v>
      </c>
    </row>
    <row r="217" spans="1:13" x14ac:dyDescent="0.25">
      <c r="A217" s="13" t="str">
        <f t="shared" si="6"/>
        <v>50714273810</v>
      </c>
      <c r="B217" s="10">
        <v>1004051553</v>
      </c>
      <c r="C217" s="10">
        <v>507142738</v>
      </c>
      <c r="D217" s="10">
        <v>10</v>
      </c>
      <c r="E217" s="10" t="s">
        <v>10</v>
      </c>
      <c r="F217" s="10">
        <v>1361170</v>
      </c>
      <c r="G217" s="10" t="s">
        <v>103</v>
      </c>
      <c r="H217" s="11">
        <v>27540</v>
      </c>
      <c r="I217" s="10">
        <v>0</v>
      </c>
      <c r="J217" s="11">
        <f t="shared" si="7"/>
        <v>27540</v>
      </c>
      <c r="K217" s="12">
        <f>VLOOKUP(A217,[3]VA05!$A:$K,11,FALSE)</f>
        <v>45567</v>
      </c>
      <c r="L217" s="10" t="s">
        <v>12</v>
      </c>
      <c r="M217" s="10" t="s">
        <v>180</v>
      </c>
    </row>
    <row r="218" spans="1:13" x14ac:dyDescent="0.25">
      <c r="A218" s="13" t="str">
        <f t="shared" si="6"/>
        <v>50714273810</v>
      </c>
      <c r="B218" s="10">
        <v>1004051554</v>
      </c>
      <c r="C218" s="10">
        <v>507142738</v>
      </c>
      <c r="D218" s="10">
        <v>10</v>
      </c>
      <c r="E218" s="10" t="s">
        <v>10</v>
      </c>
      <c r="F218" s="10">
        <v>1361170</v>
      </c>
      <c r="G218" s="10" t="s">
        <v>103</v>
      </c>
      <c r="H218" s="11">
        <v>27540</v>
      </c>
      <c r="I218" s="10">
        <v>0</v>
      </c>
      <c r="J218" s="11">
        <f t="shared" si="7"/>
        <v>27540</v>
      </c>
      <c r="K218" s="12">
        <f>VLOOKUP(A218,[3]VA05!$A:$K,11,FALSE)</f>
        <v>45567</v>
      </c>
      <c r="L218" s="10" t="s">
        <v>12</v>
      </c>
      <c r="M218" s="10" t="s">
        <v>180</v>
      </c>
    </row>
    <row r="219" spans="1:13" hidden="1" x14ac:dyDescent="0.25">
      <c r="A219" s="13" t="str">
        <f t="shared" si="6"/>
        <v>50714269210</v>
      </c>
      <c r="B219" s="10">
        <v>1004057891</v>
      </c>
      <c r="C219" s="10">
        <v>507142692</v>
      </c>
      <c r="D219" s="10">
        <v>10</v>
      </c>
      <c r="E219" s="10" t="s">
        <v>10</v>
      </c>
      <c r="F219" s="10">
        <v>1367372</v>
      </c>
      <c r="G219" s="10" t="s">
        <v>62</v>
      </c>
      <c r="H219" s="11">
        <v>27540</v>
      </c>
      <c r="I219" s="11">
        <v>27540</v>
      </c>
      <c r="J219" s="11">
        <f t="shared" si="7"/>
        <v>0</v>
      </c>
      <c r="K219" s="12">
        <f>VLOOKUP(A219,[3]VA05!$A:$K,11,FALSE)</f>
        <v>45572</v>
      </c>
      <c r="L219" s="10" t="s">
        <v>34</v>
      </c>
      <c r="M219" s="10" t="s">
        <v>154</v>
      </c>
    </row>
    <row r="220" spans="1:13" hidden="1" x14ac:dyDescent="0.25">
      <c r="A220" s="13" t="str">
        <f t="shared" si="6"/>
        <v>50714269210</v>
      </c>
      <c r="B220" s="10">
        <v>1004057892</v>
      </c>
      <c r="C220" s="10">
        <v>507142692</v>
      </c>
      <c r="D220" s="10">
        <v>10</v>
      </c>
      <c r="E220" s="10" t="s">
        <v>10</v>
      </c>
      <c r="F220" s="10">
        <v>1367372</v>
      </c>
      <c r="G220" s="10" t="s">
        <v>62</v>
      </c>
      <c r="H220" s="11">
        <v>27540</v>
      </c>
      <c r="I220" s="11">
        <v>27540</v>
      </c>
      <c r="J220" s="11">
        <f t="shared" si="7"/>
        <v>0</v>
      </c>
      <c r="K220" s="12">
        <f>VLOOKUP(A220,[3]VA05!$A:$K,11,FALSE)</f>
        <v>45572</v>
      </c>
      <c r="L220" s="10" t="s">
        <v>34</v>
      </c>
      <c r="M220" s="10" t="s">
        <v>194</v>
      </c>
    </row>
    <row r="221" spans="1:13" x14ac:dyDescent="0.25">
      <c r="A221" s="13" t="str">
        <f t="shared" si="6"/>
        <v>50714269230</v>
      </c>
      <c r="B221" s="10">
        <v>1004059598</v>
      </c>
      <c r="C221" s="10">
        <v>507142692</v>
      </c>
      <c r="D221" s="10">
        <v>30</v>
      </c>
      <c r="E221" s="10" t="s">
        <v>10</v>
      </c>
      <c r="F221" s="10">
        <v>1367372</v>
      </c>
      <c r="G221" s="10" t="s">
        <v>62</v>
      </c>
      <c r="H221" s="11">
        <v>25110</v>
      </c>
      <c r="I221" s="11">
        <v>13396</v>
      </c>
      <c r="J221" s="11">
        <f t="shared" si="7"/>
        <v>11714</v>
      </c>
      <c r="K221" s="12">
        <f>VLOOKUP(A221,[3]VA05!$A:$K,11,FALSE)</f>
        <v>45567</v>
      </c>
      <c r="L221" s="10" t="s">
        <v>28</v>
      </c>
      <c r="M221" s="10" t="s">
        <v>197</v>
      </c>
    </row>
    <row r="222" spans="1:13" x14ac:dyDescent="0.25">
      <c r="A222" s="13" t="str">
        <f t="shared" si="6"/>
        <v>50714269230</v>
      </c>
      <c r="B222" s="10">
        <v>1004059599</v>
      </c>
      <c r="C222" s="10">
        <v>507142692</v>
      </c>
      <c r="D222" s="10">
        <v>30</v>
      </c>
      <c r="E222" s="10" t="s">
        <v>10</v>
      </c>
      <c r="F222" s="10">
        <v>1367372</v>
      </c>
      <c r="G222" s="10" t="s">
        <v>62</v>
      </c>
      <c r="H222" s="11">
        <v>25110</v>
      </c>
      <c r="I222" s="11"/>
      <c r="J222" s="11">
        <f t="shared" si="7"/>
        <v>25110</v>
      </c>
      <c r="K222" s="12">
        <f>VLOOKUP(A222,[3]VA05!$A:$K,11,FALSE)</f>
        <v>45567</v>
      </c>
      <c r="L222" s="10" t="s">
        <v>234</v>
      </c>
      <c r="M222" s="10" t="s">
        <v>178</v>
      </c>
    </row>
    <row r="223" spans="1:13" x14ac:dyDescent="0.25">
      <c r="A223" s="13" t="str">
        <f t="shared" si="6"/>
        <v>50714269230</v>
      </c>
      <c r="B223" s="10">
        <v>1004059600</v>
      </c>
      <c r="C223" s="10">
        <v>507142692</v>
      </c>
      <c r="D223" s="10">
        <v>30</v>
      </c>
      <c r="E223" s="10" t="s">
        <v>10</v>
      </c>
      <c r="F223" s="10">
        <v>1367372</v>
      </c>
      <c r="G223" s="10" t="s">
        <v>62</v>
      </c>
      <c r="H223" s="11">
        <v>25110</v>
      </c>
      <c r="I223" s="11"/>
      <c r="J223" s="11">
        <f t="shared" si="7"/>
        <v>25110</v>
      </c>
      <c r="K223" s="12">
        <f>VLOOKUP(A223,[3]VA05!$A:$K,11,FALSE)</f>
        <v>45567</v>
      </c>
      <c r="L223" s="10" t="s">
        <v>235</v>
      </c>
      <c r="M223" s="10" t="s">
        <v>178</v>
      </c>
    </row>
    <row r="224" spans="1:13" x14ac:dyDescent="0.25">
      <c r="A224" s="13" t="str">
        <f t="shared" si="6"/>
        <v>50714269230</v>
      </c>
      <c r="B224" s="10">
        <v>1004059601</v>
      </c>
      <c r="C224" s="10">
        <v>507142692</v>
      </c>
      <c r="D224" s="10">
        <v>30</v>
      </c>
      <c r="E224" s="10" t="s">
        <v>10</v>
      </c>
      <c r="F224" s="10">
        <v>1367372</v>
      </c>
      <c r="G224" s="10" t="s">
        <v>62</v>
      </c>
      <c r="H224" s="11">
        <v>24570</v>
      </c>
      <c r="I224" s="10">
        <v>0</v>
      </c>
      <c r="J224" s="11">
        <f t="shared" si="7"/>
        <v>24570</v>
      </c>
      <c r="K224" s="12">
        <f>VLOOKUP(A224,[3]VA05!$A:$K,11,FALSE)</f>
        <v>45567</v>
      </c>
      <c r="L224" s="10" t="s">
        <v>25</v>
      </c>
      <c r="M224" s="10" t="s">
        <v>178</v>
      </c>
    </row>
    <row r="225" spans="1:13" hidden="1" x14ac:dyDescent="0.25">
      <c r="A225" s="13" t="str">
        <f t="shared" si="6"/>
        <v>50714208620</v>
      </c>
      <c r="B225" s="10">
        <v>1003976459</v>
      </c>
      <c r="C225" s="10">
        <v>507142086</v>
      </c>
      <c r="D225" s="10">
        <v>20</v>
      </c>
      <c r="E225" s="10" t="s">
        <v>10</v>
      </c>
      <c r="F225" s="10">
        <v>1361175</v>
      </c>
      <c r="G225" s="10" t="s">
        <v>22</v>
      </c>
      <c r="H225" s="11">
        <v>28350</v>
      </c>
      <c r="I225" s="10">
        <v>0</v>
      </c>
      <c r="J225" s="11">
        <f t="shared" si="7"/>
        <v>28350</v>
      </c>
      <c r="K225" s="12" t="e">
        <f>VLOOKUP(A225,[3]VA05!$A:$K,11,FALSE)</f>
        <v>#N/A</v>
      </c>
      <c r="L225" s="10" t="s">
        <v>260</v>
      </c>
      <c r="M225" s="10" t="s">
        <v>282</v>
      </c>
    </row>
    <row r="226" spans="1:13" hidden="1" x14ac:dyDescent="0.25">
      <c r="A226" s="13" t="str">
        <f t="shared" si="6"/>
        <v>50714208620</v>
      </c>
      <c r="B226" s="10">
        <v>1003976460</v>
      </c>
      <c r="C226" s="10">
        <v>507142086</v>
      </c>
      <c r="D226" s="10">
        <v>20</v>
      </c>
      <c r="E226" s="10" t="s">
        <v>10</v>
      </c>
      <c r="F226" s="10">
        <v>1361175</v>
      </c>
      <c r="G226" s="10" t="s">
        <v>22</v>
      </c>
      <c r="H226" s="11">
        <v>28350</v>
      </c>
      <c r="I226" s="10">
        <v>0</v>
      </c>
      <c r="J226" s="11">
        <f t="shared" si="7"/>
        <v>28350</v>
      </c>
      <c r="K226" s="12" t="e">
        <f>VLOOKUP(A226,[3]VA05!$A:$K,11,FALSE)</f>
        <v>#N/A</v>
      </c>
      <c r="L226" s="10" t="s">
        <v>260</v>
      </c>
      <c r="M226" s="10" t="s">
        <v>282</v>
      </c>
    </row>
    <row r="227" spans="1:13" hidden="1" x14ac:dyDescent="0.25">
      <c r="A227" s="13" t="str">
        <f t="shared" si="6"/>
        <v>50714208640</v>
      </c>
      <c r="B227" s="10">
        <v>1003976464</v>
      </c>
      <c r="C227" s="10">
        <v>507142086</v>
      </c>
      <c r="D227" s="10">
        <v>40</v>
      </c>
      <c r="E227" s="10" t="s">
        <v>10</v>
      </c>
      <c r="F227" s="10">
        <v>1361175</v>
      </c>
      <c r="G227" s="10" t="s">
        <v>22</v>
      </c>
      <c r="H227" s="11">
        <v>28350</v>
      </c>
      <c r="I227" s="10">
        <v>0</v>
      </c>
      <c r="J227" s="11">
        <f t="shared" si="7"/>
        <v>28350</v>
      </c>
      <c r="K227" s="12" t="e">
        <f>VLOOKUP(A227,[3]VA05!$A:$K,11,FALSE)</f>
        <v>#N/A</v>
      </c>
      <c r="L227" s="10" t="s">
        <v>260</v>
      </c>
      <c r="M227" s="10" t="s">
        <v>269</v>
      </c>
    </row>
    <row r="228" spans="1:13" hidden="1" x14ac:dyDescent="0.25">
      <c r="A228" s="13" t="str">
        <f t="shared" si="6"/>
        <v>50714208640</v>
      </c>
      <c r="B228" s="10">
        <v>1003976465</v>
      </c>
      <c r="C228" s="10">
        <v>507142086</v>
      </c>
      <c r="D228" s="10">
        <v>40</v>
      </c>
      <c r="E228" s="10" t="s">
        <v>10</v>
      </c>
      <c r="F228" s="10">
        <v>1361175</v>
      </c>
      <c r="G228" s="10" t="s">
        <v>22</v>
      </c>
      <c r="H228" s="11">
        <v>28350</v>
      </c>
      <c r="I228" s="10">
        <v>0</v>
      </c>
      <c r="J228" s="11">
        <f t="shared" si="7"/>
        <v>28350</v>
      </c>
      <c r="K228" s="12" t="e">
        <f>VLOOKUP(A228,[3]VA05!$A:$K,11,FALSE)</f>
        <v>#N/A</v>
      </c>
      <c r="L228" s="10" t="s">
        <v>260</v>
      </c>
      <c r="M228" s="10" t="s">
        <v>269</v>
      </c>
    </row>
    <row r="229" spans="1:13" hidden="1" x14ac:dyDescent="0.25">
      <c r="A229" s="13" t="str">
        <f t="shared" si="6"/>
        <v>50714208640</v>
      </c>
      <c r="B229" s="10">
        <v>1003976466</v>
      </c>
      <c r="C229" s="10">
        <v>507142086</v>
      </c>
      <c r="D229" s="10">
        <v>40</v>
      </c>
      <c r="E229" s="10" t="s">
        <v>10</v>
      </c>
      <c r="F229" s="10">
        <v>1361175</v>
      </c>
      <c r="G229" s="10" t="s">
        <v>22</v>
      </c>
      <c r="H229" s="11">
        <v>28350</v>
      </c>
      <c r="I229" s="10">
        <v>0</v>
      </c>
      <c r="J229" s="11">
        <f t="shared" si="7"/>
        <v>28350</v>
      </c>
      <c r="K229" s="12" t="e">
        <f>VLOOKUP(A229,[3]VA05!$A:$K,11,FALSE)</f>
        <v>#N/A</v>
      </c>
      <c r="L229" s="10" t="s">
        <v>260</v>
      </c>
      <c r="M229" s="10" t="s">
        <v>269</v>
      </c>
    </row>
    <row r="230" spans="1:13" hidden="1" x14ac:dyDescent="0.25">
      <c r="A230" s="13" t="str">
        <f t="shared" si="6"/>
        <v>50714208640</v>
      </c>
      <c r="B230" s="10">
        <v>1003976467</v>
      </c>
      <c r="C230" s="10">
        <v>507142086</v>
      </c>
      <c r="D230" s="10">
        <v>40</v>
      </c>
      <c r="E230" s="10" t="s">
        <v>10</v>
      </c>
      <c r="F230" s="10">
        <v>1361175</v>
      </c>
      <c r="G230" s="10" t="s">
        <v>22</v>
      </c>
      <c r="H230" s="11">
        <v>31590</v>
      </c>
      <c r="I230" s="10">
        <v>0</v>
      </c>
      <c r="J230" s="11">
        <f t="shared" si="7"/>
        <v>31590</v>
      </c>
      <c r="K230" s="12" t="e">
        <f>VLOOKUP(A230,[3]VA05!$A:$K,11,FALSE)</f>
        <v>#N/A</v>
      </c>
      <c r="L230" s="10" t="s">
        <v>260</v>
      </c>
      <c r="M230" s="10" t="s">
        <v>269</v>
      </c>
    </row>
    <row r="231" spans="1:13" hidden="1" x14ac:dyDescent="0.25">
      <c r="A231" s="13" t="str">
        <f t="shared" si="6"/>
        <v>50714208660</v>
      </c>
      <c r="B231" s="10">
        <v>1003976468</v>
      </c>
      <c r="C231" s="10">
        <v>507142086</v>
      </c>
      <c r="D231" s="10">
        <v>60</v>
      </c>
      <c r="E231" s="10" t="s">
        <v>10</v>
      </c>
      <c r="F231" s="10">
        <v>1361175</v>
      </c>
      <c r="G231" s="10" t="s">
        <v>22</v>
      </c>
      <c r="H231" s="11">
        <v>28350</v>
      </c>
      <c r="I231" s="10">
        <v>0</v>
      </c>
      <c r="J231" s="11">
        <f t="shared" si="7"/>
        <v>28350</v>
      </c>
      <c r="K231" s="12" t="e">
        <f>VLOOKUP(A231,[3]VA05!$A:$K,11,FALSE)</f>
        <v>#N/A</v>
      </c>
      <c r="L231" s="10" t="s">
        <v>260</v>
      </c>
      <c r="M231" s="10" t="s">
        <v>283</v>
      </c>
    </row>
    <row r="232" spans="1:13" hidden="1" x14ac:dyDescent="0.25">
      <c r="A232" s="13" t="str">
        <f t="shared" si="6"/>
        <v>50714208660</v>
      </c>
      <c r="B232" s="10">
        <v>1003976469</v>
      </c>
      <c r="C232" s="10">
        <v>507142086</v>
      </c>
      <c r="D232" s="10">
        <v>60</v>
      </c>
      <c r="E232" s="10" t="s">
        <v>10</v>
      </c>
      <c r="F232" s="10">
        <v>1361175</v>
      </c>
      <c r="G232" s="10" t="s">
        <v>22</v>
      </c>
      <c r="H232" s="11">
        <v>28350</v>
      </c>
      <c r="I232" s="10">
        <v>0</v>
      </c>
      <c r="J232" s="11">
        <f t="shared" si="7"/>
        <v>28350</v>
      </c>
      <c r="K232" s="12" t="e">
        <f>VLOOKUP(A232,[3]VA05!$A:$K,11,FALSE)</f>
        <v>#N/A</v>
      </c>
      <c r="L232" s="10" t="s">
        <v>260</v>
      </c>
      <c r="M232" s="10" t="s">
        <v>283</v>
      </c>
    </row>
    <row r="233" spans="1:13" hidden="1" x14ac:dyDescent="0.25">
      <c r="A233" s="13" t="str">
        <f t="shared" si="6"/>
        <v>50714208660</v>
      </c>
      <c r="B233" s="10">
        <v>1003976470</v>
      </c>
      <c r="C233" s="10">
        <v>507142086</v>
      </c>
      <c r="D233" s="10">
        <v>60</v>
      </c>
      <c r="E233" s="10" t="s">
        <v>10</v>
      </c>
      <c r="F233" s="10">
        <v>1361175</v>
      </c>
      <c r="G233" s="10" t="s">
        <v>22</v>
      </c>
      <c r="H233" s="11">
        <v>28350</v>
      </c>
      <c r="I233" s="10">
        <v>0</v>
      </c>
      <c r="J233" s="11">
        <f t="shared" si="7"/>
        <v>28350</v>
      </c>
      <c r="K233" s="12" t="e">
        <f>VLOOKUP(A233,[3]VA05!$A:$K,11,FALSE)</f>
        <v>#N/A</v>
      </c>
      <c r="L233" s="10" t="s">
        <v>260</v>
      </c>
      <c r="M233" s="10" t="s">
        <v>283</v>
      </c>
    </row>
    <row r="234" spans="1:13" hidden="1" x14ac:dyDescent="0.25">
      <c r="A234" s="13" t="str">
        <f t="shared" si="6"/>
        <v>50714208660</v>
      </c>
      <c r="B234" s="10">
        <v>1003976471</v>
      </c>
      <c r="C234" s="10">
        <v>507142086</v>
      </c>
      <c r="D234" s="10">
        <v>60</v>
      </c>
      <c r="E234" s="10" t="s">
        <v>10</v>
      </c>
      <c r="F234" s="10">
        <v>1361175</v>
      </c>
      <c r="G234" s="10" t="s">
        <v>22</v>
      </c>
      <c r="H234" s="11">
        <v>25110</v>
      </c>
      <c r="I234" s="10">
        <v>0</v>
      </c>
      <c r="J234" s="11">
        <f t="shared" si="7"/>
        <v>25110</v>
      </c>
      <c r="K234" s="12" t="e">
        <f>VLOOKUP(A234,[3]VA05!$A:$K,11,FALSE)</f>
        <v>#N/A</v>
      </c>
      <c r="L234" s="10" t="s">
        <v>260</v>
      </c>
      <c r="M234" s="10" t="s">
        <v>283</v>
      </c>
    </row>
    <row r="235" spans="1:13" x14ac:dyDescent="0.25">
      <c r="A235" s="13" t="str">
        <f t="shared" si="6"/>
        <v>50714263860</v>
      </c>
      <c r="B235" s="10">
        <v>1004049845</v>
      </c>
      <c r="C235" s="10">
        <v>507142638</v>
      </c>
      <c r="D235" s="10">
        <v>60</v>
      </c>
      <c r="E235" s="10" t="s">
        <v>10</v>
      </c>
      <c r="F235" s="10">
        <v>1361175</v>
      </c>
      <c r="G235" s="10" t="s">
        <v>22</v>
      </c>
      <c r="H235" s="11">
        <v>36850</v>
      </c>
      <c r="I235" s="11">
        <v>4576</v>
      </c>
      <c r="J235" s="11">
        <f t="shared" si="7"/>
        <v>32274</v>
      </c>
      <c r="K235" s="12">
        <f>VLOOKUP(A235,[3]VA05!$A:$K,11,FALSE)</f>
        <v>45560</v>
      </c>
      <c r="L235" s="10" t="s">
        <v>132</v>
      </c>
      <c r="M235" s="10" t="s">
        <v>143</v>
      </c>
    </row>
    <row r="236" spans="1:13" x14ac:dyDescent="0.25">
      <c r="A236" s="13" t="str">
        <f t="shared" si="6"/>
        <v>50714263860</v>
      </c>
      <c r="B236" s="10">
        <v>1004049846</v>
      </c>
      <c r="C236" s="10">
        <v>507142638</v>
      </c>
      <c r="D236" s="10">
        <v>60</v>
      </c>
      <c r="E236" s="10" t="s">
        <v>10</v>
      </c>
      <c r="F236" s="10">
        <v>1361175</v>
      </c>
      <c r="G236" s="10" t="s">
        <v>22</v>
      </c>
      <c r="H236" s="11">
        <v>36190</v>
      </c>
      <c r="I236" s="10">
        <v>0</v>
      </c>
      <c r="J236" s="11">
        <f t="shared" si="7"/>
        <v>36190</v>
      </c>
      <c r="K236" s="12">
        <f>VLOOKUP(A236,[3]VA05!$A:$K,11,FALSE)</f>
        <v>45560</v>
      </c>
      <c r="L236" s="10" t="s">
        <v>241</v>
      </c>
      <c r="M236" s="10" t="s">
        <v>97</v>
      </c>
    </row>
    <row r="237" spans="1:13" x14ac:dyDescent="0.25">
      <c r="A237" s="13" t="str">
        <f t="shared" si="6"/>
        <v>50714269240</v>
      </c>
      <c r="B237" s="10">
        <v>1004060927</v>
      </c>
      <c r="C237" s="10">
        <v>507142692</v>
      </c>
      <c r="D237" s="10">
        <v>40</v>
      </c>
      <c r="E237" s="10" t="s">
        <v>10</v>
      </c>
      <c r="F237" s="10">
        <v>1367370</v>
      </c>
      <c r="G237" s="10" t="s">
        <v>63</v>
      </c>
      <c r="H237" s="11">
        <v>32400</v>
      </c>
      <c r="I237" s="11">
        <v>13192</v>
      </c>
      <c r="J237" s="11">
        <f t="shared" si="7"/>
        <v>19208</v>
      </c>
      <c r="K237" s="12">
        <f>VLOOKUP(A237,[3]VA05!$A:$K,11,FALSE)</f>
        <v>45567</v>
      </c>
      <c r="L237" s="10" t="s">
        <v>28</v>
      </c>
      <c r="M237" s="10" t="s">
        <v>178</v>
      </c>
    </row>
    <row r="238" spans="1:13" x14ac:dyDescent="0.25">
      <c r="A238" s="13" t="str">
        <f t="shared" si="6"/>
        <v>50714269240</v>
      </c>
      <c r="B238" s="10">
        <v>1004060928</v>
      </c>
      <c r="C238" s="10">
        <v>507142692</v>
      </c>
      <c r="D238" s="10">
        <v>40</v>
      </c>
      <c r="E238" s="10" t="s">
        <v>10</v>
      </c>
      <c r="F238" s="10">
        <v>1367370</v>
      </c>
      <c r="G238" s="10" t="s">
        <v>63</v>
      </c>
      <c r="H238" s="11">
        <v>32400</v>
      </c>
      <c r="I238" s="11"/>
      <c r="J238" s="11">
        <f t="shared" si="7"/>
        <v>32400</v>
      </c>
      <c r="K238" s="12">
        <f>VLOOKUP(A238,[3]VA05!$A:$K,11,FALSE)</f>
        <v>45567</v>
      </c>
      <c r="L238" s="10" t="s">
        <v>235</v>
      </c>
      <c r="M238" s="10" t="s">
        <v>178</v>
      </c>
    </row>
    <row r="239" spans="1:13" x14ac:dyDescent="0.25">
      <c r="A239" s="13" t="str">
        <f t="shared" si="6"/>
        <v>50714269240</v>
      </c>
      <c r="B239" s="10">
        <v>1004061129</v>
      </c>
      <c r="C239" s="10">
        <v>507142692</v>
      </c>
      <c r="D239" s="10">
        <v>40</v>
      </c>
      <c r="E239" s="10" t="s">
        <v>10</v>
      </c>
      <c r="F239" s="10">
        <v>1367370</v>
      </c>
      <c r="G239" s="10" t="s">
        <v>63</v>
      </c>
      <c r="H239" s="11">
        <v>34400</v>
      </c>
      <c r="I239" s="10">
        <v>0</v>
      </c>
      <c r="J239" s="11">
        <f t="shared" si="7"/>
        <v>34400</v>
      </c>
      <c r="K239" s="12">
        <f>VLOOKUP(A239,[3]VA05!$A:$K,11,FALSE)</f>
        <v>45567</v>
      </c>
      <c r="L239" s="10" t="s">
        <v>25</v>
      </c>
      <c r="M239" s="10" t="s">
        <v>178</v>
      </c>
    </row>
    <row r="240" spans="1:13" hidden="1" x14ac:dyDescent="0.25">
      <c r="A240" s="13" t="str">
        <f t="shared" si="6"/>
        <v>50714200350</v>
      </c>
      <c r="B240" s="10">
        <v>1003967868</v>
      </c>
      <c r="C240" s="10">
        <v>507142003</v>
      </c>
      <c r="D240" s="10">
        <v>50</v>
      </c>
      <c r="E240" s="10" t="s">
        <v>10</v>
      </c>
      <c r="F240" s="10">
        <v>1361213</v>
      </c>
      <c r="G240" s="10" t="s">
        <v>23</v>
      </c>
      <c r="H240" s="11">
        <v>74809</v>
      </c>
      <c r="I240" s="10">
        <v>0</v>
      </c>
      <c r="J240" s="11">
        <f t="shared" si="7"/>
        <v>74809</v>
      </c>
      <c r="K240" s="12" t="e">
        <f>VLOOKUP(A240,[3]VA05!$A:$K,11,FALSE)</f>
        <v>#N/A</v>
      </c>
      <c r="L240" s="10" t="s">
        <v>260</v>
      </c>
      <c r="M240" s="10" t="s">
        <v>284</v>
      </c>
    </row>
    <row r="241" spans="1:13" hidden="1" x14ac:dyDescent="0.25">
      <c r="A241" s="13" t="str">
        <f t="shared" si="6"/>
        <v>50714263830</v>
      </c>
      <c r="B241" s="10">
        <v>1004043125</v>
      </c>
      <c r="C241" s="10">
        <v>507142638</v>
      </c>
      <c r="D241" s="10">
        <v>30</v>
      </c>
      <c r="E241" s="10" t="s">
        <v>10</v>
      </c>
      <c r="F241" s="10">
        <v>1361213</v>
      </c>
      <c r="G241" s="10" t="s">
        <v>23</v>
      </c>
      <c r="H241" s="11">
        <v>113465</v>
      </c>
      <c r="I241" s="11">
        <v>113465</v>
      </c>
      <c r="J241" s="11">
        <f t="shared" si="7"/>
        <v>0</v>
      </c>
      <c r="K241" s="12" t="e">
        <f>VLOOKUP(A241,[3]VA05!$A:$K,11,FALSE)</f>
        <v>#N/A</v>
      </c>
      <c r="L241" s="10" t="s">
        <v>28</v>
      </c>
      <c r="M241" s="10" t="s">
        <v>195</v>
      </c>
    </row>
    <row r="242" spans="1:13" x14ac:dyDescent="0.25">
      <c r="A242" s="13" t="str">
        <f t="shared" si="6"/>
        <v>50714263850</v>
      </c>
      <c r="B242" s="10">
        <v>1004043126</v>
      </c>
      <c r="C242" s="10">
        <v>507142638</v>
      </c>
      <c r="D242" s="10">
        <v>50</v>
      </c>
      <c r="E242" s="10" t="s">
        <v>10</v>
      </c>
      <c r="F242" s="10">
        <v>1361213</v>
      </c>
      <c r="G242" s="10" t="s">
        <v>23</v>
      </c>
      <c r="H242" s="11">
        <v>113187</v>
      </c>
      <c r="I242" s="10">
        <v>0</v>
      </c>
      <c r="J242" s="11">
        <f t="shared" si="7"/>
        <v>113187</v>
      </c>
      <c r="K242" s="12">
        <f>VLOOKUP(A242,[3]VA05!$A:$K,11,FALSE)</f>
        <v>45560</v>
      </c>
      <c r="L242" s="10" t="s">
        <v>27</v>
      </c>
      <c r="M242" s="10" t="s">
        <v>178</v>
      </c>
    </row>
    <row r="243" spans="1:13" x14ac:dyDescent="0.25">
      <c r="A243" s="13" t="str">
        <f t="shared" si="6"/>
        <v>50714273810</v>
      </c>
      <c r="B243" s="10">
        <v>1004053617</v>
      </c>
      <c r="C243" s="10">
        <v>507142738</v>
      </c>
      <c r="D243" s="10">
        <v>10</v>
      </c>
      <c r="E243" s="10" t="s">
        <v>10</v>
      </c>
      <c r="F243" s="10">
        <v>1361213</v>
      </c>
      <c r="G243" s="10" t="s">
        <v>23</v>
      </c>
      <c r="H243" s="11">
        <v>113468</v>
      </c>
      <c r="I243" s="10">
        <v>0</v>
      </c>
      <c r="J243" s="11">
        <f t="shared" si="7"/>
        <v>113468</v>
      </c>
      <c r="K243" s="12">
        <f>VLOOKUP(A243,[3]VA05!$A:$K,11,FALSE)</f>
        <v>45567</v>
      </c>
      <c r="L243" s="10" t="s">
        <v>12</v>
      </c>
      <c r="M243" s="10" t="s">
        <v>130</v>
      </c>
    </row>
    <row r="244" spans="1:13" x14ac:dyDescent="0.25">
      <c r="A244" s="13" t="str">
        <f t="shared" si="6"/>
        <v>50714279010</v>
      </c>
      <c r="B244" s="10">
        <v>1004053618</v>
      </c>
      <c r="C244" s="10">
        <v>507142790</v>
      </c>
      <c r="D244" s="10">
        <v>10</v>
      </c>
      <c r="E244" s="10" t="s">
        <v>10</v>
      </c>
      <c r="F244" s="10">
        <v>1361213</v>
      </c>
      <c r="G244" s="10" t="s">
        <v>23</v>
      </c>
      <c r="H244" s="11">
        <v>113465</v>
      </c>
      <c r="I244" s="10">
        <v>0</v>
      </c>
      <c r="J244" s="11">
        <f t="shared" si="7"/>
        <v>113465</v>
      </c>
      <c r="K244" s="12">
        <f>VLOOKUP(A244,[3]VA05!$A:$K,11,FALSE)</f>
        <v>45583</v>
      </c>
      <c r="L244" s="10" t="s">
        <v>12</v>
      </c>
      <c r="M244" s="10" t="s">
        <v>180</v>
      </c>
    </row>
    <row r="245" spans="1:13" x14ac:dyDescent="0.25">
      <c r="A245" s="13" t="str">
        <f t="shared" si="6"/>
        <v>50714269230</v>
      </c>
      <c r="B245" s="10">
        <v>1004062502</v>
      </c>
      <c r="C245" s="10">
        <v>507142692</v>
      </c>
      <c r="D245" s="10">
        <v>30</v>
      </c>
      <c r="E245" s="10" t="s">
        <v>10</v>
      </c>
      <c r="F245" s="10">
        <v>1361213</v>
      </c>
      <c r="G245" s="10" t="s">
        <v>23</v>
      </c>
      <c r="H245" s="11">
        <v>102900</v>
      </c>
      <c r="I245" s="10">
        <v>0</v>
      </c>
      <c r="J245" s="11">
        <f t="shared" si="7"/>
        <v>102900</v>
      </c>
      <c r="K245" s="12">
        <f>VLOOKUP(A245,[3]VA05!$A:$K,11,FALSE)</f>
        <v>45567</v>
      </c>
      <c r="L245" s="10" t="s">
        <v>12</v>
      </c>
      <c r="M245" s="10" t="s">
        <v>162</v>
      </c>
    </row>
    <row r="246" spans="1:13" x14ac:dyDescent="0.25">
      <c r="A246" s="13" t="str">
        <f t="shared" si="6"/>
        <v>50714269210</v>
      </c>
      <c r="B246" s="10">
        <v>1004062503</v>
      </c>
      <c r="C246" s="10">
        <v>507142692</v>
      </c>
      <c r="D246" s="10">
        <v>10</v>
      </c>
      <c r="E246" s="10" t="s">
        <v>10</v>
      </c>
      <c r="F246" s="10">
        <v>1361213</v>
      </c>
      <c r="G246" s="10" t="s">
        <v>23</v>
      </c>
      <c r="H246" s="11">
        <v>39734</v>
      </c>
      <c r="I246" s="10">
        <v>0</v>
      </c>
      <c r="J246" s="11">
        <f t="shared" si="7"/>
        <v>39734</v>
      </c>
      <c r="K246" s="12">
        <f>VLOOKUP(A246,[3]VA05!$A:$K,11,FALSE)</f>
        <v>45572</v>
      </c>
      <c r="L246" s="10" t="s">
        <v>12</v>
      </c>
      <c r="M246" s="10" t="s">
        <v>162</v>
      </c>
    </row>
    <row r="247" spans="1:13" x14ac:dyDescent="0.25">
      <c r="A247" s="13" t="str">
        <f t="shared" si="6"/>
        <v>50714283110</v>
      </c>
      <c r="B247" s="10">
        <v>1004062504</v>
      </c>
      <c r="C247" s="10">
        <v>507142831</v>
      </c>
      <c r="D247" s="10">
        <v>10</v>
      </c>
      <c r="E247" s="10" t="s">
        <v>10</v>
      </c>
      <c r="F247" s="10">
        <v>1361213</v>
      </c>
      <c r="G247" s="10" t="s">
        <v>23</v>
      </c>
      <c r="H247" s="11">
        <v>51727</v>
      </c>
      <c r="I247" s="10">
        <v>0</v>
      </c>
      <c r="J247" s="11">
        <f t="shared" si="7"/>
        <v>51727</v>
      </c>
      <c r="K247" s="12">
        <f>VLOOKUP(A247,[3]VA05!$A:$K,11,FALSE)</f>
        <v>45587</v>
      </c>
      <c r="L247" s="10" t="s">
        <v>12</v>
      </c>
      <c r="M247" s="10" t="s">
        <v>179</v>
      </c>
    </row>
    <row r="248" spans="1:13" hidden="1" x14ac:dyDescent="0.25">
      <c r="A248" s="13" t="str">
        <f t="shared" si="6"/>
        <v>50714263750</v>
      </c>
      <c r="B248" s="10">
        <v>1004053626</v>
      </c>
      <c r="C248" s="10">
        <v>507142637</v>
      </c>
      <c r="D248" s="10">
        <v>50</v>
      </c>
      <c r="E248" s="10" t="s">
        <v>10</v>
      </c>
      <c r="F248" s="10">
        <v>1408740</v>
      </c>
      <c r="G248" s="10" t="s">
        <v>104</v>
      </c>
      <c r="H248" s="11">
        <v>27540</v>
      </c>
      <c r="I248" s="11">
        <v>27540</v>
      </c>
      <c r="J248" s="11">
        <f t="shared" si="7"/>
        <v>0</v>
      </c>
      <c r="K248" s="12">
        <f>VLOOKUP(A248,[3]VA05!$A:$K,11,FALSE)</f>
        <v>45572</v>
      </c>
      <c r="L248" s="10" t="s">
        <v>233</v>
      </c>
      <c r="M248" s="10" t="s">
        <v>154</v>
      </c>
    </row>
    <row r="249" spans="1:13" hidden="1" x14ac:dyDescent="0.25">
      <c r="A249" s="13" t="str">
        <f t="shared" si="6"/>
        <v>50714263750</v>
      </c>
      <c r="B249" s="10">
        <v>1004053627</v>
      </c>
      <c r="C249" s="10">
        <v>507142637</v>
      </c>
      <c r="D249" s="10">
        <v>50</v>
      </c>
      <c r="E249" s="10" t="s">
        <v>10</v>
      </c>
      <c r="F249" s="10">
        <v>1408740</v>
      </c>
      <c r="G249" s="10" t="s">
        <v>104</v>
      </c>
      <c r="H249" s="11">
        <v>27540</v>
      </c>
      <c r="I249" s="11">
        <v>27540</v>
      </c>
      <c r="J249" s="11">
        <f t="shared" si="7"/>
        <v>0</v>
      </c>
      <c r="K249" s="12">
        <f>VLOOKUP(A249,[3]VA05!$A:$K,11,FALSE)</f>
        <v>45572</v>
      </c>
      <c r="L249" s="10" t="s">
        <v>233</v>
      </c>
      <c r="M249" s="10" t="s">
        <v>194</v>
      </c>
    </row>
    <row r="250" spans="1:13" hidden="1" x14ac:dyDescent="0.25">
      <c r="A250" s="13" t="str">
        <f t="shared" si="6"/>
        <v>50714263750</v>
      </c>
      <c r="B250" s="10">
        <v>1004053628</v>
      </c>
      <c r="C250" s="10">
        <v>507142637</v>
      </c>
      <c r="D250" s="10">
        <v>50</v>
      </c>
      <c r="E250" s="10" t="s">
        <v>10</v>
      </c>
      <c r="F250" s="10">
        <v>1408740</v>
      </c>
      <c r="G250" s="10" t="s">
        <v>104</v>
      </c>
      <c r="H250" s="11">
        <v>27540</v>
      </c>
      <c r="I250" s="11">
        <v>27540</v>
      </c>
      <c r="J250" s="11">
        <f t="shared" si="7"/>
        <v>0</v>
      </c>
      <c r="K250" s="12">
        <f>VLOOKUP(A250,[3]VA05!$A:$K,11,FALSE)</f>
        <v>45572</v>
      </c>
      <c r="L250" s="10" t="s">
        <v>34</v>
      </c>
      <c r="M250" s="10" t="s">
        <v>178</v>
      </c>
    </row>
    <row r="251" spans="1:13" hidden="1" x14ac:dyDescent="0.25">
      <c r="A251" s="13" t="str">
        <f t="shared" si="6"/>
        <v>50714263750</v>
      </c>
      <c r="B251" s="10">
        <v>1004053629</v>
      </c>
      <c r="C251" s="10">
        <v>507142637</v>
      </c>
      <c r="D251" s="10">
        <v>50</v>
      </c>
      <c r="E251" s="10" t="s">
        <v>10</v>
      </c>
      <c r="F251" s="10">
        <v>1408740</v>
      </c>
      <c r="G251" s="10" t="s">
        <v>104</v>
      </c>
      <c r="H251" s="11">
        <v>27270</v>
      </c>
      <c r="I251" s="11">
        <v>27270</v>
      </c>
      <c r="J251" s="11">
        <f t="shared" si="7"/>
        <v>0</v>
      </c>
      <c r="K251" s="12">
        <f>VLOOKUP(A251,[3]VA05!$A:$K,11,FALSE)</f>
        <v>45572</v>
      </c>
      <c r="L251" s="10" t="s">
        <v>18</v>
      </c>
      <c r="M251" s="10" t="s">
        <v>154</v>
      </c>
    </row>
    <row r="252" spans="1:13" x14ac:dyDescent="0.25">
      <c r="A252" s="13" t="str">
        <f t="shared" si="6"/>
        <v>50714269810</v>
      </c>
      <c r="B252" s="10">
        <v>1004061887</v>
      </c>
      <c r="C252" s="10">
        <v>507142698</v>
      </c>
      <c r="D252" s="10">
        <v>10</v>
      </c>
      <c r="E252" s="10" t="s">
        <v>10</v>
      </c>
      <c r="F252" s="10">
        <v>1408740</v>
      </c>
      <c r="G252" s="10" t="s">
        <v>104</v>
      </c>
      <c r="H252" s="11">
        <v>27540</v>
      </c>
      <c r="I252" s="10">
        <v>19684</v>
      </c>
      <c r="J252" s="11">
        <f t="shared" si="7"/>
        <v>7856</v>
      </c>
      <c r="K252" s="12">
        <f>VLOOKUP(A252,[3]VA05!$A:$K,11,FALSE)</f>
        <v>45553</v>
      </c>
      <c r="L252" s="10" t="s">
        <v>240</v>
      </c>
      <c r="M252" s="10" t="s">
        <v>197</v>
      </c>
    </row>
    <row r="253" spans="1:13" x14ac:dyDescent="0.25">
      <c r="A253" s="13" t="str">
        <f t="shared" si="6"/>
        <v>50714269810</v>
      </c>
      <c r="B253" s="10">
        <v>1004061888</v>
      </c>
      <c r="C253" s="10">
        <v>507142698</v>
      </c>
      <c r="D253" s="10">
        <v>10</v>
      </c>
      <c r="E253" s="10" t="s">
        <v>10</v>
      </c>
      <c r="F253" s="10">
        <v>1408740</v>
      </c>
      <c r="G253" s="10" t="s">
        <v>104</v>
      </c>
      <c r="H253" s="11">
        <v>27540</v>
      </c>
      <c r="I253" s="10">
        <v>0</v>
      </c>
      <c r="J253" s="11">
        <f t="shared" si="7"/>
        <v>27540</v>
      </c>
      <c r="K253" s="12">
        <f>VLOOKUP(A253,[3]VA05!$A:$K,11,FALSE)</f>
        <v>45553</v>
      </c>
      <c r="L253" s="10" t="s">
        <v>12</v>
      </c>
      <c r="M253" s="10" t="s">
        <v>197</v>
      </c>
    </row>
    <row r="254" spans="1:13" x14ac:dyDescent="0.25">
      <c r="A254" s="13" t="str">
        <f t="shared" si="6"/>
        <v>50714269810</v>
      </c>
      <c r="B254" s="10">
        <v>1004062029</v>
      </c>
      <c r="C254" s="10">
        <v>507142698</v>
      </c>
      <c r="D254" s="10">
        <v>10</v>
      </c>
      <c r="E254" s="10" t="s">
        <v>10</v>
      </c>
      <c r="F254" s="10">
        <v>1408740</v>
      </c>
      <c r="G254" s="10" t="s">
        <v>104</v>
      </c>
      <c r="H254" s="11">
        <v>27540</v>
      </c>
      <c r="I254" s="10">
        <v>0</v>
      </c>
      <c r="J254" s="11">
        <f t="shared" si="7"/>
        <v>27540</v>
      </c>
      <c r="K254" s="12">
        <f>VLOOKUP(A254,[3]VA05!$A:$K,11,FALSE)</f>
        <v>45553</v>
      </c>
      <c r="L254" s="10" t="s">
        <v>12</v>
      </c>
      <c r="M254" s="10" t="s">
        <v>197</v>
      </c>
    </row>
    <row r="255" spans="1:13" x14ac:dyDescent="0.25">
      <c r="A255" s="13" t="str">
        <f t="shared" si="6"/>
        <v>50714269810</v>
      </c>
      <c r="B255" s="10">
        <v>1004062030</v>
      </c>
      <c r="C255" s="10">
        <v>507142698</v>
      </c>
      <c r="D255" s="10">
        <v>10</v>
      </c>
      <c r="E255" s="10" t="s">
        <v>10</v>
      </c>
      <c r="F255" s="10">
        <v>1408740</v>
      </c>
      <c r="G255" s="10" t="s">
        <v>104</v>
      </c>
      <c r="H255" s="11">
        <v>27540</v>
      </c>
      <c r="I255" s="10">
        <v>0</v>
      </c>
      <c r="J255" s="11">
        <f t="shared" si="7"/>
        <v>27540</v>
      </c>
      <c r="K255" s="12">
        <f>VLOOKUP(A255,[3]VA05!$A:$K,11,FALSE)</f>
        <v>45553</v>
      </c>
      <c r="L255" s="10" t="s">
        <v>12</v>
      </c>
      <c r="M255" s="10" t="s">
        <v>197</v>
      </c>
    </row>
    <row r="256" spans="1:13" x14ac:dyDescent="0.25">
      <c r="A256" s="13" t="str">
        <f t="shared" si="6"/>
        <v>50714269830</v>
      </c>
      <c r="B256" s="10">
        <v>1004062031</v>
      </c>
      <c r="C256" s="10">
        <v>507142698</v>
      </c>
      <c r="D256" s="10">
        <v>30</v>
      </c>
      <c r="E256" s="10" t="s">
        <v>10</v>
      </c>
      <c r="F256" s="10">
        <v>1408740</v>
      </c>
      <c r="G256" s="10" t="s">
        <v>104</v>
      </c>
      <c r="H256" s="11">
        <v>27540</v>
      </c>
      <c r="I256" s="10">
        <v>0</v>
      </c>
      <c r="J256" s="11">
        <f t="shared" si="7"/>
        <v>27540</v>
      </c>
      <c r="K256" s="12">
        <f>VLOOKUP(A256,[3]VA05!$A:$K,11,FALSE)</f>
        <v>45567</v>
      </c>
      <c r="L256" s="10" t="s">
        <v>12</v>
      </c>
      <c r="M256" s="10" t="s">
        <v>197</v>
      </c>
    </row>
    <row r="257" spans="1:13" x14ac:dyDescent="0.25">
      <c r="A257" s="13" t="str">
        <f t="shared" si="6"/>
        <v>50714269830</v>
      </c>
      <c r="B257" s="10">
        <v>1004062032</v>
      </c>
      <c r="C257" s="10">
        <v>507142698</v>
      </c>
      <c r="D257" s="10">
        <v>30</v>
      </c>
      <c r="E257" s="10" t="s">
        <v>10</v>
      </c>
      <c r="F257" s="10">
        <v>1408740</v>
      </c>
      <c r="G257" s="10" t="s">
        <v>104</v>
      </c>
      <c r="H257" s="11">
        <v>27540</v>
      </c>
      <c r="I257" s="10">
        <v>0</v>
      </c>
      <c r="J257" s="11">
        <f t="shared" si="7"/>
        <v>27540</v>
      </c>
      <c r="K257" s="12">
        <f>VLOOKUP(A257,[3]VA05!$A:$K,11,FALSE)</f>
        <v>45567</v>
      </c>
      <c r="L257" s="10" t="s">
        <v>12</v>
      </c>
      <c r="M257" s="10" t="s">
        <v>197</v>
      </c>
    </row>
    <row r="258" spans="1:13" x14ac:dyDescent="0.25">
      <c r="A258" s="13" t="str">
        <f t="shared" si="6"/>
        <v>50714269830</v>
      </c>
      <c r="B258" s="10">
        <v>1004062033</v>
      </c>
      <c r="C258" s="10">
        <v>507142698</v>
      </c>
      <c r="D258" s="10">
        <v>30</v>
      </c>
      <c r="E258" s="10" t="s">
        <v>10</v>
      </c>
      <c r="F258" s="10">
        <v>1408740</v>
      </c>
      <c r="G258" s="10" t="s">
        <v>104</v>
      </c>
      <c r="H258" s="11">
        <v>27540</v>
      </c>
      <c r="I258" s="10">
        <v>0</v>
      </c>
      <c r="J258" s="11">
        <f t="shared" si="7"/>
        <v>27540</v>
      </c>
      <c r="K258" s="12">
        <f>VLOOKUP(A258,[3]VA05!$A:$K,11,FALSE)</f>
        <v>45567</v>
      </c>
      <c r="L258" s="10" t="s">
        <v>12</v>
      </c>
      <c r="M258" s="10" t="s">
        <v>197</v>
      </c>
    </row>
    <row r="259" spans="1:13" x14ac:dyDescent="0.25">
      <c r="A259" s="13" t="str">
        <f t="shared" si="6"/>
        <v>50714269830</v>
      </c>
      <c r="B259" s="10">
        <v>1004062034</v>
      </c>
      <c r="C259" s="10">
        <v>507142698</v>
      </c>
      <c r="D259" s="10">
        <v>30</v>
      </c>
      <c r="E259" s="10" t="s">
        <v>10</v>
      </c>
      <c r="F259" s="10">
        <v>1408740</v>
      </c>
      <c r="G259" s="10" t="s">
        <v>104</v>
      </c>
      <c r="H259" s="11">
        <v>27270</v>
      </c>
      <c r="I259" s="10">
        <v>0</v>
      </c>
      <c r="J259" s="11">
        <f t="shared" si="7"/>
        <v>27270</v>
      </c>
      <c r="K259" s="12">
        <f>VLOOKUP(A259,[3]VA05!$A:$K,11,FALSE)</f>
        <v>45567</v>
      </c>
      <c r="L259" s="10" t="s">
        <v>12</v>
      </c>
      <c r="M259" s="10" t="s">
        <v>197</v>
      </c>
    </row>
    <row r="260" spans="1:13" x14ac:dyDescent="0.25">
      <c r="A260" s="13" t="str">
        <f t="shared" ref="A260:A310" si="8">C260&amp;D260</f>
        <v>50714208810</v>
      </c>
      <c r="B260" s="10">
        <v>1003976472</v>
      </c>
      <c r="C260" s="10">
        <v>507142088</v>
      </c>
      <c r="D260" s="10">
        <v>10</v>
      </c>
      <c r="E260" s="10" t="s">
        <v>10</v>
      </c>
      <c r="F260" s="10">
        <v>1408739</v>
      </c>
      <c r="G260" s="10" t="s">
        <v>37</v>
      </c>
      <c r="H260" s="11">
        <v>28350</v>
      </c>
      <c r="I260" s="10">
        <v>0</v>
      </c>
      <c r="J260" s="11">
        <f t="shared" ref="J260:J310" si="9">H260-I260</f>
        <v>28350</v>
      </c>
      <c r="K260" s="12" t="e">
        <f>VLOOKUP(A260,[3]VA05!$A:$K,11,FALSE)</f>
        <v>#N/A</v>
      </c>
      <c r="L260" s="10" t="s">
        <v>285</v>
      </c>
      <c r="M260" s="10" t="s">
        <v>282</v>
      </c>
    </row>
    <row r="261" spans="1:13" x14ac:dyDescent="0.25">
      <c r="A261" s="13" t="str">
        <f t="shared" si="8"/>
        <v>50714208810</v>
      </c>
      <c r="B261" s="10">
        <v>1003976473</v>
      </c>
      <c r="C261" s="10">
        <v>507142088</v>
      </c>
      <c r="D261" s="10">
        <v>10</v>
      </c>
      <c r="E261" s="10" t="s">
        <v>10</v>
      </c>
      <c r="F261" s="10">
        <v>1408739</v>
      </c>
      <c r="G261" s="10" t="s">
        <v>37</v>
      </c>
      <c r="H261" s="11">
        <v>28350</v>
      </c>
      <c r="I261" s="10">
        <v>0</v>
      </c>
      <c r="J261" s="11">
        <f t="shared" si="9"/>
        <v>28350</v>
      </c>
      <c r="K261" s="12" t="e">
        <f>VLOOKUP(A261,[3]VA05!$A:$K,11,FALSE)</f>
        <v>#N/A</v>
      </c>
      <c r="L261" s="10" t="s">
        <v>285</v>
      </c>
      <c r="M261" s="10" t="s">
        <v>282</v>
      </c>
    </row>
    <row r="262" spans="1:13" hidden="1" x14ac:dyDescent="0.25">
      <c r="A262" s="13" t="str">
        <f t="shared" si="8"/>
        <v>50714208810</v>
      </c>
      <c r="B262" s="10">
        <v>1003976474</v>
      </c>
      <c r="C262" s="10">
        <v>507142088</v>
      </c>
      <c r="D262" s="10">
        <v>10</v>
      </c>
      <c r="E262" s="10" t="s">
        <v>10</v>
      </c>
      <c r="F262" s="10">
        <v>1408739</v>
      </c>
      <c r="G262" s="10" t="s">
        <v>37</v>
      </c>
      <c r="H262" s="11">
        <v>28350</v>
      </c>
      <c r="I262" s="10">
        <v>0</v>
      </c>
      <c r="J262" s="11">
        <f t="shared" si="9"/>
        <v>28350</v>
      </c>
      <c r="K262" s="12" t="e">
        <f>VLOOKUP(A262,[3]VA05!$A:$K,11,FALSE)</f>
        <v>#N/A</v>
      </c>
      <c r="L262" s="10" t="s">
        <v>260</v>
      </c>
      <c r="M262" s="10" t="s">
        <v>282</v>
      </c>
    </row>
    <row r="263" spans="1:13" hidden="1" x14ac:dyDescent="0.25">
      <c r="A263" s="13" t="str">
        <f t="shared" si="8"/>
        <v>50714208810</v>
      </c>
      <c r="B263" s="10">
        <v>1003976475</v>
      </c>
      <c r="C263" s="10">
        <v>507142088</v>
      </c>
      <c r="D263" s="10">
        <v>10</v>
      </c>
      <c r="E263" s="10" t="s">
        <v>10</v>
      </c>
      <c r="F263" s="10">
        <v>1408739</v>
      </c>
      <c r="G263" s="10" t="s">
        <v>37</v>
      </c>
      <c r="H263" s="11">
        <v>28350</v>
      </c>
      <c r="I263" s="10">
        <v>0</v>
      </c>
      <c r="J263" s="11">
        <f t="shared" si="9"/>
        <v>28350</v>
      </c>
      <c r="K263" s="12" t="e">
        <f>VLOOKUP(A263,[3]VA05!$A:$K,11,FALSE)</f>
        <v>#N/A</v>
      </c>
      <c r="L263" s="10" t="s">
        <v>260</v>
      </c>
      <c r="M263" s="10" t="s">
        <v>282</v>
      </c>
    </row>
    <row r="264" spans="1:13" hidden="1" x14ac:dyDescent="0.25">
      <c r="A264" s="13" t="str">
        <f t="shared" si="8"/>
        <v>50714208810</v>
      </c>
      <c r="B264" s="10">
        <v>1003976476</v>
      </c>
      <c r="C264" s="10">
        <v>507142088</v>
      </c>
      <c r="D264" s="10">
        <v>10</v>
      </c>
      <c r="E264" s="10" t="s">
        <v>10</v>
      </c>
      <c r="F264" s="10">
        <v>1408739</v>
      </c>
      <c r="G264" s="10" t="s">
        <v>37</v>
      </c>
      <c r="H264" s="11">
        <v>28350</v>
      </c>
      <c r="I264" s="10">
        <v>0</v>
      </c>
      <c r="J264" s="11">
        <f t="shared" si="9"/>
        <v>28350</v>
      </c>
      <c r="K264" s="12" t="e">
        <f>VLOOKUP(A264,[3]VA05!$A:$K,11,FALSE)</f>
        <v>#N/A</v>
      </c>
      <c r="L264" s="10" t="s">
        <v>260</v>
      </c>
      <c r="M264" s="10" t="s">
        <v>282</v>
      </c>
    </row>
    <row r="265" spans="1:13" hidden="1" x14ac:dyDescent="0.25">
      <c r="A265" s="13" t="str">
        <f t="shared" si="8"/>
        <v>50714208810</v>
      </c>
      <c r="B265" s="10">
        <v>1003976477</v>
      </c>
      <c r="C265" s="10">
        <v>507142088</v>
      </c>
      <c r="D265" s="10">
        <v>10</v>
      </c>
      <c r="E265" s="10" t="s">
        <v>10</v>
      </c>
      <c r="F265" s="10">
        <v>1408739</v>
      </c>
      <c r="G265" s="10" t="s">
        <v>37</v>
      </c>
      <c r="H265" s="11">
        <v>22410</v>
      </c>
      <c r="I265" s="10">
        <v>0</v>
      </c>
      <c r="J265" s="11">
        <f t="shared" si="9"/>
        <v>22410</v>
      </c>
      <c r="K265" s="12" t="e">
        <f>VLOOKUP(A265,[3]VA05!$A:$K,11,FALSE)</f>
        <v>#N/A</v>
      </c>
      <c r="L265" s="10" t="s">
        <v>260</v>
      </c>
      <c r="M265" s="10" t="s">
        <v>282</v>
      </c>
    </row>
    <row r="266" spans="1:13" hidden="1" x14ac:dyDescent="0.25">
      <c r="A266" s="13" t="str">
        <f t="shared" si="8"/>
        <v>50714208830</v>
      </c>
      <c r="B266" s="10">
        <v>1003976478</v>
      </c>
      <c r="C266" s="10">
        <v>507142088</v>
      </c>
      <c r="D266" s="10">
        <v>30</v>
      </c>
      <c r="E266" s="10" t="s">
        <v>10</v>
      </c>
      <c r="F266" s="10">
        <v>1408739</v>
      </c>
      <c r="G266" s="10" t="s">
        <v>37</v>
      </c>
      <c r="H266" s="11">
        <v>28350</v>
      </c>
      <c r="I266" s="10">
        <v>0</v>
      </c>
      <c r="J266" s="11">
        <f t="shared" si="9"/>
        <v>28350</v>
      </c>
      <c r="K266" s="12" t="e">
        <f>VLOOKUP(A266,[3]VA05!$A:$K,11,FALSE)</f>
        <v>#N/A</v>
      </c>
      <c r="L266" s="10" t="s">
        <v>260</v>
      </c>
      <c r="M266" s="10" t="s">
        <v>286</v>
      </c>
    </row>
    <row r="267" spans="1:13" hidden="1" x14ac:dyDescent="0.25">
      <c r="A267" s="13" t="str">
        <f t="shared" si="8"/>
        <v>50714208830</v>
      </c>
      <c r="B267" s="10">
        <v>1003976479</v>
      </c>
      <c r="C267" s="10">
        <v>507142088</v>
      </c>
      <c r="D267" s="10">
        <v>30</v>
      </c>
      <c r="E267" s="10" t="s">
        <v>10</v>
      </c>
      <c r="F267" s="10">
        <v>1408739</v>
      </c>
      <c r="G267" s="10" t="s">
        <v>37</v>
      </c>
      <c r="H267" s="11">
        <v>28350</v>
      </c>
      <c r="I267" s="10">
        <v>0</v>
      </c>
      <c r="J267" s="11">
        <f t="shared" si="9"/>
        <v>28350</v>
      </c>
      <c r="K267" s="12" t="e">
        <f>VLOOKUP(A267,[3]VA05!$A:$K,11,FALSE)</f>
        <v>#N/A</v>
      </c>
      <c r="L267" s="10" t="s">
        <v>260</v>
      </c>
      <c r="M267" s="10" t="s">
        <v>286</v>
      </c>
    </row>
    <row r="268" spans="1:13" hidden="1" x14ac:dyDescent="0.25">
      <c r="A268" s="13" t="str">
        <f t="shared" si="8"/>
        <v>50714208830</v>
      </c>
      <c r="B268" s="10">
        <v>1003976480</v>
      </c>
      <c r="C268" s="10">
        <v>507142088</v>
      </c>
      <c r="D268" s="10">
        <v>30</v>
      </c>
      <c r="E268" s="10" t="s">
        <v>10</v>
      </c>
      <c r="F268" s="10">
        <v>1408739</v>
      </c>
      <c r="G268" s="10" t="s">
        <v>37</v>
      </c>
      <c r="H268" s="11">
        <v>28350</v>
      </c>
      <c r="I268" s="10">
        <v>0</v>
      </c>
      <c r="J268" s="11">
        <f t="shared" si="9"/>
        <v>28350</v>
      </c>
      <c r="K268" s="12" t="e">
        <f>VLOOKUP(A268,[3]VA05!$A:$K,11,FALSE)</f>
        <v>#N/A</v>
      </c>
      <c r="L268" s="10" t="s">
        <v>260</v>
      </c>
      <c r="M268" s="10" t="s">
        <v>286</v>
      </c>
    </row>
    <row r="269" spans="1:13" hidden="1" x14ac:dyDescent="0.25">
      <c r="A269" s="13" t="str">
        <f t="shared" si="8"/>
        <v>50714208830</v>
      </c>
      <c r="B269" s="10">
        <v>1003976481</v>
      </c>
      <c r="C269" s="10">
        <v>507142088</v>
      </c>
      <c r="D269" s="10">
        <v>30</v>
      </c>
      <c r="E269" s="10" t="s">
        <v>10</v>
      </c>
      <c r="F269" s="10">
        <v>1408739</v>
      </c>
      <c r="G269" s="10" t="s">
        <v>37</v>
      </c>
      <c r="H269" s="11">
        <v>25110</v>
      </c>
      <c r="I269" s="10">
        <v>0</v>
      </c>
      <c r="J269" s="11">
        <f t="shared" si="9"/>
        <v>25110</v>
      </c>
      <c r="K269" s="12" t="e">
        <f>VLOOKUP(A269,[3]VA05!$A:$K,11,FALSE)</f>
        <v>#N/A</v>
      </c>
      <c r="L269" s="10" t="s">
        <v>260</v>
      </c>
      <c r="M269" s="10" t="s">
        <v>286</v>
      </c>
    </row>
    <row r="270" spans="1:13" hidden="1" x14ac:dyDescent="0.25">
      <c r="A270" s="13" t="str">
        <f t="shared" si="8"/>
        <v>50714238420</v>
      </c>
      <c r="B270" s="10">
        <v>1004037415</v>
      </c>
      <c r="C270" s="10">
        <v>507142384</v>
      </c>
      <c r="D270" s="10">
        <v>20</v>
      </c>
      <c r="E270" s="10" t="s">
        <v>10</v>
      </c>
      <c r="F270" s="10">
        <v>1408739</v>
      </c>
      <c r="G270" s="10" t="s">
        <v>37</v>
      </c>
      <c r="H270" s="11">
        <v>25640</v>
      </c>
      <c r="I270" s="10">
        <v>0</v>
      </c>
      <c r="J270" s="11">
        <f t="shared" si="9"/>
        <v>25640</v>
      </c>
      <c r="K270" s="12" t="e">
        <f>VLOOKUP(A270,[3]VA05!$A:$K,11,FALSE)</f>
        <v>#N/A</v>
      </c>
      <c r="L270" s="10" t="s">
        <v>260</v>
      </c>
      <c r="M270" s="10" t="s">
        <v>287</v>
      </c>
    </row>
    <row r="271" spans="1:13" hidden="1" x14ac:dyDescent="0.25">
      <c r="A271" s="13" t="str">
        <f t="shared" si="8"/>
        <v>50714238420</v>
      </c>
      <c r="B271" s="10">
        <v>1004037416</v>
      </c>
      <c r="C271" s="10">
        <v>507142384</v>
      </c>
      <c r="D271" s="10">
        <v>20</v>
      </c>
      <c r="E271" s="10" t="s">
        <v>10</v>
      </c>
      <c r="F271" s="10">
        <v>1408739</v>
      </c>
      <c r="G271" s="10" t="s">
        <v>37</v>
      </c>
      <c r="H271" s="11">
        <v>26200</v>
      </c>
      <c r="I271" s="10">
        <v>0</v>
      </c>
      <c r="J271" s="11">
        <f t="shared" si="9"/>
        <v>26200</v>
      </c>
      <c r="K271" s="12" t="e">
        <f>VLOOKUP(A271,[3]VA05!$A:$K,11,FALSE)</f>
        <v>#N/A</v>
      </c>
      <c r="L271" s="10" t="s">
        <v>260</v>
      </c>
      <c r="M271" s="10" t="s">
        <v>287</v>
      </c>
    </row>
    <row r="272" spans="1:13" x14ac:dyDescent="0.25">
      <c r="A272" s="13" t="str">
        <f t="shared" si="8"/>
        <v>50714269820</v>
      </c>
      <c r="B272" s="10">
        <v>1004059594</v>
      </c>
      <c r="C272" s="10">
        <v>507142698</v>
      </c>
      <c r="D272" s="10">
        <v>20</v>
      </c>
      <c r="E272" s="10" t="s">
        <v>10</v>
      </c>
      <c r="F272" s="10">
        <v>1408739</v>
      </c>
      <c r="G272" s="10" t="s">
        <v>37</v>
      </c>
      <c r="H272" s="11">
        <v>27864</v>
      </c>
      <c r="I272" s="11">
        <v>19922</v>
      </c>
      <c r="J272" s="11">
        <f t="shared" si="9"/>
        <v>7942</v>
      </c>
      <c r="K272" s="12">
        <f>VLOOKUP(A272,[3]VA05!$A:$K,11,FALSE)</f>
        <v>45553</v>
      </c>
      <c r="L272" s="10" t="s">
        <v>293</v>
      </c>
      <c r="M272" s="10" t="s">
        <v>194</v>
      </c>
    </row>
    <row r="273" spans="1:13" x14ac:dyDescent="0.25">
      <c r="A273" s="13" t="str">
        <f t="shared" si="8"/>
        <v>50714269820</v>
      </c>
      <c r="B273" s="10">
        <v>1004059595</v>
      </c>
      <c r="C273" s="10">
        <v>507142698</v>
      </c>
      <c r="D273" s="10">
        <v>20</v>
      </c>
      <c r="E273" s="10" t="s">
        <v>10</v>
      </c>
      <c r="F273" s="10">
        <v>1408739</v>
      </c>
      <c r="G273" s="10" t="s">
        <v>37</v>
      </c>
      <c r="H273" s="11">
        <v>27864</v>
      </c>
      <c r="I273" s="10">
        <v>0</v>
      </c>
      <c r="J273" s="11">
        <f t="shared" si="9"/>
        <v>27864</v>
      </c>
      <c r="K273" s="12">
        <f>VLOOKUP(A273,[3]VA05!$A:$K,11,FALSE)</f>
        <v>45553</v>
      </c>
      <c r="L273" s="10" t="s">
        <v>254</v>
      </c>
      <c r="M273" s="10" t="s">
        <v>156</v>
      </c>
    </row>
    <row r="274" spans="1:13" x14ac:dyDescent="0.25">
      <c r="A274" s="13" t="str">
        <f t="shared" si="8"/>
        <v>50714269820</v>
      </c>
      <c r="B274" s="10">
        <v>1004059596</v>
      </c>
      <c r="C274" s="10">
        <v>507142698</v>
      </c>
      <c r="D274" s="10">
        <v>20</v>
      </c>
      <c r="E274" s="10" t="s">
        <v>10</v>
      </c>
      <c r="F274" s="10">
        <v>1408739</v>
      </c>
      <c r="G274" s="10" t="s">
        <v>37</v>
      </c>
      <c r="H274" s="11">
        <v>27864</v>
      </c>
      <c r="I274" s="10">
        <v>0</v>
      </c>
      <c r="J274" s="11">
        <f t="shared" si="9"/>
        <v>27864</v>
      </c>
      <c r="K274" s="12">
        <f>VLOOKUP(A274,[3]VA05!$A:$K,11,FALSE)</f>
        <v>45553</v>
      </c>
      <c r="L274" s="10" t="s">
        <v>254</v>
      </c>
      <c r="M274" s="10" t="s">
        <v>156</v>
      </c>
    </row>
    <row r="275" spans="1:13" x14ac:dyDescent="0.25">
      <c r="A275" s="13" t="str">
        <f t="shared" si="8"/>
        <v>50714269820</v>
      </c>
      <c r="B275" s="10">
        <v>1004059597</v>
      </c>
      <c r="C275" s="10">
        <v>507142698</v>
      </c>
      <c r="D275" s="10">
        <v>20</v>
      </c>
      <c r="E275" s="10" t="s">
        <v>10</v>
      </c>
      <c r="F275" s="10">
        <v>1408739</v>
      </c>
      <c r="G275" s="10" t="s">
        <v>37</v>
      </c>
      <c r="H275" s="11">
        <v>26568</v>
      </c>
      <c r="I275" s="10">
        <v>0</v>
      </c>
      <c r="J275" s="11">
        <f t="shared" si="9"/>
        <v>26568</v>
      </c>
      <c r="K275" s="12">
        <f>VLOOKUP(A275,[3]VA05!$A:$K,11,FALSE)</f>
        <v>45553</v>
      </c>
      <c r="L275" s="10" t="s">
        <v>254</v>
      </c>
      <c r="M275" s="10" t="s">
        <v>156</v>
      </c>
    </row>
    <row r="276" spans="1:13" x14ac:dyDescent="0.25">
      <c r="A276" s="13" t="str">
        <f t="shared" si="8"/>
        <v>50714269840</v>
      </c>
      <c r="B276" s="10">
        <v>1004062035</v>
      </c>
      <c r="C276" s="10">
        <v>507142698</v>
      </c>
      <c r="D276" s="10">
        <v>40</v>
      </c>
      <c r="E276" s="10" t="s">
        <v>10</v>
      </c>
      <c r="F276" s="10">
        <v>1408739</v>
      </c>
      <c r="G276" s="10" t="s">
        <v>37</v>
      </c>
      <c r="H276" s="11">
        <v>27864</v>
      </c>
      <c r="I276" s="10">
        <v>0</v>
      </c>
      <c r="J276" s="11">
        <f t="shared" si="9"/>
        <v>27864</v>
      </c>
      <c r="K276" s="12">
        <f>VLOOKUP(A276,[3]VA05!$A:$K,11,FALSE)</f>
        <v>45567</v>
      </c>
      <c r="L276" s="10" t="s">
        <v>12</v>
      </c>
      <c r="M276" s="10" t="s">
        <v>197</v>
      </c>
    </row>
    <row r="277" spans="1:13" x14ac:dyDescent="0.25">
      <c r="A277" s="13" t="str">
        <f t="shared" si="8"/>
        <v>50714269840</v>
      </c>
      <c r="B277" s="10">
        <v>1004062036</v>
      </c>
      <c r="C277" s="10">
        <v>507142698</v>
      </c>
      <c r="D277" s="10">
        <v>40</v>
      </c>
      <c r="E277" s="10" t="s">
        <v>10</v>
      </c>
      <c r="F277" s="10">
        <v>1408739</v>
      </c>
      <c r="G277" s="10" t="s">
        <v>37</v>
      </c>
      <c r="H277" s="11">
        <v>27864</v>
      </c>
      <c r="I277" s="10">
        <v>0</v>
      </c>
      <c r="J277" s="11">
        <f t="shared" si="9"/>
        <v>27864</v>
      </c>
      <c r="K277" s="12">
        <f>VLOOKUP(A277,[3]VA05!$A:$K,11,FALSE)</f>
        <v>45567</v>
      </c>
      <c r="L277" s="10" t="s">
        <v>12</v>
      </c>
      <c r="M277" s="10" t="s">
        <v>197</v>
      </c>
    </row>
    <row r="278" spans="1:13" x14ac:dyDescent="0.25">
      <c r="A278" s="13" t="str">
        <f t="shared" si="8"/>
        <v>50714269840</v>
      </c>
      <c r="B278" s="10">
        <v>1004062037</v>
      </c>
      <c r="C278" s="10">
        <v>507142698</v>
      </c>
      <c r="D278" s="10">
        <v>40</v>
      </c>
      <c r="E278" s="10" t="s">
        <v>10</v>
      </c>
      <c r="F278" s="10">
        <v>1408739</v>
      </c>
      <c r="G278" s="10" t="s">
        <v>37</v>
      </c>
      <c r="H278" s="11">
        <v>27864</v>
      </c>
      <c r="I278" s="10">
        <v>0</v>
      </c>
      <c r="J278" s="11">
        <f t="shared" si="9"/>
        <v>27864</v>
      </c>
      <c r="K278" s="12">
        <f>VLOOKUP(A278,[3]VA05!$A:$K,11,FALSE)</f>
        <v>45567</v>
      </c>
      <c r="L278" s="10" t="s">
        <v>12</v>
      </c>
      <c r="M278" s="10" t="s">
        <v>197</v>
      </c>
    </row>
    <row r="279" spans="1:13" x14ac:dyDescent="0.25">
      <c r="A279" s="13" t="str">
        <f t="shared" si="8"/>
        <v>50714269840</v>
      </c>
      <c r="B279" s="10">
        <v>1004062038</v>
      </c>
      <c r="C279" s="10">
        <v>507142698</v>
      </c>
      <c r="D279" s="10">
        <v>40</v>
      </c>
      <c r="E279" s="10" t="s">
        <v>10</v>
      </c>
      <c r="F279" s="10">
        <v>1408739</v>
      </c>
      <c r="G279" s="10" t="s">
        <v>37</v>
      </c>
      <c r="H279" s="11">
        <v>26298</v>
      </c>
      <c r="I279" s="10">
        <v>0</v>
      </c>
      <c r="J279" s="11">
        <f t="shared" si="9"/>
        <v>26298</v>
      </c>
      <c r="K279" s="12">
        <f>VLOOKUP(A279,[3]VA05!$A:$K,11,FALSE)</f>
        <v>45567</v>
      </c>
      <c r="L279" s="10" t="s">
        <v>12</v>
      </c>
      <c r="M279" s="10" t="s">
        <v>197</v>
      </c>
    </row>
    <row r="280" spans="1:13" x14ac:dyDescent="0.25">
      <c r="A280" s="13" t="str">
        <f t="shared" si="8"/>
        <v>50714222020</v>
      </c>
      <c r="B280" s="10">
        <v>1003984115</v>
      </c>
      <c r="C280" s="10">
        <v>507142220</v>
      </c>
      <c r="D280" s="10">
        <v>20</v>
      </c>
      <c r="E280" s="10" t="s">
        <v>10</v>
      </c>
      <c r="F280" s="10">
        <v>1420373</v>
      </c>
      <c r="G280" s="10" t="s">
        <v>288</v>
      </c>
      <c r="H280" s="11">
        <v>25272</v>
      </c>
      <c r="I280" s="10">
        <v>0</v>
      </c>
      <c r="J280" s="11">
        <f t="shared" si="9"/>
        <v>25272</v>
      </c>
      <c r="K280" s="12" t="e">
        <f>VLOOKUP(A280,[3]VA05!$A:$K,11,FALSE)</f>
        <v>#N/A</v>
      </c>
      <c r="L280" s="10" t="s">
        <v>285</v>
      </c>
      <c r="M280" s="10" t="s">
        <v>283</v>
      </c>
    </row>
    <row r="281" spans="1:13" x14ac:dyDescent="0.25">
      <c r="A281" s="13" t="str">
        <f t="shared" si="8"/>
        <v>50714269810</v>
      </c>
      <c r="B281" s="10">
        <v>1004062505</v>
      </c>
      <c r="C281" s="10">
        <v>507142698</v>
      </c>
      <c r="D281" s="10">
        <v>10</v>
      </c>
      <c r="E281" s="10" t="s">
        <v>10</v>
      </c>
      <c r="F281" s="10">
        <v>1408742</v>
      </c>
      <c r="G281" s="10" t="s">
        <v>38</v>
      </c>
      <c r="H281" s="11">
        <v>70103</v>
      </c>
      <c r="I281" s="10">
        <v>0</v>
      </c>
      <c r="J281" s="11">
        <f t="shared" si="9"/>
        <v>70103</v>
      </c>
      <c r="K281" s="12">
        <f>VLOOKUP(A281,[3]VA05!$A:$K,11,FALSE)</f>
        <v>45553</v>
      </c>
      <c r="L281" s="10" t="s">
        <v>12</v>
      </c>
      <c r="M281" s="10" t="s">
        <v>162</v>
      </c>
    </row>
    <row r="282" spans="1:13" x14ac:dyDescent="0.25">
      <c r="A282" s="13" t="str">
        <f t="shared" si="8"/>
        <v>50714269830</v>
      </c>
      <c r="B282" s="10">
        <v>1004062506</v>
      </c>
      <c r="C282" s="10">
        <v>507142698</v>
      </c>
      <c r="D282" s="10">
        <v>30</v>
      </c>
      <c r="E282" s="10" t="s">
        <v>10</v>
      </c>
      <c r="F282" s="10">
        <v>1408742</v>
      </c>
      <c r="G282" s="10" t="s">
        <v>38</v>
      </c>
      <c r="H282" s="11">
        <v>113190</v>
      </c>
      <c r="I282" s="10">
        <v>0</v>
      </c>
      <c r="J282" s="11">
        <f t="shared" si="9"/>
        <v>113190</v>
      </c>
      <c r="K282" s="12">
        <f>VLOOKUP(A282,[3]VA05!$A:$K,11,FALSE)</f>
        <v>45567</v>
      </c>
      <c r="L282" s="10" t="s">
        <v>12</v>
      </c>
      <c r="M282" s="10" t="s">
        <v>162</v>
      </c>
    </row>
    <row r="283" spans="1:13" x14ac:dyDescent="0.25">
      <c r="A283" s="13" t="str">
        <f t="shared" si="8"/>
        <v>50714283710</v>
      </c>
      <c r="B283" s="10">
        <v>1004062507</v>
      </c>
      <c r="C283" s="10">
        <v>507142837</v>
      </c>
      <c r="D283" s="10">
        <v>10</v>
      </c>
      <c r="E283" s="10" t="s">
        <v>10</v>
      </c>
      <c r="F283" s="10">
        <v>1408742</v>
      </c>
      <c r="G283" s="10" t="s">
        <v>38</v>
      </c>
      <c r="H283" s="11">
        <v>113465</v>
      </c>
      <c r="I283" s="10">
        <v>0</v>
      </c>
      <c r="J283" s="11">
        <f t="shared" si="9"/>
        <v>113465</v>
      </c>
      <c r="K283" s="12">
        <f>VLOOKUP(A283,[3]VA05!$A:$K,11,FALSE)</f>
        <v>45587</v>
      </c>
      <c r="L283" s="10" t="s">
        <v>12</v>
      </c>
      <c r="M283" s="10" t="s">
        <v>162</v>
      </c>
    </row>
    <row r="284" spans="1:13" x14ac:dyDescent="0.25">
      <c r="A284" s="13" t="str">
        <f t="shared" si="8"/>
        <v>50714275730</v>
      </c>
      <c r="B284" s="10">
        <v>1004054926</v>
      </c>
      <c r="C284" s="10">
        <v>507142757</v>
      </c>
      <c r="D284" s="10">
        <v>30</v>
      </c>
      <c r="E284" s="10" t="s">
        <v>10</v>
      </c>
      <c r="F284" s="10">
        <v>1411702</v>
      </c>
      <c r="G284" s="10" t="s">
        <v>221</v>
      </c>
      <c r="H284" s="11">
        <v>126758</v>
      </c>
      <c r="I284" s="11">
        <v>59066</v>
      </c>
      <c r="J284" s="11">
        <f t="shared" si="9"/>
        <v>67692</v>
      </c>
      <c r="K284" s="12">
        <f>VLOOKUP(A284,[3]VA05!$A:$K,11,FALSE)</f>
        <v>45574</v>
      </c>
      <c r="L284" s="10" t="s">
        <v>18</v>
      </c>
      <c r="M284" s="10" t="s">
        <v>178</v>
      </c>
    </row>
    <row r="285" spans="1:13" x14ac:dyDescent="0.25">
      <c r="A285" s="13" t="str">
        <f t="shared" si="8"/>
        <v>50714275750</v>
      </c>
      <c r="B285" s="10">
        <v>1004054927</v>
      </c>
      <c r="C285" s="10">
        <v>507142757</v>
      </c>
      <c r="D285" s="10">
        <v>50</v>
      </c>
      <c r="E285" s="10" t="s">
        <v>10</v>
      </c>
      <c r="F285" s="10">
        <v>1411702</v>
      </c>
      <c r="G285" s="10" t="s">
        <v>221</v>
      </c>
      <c r="H285" s="11">
        <v>63514</v>
      </c>
      <c r="I285" s="10">
        <v>0</v>
      </c>
      <c r="J285" s="11">
        <f t="shared" si="9"/>
        <v>63514</v>
      </c>
      <c r="K285" s="12">
        <f>VLOOKUP(A285,[3]VA05!$A:$K,11,FALSE)</f>
        <v>45587</v>
      </c>
      <c r="L285" s="10" t="s">
        <v>12</v>
      </c>
      <c r="M285" s="10" t="s">
        <v>156</v>
      </c>
    </row>
    <row r="286" spans="1:13" x14ac:dyDescent="0.25">
      <c r="A286" s="13" t="str">
        <f t="shared" si="8"/>
        <v>50714275670</v>
      </c>
      <c r="B286" s="10">
        <v>1004052383</v>
      </c>
      <c r="C286" s="10">
        <v>507142756</v>
      </c>
      <c r="D286" s="10">
        <v>70</v>
      </c>
      <c r="E286" s="10" t="s">
        <v>10</v>
      </c>
      <c r="F286" s="10">
        <v>1411902</v>
      </c>
      <c r="G286" s="10" t="s">
        <v>151</v>
      </c>
      <c r="H286" s="11">
        <v>126758</v>
      </c>
      <c r="I286" s="11">
        <v>51462</v>
      </c>
      <c r="J286" s="11">
        <f t="shared" si="9"/>
        <v>75296</v>
      </c>
      <c r="K286" s="12">
        <f>VLOOKUP(A286,[3]VA05!$A:$K,11,FALSE)</f>
        <v>45582</v>
      </c>
      <c r="L286" s="10" t="s">
        <v>18</v>
      </c>
      <c r="M286" s="10" t="s">
        <v>201</v>
      </c>
    </row>
    <row r="287" spans="1:13" x14ac:dyDescent="0.25">
      <c r="A287" s="13" t="str">
        <f t="shared" si="8"/>
        <v>50714275690</v>
      </c>
      <c r="B287" s="10">
        <v>1004052384</v>
      </c>
      <c r="C287" s="10">
        <v>507142756</v>
      </c>
      <c r="D287" s="10">
        <v>90</v>
      </c>
      <c r="E287" s="10" t="s">
        <v>10</v>
      </c>
      <c r="F287" s="10">
        <v>1411902</v>
      </c>
      <c r="G287" s="10" t="s">
        <v>151</v>
      </c>
      <c r="H287" s="11">
        <v>68920</v>
      </c>
      <c r="I287" s="10">
        <v>0</v>
      </c>
      <c r="J287" s="11">
        <f t="shared" si="9"/>
        <v>68920</v>
      </c>
      <c r="K287" s="12">
        <f>VLOOKUP(A287,[3]VA05!$A:$K,11,FALSE)</f>
        <v>45588</v>
      </c>
      <c r="L287" s="10" t="s">
        <v>12</v>
      </c>
      <c r="M287" s="10" t="s">
        <v>194</v>
      </c>
    </row>
    <row r="288" spans="1:13" x14ac:dyDescent="0.25">
      <c r="A288" s="13" t="str">
        <f t="shared" si="8"/>
        <v>50714275740</v>
      </c>
      <c r="B288" s="10">
        <v>1004052374</v>
      </c>
      <c r="C288" s="10">
        <v>507142757</v>
      </c>
      <c r="D288" s="10">
        <v>40</v>
      </c>
      <c r="E288" s="10" t="s">
        <v>10</v>
      </c>
      <c r="F288" s="10">
        <v>1411705</v>
      </c>
      <c r="G288" s="10" t="s">
        <v>189</v>
      </c>
      <c r="H288" s="11">
        <v>129220</v>
      </c>
      <c r="I288" s="11">
        <v>54017</v>
      </c>
      <c r="J288" s="11">
        <f t="shared" si="9"/>
        <v>75203</v>
      </c>
      <c r="K288" s="12">
        <f>VLOOKUP(A288,[3]VA05!$A:$K,11,FALSE)</f>
        <v>45574</v>
      </c>
      <c r="L288" s="10" t="s">
        <v>18</v>
      </c>
      <c r="M288" s="10" t="s">
        <v>197</v>
      </c>
    </row>
    <row r="289" spans="1:13" x14ac:dyDescent="0.25">
      <c r="A289" s="13" t="str">
        <f t="shared" si="8"/>
        <v>50714275760</v>
      </c>
      <c r="B289" s="10">
        <v>1004052375</v>
      </c>
      <c r="C289" s="10">
        <v>507142757</v>
      </c>
      <c r="D289" s="10">
        <v>60</v>
      </c>
      <c r="E289" s="10" t="s">
        <v>10</v>
      </c>
      <c r="F289" s="10">
        <v>1411705</v>
      </c>
      <c r="G289" s="10" t="s">
        <v>189</v>
      </c>
      <c r="H289" s="11">
        <v>64748</v>
      </c>
      <c r="I289" s="10">
        <v>0</v>
      </c>
      <c r="J289" s="11">
        <f t="shared" si="9"/>
        <v>64748</v>
      </c>
      <c r="K289" s="12">
        <f>VLOOKUP(A289,[3]VA05!$A:$K,11,FALSE)</f>
        <v>45587</v>
      </c>
      <c r="L289" s="10" t="s">
        <v>12</v>
      </c>
      <c r="M289" s="10" t="s">
        <v>156</v>
      </c>
    </row>
    <row r="290" spans="1:13" x14ac:dyDescent="0.25">
      <c r="A290" s="13" t="str">
        <f t="shared" si="8"/>
        <v>50714275780</v>
      </c>
      <c r="B290" s="10">
        <v>1004052376</v>
      </c>
      <c r="C290" s="10">
        <v>507142757</v>
      </c>
      <c r="D290" s="10">
        <v>80</v>
      </c>
      <c r="E290" s="10" t="s">
        <v>10</v>
      </c>
      <c r="F290" s="10">
        <v>1411705</v>
      </c>
      <c r="G290" s="10" t="s">
        <v>189</v>
      </c>
      <c r="H290" s="11">
        <v>23145</v>
      </c>
      <c r="I290" s="10">
        <v>0</v>
      </c>
      <c r="J290" s="11">
        <f t="shared" si="9"/>
        <v>23145</v>
      </c>
      <c r="K290" s="12">
        <f>VLOOKUP(A290,[3]VA05!$A:$K,11,FALSE)</f>
        <v>45594</v>
      </c>
      <c r="L290" s="10" t="s">
        <v>12</v>
      </c>
      <c r="M290" s="10" t="s">
        <v>176</v>
      </c>
    </row>
    <row r="291" spans="1:13" x14ac:dyDescent="0.25">
      <c r="A291" s="13" t="str">
        <f t="shared" si="8"/>
        <v>50714275680</v>
      </c>
      <c r="B291" s="10">
        <v>1004052371</v>
      </c>
      <c r="C291" s="10">
        <v>507142756</v>
      </c>
      <c r="D291" s="10">
        <v>80</v>
      </c>
      <c r="E291" s="10" t="s">
        <v>10</v>
      </c>
      <c r="F291" s="10">
        <v>1411900</v>
      </c>
      <c r="G291" s="10" t="s">
        <v>152</v>
      </c>
      <c r="H291" s="11">
        <v>129220</v>
      </c>
      <c r="I291" s="11">
        <v>40422</v>
      </c>
      <c r="J291" s="11">
        <f t="shared" si="9"/>
        <v>88798</v>
      </c>
      <c r="K291" s="12">
        <f>VLOOKUP(A291,[3]VA05!$A:$K,11,FALSE)</f>
        <v>45582</v>
      </c>
      <c r="L291" s="10" t="s">
        <v>18</v>
      </c>
      <c r="M291" s="10" t="s">
        <v>180</v>
      </c>
    </row>
    <row r="292" spans="1:13" x14ac:dyDescent="0.25">
      <c r="A292" s="13" t="str">
        <f t="shared" si="8"/>
        <v>507142756100</v>
      </c>
      <c r="B292" s="10">
        <v>1004052372</v>
      </c>
      <c r="C292" s="10">
        <v>507142756</v>
      </c>
      <c r="D292" s="10">
        <v>100</v>
      </c>
      <c r="E292" s="10" t="s">
        <v>10</v>
      </c>
      <c r="F292" s="10">
        <v>1411900</v>
      </c>
      <c r="G292" s="10" t="s">
        <v>152</v>
      </c>
      <c r="H292" s="11">
        <v>70258</v>
      </c>
      <c r="I292" s="10">
        <v>0</v>
      </c>
      <c r="J292" s="11">
        <f t="shared" si="9"/>
        <v>70258</v>
      </c>
      <c r="K292" s="12">
        <f>VLOOKUP(A292,[3]VA05!$A:$K,11,FALSE)</f>
        <v>45588</v>
      </c>
      <c r="L292" s="10" t="s">
        <v>12</v>
      </c>
      <c r="M292" s="10" t="s">
        <v>178</v>
      </c>
    </row>
    <row r="293" spans="1:13" x14ac:dyDescent="0.25">
      <c r="A293" s="13" t="str">
        <f t="shared" si="8"/>
        <v>50714275710</v>
      </c>
      <c r="B293" s="10">
        <v>1004052377</v>
      </c>
      <c r="C293" s="10">
        <v>507142757</v>
      </c>
      <c r="D293" s="10">
        <v>10</v>
      </c>
      <c r="E293" s="10" t="s">
        <v>10</v>
      </c>
      <c r="F293" s="10">
        <v>1411703</v>
      </c>
      <c r="G293" s="10" t="s">
        <v>190</v>
      </c>
      <c r="H293" s="11">
        <v>71898</v>
      </c>
      <c r="I293" s="11">
        <v>60308</v>
      </c>
      <c r="J293" s="11">
        <f t="shared" si="9"/>
        <v>11590</v>
      </c>
      <c r="K293" s="12">
        <f>VLOOKUP(A293,[3]VA05!$A:$K,11,FALSE)</f>
        <v>45572</v>
      </c>
      <c r="L293" s="10" t="s">
        <v>11</v>
      </c>
      <c r="M293" s="10" t="s">
        <v>143</v>
      </c>
    </row>
    <row r="294" spans="1:13" x14ac:dyDescent="0.25">
      <c r="A294" s="13" t="str">
        <f t="shared" si="8"/>
        <v>50714275730</v>
      </c>
      <c r="B294" s="10">
        <v>1004052378</v>
      </c>
      <c r="C294" s="10">
        <v>507142757</v>
      </c>
      <c r="D294" s="10">
        <v>30</v>
      </c>
      <c r="E294" s="10" t="s">
        <v>10</v>
      </c>
      <c r="F294" s="10">
        <v>1411703</v>
      </c>
      <c r="G294" s="10" t="s">
        <v>190</v>
      </c>
      <c r="H294" s="11">
        <v>123066</v>
      </c>
      <c r="I294" s="10">
        <v>0</v>
      </c>
      <c r="J294" s="11">
        <f t="shared" si="9"/>
        <v>123066</v>
      </c>
      <c r="K294" s="12">
        <f>VLOOKUP(A294,[3]VA05!$A:$K,11,FALSE)</f>
        <v>45574</v>
      </c>
      <c r="L294" s="10" t="s">
        <v>56</v>
      </c>
      <c r="M294" s="10" t="s">
        <v>97</v>
      </c>
    </row>
    <row r="295" spans="1:13" x14ac:dyDescent="0.25">
      <c r="A295" s="13" t="str">
        <f t="shared" si="8"/>
        <v>50714275750</v>
      </c>
      <c r="B295" s="10">
        <v>1004052379</v>
      </c>
      <c r="C295" s="10">
        <v>507142757</v>
      </c>
      <c r="D295" s="10">
        <v>50</v>
      </c>
      <c r="E295" s="10" t="s">
        <v>10</v>
      </c>
      <c r="F295" s="10">
        <v>1411703</v>
      </c>
      <c r="G295" s="10" t="s">
        <v>190</v>
      </c>
      <c r="H295" s="11">
        <v>61664</v>
      </c>
      <c r="I295" s="10">
        <v>0</v>
      </c>
      <c r="J295" s="11">
        <f t="shared" si="9"/>
        <v>61664</v>
      </c>
      <c r="K295" s="12">
        <f>VLOOKUP(A295,[3]VA05!$A:$K,11,FALSE)</f>
        <v>45587</v>
      </c>
      <c r="L295" s="10" t="s">
        <v>12</v>
      </c>
      <c r="M295" s="10" t="s">
        <v>156</v>
      </c>
    </row>
    <row r="296" spans="1:13" x14ac:dyDescent="0.25">
      <c r="A296" s="13" t="str">
        <f t="shared" si="8"/>
        <v>50714275770</v>
      </c>
      <c r="B296" s="10">
        <v>1004052380</v>
      </c>
      <c r="C296" s="10">
        <v>507142757</v>
      </c>
      <c r="D296" s="10">
        <v>70</v>
      </c>
      <c r="E296" s="10" t="s">
        <v>10</v>
      </c>
      <c r="F296" s="10">
        <v>1411703</v>
      </c>
      <c r="G296" s="10" t="s">
        <v>190</v>
      </c>
      <c r="H296" s="11">
        <v>22042</v>
      </c>
      <c r="I296" s="10">
        <v>0</v>
      </c>
      <c r="J296" s="11">
        <f t="shared" si="9"/>
        <v>22042</v>
      </c>
      <c r="K296" s="12">
        <f>VLOOKUP(A296,[3]VA05!$A:$K,11,FALSE)</f>
        <v>45594</v>
      </c>
      <c r="L296" s="10" t="s">
        <v>12</v>
      </c>
      <c r="M296" s="10" t="s">
        <v>176</v>
      </c>
    </row>
    <row r="297" spans="1:13" x14ac:dyDescent="0.25">
      <c r="A297" s="13" t="str">
        <f t="shared" si="8"/>
        <v>50714275670</v>
      </c>
      <c r="B297" s="10">
        <v>1004052381</v>
      </c>
      <c r="C297" s="10">
        <v>507142756</v>
      </c>
      <c r="D297" s="10">
        <v>70</v>
      </c>
      <c r="E297" s="10" t="s">
        <v>10</v>
      </c>
      <c r="F297" s="10">
        <v>1411901</v>
      </c>
      <c r="G297" s="10" t="s">
        <v>153</v>
      </c>
      <c r="H297" s="11">
        <v>123066</v>
      </c>
      <c r="I297" s="11">
        <v>1660</v>
      </c>
      <c r="J297" s="11">
        <f t="shared" si="9"/>
        <v>121406</v>
      </c>
      <c r="K297" s="12">
        <f>VLOOKUP(A297,[3]VA05!$A:$K,11,FALSE)</f>
        <v>45582</v>
      </c>
      <c r="L297" s="10" t="s">
        <v>18</v>
      </c>
      <c r="M297" s="10" t="s">
        <v>154</v>
      </c>
    </row>
    <row r="298" spans="1:13" x14ac:dyDescent="0.25">
      <c r="A298" s="13" t="str">
        <f t="shared" si="8"/>
        <v>50714275690</v>
      </c>
      <c r="B298" s="10">
        <v>1004052382</v>
      </c>
      <c r="C298" s="10">
        <v>507142756</v>
      </c>
      <c r="D298" s="10">
        <v>90</v>
      </c>
      <c r="E298" s="10" t="s">
        <v>10</v>
      </c>
      <c r="F298" s="10">
        <v>1411901</v>
      </c>
      <c r="G298" s="10" t="s">
        <v>153</v>
      </c>
      <c r="H298" s="11">
        <v>66912</v>
      </c>
      <c r="I298" s="10">
        <v>0</v>
      </c>
      <c r="J298" s="11">
        <f t="shared" si="9"/>
        <v>66912</v>
      </c>
      <c r="K298" s="12">
        <f>VLOOKUP(A298,[3]VA05!$A:$K,11,FALSE)</f>
        <v>45588</v>
      </c>
      <c r="L298" s="10" t="s">
        <v>12</v>
      </c>
      <c r="M298" s="10" t="s">
        <v>156</v>
      </c>
    </row>
    <row r="299" spans="1:13" x14ac:dyDescent="0.25">
      <c r="A299" s="13" t="str">
        <f t="shared" si="8"/>
        <v>507142416110</v>
      </c>
      <c r="B299" s="10">
        <v>1004053567</v>
      </c>
      <c r="C299" s="10">
        <v>507142416</v>
      </c>
      <c r="D299" s="10">
        <v>110</v>
      </c>
      <c r="E299" s="10" t="s">
        <v>10</v>
      </c>
      <c r="F299" s="10">
        <v>1172059</v>
      </c>
      <c r="G299" s="10" t="s">
        <v>59</v>
      </c>
      <c r="H299" s="11">
        <v>10195</v>
      </c>
      <c r="I299" s="11">
        <v>6302</v>
      </c>
      <c r="J299" s="11">
        <f t="shared" si="9"/>
        <v>3893</v>
      </c>
      <c r="K299" s="12">
        <f>VLOOKUP(A299,[3]VA05!$A:$K,11,FALSE)</f>
        <v>45580</v>
      </c>
      <c r="L299" s="10" t="s">
        <v>18</v>
      </c>
      <c r="M299" s="10" t="s">
        <v>202</v>
      </c>
    </row>
    <row r="300" spans="1:13" x14ac:dyDescent="0.25">
      <c r="A300" s="13" t="str">
        <f t="shared" si="8"/>
        <v>507142416200</v>
      </c>
      <c r="B300" s="10">
        <v>1004053568</v>
      </c>
      <c r="C300" s="10">
        <v>507142416</v>
      </c>
      <c r="D300" s="10">
        <v>200</v>
      </c>
      <c r="E300" s="10" t="s">
        <v>10</v>
      </c>
      <c r="F300" s="10">
        <v>1172059</v>
      </c>
      <c r="G300" s="10" t="s">
        <v>59</v>
      </c>
      <c r="H300" s="11">
        <v>10195</v>
      </c>
      <c r="I300" s="10">
        <v>0</v>
      </c>
      <c r="J300" s="11">
        <f t="shared" si="9"/>
        <v>10195</v>
      </c>
      <c r="K300" s="12">
        <f>VLOOKUP(A300,[3]VA05!$A:$K,11,FALSE)</f>
        <v>45582</v>
      </c>
      <c r="L300" s="10" t="s">
        <v>12</v>
      </c>
      <c r="M300" s="10" t="s">
        <v>179</v>
      </c>
    </row>
    <row r="301" spans="1:13" x14ac:dyDescent="0.25">
      <c r="A301" s="13" t="str">
        <f t="shared" si="8"/>
        <v>507142416230</v>
      </c>
      <c r="B301" s="10">
        <v>1004053609</v>
      </c>
      <c r="C301" s="10">
        <v>507142416</v>
      </c>
      <c r="D301" s="10">
        <v>230</v>
      </c>
      <c r="E301" s="10" t="s">
        <v>10</v>
      </c>
      <c r="F301" s="10">
        <v>1172059</v>
      </c>
      <c r="G301" s="10" t="s">
        <v>59</v>
      </c>
      <c r="H301" s="11">
        <v>10195</v>
      </c>
      <c r="I301" s="10">
        <v>0</v>
      </c>
      <c r="J301" s="11">
        <f t="shared" si="9"/>
        <v>10195</v>
      </c>
      <c r="K301" s="12">
        <f>VLOOKUP(A301,[3]VA05!$A:$K,11,FALSE)</f>
        <v>45587</v>
      </c>
      <c r="L301" s="10" t="s">
        <v>12</v>
      </c>
      <c r="M301" s="10" t="s">
        <v>191</v>
      </c>
    </row>
    <row r="302" spans="1:13" x14ac:dyDescent="0.25">
      <c r="A302" s="13" t="str">
        <f t="shared" si="8"/>
        <v>50714267980</v>
      </c>
      <c r="B302" s="10">
        <v>1004053550</v>
      </c>
      <c r="C302" s="10">
        <v>507142679</v>
      </c>
      <c r="D302" s="10">
        <v>80</v>
      </c>
      <c r="E302" s="10" t="s">
        <v>10</v>
      </c>
      <c r="F302" s="10">
        <v>1167435</v>
      </c>
      <c r="G302" s="10" t="s">
        <v>26</v>
      </c>
      <c r="H302" s="11">
        <v>20260</v>
      </c>
      <c r="I302" s="11">
        <v>18146</v>
      </c>
      <c r="J302" s="11">
        <f t="shared" si="9"/>
        <v>2114</v>
      </c>
      <c r="K302" s="12" t="e">
        <f>VLOOKUP(A302,[3]VA05!$A:$K,11,FALSE)</f>
        <v>#N/A</v>
      </c>
      <c r="L302" s="10" t="s">
        <v>18</v>
      </c>
      <c r="M302" s="10" t="s">
        <v>195</v>
      </c>
    </row>
    <row r="303" spans="1:13" x14ac:dyDescent="0.25">
      <c r="A303" s="13" t="str">
        <f t="shared" si="8"/>
        <v>50714268040</v>
      </c>
      <c r="B303" s="10">
        <v>1004053551</v>
      </c>
      <c r="C303" s="10">
        <v>507142680</v>
      </c>
      <c r="D303" s="10">
        <v>40</v>
      </c>
      <c r="E303" s="10" t="s">
        <v>10</v>
      </c>
      <c r="F303" s="10">
        <v>1167435</v>
      </c>
      <c r="G303" s="10" t="s">
        <v>26</v>
      </c>
      <c r="H303" s="11">
        <v>25287</v>
      </c>
      <c r="I303" s="10">
        <v>0</v>
      </c>
      <c r="J303" s="11">
        <f t="shared" si="9"/>
        <v>25287</v>
      </c>
      <c r="K303" s="12">
        <f>VLOOKUP(A303,[3]VA05!$A:$K,11,FALSE)</f>
        <v>45572</v>
      </c>
      <c r="L303" s="10" t="s">
        <v>25</v>
      </c>
      <c r="M303" s="10" t="s">
        <v>156</v>
      </c>
    </row>
    <row r="304" spans="1:13" x14ac:dyDescent="0.25">
      <c r="A304" s="13" t="str">
        <f t="shared" si="8"/>
        <v>50714275420</v>
      </c>
      <c r="B304" s="10">
        <v>1004053562</v>
      </c>
      <c r="C304" s="10">
        <v>507142754</v>
      </c>
      <c r="D304" s="10">
        <v>20</v>
      </c>
      <c r="E304" s="10" t="s">
        <v>10</v>
      </c>
      <c r="F304" s="10">
        <v>1167435</v>
      </c>
      <c r="G304" s="10" t="s">
        <v>26</v>
      </c>
      <c r="H304" s="11">
        <v>20390</v>
      </c>
      <c r="I304" s="10">
        <v>0</v>
      </c>
      <c r="J304" s="11">
        <f t="shared" si="9"/>
        <v>20390</v>
      </c>
      <c r="K304" s="12">
        <f>VLOOKUP(A304,[3]VA05!$A:$K,11,FALSE)</f>
        <v>45611</v>
      </c>
      <c r="L304" s="10" t="s">
        <v>12</v>
      </c>
      <c r="M304" s="10" t="s">
        <v>217</v>
      </c>
    </row>
    <row r="305" spans="1:13" x14ac:dyDescent="0.25">
      <c r="A305" s="13" t="str">
        <f t="shared" si="8"/>
        <v>50714276930</v>
      </c>
      <c r="B305" s="10">
        <v>1004053564</v>
      </c>
      <c r="C305" s="10">
        <v>507142769</v>
      </c>
      <c r="D305" s="10">
        <v>30</v>
      </c>
      <c r="E305" s="10" t="s">
        <v>10</v>
      </c>
      <c r="F305" s="10">
        <v>1167435</v>
      </c>
      <c r="G305" s="10" t="s">
        <v>26</v>
      </c>
      <c r="H305" s="11">
        <v>30683</v>
      </c>
      <c r="I305" s="10">
        <v>0</v>
      </c>
      <c r="J305" s="11">
        <f t="shared" si="9"/>
        <v>30683</v>
      </c>
      <c r="K305" s="12">
        <f>VLOOKUP(A305,[3]VA05!$A:$K,11,FALSE)</f>
        <v>45575</v>
      </c>
      <c r="L305" s="10" t="s">
        <v>12</v>
      </c>
      <c r="M305" s="10" t="s">
        <v>155</v>
      </c>
    </row>
    <row r="306" spans="1:13" x14ac:dyDescent="0.25">
      <c r="A306" s="13" t="str">
        <f t="shared" si="8"/>
        <v>50714283530</v>
      </c>
      <c r="B306" s="10">
        <v>1004060455</v>
      </c>
      <c r="C306" s="10">
        <v>507142835</v>
      </c>
      <c r="D306" s="10">
        <v>30</v>
      </c>
      <c r="E306" s="10" t="s">
        <v>10</v>
      </c>
      <c r="F306" s="10">
        <v>1167435</v>
      </c>
      <c r="G306" s="10" t="s">
        <v>26</v>
      </c>
      <c r="H306" s="11">
        <v>10277</v>
      </c>
      <c r="I306" s="10">
        <v>0</v>
      </c>
      <c r="J306" s="11">
        <f t="shared" si="9"/>
        <v>10277</v>
      </c>
      <c r="K306" s="12">
        <f>VLOOKUP(A306,[3]VA05!$A:$K,11,FALSE)</f>
        <v>45587</v>
      </c>
      <c r="L306" s="10" t="s">
        <v>12</v>
      </c>
      <c r="M306" s="10" t="s">
        <v>109</v>
      </c>
    </row>
    <row r="307" spans="1:13" x14ac:dyDescent="0.25">
      <c r="A307" s="13" t="str">
        <f t="shared" si="8"/>
        <v>50714226530</v>
      </c>
      <c r="B307" s="10">
        <v>1004060456</v>
      </c>
      <c r="C307" s="10">
        <v>507142265</v>
      </c>
      <c r="D307" s="10">
        <v>30</v>
      </c>
      <c r="E307" s="10" t="s">
        <v>10</v>
      </c>
      <c r="F307" s="10">
        <v>1170825</v>
      </c>
      <c r="G307" s="10" t="s">
        <v>252</v>
      </c>
      <c r="H307" s="11">
        <v>40524</v>
      </c>
      <c r="I307" s="10">
        <v>0</v>
      </c>
      <c r="J307" s="11">
        <f t="shared" si="9"/>
        <v>40524</v>
      </c>
      <c r="K307" s="12">
        <f>VLOOKUP(A307,[3]VA05!$A:$K,11,FALSE)</f>
        <v>45576</v>
      </c>
      <c r="L307" s="10" t="s">
        <v>12</v>
      </c>
      <c r="M307" s="10" t="s">
        <v>194</v>
      </c>
    </row>
    <row r="308" spans="1:13" x14ac:dyDescent="0.25">
      <c r="A308" s="13" t="str">
        <f t="shared" si="8"/>
        <v>50714262620</v>
      </c>
      <c r="B308" s="10">
        <v>1004060457</v>
      </c>
      <c r="C308" s="10">
        <v>507142626</v>
      </c>
      <c r="D308" s="10">
        <v>20</v>
      </c>
      <c r="E308" s="10" t="s">
        <v>10</v>
      </c>
      <c r="F308" s="10">
        <v>1170825</v>
      </c>
      <c r="G308" s="10" t="s">
        <v>252</v>
      </c>
      <c r="H308" s="11">
        <v>25425</v>
      </c>
      <c r="I308" s="10">
        <v>0</v>
      </c>
      <c r="J308" s="11">
        <f t="shared" si="9"/>
        <v>25425</v>
      </c>
      <c r="K308" s="12">
        <f>VLOOKUP(A308,[3]VA05!$A:$K,11,FALSE)</f>
        <v>45590</v>
      </c>
      <c r="L308" s="10" t="s">
        <v>12</v>
      </c>
      <c r="M308" s="10" t="s">
        <v>199</v>
      </c>
    </row>
    <row r="309" spans="1:13" x14ac:dyDescent="0.25">
      <c r="A309" s="13" t="str">
        <f t="shared" si="8"/>
        <v>50714270930</v>
      </c>
      <c r="B309" s="10">
        <v>1004060458</v>
      </c>
      <c r="C309" s="10">
        <v>507142709</v>
      </c>
      <c r="D309" s="10">
        <v>30</v>
      </c>
      <c r="E309" s="10" t="s">
        <v>10</v>
      </c>
      <c r="F309" s="10">
        <v>1170825</v>
      </c>
      <c r="G309" s="10" t="s">
        <v>252</v>
      </c>
      <c r="H309" s="11">
        <v>30393</v>
      </c>
      <c r="I309" s="10">
        <v>0</v>
      </c>
      <c r="J309" s="11">
        <f t="shared" si="9"/>
        <v>30393</v>
      </c>
      <c r="K309" s="12">
        <f>VLOOKUP(A309,[3]VA05!$A:$K,11,FALSE)</f>
        <v>45583</v>
      </c>
      <c r="L309" s="10" t="s">
        <v>12</v>
      </c>
      <c r="M309" s="10" t="s">
        <v>179</v>
      </c>
    </row>
    <row r="310" spans="1:13" x14ac:dyDescent="0.25">
      <c r="A310" s="13" t="str">
        <f t="shared" si="8"/>
        <v>50714271030</v>
      </c>
      <c r="B310" s="10">
        <v>1004060459</v>
      </c>
      <c r="C310" s="10">
        <v>507142710</v>
      </c>
      <c r="D310" s="10">
        <v>30</v>
      </c>
      <c r="E310" s="10" t="s">
        <v>10</v>
      </c>
      <c r="F310" s="10">
        <v>1170825</v>
      </c>
      <c r="G310" s="10" t="s">
        <v>252</v>
      </c>
      <c r="H310" s="11">
        <v>30393</v>
      </c>
      <c r="I310" s="10">
        <v>0</v>
      </c>
      <c r="J310" s="11">
        <f t="shared" si="9"/>
        <v>30393</v>
      </c>
      <c r="K310" s="12">
        <f>VLOOKUP(A310,[3]VA05!$A:$K,11,FALSE)</f>
        <v>45596</v>
      </c>
      <c r="L310" s="10" t="s">
        <v>12</v>
      </c>
      <c r="M310" s="10" t="s">
        <v>207</v>
      </c>
    </row>
  </sheetData>
  <autoFilter ref="A2:M310" xr:uid="{58C5E975-3F7E-42B9-8B50-8E372A4117E8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DLV  PRC  BASC BCRQ GMPS SETC"/>
        <filter val="REL  MSPT PCNF DLV  PRC  BASC BCRQ GMPS*"/>
        <filter val="REL  MSPT PCNF PRC  BASC BCRQ GMPS PDLV*"/>
        <filter val="REL  MSPT PCNF PRC  BASC BCRQ SETC"/>
        <filter val="REL  MSPT PPRT PCNF PRC  BASC BCRQ GMPS*"/>
        <filter val="REL  MSPT PRC  BASC BCRQ GMPS PDLV SETC"/>
        <filter val="REL  MSPT PRC  BASC BCRQ GMPS RESA SETC"/>
        <filter val="REL  MSPT PRC  BASC BCRQ GMPS SETC"/>
        <filter val="REL  MSPT PRC  BASC BCRQ SETC"/>
        <filter val="REL  MSPT PRT  PCNF DLV  PRC  BASC BCRQ*"/>
        <filter val="REL  MSPT PRT  PCNF PRC  BASC BCRQ GMPS*"/>
        <filter val="REL  MSPT PRT  PRC  BASC BCRQ GMPS RESA*"/>
        <filter val="REL  MSPT PRT  PRC  BASC BCRQ SETC"/>
        <filter val="REL  MSPT PRT  PRC  DLFL BASC BCRQ SETC"/>
        <filter val="REL  PCNF PRC  BASC BCRQ GMPS MACM PDLV*"/>
        <filter val="REL  PRC  BASC BCRQ MACM SETC"/>
        <filter val="REL  PRT  PCNF DLV  PRC  BASC BCRQ GMPS*"/>
        <filter val="REL  PRT  PCNF PRC  BASC BCRQ GMPS MACM*"/>
        <filter val="REL  PRT  PRC  BASC BCRQ GMPS MACM RESA*"/>
      </filters>
    </filterColumn>
  </autoFilter>
  <pageMargins left="0.2" right="0.2" top="0.25" bottom="0.25" header="0.05" footer="0.05"/>
  <pageSetup scale="106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C91-A1DD-4CF1-8F11-20F65FD82A7B}">
  <sheetPr filterMode="1"/>
  <dimension ref="A1:M304"/>
  <sheetViews>
    <sheetView topLeftCell="A184" workbookViewId="0">
      <selection activeCell="F196" sqref="F196"/>
    </sheetView>
  </sheetViews>
  <sheetFormatPr defaultRowHeight="15" x14ac:dyDescent="0.25"/>
  <cols>
    <col min="2" max="2" width="12.42578125" bestFit="1" customWidth="1"/>
    <col min="3" max="3" width="12.28515625" customWidth="1"/>
    <col min="4" max="4" width="5" customWidth="1"/>
    <col min="5" max="5" width="7.5703125" customWidth="1"/>
    <col min="6" max="6" width="9.28515625" bestFit="1" customWidth="1"/>
    <col min="7" max="7" width="37.140625" customWidth="1"/>
    <col min="8" max="10" width="9.28515625" bestFit="1" customWidth="1"/>
    <col min="12" max="12" width="5" customWidth="1"/>
  </cols>
  <sheetData>
    <row r="1" spans="1:13" s="13" customFormat="1" ht="23.25" x14ac:dyDescent="0.35">
      <c r="B1" s="1" t="s">
        <v>294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VLOOKUP(A3,[3]VA05!$A:$K,11,FALSE)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VLOOKUP(A4,[3]VA05!$A:$K,11,FALSE)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VLOOKUP(A5,[3]VA05!$A:$K,11,FALSE)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VLOOKUP(A6,[3]VA05!$A:$K,11,FALSE)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VLOOKUP(A7,[3]VA05!$A:$K,11,FALSE)</f>
        <v>45593</v>
      </c>
      <c r="L7" s="10" t="s">
        <v>12</v>
      </c>
      <c r="M7" s="10" t="s">
        <v>140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VLOOKUP(A8,[3]VA05!$A:$K,11,FALSE)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VLOOKUP(A9,[3]VA05!$A:$K,11,FALSE)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VLOOKUP(A10,[3]VA05!$A:$K,11,FALSE)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VLOOKUP(A11,[3]VA05!$A:$K,11,FALSE)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VLOOKUP(A12,[3]VA05!$A:$K,11,FALSE)</f>
        <v>45588</v>
      </c>
      <c r="L12" s="10" t="s">
        <v>12</v>
      </c>
      <c r="M12" s="10" t="s">
        <v>191</v>
      </c>
    </row>
    <row r="13" spans="1:13" x14ac:dyDescent="0.25">
      <c r="A13" s="13" t="str">
        <f t="shared" si="0"/>
        <v>50714278910</v>
      </c>
      <c r="B13" s="10">
        <v>1004052165</v>
      </c>
      <c r="C13" s="10">
        <v>507142789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14201</v>
      </c>
      <c r="I13" s="11">
        <v>7258</v>
      </c>
      <c r="J13" s="11">
        <f t="shared" si="1"/>
        <v>6943</v>
      </c>
      <c r="K13" s="12">
        <f>VLOOKUP(A13,[3]VA05!$A:$K,11,FALSE)</f>
        <v>45583</v>
      </c>
      <c r="L13" s="10" t="s">
        <v>18</v>
      </c>
      <c r="M13" s="10" t="s">
        <v>162</v>
      </c>
    </row>
    <row r="14" spans="1:13" x14ac:dyDescent="0.25">
      <c r="A14" s="13" t="str">
        <f t="shared" si="0"/>
        <v>50714282710</v>
      </c>
      <c r="B14" s="10">
        <v>1004061191</v>
      </c>
      <c r="C14" s="10">
        <v>507142827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28402</v>
      </c>
      <c r="I14" s="10">
        <v>0</v>
      </c>
      <c r="J14" s="11">
        <f t="shared" si="1"/>
        <v>28402</v>
      </c>
      <c r="K14" s="12">
        <f>VLOOKUP(A14,[3]VA05!$A:$K,11,FALSE)</f>
        <v>45588</v>
      </c>
      <c r="L14" s="10" t="s">
        <v>12</v>
      </c>
      <c r="M14" s="10" t="s">
        <v>178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VLOOKUP(A15,[3]VA05!$A:$K,11,FALSE)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50714283810</v>
      </c>
      <c r="B16" s="10">
        <v>1004061192</v>
      </c>
      <c r="C16" s="10">
        <v>507142838</v>
      </c>
      <c r="D16" s="10">
        <v>10</v>
      </c>
      <c r="E16" s="10" t="s">
        <v>10</v>
      </c>
      <c r="F16" s="10">
        <v>1171797</v>
      </c>
      <c r="G16" s="10" t="s">
        <v>255</v>
      </c>
      <c r="H16" s="11">
        <v>31141</v>
      </c>
      <c r="I16" s="10">
        <v>0</v>
      </c>
      <c r="J16" s="11">
        <f t="shared" si="1"/>
        <v>31141</v>
      </c>
      <c r="K16" s="12">
        <f>VLOOKUP(A16,[3]VA05!$A:$K,11,FALSE)</f>
        <v>45593</v>
      </c>
      <c r="L16" s="10" t="s">
        <v>12</v>
      </c>
      <c r="M16" s="10" t="s">
        <v>162</v>
      </c>
    </row>
    <row r="17" spans="1:13" x14ac:dyDescent="0.25">
      <c r="A17" s="13" t="str">
        <f t="shared" si="0"/>
        <v>50714270810</v>
      </c>
      <c r="B17" s="10">
        <v>1004052048</v>
      </c>
      <c r="C17" s="10">
        <v>507142708</v>
      </c>
      <c r="D17" s="10">
        <v>10</v>
      </c>
      <c r="E17" s="10" t="s">
        <v>10</v>
      </c>
      <c r="F17" s="10">
        <v>1215666</v>
      </c>
      <c r="G17" s="10" t="s">
        <v>182</v>
      </c>
      <c r="H17" s="11">
        <v>11159</v>
      </c>
      <c r="I17" s="10">
        <v>0</v>
      </c>
      <c r="J17" s="11">
        <f t="shared" si="1"/>
        <v>11159</v>
      </c>
      <c r="K17" s="12">
        <f>VLOOKUP(A17,[3]VA05!$A:$K,11,FALSE)</f>
        <v>45588</v>
      </c>
      <c r="L17" s="10" t="s">
        <v>12</v>
      </c>
      <c r="M17" s="10" t="s">
        <v>191</v>
      </c>
    </row>
    <row r="18" spans="1:13" hidden="1" x14ac:dyDescent="0.25">
      <c r="A18" s="13" t="str">
        <f t="shared" si="0"/>
        <v>50800482020</v>
      </c>
      <c r="B18" s="10">
        <v>1003970409</v>
      </c>
      <c r="C18" s="10">
        <v>508004820</v>
      </c>
      <c r="D18" s="10">
        <v>20</v>
      </c>
      <c r="E18" s="10" t="s">
        <v>10</v>
      </c>
      <c r="F18" s="10">
        <v>1174032</v>
      </c>
      <c r="G18" s="10" t="s">
        <v>261</v>
      </c>
      <c r="H18" s="11">
        <v>10948</v>
      </c>
      <c r="I18" s="10">
        <v>0</v>
      </c>
      <c r="J18" s="11">
        <f t="shared" si="1"/>
        <v>10948</v>
      </c>
      <c r="K18" s="12" t="e">
        <f>VLOOKUP(A18,[3]VA05!$A:$K,11,FALSE)</f>
        <v>#N/A</v>
      </c>
      <c r="L18" s="10" t="s">
        <v>260</v>
      </c>
      <c r="M18" s="10" t="s">
        <v>262</v>
      </c>
    </row>
    <row r="19" spans="1:13" x14ac:dyDescent="0.25">
      <c r="A19" s="13" t="str">
        <f t="shared" si="0"/>
        <v>50714278410</v>
      </c>
      <c r="B19" s="10">
        <v>1004053445</v>
      </c>
      <c r="C19" s="10">
        <v>507142784</v>
      </c>
      <c r="D19" s="10">
        <v>10</v>
      </c>
      <c r="E19" s="10" t="s">
        <v>10</v>
      </c>
      <c r="F19" s="10">
        <v>1173944</v>
      </c>
      <c r="G19" s="10" t="s">
        <v>91</v>
      </c>
      <c r="H19" s="11">
        <v>11020</v>
      </c>
      <c r="I19" s="11">
        <v>10762</v>
      </c>
      <c r="J19" s="11">
        <f t="shared" si="1"/>
        <v>258</v>
      </c>
      <c r="K19" s="12">
        <f>VLOOKUP(A19,[3]VA05!$A:$K,11,FALSE)</f>
        <v>45580</v>
      </c>
      <c r="L19" s="10" t="s">
        <v>18</v>
      </c>
      <c r="M19" s="10" t="s">
        <v>162</v>
      </c>
    </row>
    <row r="20" spans="1:13" x14ac:dyDescent="0.25">
      <c r="A20" s="13" t="str">
        <f t="shared" si="0"/>
        <v>50714251220</v>
      </c>
      <c r="B20" s="10">
        <v>1004061391</v>
      </c>
      <c r="C20" s="10">
        <v>507142512</v>
      </c>
      <c r="D20" s="10">
        <v>20</v>
      </c>
      <c r="E20" s="10" t="s">
        <v>10</v>
      </c>
      <c r="F20" s="10">
        <v>1173944</v>
      </c>
      <c r="G20" s="10" t="s">
        <v>91</v>
      </c>
      <c r="H20" s="11">
        <v>11020</v>
      </c>
      <c r="I20" s="10">
        <v>0</v>
      </c>
      <c r="J20" s="11">
        <f t="shared" si="1"/>
        <v>11020</v>
      </c>
      <c r="K20" s="12" t="e">
        <f>VLOOKUP(A20,[3]VA05!$A:$K,11,FALSE)</f>
        <v>#N/A</v>
      </c>
      <c r="L20" s="10" t="s">
        <v>56</v>
      </c>
      <c r="M20" s="10" t="s">
        <v>156</v>
      </c>
    </row>
    <row r="21" spans="1:13" x14ac:dyDescent="0.25">
      <c r="A21" s="13" t="str">
        <f t="shared" si="0"/>
        <v>50714269620</v>
      </c>
      <c r="B21" s="10">
        <v>1004061392</v>
      </c>
      <c r="C21" s="10">
        <v>507142696</v>
      </c>
      <c r="D21" s="10">
        <v>20</v>
      </c>
      <c r="E21" s="10" t="s">
        <v>10</v>
      </c>
      <c r="F21" s="10">
        <v>1173944</v>
      </c>
      <c r="G21" s="10" t="s">
        <v>91</v>
      </c>
      <c r="H21" s="11">
        <v>5603</v>
      </c>
      <c r="I21" s="10">
        <v>0</v>
      </c>
      <c r="J21" s="11">
        <f t="shared" si="1"/>
        <v>5603</v>
      </c>
      <c r="K21" s="12">
        <f>VLOOKUP(A21,[3]VA05!$A:$K,11,FALSE)</f>
        <v>45566</v>
      </c>
      <c r="L21" s="10" t="s">
        <v>12</v>
      </c>
      <c r="M21" s="10" t="s">
        <v>156</v>
      </c>
    </row>
    <row r="22" spans="1:13" x14ac:dyDescent="0.25">
      <c r="A22" s="13" t="str">
        <f t="shared" si="0"/>
        <v>50714282510</v>
      </c>
      <c r="B22" s="10">
        <v>1004061393</v>
      </c>
      <c r="C22" s="10">
        <v>507142825</v>
      </c>
      <c r="D22" s="10">
        <v>10</v>
      </c>
      <c r="E22" s="10" t="s">
        <v>10</v>
      </c>
      <c r="F22" s="10">
        <v>1173944</v>
      </c>
      <c r="G22" s="10" t="s">
        <v>91</v>
      </c>
      <c r="H22" s="11">
        <v>21855</v>
      </c>
      <c r="I22" s="10">
        <v>0</v>
      </c>
      <c r="J22" s="11">
        <f t="shared" si="1"/>
        <v>21855</v>
      </c>
      <c r="K22" s="12">
        <f>VLOOKUP(A22,[3]VA05!$A:$K,11,FALSE)</f>
        <v>45589</v>
      </c>
      <c r="L22" s="10" t="s">
        <v>12</v>
      </c>
      <c r="M22" s="10" t="s">
        <v>191</v>
      </c>
    </row>
    <row r="23" spans="1:13" x14ac:dyDescent="0.25">
      <c r="A23" s="13" t="str">
        <f t="shared" si="0"/>
        <v>50714282910</v>
      </c>
      <c r="B23" s="10">
        <v>1004061394</v>
      </c>
      <c r="C23" s="10">
        <v>507142829</v>
      </c>
      <c r="D23" s="10">
        <v>10</v>
      </c>
      <c r="E23" s="10" t="s">
        <v>10</v>
      </c>
      <c r="F23" s="10">
        <v>1173944</v>
      </c>
      <c r="G23" s="10" t="s">
        <v>91</v>
      </c>
      <c r="H23" s="11">
        <v>11020</v>
      </c>
      <c r="I23" s="10">
        <v>0</v>
      </c>
      <c r="J23" s="11">
        <f t="shared" si="1"/>
        <v>11020</v>
      </c>
      <c r="K23" s="12">
        <f>VLOOKUP(A23,[3]VA05!$A:$K,11,FALSE)</f>
        <v>45582</v>
      </c>
      <c r="L23" s="10" t="s">
        <v>12</v>
      </c>
      <c r="M23" s="10" t="s">
        <v>179</v>
      </c>
    </row>
    <row r="24" spans="1:13" hidden="1" x14ac:dyDescent="0.25">
      <c r="A24" s="13" t="str">
        <f t="shared" si="0"/>
        <v>50714227020</v>
      </c>
      <c r="B24" s="10">
        <v>1004034399</v>
      </c>
      <c r="C24" s="10">
        <v>507142270</v>
      </c>
      <c r="D24" s="10">
        <v>20</v>
      </c>
      <c r="E24" s="10" t="s">
        <v>10</v>
      </c>
      <c r="F24" s="10">
        <v>1187764</v>
      </c>
      <c r="G24" s="10" t="s">
        <v>92</v>
      </c>
      <c r="H24" s="11">
        <v>17325</v>
      </c>
      <c r="I24" s="11">
        <v>17325</v>
      </c>
      <c r="J24" s="11">
        <f t="shared" si="1"/>
        <v>0</v>
      </c>
      <c r="K24" s="12">
        <f>VLOOKUP(A24,[3]VA05!$A:$K,11,FALSE)</f>
        <v>45565</v>
      </c>
      <c r="L24" s="10" t="s">
        <v>28</v>
      </c>
      <c r="M24" s="10" t="s">
        <v>178</v>
      </c>
    </row>
    <row r="25" spans="1:13" x14ac:dyDescent="0.25">
      <c r="A25" s="13" t="str">
        <f t="shared" si="0"/>
        <v>50714227010</v>
      </c>
      <c r="B25" s="10">
        <v>1004057062</v>
      </c>
      <c r="C25" s="10">
        <v>507142270</v>
      </c>
      <c r="D25" s="10">
        <v>10</v>
      </c>
      <c r="E25" s="10" t="s">
        <v>10</v>
      </c>
      <c r="F25" s="10">
        <v>1187764</v>
      </c>
      <c r="G25" s="10" t="s">
        <v>92</v>
      </c>
      <c r="H25" s="11">
        <v>5776</v>
      </c>
      <c r="I25" s="11">
        <v>1479</v>
      </c>
      <c r="J25" s="11">
        <f t="shared" si="1"/>
        <v>4297</v>
      </c>
      <c r="K25" s="12">
        <f>VLOOKUP(A25,[3]VA05!$A:$K,11,FALSE)</f>
        <v>45565</v>
      </c>
      <c r="L25" s="10" t="s">
        <v>18</v>
      </c>
      <c r="M25" s="10" t="s">
        <v>197</v>
      </c>
    </row>
    <row r="26" spans="1:13" x14ac:dyDescent="0.25">
      <c r="A26" s="13" t="str">
        <f t="shared" si="0"/>
        <v>50714283810</v>
      </c>
      <c r="B26" s="10">
        <v>1004061390</v>
      </c>
      <c r="C26" s="10">
        <v>507142838</v>
      </c>
      <c r="D26" s="10">
        <v>10</v>
      </c>
      <c r="E26" s="10" t="s">
        <v>10</v>
      </c>
      <c r="F26" s="10">
        <v>1276494</v>
      </c>
      <c r="G26" s="10" t="s">
        <v>256</v>
      </c>
      <c r="H26" s="11">
        <v>27035</v>
      </c>
      <c r="I26" s="10">
        <v>0</v>
      </c>
      <c r="J26" s="11">
        <f t="shared" si="1"/>
        <v>27035</v>
      </c>
      <c r="K26" s="12">
        <f>VLOOKUP(A26,[3]VA05!$A:$K,11,FALSE)</f>
        <v>45593</v>
      </c>
      <c r="L26" s="10" t="s">
        <v>12</v>
      </c>
      <c r="M26" s="10" t="s">
        <v>191</v>
      </c>
    </row>
    <row r="27" spans="1:13" hidden="1" x14ac:dyDescent="0.25">
      <c r="A27" s="13" t="str">
        <f t="shared" si="0"/>
        <v>50714166710</v>
      </c>
      <c r="B27" s="10">
        <v>1003920458</v>
      </c>
      <c r="C27" s="10">
        <v>507141667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23842</v>
      </c>
      <c r="I27" s="10">
        <v>0</v>
      </c>
      <c r="J27" s="11">
        <f t="shared" si="1"/>
        <v>23842</v>
      </c>
      <c r="K27" s="12" t="e">
        <f>VLOOKUP(A27,[3]VA05!$A:$K,11,FALSE)</f>
        <v>#N/A</v>
      </c>
      <c r="L27" s="10" t="s">
        <v>260</v>
      </c>
      <c r="M27" s="10" t="s">
        <v>263</v>
      </c>
    </row>
    <row r="28" spans="1:13" x14ac:dyDescent="0.25">
      <c r="A28" s="13" t="str">
        <f t="shared" si="0"/>
        <v>50714269620</v>
      </c>
      <c r="B28" s="10">
        <v>1004042037</v>
      </c>
      <c r="C28" s="10">
        <v>507142696</v>
      </c>
      <c r="D28" s="10">
        <v>20</v>
      </c>
      <c r="E28" s="10" t="s">
        <v>10</v>
      </c>
      <c r="F28" s="10">
        <v>1173947</v>
      </c>
      <c r="G28" s="10" t="s">
        <v>36</v>
      </c>
      <c r="H28" s="11">
        <v>12384</v>
      </c>
      <c r="I28" s="11">
        <v>3839</v>
      </c>
      <c r="J28" s="11">
        <f t="shared" si="1"/>
        <v>8545</v>
      </c>
      <c r="K28" s="12">
        <f>VLOOKUP(A28,[3]VA05!$A:$K,11,FALSE)</f>
        <v>45566</v>
      </c>
      <c r="L28" s="10" t="s">
        <v>18</v>
      </c>
      <c r="M28" s="10" t="s">
        <v>84</v>
      </c>
    </row>
    <row r="29" spans="1:13" x14ac:dyDescent="0.25">
      <c r="A29" s="13" t="str">
        <f t="shared" si="0"/>
        <v>50714274010</v>
      </c>
      <c r="B29" s="10">
        <v>1004052269</v>
      </c>
      <c r="C29" s="10">
        <v>507142740</v>
      </c>
      <c r="D29" s="10">
        <v>10</v>
      </c>
      <c r="E29" s="10" t="s">
        <v>10</v>
      </c>
      <c r="F29" s="10">
        <v>1173947</v>
      </c>
      <c r="G29" s="10" t="s">
        <v>36</v>
      </c>
      <c r="H29" s="11">
        <v>12384</v>
      </c>
      <c r="I29" s="10">
        <v>0</v>
      </c>
      <c r="J29" s="11">
        <f t="shared" si="1"/>
        <v>12384</v>
      </c>
      <c r="K29" s="12">
        <f>VLOOKUP(A29,[3]VA05!$A:$K,11,FALSE)</f>
        <v>45573</v>
      </c>
      <c r="L29" s="10" t="s">
        <v>12</v>
      </c>
      <c r="M29" s="10" t="s">
        <v>97</v>
      </c>
    </row>
    <row r="30" spans="1:13" x14ac:dyDescent="0.25">
      <c r="A30" s="13" t="str">
        <f t="shared" si="0"/>
        <v>50714277910</v>
      </c>
      <c r="B30" s="10">
        <v>1004052270</v>
      </c>
      <c r="C30" s="10">
        <v>507142779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11922</v>
      </c>
      <c r="I30" s="10">
        <v>0</v>
      </c>
      <c r="J30" s="11">
        <f t="shared" si="1"/>
        <v>11922</v>
      </c>
      <c r="K30" s="12">
        <f>VLOOKUP(A30,[3]VA05!$A:$K,11,FALSE)</f>
        <v>45580</v>
      </c>
      <c r="L30" s="10" t="s">
        <v>12</v>
      </c>
      <c r="M30" s="10" t="s">
        <v>194</v>
      </c>
    </row>
    <row r="31" spans="1:13" x14ac:dyDescent="0.25">
      <c r="A31" s="13" t="str">
        <f t="shared" si="0"/>
        <v>50714278410</v>
      </c>
      <c r="B31" s="10">
        <v>1004052271</v>
      </c>
      <c r="C31" s="10">
        <v>507142784</v>
      </c>
      <c r="D31" s="10">
        <v>10</v>
      </c>
      <c r="E31" s="10" t="s">
        <v>10</v>
      </c>
      <c r="F31" s="10">
        <v>1173947</v>
      </c>
      <c r="G31" s="10" t="s">
        <v>36</v>
      </c>
      <c r="H31" s="11">
        <v>12384</v>
      </c>
      <c r="I31" s="10">
        <v>0</v>
      </c>
      <c r="J31" s="11">
        <f t="shared" si="1"/>
        <v>12384</v>
      </c>
      <c r="K31" s="12">
        <f>VLOOKUP(A31,[3]VA05!$A:$K,11,FALSE)</f>
        <v>45580</v>
      </c>
      <c r="L31" s="10" t="s">
        <v>12</v>
      </c>
      <c r="M31" s="10" t="s">
        <v>97</v>
      </c>
    </row>
    <row r="32" spans="1:13" x14ac:dyDescent="0.25">
      <c r="A32" s="13" t="str">
        <f t="shared" si="0"/>
        <v>50714282510</v>
      </c>
      <c r="B32" s="10">
        <v>1004061395</v>
      </c>
      <c r="C32" s="10">
        <v>507142825</v>
      </c>
      <c r="D32" s="10">
        <v>10</v>
      </c>
      <c r="E32" s="10" t="s">
        <v>10</v>
      </c>
      <c r="F32" s="10">
        <v>1173947</v>
      </c>
      <c r="G32" s="10" t="s">
        <v>36</v>
      </c>
      <c r="H32" s="11">
        <v>23842</v>
      </c>
      <c r="I32" s="10">
        <v>0</v>
      </c>
      <c r="J32" s="11">
        <f t="shared" si="1"/>
        <v>23842</v>
      </c>
      <c r="K32" s="12">
        <f>VLOOKUP(A32,[3]VA05!$A:$K,11,FALSE)</f>
        <v>45589</v>
      </c>
      <c r="L32" s="10" t="s">
        <v>12</v>
      </c>
      <c r="M32" s="10" t="s">
        <v>179</v>
      </c>
    </row>
    <row r="33" spans="1:13" x14ac:dyDescent="0.25">
      <c r="A33" s="13" t="str">
        <f t="shared" si="0"/>
        <v>50714282710</v>
      </c>
      <c r="B33" s="10">
        <v>1004061284</v>
      </c>
      <c r="C33" s="10">
        <v>507142827</v>
      </c>
      <c r="D33" s="10">
        <v>10</v>
      </c>
      <c r="E33" s="10" t="s">
        <v>10</v>
      </c>
      <c r="F33" s="10">
        <v>1411193</v>
      </c>
      <c r="G33" s="10" t="s">
        <v>47</v>
      </c>
      <c r="H33" s="11">
        <v>20598</v>
      </c>
      <c r="I33" s="11">
        <v>6528</v>
      </c>
      <c r="J33" s="11">
        <f t="shared" si="1"/>
        <v>14070</v>
      </c>
      <c r="K33" s="12">
        <f>VLOOKUP(A33,[3]VA05!$A:$K,11,FALSE)</f>
        <v>45588</v>
      </c>
      <c r="L33" s="10" t="s">
        <v>18</v>
      </c>
      <c r="M33" s="10" t="s">
        <v>177</v>
      </c>
    </row>
    <row r="34" spans="1:13" hidden="1" x14ac:dyDescent="0.25">
      <c r="A34" s="13" t="str">
        <f t="shared" si="0"/>
        <v>50714166710</v>
      </c>
      <c r="B34" s="10">
        <v>1003920462</v>
      </c>
      <c r="C34" s="10">
        <v>507141667</v>
      </c>
      <c r="D34" s="10">
        <v>10</v>
      </c>
      <c r="E34" s="10" t="s">
        <v>10</v>
      </c>
      <c r="F34" s="10">
        <v>1171793</v>
      </c>
      <c r="G34" s="10" t="s">
        <v>33</v>
      </c>
      <c r="H34" s="11">
        <v>21582</v>
      </c>
      <c r="I34" s="10">
        <v>0</v>
      </c>
      <c r="J34" s="11">
        <f t="shared" si="1"/>
        <v>21582</v>
      </c>
      <c r="K34" s="12" t="e">
        <f>VLOOKUP(A34,[3]VA05!$A:$K,11,FALSE)</f>
        <v>#N/A</v>
      </c>
      <c r="L34" s="10" t="s">
        <v>260</v>
      </c>
      <c r="M34" s="10" t="s">
        <v>264</v>
      </c>
    </row>
    <row r="35" spans="1:13" x14ac:dyDescent="0.25">
      <c r="A35" s="13" t="str">
        <f t="shared" si="0"/>
        <v>50800514030</v>
      </c>
      <c r="B35" s="10">
        <v>1004050510</v>
      </c>
      <c r="C35" s="10">
        <v>508005140</v>
      </c>
      <c r="D35" s="10">
        <v>30</v>
      </c>
      <c r="E35" s="10" t="s">
        <v>10</v>
      </c>
      <c r="F35" s="10">
        <v>1171793</v>
      </c>
      <c r="G35" s="10" t="s">
        <v>33</v>
      </c>
      <c r="H35" s="11">
        <v>43162</v>
      </c>
      <c r="I35" s="10">
        <v>0</v>
      </c>
      <c r="J35" s="11">
        <f t="shared" si="1"/>
        <v>43162</v>
      </c>
      <c r="K35" s="12">
        <f>VLOOKUP(A35,[3]VA05!$A:$K,11,FALSE)</f>
        <v>45609</v>
      </c>
      <c r="L35" s="10" t="s">
        <v>27</v>
      </c>
      <c r="M35" s="10" t="s">
        <v>161</v>
      </c>
    </row>
    <row r="36" spans="1:13" x14ac:dyDescent="0.25">
      <c r="A36" s="13" t="str">
        <f t="shared" si="0"/>
        <v>50714277910</v>
      </c>
      <c r="B36" s="10">
        <v>1004053448</v>
      </c>
      <c r="C36" s="10">
        <v>507142779</v>
      </c>
      <c r="D36" s="10">
        <v>10</v>
      </c>
      <c r="E36" s="10" t="s">
        <v>10</v>
      </c>
      <c r="F36" s="10">
        <v>1171793</v>
      </c>
      <c r="G36" s="10" t="s">
        <v>33</v>
      </c>
      <c r="H36" s="11">
        <v>10792</v>
      </c>
      <c r="I36" s="10">
        <v>0</v>
      </c>
      <c r="J36" s="11">
        <f t="shared" si="1"/>
        <v>10792</v>
      </c>
      <c r="K36" s="12">
        <f>VLOOKUP(A36,[3]VA05!$A:$K,11,FALSE)</f>
        <v>45580</v>
      </c>
      <c r="L36" s="10" t="s">
        <v>12</v>
      </c>
      <c r="M36" s="10" t="s">
        <v>162</v>
      </c>
    </row>
    <row r="37" spans="1:13" x14ac:dyDescent="0.25">
      <c r="A37" s="13" t="str">
        <f t="shared" si="0"/>
        <v>50714278410</v>
      </c>
      <c r="B37" s="10">
        <v>1004061396</v>
      </c>
      <c r="C37" s="10">
        <v>507142784</v>
      </c>
      <c r="D37" s="10">
        <v>10</v>
      </c>
      <c r="E37" s="10" t="s">
        <v>10</v>
      </c>
      <c r="F37" s="10">
        <v>1171793</v>
      </c>
      <c r="G37" s="10" t="s">
        <v>33</v>
      </c>
      <c r="H37" s="11">
        <v>10882</v>
      </c>
      <c r="I37" s="10">
        <v>0</v>
      </c>
      <c r="J37" s="11">
        <f t="shared" si="1"/>
        <v>10882</v>
      </c>
      <c r="K37" s="12">
        <f>VLOOKUP(A37,[3]VA05!$A:$K,11,FALSE)</f>
        <v>45580</v>
      </c>
      <c r="L37" s="10" t="s">
        <v>12</v>
      </c>
      <c r="M37" s="10" t="s">
        <v>162</v>
      </c>
    </row>
    <row r="38" spans="1:13" x14ac:dyDescent="0.25">
      <c r="A38" s="13" t="str">
        <f t="shared" si="0"/>
        <v>50714282510</v>
      </c>
      <c r="B38" s="10">
        <v>1004061397</v>
      </c>
      <c r="C38" s="10">
        <v>507142825</v>
      </c>
      <c r="D38" s="10">
        <v>10</v>
      </c>
      <c r="E38" s="10" t="s">
        <v>10</v>
      </c>
      <c r="F38" s="10">
        <v>1171793</v>
      </c>
      <c r="G38" s="10" t="s">
        <v>33</v>
      </c>
      <c r="H38" s="11">
        <v>21582</v>
      </c>
      <c r="I38" s="10">
        <v>0</v>
      </c>
      <c r="J38" s="11">
        <f t="shared" si="1"/>
        <v>21582</v>
      </c>
      <c r="K38" s="12">
        <f>VLOOKUP(A38,[3]VA05!$A:$K,11,FALSE)</f>
        <v>45589</v>
      </c>
      <c r="L38" s="10" t="s">
        <v>12</v>
      </c>
      <c r="M38" s="10" t="s">
        <v>191</v>
      </c>
    </row>
    <row r="39" spans="1:13" x14ac:dyDescent="0.25">
      <c r="A39" s="13" t="str">
        <f t="shared" si="0"/>
        <v>50714282910</v>
      </c>
      <c r="B39" s="10">
        <v>1004061398</v>
      </c>
      <c r="C39" s="10">
        <v>507142829</v>
      </c>
      <c r="D39" s="10">
        <v>10</v>
      </c>
      <c r="E39" s="10" t="s">
        <v>10</v>
      </c>
      <c r="F39" s="10">
        <v>1171793</v>
      </c>
      <c r="G39" s="10" t="s">
        <v>33</v>
      </c>
      <c r="H39" s="11">
        <v>10882</v>
      </c>
      <c r="I39" s="10">
        <v>0</v>
      </c>
      <c r="J39" s="11">
        <f t="shared" si="1"/>
        <v>10882</v>
      </c>
      <c r="K39" s="12">
        <f>VLOOKUP(A39,[3]VA05!$A:$K,11,FALSE)</f>
        <v>45582</v>
      </c>
      <c r="L39" s="10" t="s">
        <v>12</v>
      </c>
      <c r="M39" s="10" t="s">
        <v>157</v>
      </c>
    </row>
    <row r="40" spans="1:13" x14ac:dyDescent="0.25">
      <c r="A40" s="13" t="str">
        <f t="shared" si="0"/>
        <v>50714227020</v>
      </c>
      <c r="B40" s="10">
        <v>1004057063</v>
      </c>
      <c r="C40" s="10">
        <v>507142270</v>
      </c>
      <c r="D40" s="10">
        <v>20</v>
      </c>
      <c r="E40" s="10" t="s">
        <v>10</v>
      </c>
      <c r="F40" s="10">
        <v>1187765</v>
      </c>
      <c r="G40" s="10" t="s">
        <v>147</v>
      </c>
      <c r="H40" s="11">
        <v>17325</v>
      </c>
      <c r="I40" s="11">
        <v>10735</v>
      </c>
      <c r="J40" s="11">
        <f t="shared" si="1"/>
        <v>6590</v>
      </c>
      <c r="K40" s="12">
        <f>VLOOKUP(A40,[3]VA05!$A:$K,11,FALSE)</f>
        <v>45565</v>
      </c>
      <c r="L40" s="10" t="s">
        <v>11</v>
      </c>
      <c r="M40" s="10" t="s">
        <v>195</v>
      </c>
    </row>
    <row r="41" spans="1:13" hidden="1" x14ac:dyDescent="0.25">
      <c r="A41" s="13" t="str">
        <f t="shared" si="0"/>
        <v>50714156710</v>
      </c>
      <c r="B41" s="10">
        <v>1003967343</v>
      </c>
      <c r="C41" s="10">
        <v>507141567</v>
      </c>
      <c r="D41" s="10">
        <v>10</v>
      </c>
      <c r="E41" s="10" t="s">
        <v>24</v>
      </c>
      <c r="F41" s="10">
        <v>1169655</v>
      </c>
      <c r="G41" s="10" t="s">
        <v>265</v>
      </c>
      <c r="H41" s="11">
        <v>12000</v>
      </c>
      <c r="I41" s="10">
        <v>0</v>
      </c>
      <c r="J41" s="11">
        <f t="shared" si="1"/>
        <v>12000</v>
      </c>
      <c r="K41" s="12" t="e">
        <f>VLOOKUP(A41,[3]VA05!$A:$K,11,FALSE)</f>
        <v>#N/A</v>
      </c>
      <c r="L41" s="10" t="s">
        <v>260</v>
      </c>
      <c r="M41" s="10" t="s">
        <v>266</v>
      </c>
    </row>
    <row r="42" spans="1:13" x14ac:dyDescent="0.25">
      <c r="A42" s="13" t="str">
        <f t="shared" si="0"/>
        <v>50714272510</v>
      </c>
      <c r="B42" s="10">
        <v>1004060450</v>
      </c>
      <c r="C42" s="10">
        <v>507142725</v>
      </c>
      <c r="D42" s="10">
        <v>10</v>
      </c>
      <c r="E42" s="10" t="s">
        <v>10</v>
      </c>
      <c r="F42" s="10">
        <v>1420608</v>
      </c>
      <c r="G42" s="10" t="s">
        <v>110</v>
      </c>
      <c r="H42" s="11">
        <v>16376</v>
      </c>
      <c r="I42" s="11">
        <v>9715</v>
      </c>
      <c r="J42" s="11">
        <f t="shared" si="1"/>
        <v>6661</v>
      </c>
      <c r="K42" s="12">
        <f>VLOOKUP(A42,[3]VA05!$A:$K,11,FALSE)</f>
        <v>45573</v>
      </c>
      <c r="L42" s="10" t="s">
        <v>18</v>
      </c>
      <c r="M42" s="10" t="s">
        <v>162</v>
      </c>
    </row>
    <row r="43" spans="1:13" x14ac:dyDescent="0.25">
      <c r="A43" s="13" t="str">
        <f t="shared" si="0"/>
        <v>50714278610</v>
      </c>
      <c r="B43" s="10">
        <v>1004059422</v>
      </c>
      <c r="C43" s="10">
        <v>507142786</v>
      </c>
      <c r="D43" s="10">
        <v>10</v>
      </c>
      <c r="E43" s="10" t="s">
        <v>10</v>
      </c>
      <c r="F43" s="10">
        <v>1149455</v>
      </c>
      <c r="G43" s="10" t="s">
        <v>44</v>
      </c>
      <c r="H43" s="11">
        <v>27228</v>
      </c>
      <c r="I43" s="11">
        <v>12352</v>
      </c>
      <c r="J43" s="11">
        <f t="shared" si="1"/>
        <v>14876</v>
      </c>
      <c r="K43" s="12">
        <f>VLOOKUP(A43,[3]VA05!$A:$K,11,FALSE)</f>
        <v>45581</v>
      </c>
      <c r="L43" s="10" t="s">
        <v>18</v>
      </c>
      <c r="M43" s="10" t="s">
        <v>194</v>
      </c>
    </row>
    <row r="44" spans="1:13" hidden="1" x14ac:dyDescent="0.25">
      <c r="A44" s="13" t="str">
        <f t="shared" si="0"/>
        <v>50714265120</v>
      </c>
      <c r="B44" s="10">
        <v>1004059425</v>
      </c>
      <c r="C44" s="10">
        <v>507142651</v>
      </c>
      <c r="D44" s="10">
        <v>20</v>
      </c>
      <c r="E44" s="10" t="s">
        <v>24</v>
      </c>
      <c r="F44" s="10">
        <v>1149455</v>
      </c>
      <c r="G44" s="10" t="s">
        <v>44</v>
      </c>
      <c r="H44" s="11">
        <v>10000</v>
      </c>
      <c r="I44" s="10">
        <v>0</v>
      </c>
      <c r="J44" s="11">
        <f t="shared" si="1"/>
        <v>10000</v>
      </c>
      <c r="K44" s="12">
        <f>VLOOKUP(A44,[3]VA05!$A:$K,11,FALSE)</f>
        <v>45567</v>
      </c>
      <c r="L44" s="10" t="s">
        <v>13</v>
      </c>
      <c r="M44" s="10" t="s">
        <v>154</v>
      </c>
    </row>
    <row r="45" spans="1:13" x14ac:dyDescent="0.25">
      <c r="A45" s="13" t="str">
        <f t="shared" si="0"/>
        <v>50714235110</v>
      </c>
      <c r="B45" s="10">
        <v>1004042803</v>
      </c>
      <c r="C45" s="10">
        <v>507142351</v>
      </c>
      <c r="D45" s="10">
        <v>10</v>
      </c>
      <c r="E45" s="10" t="s">
        <v>10</v>
      </c>
      <c r="F45" s="10">
        <v>1192909</v>
      </c>
      <c r="G45" s="10" t="s">
        <v>35</v>
      </c>
      <c r="H45" s="11">
        <v>16753</v>
      </c>
      <c r="I45" s="11">
        <v>9187</v>
      </c>
      <c r="J45" s="11">
        <f t="shared" si="1"/>
        <v>7566</v>
      </c>
      <c r="K45" s="12">
        <f>VLOOKUP(A45,[3]VA05!$A:$K,11,FALSE)</f>
        <v>45545</v>
      </c>
      <c r="L45" s="10" t="s">
        <v>18</v>
      </c>
      <c r="M45" s="10" t="s">
        <v>111</v>
      </c>
    </row>
    <row r="46" spans="1:13" x14ac:dyDescent="0.25">
      <c r="A46" s="13" t="str">
        <f t="shared" si="0"/>
        <v>50800515530</v>
      </c>
      <c r="B46" s="10">
        <v>1004062676</v>
      </c>
      <c r="C46" s="10">
        <v>508005155</v>
      </c>
      <c r="D46" s="10">
        <v>30</v>
      </c>
      <c r="E46" s="10" t="s">
        <v>10</v>
      </c>
      <c r="F46" s="10">
        <v>1420888</v>
      </c>
      <c r="G46" s="10" t="s">
        <v>295</v>
      </c>
      <c r="H46" s="11">
        <v>16246</v>
      </c>
      <c r="I46" s="10">
        <v>0</v>
      </c>
      <c r="J46" s="11">
        <f t="shared" si="1"/>
        <v>16246</v>
      </c>
      <c r="K46" s="12">
        <f>VLOOKUP(A46,[3]VA05!$A:$K,11,FALSE)</f>
        <v>45580</v>
      </c>
      <c r="L46" s="10" t="s">
        <v>12</v>
      </c>
      <c r="M46" s="10" t="s">
        <v>162</v>
      </c>
    </row>
    <row r="47" spans="1:13" x14ac:dyDescent="0.25">
      <c r="A47" s="13" t="str">
        <f t="shared" si="0"/>
        <v>50714272510</v>
      </c>
      <c r="B47" s="10">
        <v>1004060387</v>
      </c>
      <c r="C47" s="10">
        <v>507142725</v>
      </c>
      <c r="D47" s="10">
        <v>10</v>
      </c>
      <c r="E47" s="10" t="s">
        <v>10</v>
      </c>
      <c r="F47" s="10">
        <v>1420609</v>
      </c>
      <c r="G47" s="10" t="s">
        <v>133</v>
      </c>
      <c r="H47" s="11">
        <v>16868</v>
      </c>
      <c r="I47" s="11">
        <v>10752</v>
      </c>
      <c r="J47" s="11">
        <f t="shared" si="1"/>
        <v>6116</v>
      </c>
      <c r="K47" s="12">
        <f>VLOOKUP(A47,[3]VA05!$A:$K,11,FALSE)</f>
        <v>45573</v>
      </c>
      <c r="L47" s="10" t="s">
        <v>18</v>
      </c>
      <c r="M47" s="10" t="s">
        <v>162</v>
      </c>
    </row>
    <row r="48" spans="1:13" x14ac:dyDescent="0.25">
      <c r="A48" s="13" t="str">
        <f t="shared" si="0"/>
        <v>50714278610</v>
      </c>
      <c r="B48" s="10">
        <v>1004056892</v>
      </c>
      <c r="C48" s="10">
        <v>507142786</v>
      </c>
      <c r="D48" s="10">
        <v>10</v>
      </c>
      <c r="E48" s="10" t="s">
        <v>10</v>
      </c>
      <c r="F48" s="10">
        <v>1304095</v>
      </c>
      <c r="G48" s="10" t="s">
        <v>76</v>
      </c>
      <c r="H48" s="11">
        <v>26709</v>
      </c>
      <c r="I48" s="11">
        <v>22080</v>
      </c>
      <c r="J48" s="11">
        <f t="shared" si="1"/>
        <v>4629</v>
      </c>
      <c r="K48" s="12">
        <f>VLOOKUP(A48,[3]VA05!$A:$K,11,FALSE)</f>
        <v>45581</v>
      </c>
      <c r="L48" s="10" t="s">
        <v>18</v>
      </c>
      <c r="M48" s="10" t="s">
        <v>154</v>
      </c>
    </row>
    <row r="49" spans="1:13" hidden="1" x14ac:dyDescent="0.25">
      <c r="A49" s="13" t="str">
        <f t="shared" si="0"/>
        <v>50714268610</v>
      </c>
      <c r="B49" s="10">
        <v>1004062044</v>
      </c>
      <c r="C49" s="10">
        <v>507142686</v>
      </c>
      <c r="D49" s="10">
        <v>10</v>
      </c>
      <c r="E49" s="10" t="s">
        <v>24</v>
      </c>
      <c r="F49" s="10">
        <v>1420838</v>
      </c>
      <c r="G49" s="10" t="s">
        <v>290</v>
      </c>
      <c r="H49" s="11">
        <v>10000</v>
      </c>
      <c r="I49" s="10">
        <v>0</v>
      </c>
      <c r="J49" s="11">
        <f t="shared" si="1"/>
        <v>10000</v>
      </c>
      <c r="K49" s="12">
        <f>VLOOKUP(A49,[3]VA05!$A:$K,11,FALSE)</f>
        <v>45573</v>
      </c>
      <c r="L49" s="10" t="s">
        <v>12</v>
      </c>
      <c r="M49" s="10" t="s">
        <v>197</v>
      </c>
    </row>
    <row r="50" spans="1:13" x14ac:dyDescent="0.25">
      <c r="A50" s="13" t="str">
        <f t="shared" si="0"/>
        <v>50714272510</v>
      </c>
      <c r="B50" s="10">
        <v>1004060451</v>
      </c>
      <c r="C50" s="10">
        <v>507142725</v>
      </c>
      <c r="D50" s="10">
        <v>10</v>
      </c>
      <c r="E50" s="10" t="s">
        <v>10</v>
      </c>
      <c r="F50" s="10">
        <v>1420607</v>
      </c>
      <c r="G50" s="10" t="s">
        <v>149</v>
      </c>
      <c r="H50" s="11">
        <v>16376</v>
      </c>
      <c r="I50" s="11">
        <v>14880</v>
      </c>
      <c r="J50" s="11">
        <f t="shared" si="1"/>
        <v>1496</v>
      </c>
      <c r="K50" s="12">
        <f>VLOOKUP(A50,[3]VA05!$A:$K,11,FALSE)</f>
        <v>45573</v>
      </c>
      <c r="L50" s="10" t="s">
        <v>18</v>
      </c>
      <c r="M50" s="10" t="s">
        <v>162</v>
      </c>
    </row>
    <row r="51" spans="1:13" x14ac:dyDescent="0.25">
      <c r="A51" s="13" t="str">
        <f t="shared" si="0"/>
        <v>50714265120</v>
      </c>
      <c r="B51" s="10">
        <v>1004059424</v>
      </c>
      <c r="C51" s="10">
        <v>507142651</v>
      </c>
      <c r="D51" s="10">
        <v>20</v>
      </c>
      <c r="E51" s="10" t="s">
        <v>10</v>
      </c>
      <c r="F51" s="10">
        <v>1149454</v>
      </c>
      <c r="G51" s="10" t="s">
        <v>246</v>
      </c>
      <c r="H51" s="11">
        <v>28966</v>
      </c>
      <c r="I51" s="10">
        <v>0</v>
      </c>
      <c r="J51" s="11">
        <f t="shared" si="1"/>
        <v>28966</v>
      </c>
      <c r="K51" s="12">
        <f>VLOOKUP(A51,[3]VA05!$A:$K,11,FALSE)</f>
        <v>45567</v>
      </c>
      <c r="L51" s="10" t="s">
        <v>27</v>
      </c>
      <c r="M51" s="10" t="s">
        <v>194</v>
      </c>
    </row>
    <row r="52" spans="1:13" x14ac:dyDescent="0.25">
      <c r="A52" s="13" t="str">
        <f t="shared" si="0"/>
        <v>50714273410</v>
      </c>
      <c r="B52" s="10">
        <v>1004054830</v>
      </c>
      <c r="C52" s="10">
        <v>507142734</v>
      </c>
      <c r="D52" s="10">
        <v>10</v>
      </c>
      <c r="E52" s="10" t="s">
        <v>10</v>
      </c>
      <c r="F52" s="10">
        <v>1193508</v>
      </c>
      <c r="G52" s="10" t="s">
        <v>134</v>
      </c>
      <c r="H52" s="11">
        <v>16753</v>
      </c>
      <c r="I52" s="11">
        <v>13900</v>
      </c>
      <c r="J52" s="11">
        <f t="shared" si="1"/>
        <v>2853</v>
      </c>
      <c r="K52" s="12">
        <f>VLOOKUP(A52,[3]VA05!$A:$K,11,FALSE)</f>
        <v>45572</v>
      </c>
      <c r="L52" s="10" t="s">
        <v>18</v>
      </c>
      <c r="M52" s="10" t="s">
        <v>195</v>
      </c>
    </row>
    <row r="53" spans="1:13" x14ac:dyDescent="0.25">
      <c r="A53" s="13" t="str">
        <f t="shared" si="0"/>
        <v>50714274310</v>
      </c>
      <c r="B53" s="10">
        <v>1004054831</v>
      </c>
      <c r="C53" s="10">
        <v>507142743</v>
      </c>
      <c r="D53" s="10">
        <v>10</v>
      </c>
      <c r="E53" s="10" t="s">
        <v>10</v>
      </c>
      <c r="F53" s="10">
        <v>1193508</v>
      </c>
      <c r="G53" s="10" t="s">
        <v>134</v>
      </c>
      <c r="H53" s="11">
        <v>16753</v>
      </c>
      <c r="I53" s="10">
        <v>0</v>
      </c>
      <c r="J53" s="11">
        <f t="shared" si="1"/>
        <v>16753</v>
      </c>
      <c r="K53" s="12">
        <f>VLOOKUP(A53,[3]VA05!$A:$K,11,FALSE)</f>
        <v>45575</v>
      </c>
      <c r="L53" s="10" t="s">
        <v>27</v>
      </c>
      <c r="M53" s="10" t="s">
        <v>195</v>
      </c>
    </row>
    <row r="54" spans="1:13" x14ac:dyDescent="0.25">
      <c r="A54" s="13" t="str">
        <f t="shared" si="0"/>
        <v>50714258410</v>
      </c>
      <c r="B54" s="10">
        <v>1004025718</v>
      </c>
      <c r="C54" s="10">
        <v>507142584</v>
      </c>
      <c r="D54" s="10">
        <v>10</v>
      </c>
      <c r="E54" s="10" t="s">
        <v>10</v>
      </c>
      <c r="F54" s="10">
        <v>1192705</v>
      </c>
      <c r="G54" s="10" t="s">
        <v>45</v>
      </c>
      <c r="H54" s="11">
        <v>29915</v>
      </c>
      <c r="I54" s="11">
        <v>15280</v>
      </c>
      <c r="J54" s="11">
        <f t="shared" si="1"/>
        <v>14635</v>
      </c>
      <c r="K54" s="12">
        <f>VLOOKUP(A54,[3]VA05!$A:$K,11,FALSE)</f>
        <v>45572</v>
      </c>
      <c r="L54" s="10" t="s">
        <v>18</v>
      </c>
      <c r="M54" s="10" t="s">
        <v>66</v>
      </c>
    </row>
    <row r="55" spans="1:13" x14ac:dyDescent="0.25">
      <c r="A55" s="13" t="str">
        <f t="shared" si="0"/>
        <v>50800515530</v>
      </c>
      <c r="B55" s="10">
        <v>1004062671</v>
      </c>
      <c r="C55" s="10">
        <v>508005155</v>
      </c>
      <c r="D55" s="10">
        <v>30</v>
      </c>
      <c r="E55" s="10" t="s">
        <v>10</v>
      </c>
      <c r="F55" s="10">
        <v>1420887</v>
      </c>
      <c r="G55" s="10" t="s">
        <v>291</v>
      </c>
      <c r="H55" s="11">
        <v>16246</v>
      </c>
      <c r="I55" s="10">
        <v>0</v>
      </c>
      <c r="J55" s="11">
        <f t="shared" si="1"/>
        <v>16246</v>
      </c>
      <c r="K55" s="12">
        <f>VLOOKUP(A55,[3]VA05!$A:$K,11,FALSE)</f>
        <v>45580</v>
      </c>
      <c r="L55" s="10" t="s">
        <v>12</v>
      </c>
      <c r="M55" s="10" t="s">
        <v>162</v>
      </c>
    </row>
    <row r="56" spans="1:13" x14ac:dyDescent="0.25">
      <c r="A56" s="13" t="str">
        <f t="shared" si="0"/>
        <v>50714259810</v>
      </c>
      <c r="B56" s="10">
        <v>1004042031</v>
      </c>
      <c r="C56" s="10">
        <v>507142598</v>
      </c>
      <c r="D56" s="10">
        <v>10</v>
      </c>
      <c r="E56" s="10" t="s">
        <v>10</v>
      </c>
      <c r="F56" s="10">
        <v>1233459</v>
      </c>
      <c r="G56" s="10" t="s">
        <v>121</v>
      </c>
      <c r="H56" s="11">
        <v>15449</v>
      </c>
      <c r="I56" s="11">
        <v>11330</v>
      </c>
      <c r="J56" s="11">
        <f t="shared" si="1"/>
        <v>4119</v>
      </c>
      <c r="K56" s="12">
        <f>VLOOKUP(A56,[3]VA05!$A:$K,11,FALSE)</f>
        <v>45572</v>
      </c>
      <c r="L56" s="10" t="s">
        <v>11</v>
      </c>
      <c r="M56" s="10" t="s">
        <v>106</v>
      </c>
    </row>
    <row r="57" spans="1:13" x14ac:dyDescent="0.25">
      <c r="A57" s="13" t="str">
        <f t="shared" si="0"/>
        <v>50714272410</v>
      </c>
      <c r="B57" s="10">
        <v>1004051405</v>
      </c>
      <c r="C57" s="10">
        <v>507142724</v>
      </c>
      <c r="D57" s="10">
        <v>10</v>
      </c>
      <c r="E57" s="10" t="s">
        <v>10</v>
      </c>
      <c r="F57" s="10">
        <v>1233459</v>
      </c>
      <c r="G57" s="10" t="s">
        <v>121</v>
      </c>
      <c r="H57" s="11">
        <v>10299</v>
      </c>
      <c r="I57" s="10">
        <v>0</v>
      </c>
      <c r="J57" s="11">
        <f t="shared" si="1"/>
        <v>10299</v>
      </c>
      <c r="K57" s="12">
        <f>VLOOKUP(A57,[3]VA05!$A:$K,11,FALSE)</f>
        <v>45594</v>
      </c>
      <c r="L57" s="10" t="s">
        <v>25</v>
      </c>
      <c r="M57" s="10" t="s">
        <v>176</v>
      </c>
    </row>
    <row r="58" spans="1:13" x14ac:dyDescent="0.25">
      <c r="A58" s="13" t="str">
        <f t="shared" si="0"/>
        <v>50714272410</v>
      </c>
      <c r="B58" s="10">
        <v>1004058756</v>
      </c>
      <c r="C58" s="10">
        <v>507142724</v>
      </c>
      <c r="D58" s="10">
        <v>10</v>
      </c>
      <c r="E58" s="10" t="s">
        <v>10</v>
      </c>
      <c r="F58" s="10">
        <v>1233477</v>
      </c>
      <c r="G58" s="10" t="s">
        <v>236</v>
      </c>
      <c r="H58" s="11">
        <v>11006</v>
      </c>
      <c r="I58" s="10">
        <v>0</v>
      </c>
      <c r="J58" s="11">
        <f t="shared" si="1"/>
        <v>11006</v>
      </c>
      <c r="K58" s="12">
        <f>VLOOKUP(A58,[3]VA05!$A:$K,11,FALSE)</f>
        <v>45594</v>
      </c>
      <c r="L58" s="10" t="s">
        <v>12</v>
      </c>
      <c r="M58" s="10" t="s">
        <v>109</v>
      </c>
    </row>
    <row r="59" spans="1:13" hidden="1" x14ac:dyDescent="0.25">
      <c r="A59" s="13" t="str">
        <f t="shared" si="0"/>
        <v>50714165620</v>
      </c>
      <c r="B59" s="10">
        <v>1003928019</v>
      </c>
      <c r="C59" s="10">
        <v>507141656</v>
      </c>
      <c r="D59" s="10">
        <v>20</v>
      </c>
      <c r="E59" s="10" t="s">
        <v>24</v>
      </c>
      <c r="F59" s="10">
        <v>1170081</v>
      </c>
      <c r="G59" s="10" t="s">
        <v>267</v>
      </c>
      <c r="H59" s="11">
        <v>5000</v>
      </c>
      <c r="I59" s="10">
        <v>0</v>
      </c>
      <c r="J59" s="11">
        <f t="shared" si="1"/>
        <v>5000</v>
      </c>
      <c r="K59" s="12" t="e">
        <f>VLOOKUP(A59,[3]VA05!$A:$K,11,FALSE)</f>
        <v>#N/A</v>
      </c>
      <c r="L59" s="10" t="s">
        <v>260</v>
      </c>
      <c r="M59" s="10" t="s">
        <v>268</v>
      </c>
    </row>
    <row r="60" spans="1:13" hidden="1" x14ac:dyDescent="0.25">
      <c r="A60" s="13" t="str">
        <f t="shared" si="0"/>
        <v>50714165620</v>
      </c>
      <c r="B60" s="10">
        <v>1003928021</v>
      </c>
      <c r="C60" s="10">
        <v>507141656</v>
      </c>
      <c r="D60" s="10">
        <v>20</v>
      </c>
      <c r="E60" s="10" t="s">
        <v>24</v>
      </c>
      <c r="F60" s="10">
        <v>1170081</v>
      </c>
      <c r="G60" s="10" t="s">
        <v>267</v>
      </c>
      <c r="H60" s="11">
        <v>5000</v>
      </c>
      <c r="I60" s="10">
        <v>0</v>
      </c>
      <c r="J60" s="11">
        <f t="shared" si="1"/>
        <v>5000</v>
      </c>
      <c r="K60" s="12" t="e">
        <f>VLOOKUP(A60,[3]VA05!$A:$K,11,FALSE)</f>
        <v>#N/A</v>
      </c>
      <c r="L60" s="10" t="s">
        <v>260</v>
      </c>
      <c r="M60" s="10" t="s">
        <v>268</v>
      </c>
    </row>
    <row r="61" spans="1:13" hidden="1" x14ac:dyDescent="0.25">
      <c r="A61" s="13" t="str">
        <f t="shared" si="0"/>
        <v>50714274210</v>
      </c>
      <c r="B61" s="10">
        <v>1004052517</v>
      </c>
      <c r="C61" s="10">
        <v>507142742</v>
      </c>
      <c r="D61" s="10">
        <v>10</v>
      </c>
      <c r="E61" s="10" t="s">
        <v>10</v>
      </c>
      <c r="F61" s="10">
        <v>1209335</v>
      </c>
      <c r="G61" s="10" t="s">
        <v>150</v>
      </c>
      <c r="H61" s="11">
        <v>25576</v>
      </c>
      <c r="I61" s="11">
        <v>25576</v>
      </c>
      <c r="J61" s="11">
        <f t="shared" si="1"/>
        <v>0</v>
      </c>
      <c r="K61" s="12">
        <f>VLOOKUP(A61,[3]VA05!$A:$K,11,FALSE)</f>
        <v>45575</v>
      </c>
      <c r="L61" s="10" t="s">
        <v>28</v>
      </c>
      <c r="M61" s="10" t="s">
        <v>178</v>
      </c>
    </row>
    <row r="62" spans="1:13" x14ac:dyDescent="0.25">
      <c r="A62" s="13" t="str">
        <f t="shared" si="0"/>
        <v>50714274240</v>
      </c>
      <c r="B62" s="10">
        <v>1004052518</v>
      </c>
      <c r="C62" s="10">
        <v>507142742</v>
      </c>
      <c r="D62" s="10">
        <v>40</v>
      </c>
      <c r="E62" s="10" t="s">
        <v>10</v>
      </c>
      <c r="F62" s="10">
        <v>1209335</v>
      </c>
      <c r="G62" s="10" t="s">
        <v>150</v>
      </c>
      <c r="H62" s="11">
        <v>35876</v>
      </c>
      <c r="I62" s="11">
        <v>2598</v>
      </c>
      <c r="J62" s="11">
        <f t="shared" si="1"/>
        <v>33278</v>
      </c>
      <c r="K62" s="12">
        <f>VLOOKUP(A62,[3]VA05!$A:$K,11,FALSE)</f>
        <v>45580</v>
      </c>
      <c r="L62" s="10" t="s">
        <v>18</v>
      </c>
      <c r="M62" s="10" t="s">
        <v>162</v>
      </c>
    </row>
    <row r="63" spans="1:13" x14ac:dyDescent="0.25">
      <c r="A63" s="13" t="str">
        <f t="shared" si="0"/>
        <v>50714274270</v>
      </c>
      <c r="B63" s="10">
        <v>1004052519</v>
      </c>
      <c r="C63" s="10">
        <v>507142742</v>
      </c>
      <c r="D63" s="10">
        <v>70</v>
      </c>
      <c r="E63" s="10" t="s">
        <v>10</v>
      </c>
      <c r="F63" s="10">
        <v>1209335</v>
      </c>
      <c r="G63" s="10" t="s">
        <v>150</v>
      </c>
      <c r="H63" s="11">
        <v>25576</v>
      </c>
      <c r="I63" s="10">
        <v>0</v>
      </c>
      <c r="J63" s="11">
        <f t="shared" si="1"/>
        <v>25576</v>
      </c>
      <c r="K63" s="12">
        <f>VLOOKUP(A63,[3]VA05!$A:$K,11,FALSE)</f>
        <v>45587</v>
      </c>
      <c r="L63" s="10" t="s">
        <v>12</v>
      </c>
      <c r="M63" s="10" t="s">
        <v>109</v>
      </c>
    </row>
    <row r="64" spans="1:13" x14ac:dyDescent="0.25">
      <c r="A64" s="13" t="str">
        <f t="shared" si="0"/>
        <v>507142742100</v>
      </c>
      <c r="B64" s="10">
        <v>1004052522</v>
      </c>
      <c r="C64" s="10">
        <v>507142742</v>
      </c>
      <c r="D64" s="10">
        <v>100</v>
      </c>
      <c r="E64" s="10" t="s">
        <v>10</v>
      </c>
      <c r="F64" s="10">
        <v>1209335</v>
      </c>
      <c r="G64" s="10" t="s">
        <v>150</v>
      </c>
      <c r="H64" s="11">
        <v>25576</v>
      </c>
      <c r="I64" s="10">
        <v>0</v>
      </c>
      <c r="J64" s="11">
        <f t="shared" si="1"/>
        <v>25576</v>
      </c>
      <c r="K64" s="12" t="e">
        <f>VLOOKUP(A64,[3]VA05!$A:$K,11,FALSE)</f>
        <v>#N/A</v>
      </c>
      <c r="L64" s="10" t="s">
        <v>12</v>
      </c>
      <c r="M64" s="10" t="s">
        <v>196</v>
      </c>
    </row>
    <row r="65" spans="1:13" x14ac:dyDescent="0.25">
      <c r="A65" s="13" t="str">
        <f t="shared" si="0"/>
        <v>50714285110</v>
      </c>
      <c r="B65" s="10">
        <v>1004062669</v>
      </c>
      <c r="C65" s="10">
        <v>507142851</v>
      </c>
      <c r="D65" s="10">
        <v>10</v>
      </c>
      <c r="E65" s="10" t="s">
        <v>10</v>
      </c>
      <c r="F65" s="10">
        <v>1209335</v>
      </c>
      <c r="G65" s="10" t="s">
        <v>150</v>
      </c>
      <c r="H65" s="11">
        <v>35874</v>
      </c>
      <c r="I65" s="10">
        <v>0</v>
      </c>
      <c r="J65" s="11">
        <f t="shared" si="1"/>
        <v>35874</v>
      </c>
      <c r="K65" s="12">
        <f>VLOOKUP(A65,[3]VA05!$A:$K,11,FALSE)</f>
        <v>45593</v>
      </c>
      <c r="L65" s="10" t="s">
        <v>12</v>
      </c>
      <c r="M65" s="10" t="s">
        <v>157</v>
      </c>
    </row>
    <row r="66" spans="1:13" x14ac:dyDescent="0.25">
      <c r="A66" s="13" t="str">
        <f t="shared" si="0"/>
        <v>50714268230</v>
      </c>
      <c r="B66" s="10">
        <v>1004062670</v>
      </c>
      <c r="C66" s="10">
        <v>507142682</v>
      </c>
      <c r="D66" s="10">
        <v>30</v>
      </c>
      <c r="E66" s="10" t="s">
        <v>10</v>
      </c>
      <c r="F66" s="10">
        <v>1440079</v>
      </c>
      <c r="G66" s="10" t="s">
        <v>292</v>
      </c>
      <c r="H66" s="11">
        <v>10217</v>
      </c>
      <c r="I66" s="10">
        <v>0</v>
      </c>
      <c r="J66" s="11">
        <f t="shared" si="1"/>
        <v>10217</v>
      </c>
      <c r="K66" s="12">
        <f>VLOOKUP(A66,[3]VA05!$A:$K,11,FALSE)</f>
        <v>45595</v>
      </c>
      <c r="L66" s="10" t="s">
        <v>12</v>
      </c>
      <c r="M66" s="10" t="s">
        <v>204</v>
      </c>
    </row>
    <row r="67" spans="1:13" x14ac:dyDescent="0.25">
      <c r="A67" s="13" t="str">
        <f t="shared" si="0"/>
        <v>50714274240</v>
      </c>
      <c r="B67" s="10">
        <v>1004052625</v>
      </c>
      <c r="C67" s="10">
        <v>507142742</v>
      </c>
      <c r="D67" s="10">
        <v>40</v>
      </c>
      <c r="E67" s="10" t="s">
        <v>10</v>
      </c>
      <c r="F67" s="10">
        <v>1437142</v>
      </c>
      <c r="G67" s="10" t="s">
        <v>145</v>
      </c>
      <c r="H67" s="11">
        <v>38800</v>
      </c>
      <c r="I67" s="10">
        <v>0</v>
      </c>
      <c r="J67" s="11">
        <f t="shared" si="1"/>
        <v>38800</v>
      </c>
      <c r="K67" s="12">
        <f>VLOOKUP(A67,[3]VA05!$A:$K,11,FALSE)</f>
        <v>45580</v>
      </c>
      <c r="L67" s="10" t="s">
        <v>12</v>
      </c>
      <c r="M67" s="10" t="s">
        <v>197</v>
      </c>
    </row>
    <row r="68" spans="1:13" x14ac:dyDescent="0.25">
      <c r="A68" s="13" t="str">
        <f t="shared" ref="A68:A131" si="2">C68&amp;D68</f>
        <v>50714274270</v>
      </c>
      <c r="B68" s="10">
        <v>1004052626</v>
      </c>
      <c r="C68" s="10">
        <v>507142742</v>
      </c>
      <c r="D68" s="10">
        <v>70</v>
      </c>
      <c r="E68" s="10" t="s">
        <v>10</v>
      </c>
      <c r="F68" s="10">
        <v>1437142</v>
      </c>
      <c r="G68" s="10" t="s">
        <v>145</v>
      </c>
      <c r="H68" s="11">
        <v>40825</v>
      </c>
      <c r="I68" s="10">
        <v>0</v>
      </c>
      <c r="J68" s="11">
        <f t="shared" ref="J68:J131" si="3">H68-I68</f>
        <v>40825</v>
      </c>
      <c r="K68" s="12">
        <f>VLOOKUP(A68,[3]VA05!$A:$K,11,FALSE)</f>
        <v>45587</v>
      </c>
      <c r="L68" s="10" t="s">
        <v>12</v>
      </c>
      <c r="M68" s="10" t="s">
        <v>162</v>
      </c>
    </row>
    <row r="69" spans="1:13" x14ac:dyDescent="0.25">
      <c r="A69" s="13" t="str">
        <f t="shared" si="2"/>
        <v>507142742100</v>
      </c>
      <c r="B69" s="10">
        <v>1004052627</v>
      </c>
      <c r="C69" s="10">
        <v>507142742</v>
      </c>
      <c r="D69" s="10">
        <v>100</v>
      </c>
      <c r="E69" s="10" t="s">
        <v>10</v>
      </c>
      <c r="F69" s="10">
        <v>1437142</v>
      </c>
      <c r="G69" s="10" t="s">
        <v>145</v>
      </c>
      <c r="H69" s="11">
        <v>27661</v>
      </c>
      <c r="I69" s="10">
        <v>0</v>
      </c>
      <c r="J69" s="11">
        <f t="shared" si="3"/>
        <v>27661</v>
      </c>
      <c r="K69" s="12" t="e">
        <f>VLOOKUP(A69,[3]VA05!$A:$K,11,FALSE)</f>
        <v>#N/A</v>
      </c>
      <c r="L69" s="10" t="s">
        <v>12</v>
      </c>
      <c r="M69" s="10" t="s">
        <v>109</v>
      </c>
    </row>
    <row r="70" spans="1:13" x14ac:dyDescent="0.25">
      <c r="A70" s="13" t="str">
        <f t="shared" si="2"/>
        <v>50714274210</v>
      </c>
      <c r="B70" s="10">
        <v>1004054341</v>
      </c>
      <c r="C70" s="10">
        <v>507142742</v>
      </c>
      <c r="D70" s="10">
        <v>10</v>
      </c>
      <c r="E70" s="10" t="s">
        <v>10</v>
      </c>
      <c r="F70" s="10">
        <v>1437142</v>
      </c>
      <c r="G70" s="10" t="s">
        <v>145</v>
      </c>
      <c r="H70" s="11">
        <v>27661</v>
      </c>
      <c r="I70" s="11">
        <v>11900</v>
      </c>
      <c r="J70" s="11">
        <f t="shared" si="3"/>
        <v>15761</v>
      </c>
      <c r="K70" s="12">
        <f>VLOOKUP(A70,[3]VA05!$A:$K,11,FALSE)</f>
        <v>45575</v>
      </c>
      <c r="L70" s="10" t="s">
        <v>11</v>
      </c>
      <c r="M70" s="10" t="s">
        <v>155</v>
      </c>
    </row>
    <row r="71" spans="1:13" x14ac:dyDescent="0.25">
      <c r="A71" s="13" t="str">
        <f t="shared" si="2"/>
        <v>50714285110</v>
      </c>
      <c r="B71" s="10">
        <v>1004062677</v>
      </c>
      <c r="C71" s="10">
        <v>507142851</v>
      </c>
      <c r="D71" s="10">
        <v>10</v>
      </c>
      <c r="E71" s="10" t="s">
        <v>10</v>
      </c>
      <c r="F71" s="10">
        <v>1437142</v>
      </c>
      <c r="G71" s="10" t="s">
        <v>145</v>
      </c>
      <c r="H71" s="11">
        <v>38799</v>
      </c>
      <c r="I71" s="10">
        <v>0</v>
      </c>
      <c r="J71" s="11">
        <f t="shared" si="3"/>
        <v>38799</v>
      </c>
      <c r="K71" s="12">
        <f>VLOOKUP(A71,[3]VA05!$A:$K,11,FALSE)</f>
        <v>45593</v>
      </c>
      <c r="L71" s="10" t="s">
        <v>12</v>
      </c>
      <c r="M71" s="10" t="s">
        <v>162</v>
      </c>
    </row>
    <row r="72" spans="1:13" x14ac:dyDescent="0.25">
      <c r="A72" s="13" t="str">
        <f t="shared" si="2"/>
        <v>50714268230</v>
      </c>
      <c r="B72" s="10">
        <v>1004059556</v>
      </c>
      <c r="C72" s="10">
        <v>507142682</v>
      </c>
      <c r="D72" s="10">
        <v>30</v>
      </c>
      <c r="E72" s="10" t="s">
        <v>10</v>
      </c>
      <c r="F72" s="10">
        <v>1440080</v>
      </c>
      <c r="G72" s="10" t="s">
        <v>247</v>
      </c>
      <c r="H72" s="11">
        <v>10524</v>
      </c>
      <c r="I72" s="10">
        <v>0</v>
      </c>
      <c r="J72" s="11">
        <f t="shared" si="3"/>
        <v>10524</v>
      </c>
      <c r="K72" s="12">
        <f>VLOOKUP(A72,[3]VA05!$A:$K,11,FALSE)</f>
        <v>45595</v>
      </c>
      <c r="L72" s="10" t="s">
        <v>12</v>
      </c>
      <c r="M72" s="10" t="s">
        <v>176</v>
      </c>
    </row>
    <row r="73" spans="1:13" x14ac:dyDescent="0.25">
      <c r="A73" s="13" t="str">
        <f t="shared" si="2"/>
        <v>50714242450</v>
      </c>
      <c r="B73" s="10">
        <v>1004019633</v>
      </c>
      <c r="C73" s="10">
        <v>507142424</v>
      </c>
      <c r="D73" s="10">
        <v>50</v>
      </c>
      <c r="E73" s="10" t="s">
        <v>10</v>
      </c>
      <c r="F73" s="10">
        <v>1212309</v>
      </c>
      <c r="G73" s="10" t="s">
        <v>16</v>
      </c>
      <c r="H73" s="11">
        <v>30725</v>
      </c>
      <c r="I73" s="10">
        <v>0</v>
      </c>
      <c r="J73" s="11">
        <f t="shared" si="3"/>
        <v>30725</v>
      </c>
      <c r="K73" s="12" t="e">
        <f>VLOOKUP(A73,[3]VA05!$A:$K,11,FALSE)</f>
        <v>#N/A</v>
      </c>
      <c r="L73" s="10" t="s">
        <v>12</v>
      </c>
      <c r="M73" s="10" t="s">
        <v>82</v>
      </c>
    </row>
    <row r="74" spans="1:13" x14ac:dyDescent="0.25">
      <c r="A74" s="13" t="str">
        <f t="shared" si="2"/>
        <v>50714274220</v>
      </c>
      <c r="B74" s="10">
        <v>1004052511</v>
      </c>
      <c r="C74" s="10">
        <v>507142742</v>
      </c>
      <c r="D74" s="10">
        <v>20</v>
      </c>
      <c r="E74" s="10" t="s">
        <v>10</v>
      </c>
      <c r="F74" s="10">
        <v>1209351</v>
      </c>
      <c r="G74" s="10" t="s">
        <v>135</v>
      </c>
      <c r="H74" s="11">
        <v>25576</v>
      </c>
      <c r="I74" s="11">
        <v>7733</v>
      </c>
      <c r="J74" s="11">
        <f t="shared" si="3"/>
        <v>17843</v>
      </c>
      <c r="K74" s="12">
        <f>VLOOKUP(A74,[3]VA05!$A:$K,11,FALSE)</f>
        <v>45575</v>
      </c>
      <c r="L74" s="10" t="s">
        <v>18</v>
      </c>
      <c r="M74" s="10" t="s">
        <v>197</v>
      </c>
    </row>
    <row r="75" spans="1:13" x14ac:dyDescent="0.25">
      <c r="A75" s="13" t="str">
        <f t="shared" si="2"/>
        <v>50714274250</v>
      </c>
      <c r="B75" s="10">
        <v>1004052512</v>
      </c>
      <c r="C75" s="10">
        <v>507142742</v>
      </c>
      <c r="D75" s="10">
        <v>50</v>
      </c>
      <c r="E75" s="10" t="s">
        <v>10</v>
      </c>
      <c r="F75" s="10">
        <v>1209351</v>
      </c>
      <c r="G75" s="10" t="s">
        <v>135</v>
      </c>
      <c r="H75" s="11">
        <v>25576</v>
      </c>
      <c r="I75" s="10">
        <v>0</v>
      </c>
      <c r="J75" s="11">
        <f t="shared" si="3"/>
        <v>25576</v>
      </c>
      <c r="K75" s="12">
        <f>VLOOKUP(A75,[3]VA05!$A:$K,11,FALSE)</f>
        <v>45580</v>
      </c>
      <c r="L75" s="10" t="s">
        <v>12</v>
      </c>
      <c r="M75" s="10" t="s">
        <v>192</v>
      </c>
    </row>
    <row r="76" spans="1:13" x14ac:dyDescent="0.25">
      <c r="A76" s="13" t="str">
        <f t="shared" si="2"/>
        <v>50714274280</v>
      </c>
      <c r="B76" s="10">
        <v>1004052513</v>
      </c>
      <c r="C76" s="10">
        <v>507142742</v>
      </c>
      <c r="D76" s="10">
        <v>80</v>
      </c>
      <c r="E76" s="10" t="s">
        <v>10</v>
      </c>
      <c r="F76" s="10">
        <v>1209351</v>
      </c>
      <c r="G76" s="10" t="s">
        <v>135</v>
      </c>
      <c r="H76" s="11">
        <v>25576</v>
      </c>
      <c r="I76" s="10">
        <v>0</v>
      </c>
      <c r="J76" s="11">
        <f t="shared" si="3"/>
        <v>25576</v>
      </c>
      <c r="K76" s="12">
        <f>VLOOKUP(A76,[3]VA05!$A:$K,11,FALSE)</f>
        <v>45587</v>
      </c>
      <c r="L76" s="10" t="s">
        <v>12</v>
      </c>
      <c r="M76" s="10" t="s">
        <v>176</v>
      </c>
    </row>
    <row r="77" spans="1:13" x14ac:dyDescent="0.25">
      <c r="A77" s="13" t="str">
        <f t="shared" si="2"/>
        <v>507142742110</v>
      </c>
      <c r="B77" s="10">
        <v>1004052514</v>
      </c>
      <c r="C77" s="10">
        <v>507142742</v>
      </c>
      <c r="D77" s="10">
        <v>110</v>
      </c>
      <c r="E77" s="10" t="s">
        <v>10</v>
      </c>
      <c r="F77" s="10">
        <v>1209351</v>
      </c>
      <c r="G77" s="10" t="s">
        <v>135</v>
      </c>
      <c r="H77" s="11">
        <v>25576</v>
      </c>
      <c r="I77" s="10">
        <v>0</v>
      </c>
      <c r="J77" s="11">
        <f t="shared" si="3"/>
        <v>25576</v>
      </c>
      <c r="K77" s="12" t="e">
        <f>VLOOKUP(A77,[3]VA05!$A:$K,11,FALSE)</f>
        <v>#N/A</v>
      </c>
      <c r="L77" s="10" t="s">
        <v>12</v>
      </c>
      <c r="M77" s="10" t="s">
        <v>198</v>
      </c>
    </row>
    <row r="78" spans="1:13" x14ac:dyDescent="0.25">
      <c r="A78" s="13" t="str">
        <f t="shared" si="2"/>
        <v>50714285120</v>
      </c>
      <c r="B78" s="10">
        <v>1004062680</v>
      </c>
      <c r="C78" s="10">
        <v>507142851</v>
      </c>
      <c r="D78" s="10">
        <v>20</v>
      </c>
      <c r="E78" s="10" t="s">
        <v>10</v>
      </c>
      <c r="F78" s="10">
        <v>1209351</v>
      </c>
      <c r="G78" s="10" t="s">
        <v>135</v>
      </c>
      <c r="H78" s="11">
        <v>35874</v>
      </c>
      <c r="I78" s="10">
        <v>0</v>
      </c>
      <c r="J78" s="11">
        <f t="shared" si="3"/>
        <v>35874</v>
      </c>
      <c r="K78" s="12">
        <f>VLOOKUP(A78,[3]VA05!$A:$K,11,FALSE)</f>
        <v>45593</v>
      </c>
      <c r="L78" s="10" t="s">
        <v>12</v>
      </c>
      <c r="M78" s="10" t="s">
        <v>199</v>
      </c>
    </row>
    <row r="79" spans="1:13" x14ac:dyDescent="0.25">
      <c r="A79" s="13" t="str">
        <f t="shared" si="2"/>
        <v>50900099220</v>
      </c>
      <c r="B79" s="10">
        <v>1004021332</v>
      </c>
      <c r="C79" s="10">
        <v>509000992</v>
      </c>
      <c r="D79" s="10">
        <v>20</v>
      </c>
      <c r="E79" s="10" t="s">
        <v>10</v>
      </c>
      <c r="F79" s="10">
        <v>1279716</v>
      </c>
      <c r="G79" s="10" t="s">
        <v>54</v>
      </c>
      <c r="H79" s="11">
        <v>10299</v>
      </c>
      <c r="I79" s="10">
        <v>0</v>
      </c>
      <c r="J79" s="11">
        <f t="shared" si="3"/>
        <v>10299</v>
      </c>
      <c r="K79" s="12" t="e">
        <f>VLOOKUP(A79,[3]VA05!$A:$K,11,FALSE)</f>
        <v>#N/A</v>
      </c>
      <c r="L79" s="10" t="s">
        <v>25</v>
      </c>
      <c r="M79" s="10" t="s">
        <v>66</v>
      </c>
    </row>
    <row r="80" spans="1:13" x14ac:dyDescent="0.25">
      <c r="A80" s="13" t="str">
        <f t="shared" si="2"/>
        <v>50714242410</v>
      </c>
      <c r="B80" s="10">
        <v>1004019563</v>
      </c>
      <c r="C80" s="10">
        <v>507142424</v>
      </c>
      <c r="D80" s="10">
        <v>10</v>
      </c>
      <c r="E80" s="10" t="s">
        <v>10</v>
      </c>
      <c r="F80" s="10">
        <v>1212320</v>
      </c>
      <c r="G80" s="10" t="s">
        <v>17</v>
      </c>
      <c r="H80" s="11">
        <v>19568</v>
      </c>
      <c r="I80" s="10">
        <v>0</v>
      </c>
      <c r="J80" s="11">
        <f t="shared" si="3"/>
        <v>19568</v>
      </c>
      <c r="K80" s="12" t="e">
        <f>VLOOKUP(A80,[3]VA05!$A:$K,11,FALSE)</f>
        <v>#N/A</v>
      </c>
      <c r="L80" s="10" t="s">
        <v>239</v>
      </c>
      <c r="M80" s="10" t="s">
        <v>72</v>
      </c>
    </row>
    <row r="81" spans="1:13" x14ac:dyDescent="0.25">
      <c r="A81" s="13" t="str">
        <f t="shared" si="2"/>
        <v>50714242430</v>
      </c>
      <c r="B81" s="10">
        <v>1004019564</v>
      </c>
      <c r="C81" s="10">
        <v>507142424</v>
      </c>
      <c r="D81" s="10">
        <v>30</v>
      </c>
      <c r="E81" s="10" t="s">
        <v>10</v>
      </c>
      <c r="F81" s="10">
        <v>1212320</v>
      </c>
      <c r="G81" s="10" t="s">
        <v>17</v>
      </c>
      <c r="H81" s="11">
        <v>19568</v>
      </c>
      <c r="I81" s="10">
        <v>0</v>
      </c>
      <c r="J81" s="11">
        <f t="shared" si="3"/>
        <v>19568</v>
      </c>
      <c r="K81" s="12" t="e">
        <f>VLOOKUP(A81,[3]VA05!$A:$K,11,FALSE)</f>
        <v>#N/A</v>
      </c>
      <c r="L81" s="10" t="s">
        <v>13</v>
      </c>
      <c r="M81" s="10" t="s">
        <v>69</v>
      </c>
    </row>
    <row r="82" spans="1:13" x14ac:dyDescent="0.25">
      <c r="A82" s="13" t="str">
        <f t="shared" si="2"/>
        <v>50714242450</v>
      </c>
      <c r="B82" s="10">
        <v>1004019566</v>
      </c>
      <c r="C82" s="10">
        <v>507142424</v>
      </c>
      <c r="D82" s="10">
        <v>50</v>
      </c>
      <c r="E82" s="10" t="s">
        <v>10</v>
      </c>
      <c r="F82" s="10">
        <v>1212320</v>
      </c>
      <c r="G82" s="10" t="s">
        <v>17</v>
      </c>
      <c r="H82" s="11">
        <v>30725</v>
      </c>
      <c r="I82" s="10">
        <v>0</v>
      </c>
      <c r="J82" s="11">
        <f t="shared" si="3"/>
        <v>30725</v>
      </c>
      <c r="K82" s="12" t="e">
        <f>VLOOKUP(A82,[3]VA05!$A:$K,11,FALSE)</f>
        <v>#N/A</v>
      </c>
      <c r="L82" s="10" t="s">
        <v>13</v>
      </c>
      <c r="M82" s="10" t="s">
        <v>73</v>
      </c>
    </row>
    <row r="83" spans="1:13" x14ac:dyDescent="0.25">
      <c r="A83" s="13" t="str">
        <f t="shared" si="2"/>
        <v>50714274220</v>
      </c>
      <c r="B83" s="10">
        <v>1004052428</v>
      </c>
      <c r="C83" s="10">
        <v>507142742</v>
      </c>
      <c r="D83" s="10">
        <v>20</v>
      </c>
      <c r="E83" s="10" t="s">
        <v>10</v>
      </c>
      <c r="F83" s="10">
        <v>1437172</v>
      </c>
      <c r="G83" s="10" t="s">
        <v>123</v>
      </c>
      <c r="H83" s="11">
        <v>25576</v>
      </c>
      <c r="I83" s="11">
        <v>22079</v>
      </c>
      <c r="J83" s="11">
        <f t="shared" si="3"/>
        <v>3497</v>
      </c>
      <c r="K83" s="12">
        <f>VLOOKUP(A83,[3]VA05!$A:$K,11,FALSE)</f>
        <v>45575</v>
      </c>
      <c r="L83" s="10" t="s">
        <v>18</v>
      </c>
      <c r="M83" s="10" t="s">
        <v>197</v>
      </c>
    </row>
    <row r="84" spans="1:13" x14ac:dyDescent="0.25">
      <c r="A84" s="13" t="str">
        <f t="shared" si="2"/>
        <v>50714274280</v>
      </c>
      <c r="B84" s="10">
        <v>1004052509</v>
      </c>
      <c r="C84" s="10">
        <v>507142742</v>
      </c>
      <c r="D84" s="10">
        <v>80</v>
      </c>
      <c r="E84" s="10" t="s">
        <v>10</v>
      </c>
      <c r="F84" s="10">
        <v>1437172</v>
      </c>
      <c r="G84" s="10" t="s">
        <v>123</v>
      </c>
      <c r="H84" s="11">
        <v>25576</v>
      </c>
      <c r="I84" s="10">
        <v>0</v>
      </c>
      <c r="J84" s="11">
        <f t="shared" si="3"/>
        <v>25576</v>
      </c>
      <c r="K84" s="12">
        <f>VLOOKUP(A84,[3]VA05!$A:$K,11,FALSE)</f>
        <v>45587</v>
      </c>
      <c r="L84" s="10" t="s">
        <v>12</v>
      </c>
      <c r="M84" s="10" t="s">
        <v>176</v>
      </c>
    </row>
    <row r="85" spans="1:13" x14ac:dyDescent="0.25">
      <c r="A85" s="13" t="str">
        <f t="shared" si="2"/>
        <v>507142742110</v>
      </c>
      <c r="B85" s="10">
        <v>1004052510</v>
      </c>
      <c r="C85" s="10">
        <v>507142742</v>
      </c>
      <c r="D85" s="10">
        <v>110</v>
      </c>
      <c r="E85" s="10" t="s">
        <v>10</v>
      </c>
      <c r="F85" s="10">
        <v>1437172</v>
      </c>
      <c r="G85" s="10" t="s">
        <v>123</v>
      </c>
      <c r="H85" s="11">
        <v>25576</v>
      </c>
      <c r="I85" s="10">
        <v>0</v>
      </c>
      <c r="J85" s="11">
        <f t="shared" si="3"/>
        <v>25576</v>
      </c>
      <c r="K85" s="12" t="e">
        <f>VLOOKUP(A85,[3]VA05!$A:$K,11,FALSE)</f>
        <v>#N/A</v>
      </c>
      <c r="L85" s="10" t="s">
        <v>12</v>
      </c>
      <c r="M85" s="10" t="s">
        <v>198</v>
      </c>
    </row>
    <row r="86" spans="1:13" x14ac:dyDescent="0.25">
      <c r="A86" s="13" t="str">
        <f t="shared" si="2"/>
        <v>50714285120</v>
      </c>
      <c r="B86" s="10">
        <v>1004062192</v>
      </c>
      <c r="C86" s="10">
        <v>507142851</v>
      </c>
      <c r="D86" s="10">
        <v>20</v>
      </c>
      <c r="E86" s="10" t="s">
        <v>10</v>
      </c>
      <c r="F86" s="10">
        <v>1437172</v>
      </c>
      <c r="G86" s="10" t="s">
        <v>123</v>
      </c>
      <c r="H86" s="11">
        <v>35874</v>
      </c>
      <c r="I86" s="10">
        <v>0</v>
      </c>
      <c r="J86" s="11">
        <f t="shared" si="3"/>
        <v>35874</v>
      </c>
      <c r="K86" s="12">
        <f>VLOOKUP(A86,[3]VA05!$A:$K,11,FALSE)</f>
        <v>45593</v>
      </c>
      <c r="L86" s="10" t="s">
        <v>12</v>
      </c>
      <c r="M86" s="10" t="s">
        <v>199</v>
      </c>
    </row>
    <row r="87" spans="1:13" x14ac:dyDescent="0.25">
      <c r="A87" s="13" t="str">
        <f t="shared" si="2"/>
        <v>50900099220</v>
      </c>
      <c r="B87" s="10">
        <v>1004016985</v>
      </c>
      <c r="C87" s="10">
        <v>509000992</v>
      </c>
      <c r="D87" s="10">
        <v>20</v>
      </c>
      <c r="E87" s="10" t="s">
        <v>10</v>
      </c>
      <c r="F87" s="10">
        <v>1279713</v>
      </c>
      <c r="G87" s="10" t="s">
        <v>55</v>
      </c>
      <c r="H87" s="11">
        <v>10299</v>
      </c>
      <c r="I87" s="10">
        <v>0</v>
      </c>
      <c r="J87" s="11">
        <f t="shared" si="3"/>
        <v>10299</v>
      </c>
      <c r="K87" s="12" t="e">
        <f>VLOOKUP(A87,[3]VA05!$A:$K,11,FALSE)</f>
        <v>#N/A</v>
      </c>
      <c r="L87" s="10" t="s">
        <v>13</v>
      </c>
      <c r="M87" s="10" t="s">
        <v>58</v>
      </c>
    </row>
    <row r="88" spans="1:13" x14ac:dyDescent="0.25">
      <c r="A88" s="13" t="str">
        <f t="shared" si="2"/>
        <v>50900099320</v>
      </c>
      <c r="B88" s="10">
        <v>1004016986</v>
      </c>
      <c r="C88" s="10">
        <v>509000993</v>
      </c>
      <c r="D88" s="10">
        <v>20</v>
      </c>
      <c r="E88" s="10" t="s">
        <v>10</v>
      </c>
      <c r="F88" s="10">
        <v>1279713</v>
      </c>
      <c r="G88" s="10" t="s">
        <v>55</v>
      </c>
      <c r="H88" s="11">
        <v>3262</v>
      </c>
      <c r="I88" s="10">
        <v>0</v>
      </c>
      <c r="J88" s="11">
        <f t="shared" si="3"/>
        <v>3262</v>
      </c>
      <c r="K88" s="12" t="e">
        <f>VLOOKUP(A88,[3]VA05!$A:$K,11,FALSE)</f>
        <v>#N/A</v>
      </c>
      <c r="L88" s="10" t="s">
        <v>12</v>
      </c>
      <c r="M88" s="10" t="s">
        <v>50</v>
      </c>
    </row>
    <row r="89" spans="1:13" x14ac:dyDescent="0.25">
      <c r="A89" s="13" t="str">
        <f t="shared" si="2"/>
        <v>50714274240</v>
      </c>
      <c r="B89" s="10">
        <v>1004049969</v>
      </c>
      <c r="C89" s="10">
        <v>507142742</v>
      </c>
      <c r="D89" s="10">
        <v>40</v>
      </c>
      <c r="E89" s="10" t="s">
        <v>10</v>
      </c>
      <c r="F89" s="10">
        <v>1209336</v>
      </c>
      <c r="G89" s="10" t="s">
        <v>124</v>
      </c>
      <c r="H89" s="11">
        <v>25576</v>
      </c>
      <c r="I89" s="11">
        <v>1312</v>
      </c>
      <c r="J89" s="11">
        <f t="shared" si="3"/>
        <v>24264</v>
      </c>
      <c r="K89" s="12">
        <f>VLOOKUP(A89,[3]VA05!$A:$K,11,FALSE)</f>
        <v>45580</v>
      </c>
      <c r="L89" s="10" t="s">
        <v>18</v>
      </c>
      <c r="M89" s="10" t="s">
        <v>157</v>
      </c>
    </row>
    <row r="90" spans="1:13" x14ac:dyDescent="0.25">
      <c r="A90" s="13" t="str">
        <f t="shared" si="2"/>
        <v>50714274270</v>
      </c>
      <c r="B90" s="10">
        <v>1004052425</v>
      </c>
      <c r="C90" s="10">
        <v>507142742</v>
      </c>
      <c r="D90" s="10">
        <v>70</v>
      </c>
      <c r="E90" s="10" t="s">
        <v>10</v>
      </c>
      <c r="F90" s="10">
        <v>1209336</v>
      </c>
      <c r="G90" s="10" t="s">
        <v>124</v>
      </c>
      <c r="H90" s="11">
        <v>25576</v>
      </c>
      <c r="I90" s="10">
        <v>0</v>
      </c>
      <c r="J90" s="11">
        <f t="shared" si="3"/>
        <v>25576</v>
      </c>
      <c r="K90" s="12">
        <f>VLOOKUP(A90,[3]VA05!$A:$K,11,FALSE)</f>
        <v>45587</v>
      </c>
      <c r="L90" s="10" t="s">
        <v>12</v>
      </c>
      <c r="M90" s="10" t="s">
        <v>199</v>
      </c>
    </row>
    <row r="91" spans="1:13" x14ac:dyDescent="0.25">
      <c r="A91" s="13" t="str">
        <f t="shared" si="2"/>
        <v>507142742100</v>
      </c>
      <c r="B91" s="10">
        <v>1004052426</v>
      </c>
      <c r="C91" s="10">
        <v>507142742</v>
      </c>
      <c r="D91" s="10">
        <v>100</v>
      </c>
      <c r="E91" s="10" t="s">
        <v>10</v>
      </c>
      <c r="F91" s="10">
        <v>1209336</v>
      </c>
      <c r="G91" s="10" t="s">
        <v>124</v>
      </c>
      <c r="H91" s="11">
        <v>25576</v>
      </c>
      <c r="I91" s="10">
        <v>0</v>
      </c>
      <c r="J91" s="11">
        <f t="shared" si="3"/>
        <v>25576</v>
      </c>
      <c r="K91" s="12" t="e">
        <f>VLOOKUP(A91,[3]VA05!$A:$K,11,FALSE)</f>
        <v>#N/A</v>
      </c>
      <c r="L91" s="10" t="s">
        <v>12</v>
      </c>
      <c r="M91" s="10" t="s">
        <v>200</v>
      </c>
    </row>
    <row r="92" spans="1:13" x14ac:dyDescent="0.25">
      <c r="A92" s="13" t="str">
        <f t="shared" si="2"/>
        <v>50714246960</v>
      </c>
      <c r="B92" s="10">
        <v>1004016982</v>
      </c>
      <c r="C92" s="10">
        <v>507142469</v>
      </c>
      <c r="D92" s="10">
        <v>60</v>
      </c>
      <c r="E92" s="10" t="s">
        <v>10</v>
      </c>
      <c r="F92" s="10">
        <v>1212321</v>
      </c>
      <c r="G92" s="10" t="s">
        <v>30</v>
      </c>
      <c r="H92" s="11">
        <v>71577</v>
      </c>
      <c r="I92" s="11">
        <v>8540</v>
      </c>
      <c r="J92" s="11">
        <f t="shared" si="3"/>
        <v>63037</v>
      </c>
      <c r="K92" s="12" t="e">
        <f>VLOOKUP(A92,[3]VA05!$A:$K,11,FALSE)</f>
        <v>#N/A</v>
      </c>
      <c r="L92" s="10" t="s">
        <v>18</v>
      </c>
      <c r="M92" s="10" t="s">
        <v>49</v>
      </c>
    </row>
    <row r="93" spans="1:13" x14ac:dyDescent="0.25">
      <c r="A93" s="13" t="str">
        <f t="shared" si="2"/>
        <v>50714274230</v>
      </c>
      <c r="B93" s="10">
        <v>1004052421</v>
      </c>
      <c r="C93" s="10">
        <v>507142742</v>
      </c>
      <c r="D93" s="10">
        <v>30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>
        <f>VLOOKUP(A93,[3]VA05!$A:$K,11,FALSE)</f>
        <v>45575</v>
      </c>
      <c r="L93" s="10" t="s">
        <v>12</v>
      </c>
      <c r="M93" s="10" t="s">
        <v>197</v>
      </c>
    </row>
    <row r="94" spans="1:13" x14ac:dyDescent="0.25">
      <c r="A94" s="13" t="str">
        <f t="shared" si="2"/>
        <v>50714274260</v>
      </c>
      <c r="B94" s="10">
        <v>1004052422</v>
      </c>
      <c r="C94" s="10">
        <v>507142742</v>
      </c>
      <c r="D94" s="10">
        <v>60</v>
      </c>
      <c r="E94" s="10" t="s">
        <v>10</v>
      </c>
      <c r="F94" s="10">
        <v>1209347</v>
      </c>
      <c r="G94" s="10" t="s">
        <v>136</v>
      </c>
      <c r="H94" s="11">
        <v>25576</v>
      </c>
      <c r="I94" s="10">
        <v>0</v>
      </c>
      <c r="J94" s="11">
        <f t="shared" si="3"/>
        <v>25576</v>
      </c>
      <c r="K94" s="12">
        <f>VLOOKUP(A94,[3]VA05!$A:$K,11,FALSE)</f>
        <v>45580</v>
      </c>
      <c r="L94" s="10" t="s">
        <v>12</v>
      </c>
      <c r="M94" s="10" t="s">
        <v>192</v>
      </c>
    </row>
    <row r="95" spans="1:13" x14ac:dyDescent="0.25">
      <c r="A95" s="13" t="str">
        <f t="shared" si="2"/>
        <v>50714274290</v>
      </c>
      <c r="B95" s="10">
        <v>1004052423</v>
      </c>
      <c r="C95" s="10">
        <v>507142742</v>
      </c>
      <c r="D95" s="10">
        <v>90</v>
      </c>
      <c r="E95" s="10" t="s">
        <v>10</v>
      </c>
      <c r="F95" s="10">
        <v>1209347</v>
      </c>
      <c r="G95" s="10" t="s">
        <v>136</v>
      </c>
      <c r="H95" s="11">
        <v>25576</v>
      </c>
      <c r="I95" s="10">
        <v>0</v>
      </c>
      <c r="J95" s="11">
        <f t="shared" si="3"/>
        <v>25576</v>
      </c>
      <c r="K95" s="12">
        <f>VLOOKUP(A95,[3]VA05!$A:$K,11,FALSE)</f>
        <v>45587</v>
      </c>
      <c r="L95" s="10" t="s">
        <v>12</v>
      </c>
      <c r="M95" s="10" t="s">
        <v>176</v>
      </c>
    </row>
    <row r="96" spans="1:13" x14ac:dyDescent="0.25">
      <c r="A96" s="13" t="str">
        <f t="shared" si="2"/>
        <v>507142742120</v>
      </c>
      <c r="B96" s="10">
        <v>1004052424</v>
      </c>
      <c r="C96" s="10">
        <v>507142742</v>
      </c>
      <c r="D96" s="10">
        <v>120</v>
      </c>
      <c r="E96" s="10" t="s">
        <v>10</v>
      </c>
      <c r="F96" s="10">
        <v>1209347</v>
      </c>
      <c r="G96" s="10" t="s">
        <v>136</v>
      </c>
      <c r="H96" s="11">
        <v>25576</v>
      </c>
      <c r="I96" s="10">
        <v>0</v>
      </c>
      <c r="J96" s="11">
        <f t="shared" si="3"/>
        <v>25576</v>
      </c>
      <c r="K96" s="12" t="e">
        <f>VLOOKUP(A96,[3]VA05!$A:$K,11,FALSE)</f>
        <v>#N/A</v>
      </c>
      <c r="L96" s="10" t="s">
        <v>12</v>
      </c>
      <c r="M96" s="10" t="s">
        <v>198</v>
      </c>
    </row>
    <row r="97" spans="1:13" hidden="1" x14ac:dyDescent="0.25">
      <c r="A97" s="13" t="str">
        <f t="shared" si="2"/>
        <v>50714203150</v>
      </c>
      <c r="B97" s="10">
        <v>1003958713</v>
      </c>
      <c r="C97" s="10">
        <v>507142031</v>
      </c>
      <c r="D97" s="10">
        <v>50</v>
      </c>
      <c r="E97" s="10" t="s">
        <v>10</v>
      </c>
      <c r="F97" s="10">
        <v>1409882</v>
      </c>
      <c r="G97" s="10" t="s">
        <v>39</v>
      </c>
      <c r="H97" s="11">
        <v>45777</v>
      </c>
      <c r="I97" s="10">
        <v>0</v>
      </c>
      <c r="J97" s="11">
        <f t="shared" si="3"/>
        <v>45777</v>
      </c>
      <c r="K97" s="12" t="e">
        <f>VLOOKUP(A97,[3]VA05!$A:$K,11,FALSE)</f>
        <v>#N/A</v>
      </c>
      <c r="L97" s="10" t="s">
        <v>260</v>
      </c>
      <c r="M97" s="10" t="s">
        <v>269</v>
      </c>
    </row>
    <row r="98" spans="1:13" x14ac:dyDescent="0.25">
      <c r="A98" s="13" t="str">
        <f t="shared" si="2"/>
        <v>50714273910</v>
      </c>
      <c r="B98" s="10">
        <v>1004051713</v>
      </c>
      <c r="C98" s="10">
        <v>507142739</v>
      </c>
      <c r="D98" s="10">
        <v>10</v>
      </c>
      <c r="E98" s="10" t="s">
        <v>10</v>
      </c>
      <c r="F98" s="10">
        <v>1409882</v>
      </c>
      <c r="G98" s="10" t="s">
        <v>39</v>
      </c>
      <c r="H98" s="11">
        <v>22415</v>
      </c>
      <c r="I98" s="11">
        <v>21333</v>
      </c>
      <c r="J98" s="11">
        <f t="shared" si="3"/>
        <v>1082</v>
      </c>
      <c r="K98" s="12">
        <f>VLOOKUP(A98,[3]VA05!$A:$K,11,FALSE)</f>
        <v>45568</v>
      </c>
      <c r="L98" s="10" t="s">
        <v>18</v>
      </c>
      <c r="M98" s="10" t="s">
        <v>61</v>
      </c>
    </row>
    <row r="99" spans="1:13" x14ac:dyDescent="0.25">
      <c r="A99" s="13" t="str">
        <f t="shared" si="2"/>
        <v>50714273920</v>
      </c>
      <c r="B99" s="10">
        <v>1004051714</v>
      </c>
      <c r="C99" s="10">
        <v>507142739</v>
      </c>
      <c r="D99" s="10">
        <v>20</v>
      </c>
      <c r="E99" s="10" t="s">
        <v>10</v>
      </c>
      <c r="F99" s="10">
        <v>1409882</v>
      </c>
      <c r="G99" s="10" t="s">
        <v>39</v>
      </c>
      <c r="H99" s="11">
        <v>51460</v>
      </c>
      <c r="I99" s="10">
        <v>0</v>
      </c>
      <c r="J99" s="11">
        <f t="shared" si="3"/>
        <v>51460</v>
      </c>
      <c r="K99" s="12">
        <f>VLOOKUP(A99,[3]VA05!$A:$K,11,FALSE)</f>
        <v>45573</v>
      </c>
      <c r="L99" s="10" t="s">
        <v>56</v>
      </c>
      <c r="M99" s="10" t="s">
        <v>197</v>
      </c>
    </row>
    <row r="100" spans="1:13" x14ac:dyDescent="0.25">
      <c r="A100" s="13" t="str">
        <f t="shared" si="2"/>
        <v>50714273930</v>
      </c>
      <c r="B100" s="10">
        <v>1004062039</v>
      </c>
      <c r="C100" s="10">
        <v>507142739</v>
      </c>
      <c r="D100" s="10">
        <v>30</v>
      </c>
      <c r="E100" s="10" t="s">
        <v>10</v>
      </c>
      <c r="F100" s="10">
        <v>1409882</v>
      </c>
      <c r="G100" s="10" t="s">
        <v>39</v>
      </c>
      <c r="H100" s="11">
        <v>28729</v>
      </c>
      <c r="I100" s="10">
        <v>0</v>
      </c>
      <c r="J100" s="11">
        <f t="shared" si="3"/>
        <v>28729</v>
      </c>
      <c r="K100" s="12">
        <f>VLOOKUP(A100,[3]VA05!$A:$K,11,FALSE)</f>
        <v>45580</v>
      </c>
      <c r="L100" s="10" t="s">
        <v>12</v>
      </c>
      <c r="M100" s="10" t="s">
        <v>197</v>
      </c>
    </row>
    <row r="101" spans="1:13" x14ac:dyDescent="0.25">
      <c r="A101" s="13" t="str">
        <f t="shared" si="2"/>
        <v>50714278010</v>
      </c>
      <c r="B101" s="10">
        <v>1004062040</v>
      </c>
      <c r="C101" s="10">
        <v>507142780</v>
      </c>
      <c r="D101" s="10">
        <v>10</v>
      </c>
      <c r="E101" s="10" t="s">
        <v>10</v>
      </c>
      <c r="F101" s="10">
        <v>1409882</v>
      </c>
      <c r="G101" s="10" t="s">
        <v>39</v>
      </c>
      <c r="H101" s="11">
        <v>32518</v>
      </c>
      <c r="I101" s="10">
        <v>0</v>
      </c>
      <c r="J101" s="11">
        <f t="shared" si="3"/>
        <v>32518</v>
      </c>
      <c r="K101" s="12">
        <f>VLOOKUP(A101,[3]VA05!$A:$K,11,FALSE)</f>
        <v>45580</v>
      </c>
      <c r="L101" s="10" t="s">
        <v>12</v>
      </c>
      <c r="M101" s="10" t="s">
        <v>162</v>
      </c>
    </row>
    <row r="102" spans="1:13" x14ac:dyDescent="0.25">
      <c r="A102" s="13" t="str">
        <f t="shared" si="2"/>
        <v>50714273920</v>
      </c>
      <c r="B102" s="10">
        <v>1004056941</v>
      </c>
      <c r="C102" s="10">
        <v>507142739</v>
      </c>
      <c r="D102" s="10">
        <v>20</v>
      </c>
      <c r="E102" s="10" t="s">
        <v>10</v>
      </c>
      <c r="F102" s="10">
        <v>1409883</v>
      </c>
      <c r="G102" s="10" t="s">
        <v>40</v>
      </c>
      <c r="H102" s="11">
        <v>54066</v>
      </c>
      <c r="I102" s="11">
        <v>45078</v>
      </c>
      <c r="J102" s="11">
        <f t="shared" si="3"/>
        <v>8988</v>
      </c>
      <c r="K102" s="12">
        <f>VLOOKUP(A102,[3]VA05!$A:$K,11,FALSE)</f>
        <v>45573</v>
      </c>
      <c r="L102" s="10" t="s">
        <v>11</v>
      </c>
      <c r="M102" s="10" t="s">
        <v>194</v>
      </c>
    </row>
    <row r="103" spans="1:13" x14ac:dyDescent="0.25">
      <c r="A103" s="13" t="str">
        <f t="shared" si="2"/>
        <v>50714273930</v>
      </c>
      <c r="B103" s="10">
        <v>1004057977</v>
      </c>
      <c r="C103" s="10">
        <v>507142739</v>
      </c>
      <c r="D103" s="10">
        <v>30</v>
      </c>
      <c r="E103" s="10" t="s">
        <v>10</v>
      </c>
      <c r="F103" s="10">
        <v>1409883</v>
      </c>
      <c r="G103" s="10" t="s">
        <v>40</v>
      </c>
      <c r="H103" s="11">
        <v>30185</v>
      </c>
      <c r="I103" s="10">
        <v>0</v>
      </c>
      <c r="J103" s="11">
        <f t="shared" si="3"/>
        <v>30185</v>
      </c>
      <c r="K103" s="12">
        <f>VLOOKUP(A103,[3]VA05!$A:$K,11,FALSE)</f>
        <v>45580</v>
      </c>
      <c r="L103" s="10" t="s">
        <v>119</v>
      </c>
      <c r="M103" s="10" t="s">
        <v>155</v>
      </c>
    </row>
    <row r="104" spans="1:13" x14ac:dyDescent="0.25">
      <c r="A104" s="13" t="str">
        <f t="shared" si="2"/>
        <v>50714278010</v>
      </c>
      <c r="B104" s="10">
        <v>1004058757</v>
      </c>
      <c r="C104" s="10">
        <v>507142780</v>
      </c>
      <c r="D104" s="10">
        <v>10</v>
      </c>
      <c r="E104" s="10" t="s">
        <v>10</v>
      </c>
      <c r="F104" s="10">
        <v>1409883</v>
      </c>
      <c r="G104" s="10" t="s">
        <v>40</v>
      </c>
      <c r="H104" s="11">
        <v>34165</v>
      </c>
      <c r="I104" s="10">
        <v>0</v>
      </c>
      <c r="J104" s="11">
        <f t="shared" si="3"/>
        <v>34165</v>
      </c>
      <c r="K104" s="12">
        <f>VLOOKUP(A104,[3]VA05!$A:$K,11,FALSE)</f>
        <v>45580</v>
      </c>
      <c r="L104" s="10" t="s">
        <v>12</v>
      </c>
      <c r="M104" s="10" t="s">
        <v>195</v>
      </c>
    </row>
    <row r="105" spans="1:13" x14ac:dyDescent="0.25">
      <c r="A105" s="13" t="str">
        <f t="shared" si="2"/>
        <v>50714278020</v>
      </c>
      <c r="B105" s="10">
        <v>1004058758</v>
      </c>
      <c r="C105" s="10">
        <v>507142780</v>
      </c>
      <c r="D105" s="10">
        <v>20</v>
      </c>
      <c r="E105" s="10" t="s">
        <v>10</v>
      </c>
      <c r="F105" s="10">
        <v>1409883</v>
      </c>
      <c r="G105" s="10" t="s">
        <v>40</v>
      </c>
      <c r="H105" s="11">
        <v>54066</v>
      </c>
      <c r="I105" s="10">
        <v>0</v>
      </c>
      <c r="J105" s="11">
        <f t="shared" si="3"/>
        <v>54066</v>
      </c>
      <c r="K105" s="12">
        <f>VLOOKUP(A105,[3]VA05!$A:$K,11,FALSE)</f>
        <v>45587</v>
      </c>
      <c r="L105" s="10" t="s">
        <v>12</v>
      </c>
      <c r="M105" s="10" t="s">
        <v>195</v>
      </c>
    </row>
    <row r="106" spans="1:13" x14ac:dyDescent="0.25">
      <c r="A106" s="13" t="str">
        <f t="shared" si="2"/>
        <v>50714278030</v>
      </c>
      <c r="B106" s="10">
        <v>1004058759</v>
      </c>
      <c r="C106" s="10">
        <v>507142780</v>
      </c>
      <c r="D106" s="10">
        <v>30</v>
      </c>
      <c r="E106" s="10" t="s">
        <v>10</v>
      </c>
      <c r="F106" s="10">
        <v>1409883</v>
      </c>
      <c r="G106" s="10" t="s">
        <v>40</v>
      </c>
      <c r="H106" s="11">
        <v>19571</v>
      </c>
      <c r="I106" s="10">
        <v>0</v>
      </c>
      <c r="J106" s="11">
        <f t="shared" si="3"/>
        <v>19571</v>
      </c>
      <c r="K106" s="12">
        <f>VLOOKUP(A106,[3]VA05!$A:$K,11,FALSE)</f>
        <v>45594</v>
      </c>
      <c r="L106" s="10" t="s">
        <v>12</v>
      </c>
      <c r="M106" s="10" t="s">
        <v>192</v>
      </c>
    </row>
    <row r="107" spans="1:13" x14ac:dyDescent="0.25">
      <c r="A107" s="13" t="str">
        <f t="shared" si="2"/>
        <v>50714276520</v>
      </c>
      <c r="B107" s="10">
        <v>1004051407</v>
      </c>
      <c r="C107" s="10">
        <v>507142765</v>
      </c>
      <c r="D107" s="10">
        <v>20</v>
      </c>
      <c r="E107" s="10" t="s">
        <v>10</v>
      </c>
      <c r="F107" s="10">
        <v>1398384</v>
      </c>
      <c r="G107" s="10" t="s">
        <v>168</v>
      </c>
      <c r="H107" s="11">
        <v>22842</v>
      </c>
      <c r="I107" s="11">
        <v>14675</v>
      </c>
      <c r="J107" s="11">
        <f t="shared" si="3"/>
        <v>8167</v>
      </c>
      <c r="K107" s="12" t="e">
        <f>VLOOKUP(A107,[3]VA05!$A:$K,11,FALSE)</f>
        <v>#N/A</v>
      </c>
      <c r="L107" s="10" t="s">
        <v>18</v>
      </c>
      <c r="M107" s="10" t="s">
        <v>197</v>
      </c>
    </row>
    <row r="108" spans="1:13" x14ac:dyDescent="0.25">
      <c r="A108" s="13" t="str">
        <f t="shared" si="2"/>
        <v>50714276530</v>
      </c>
      <c r="B108" s="10">
        <v>1004051408</v>
      </c>
      <c r="C108" s="10">
        <v>507142765</v>
      </c>
      <c r="D108" s="10">
        <v>30</v>
      </c>
      <c r="E108" s="10" t="s">
        <v>10</v>
      </c>
      <c r="F108" s="10">
        <v>1398384</v>
      </c>
      <c r="G108" s="10" t="s">
        <v>168</v>
      </c>
      <c r="H108" s="11">
        <v>34807</v>
      </c>
      <c r="I108" s="10">
        <v>0</v>
      </c>
      <c r="J108" s="11">
        <f t="shared" si="3"/>
        <v>34807</v>
      </c>
      <c r="K108" s="12">
        <f>VLOOKUP(A108,[3]VA05!$A:$K,11,FALSE)</f>
        <v>45569</v>
      </c>
      <c r="L108" s="10" t="s">
        <v>56</v>
      </c>
      <c r="M108" s="10" t="s">
        <v>143</v>
      </c>
    </row>
    <row r="109" spans="1:13" x14ac:dyDescent="0.25">
      <c r="A109" s="13" t="str">
        <f t="shared" si="2"/>
        <v>50714276540</v>
      </c>
      <c r="B109" s="10">
        <v>1004052528</v>
      </c>
      <c r="C109" s="10">
        <v>507142765</v>
      </c>
      <c r="D109" s="10">
        <v>40</v>
      </c>
      <c r="E109" s="10" t="s">
        <v>10</v>
      </c>
      <c r="F109" s="10">
        <v>1398384</v>
      </c>
      <c r="G109" s="10" t="s">
        <v>168</v>
      </c>
      <c r="H109" s="11">
        <v>35078</v>
      </c>
      <c r="I109" s="10">
        <v>0</v>
      </c>
      <c r="J109" s="11">
        <f t="shared" si="3"/>
        <v>35078</v>
      </c>
      <c r="K109" s="12">
        <f>VLOOKUP(A109,[3]VA05!$A:$K,11,FALSE)</f>
        <v>45576</v>
      </c>
      <c r="L109" s="10" t="s">
        <v>12</v>
      </c>
      <c r="M109" s="10" t="s">
        <v>195</v>
      </c>
    </row>
    <row r="110" spans="1:13" x14ac:dyDescent="0.25">
      <c r="A110" s="13" t="str">
        <f t="shared" si="2"/>
        <v>50714276550</v>
      </c>
      <c r="B110" s="10">
        <v>1004052529</v>
      </c>
      <c r="C110" s="10">
        <v>507142765</v>
      </c>
      <c r="D110" s="10">
        <v>50</v>
      </c>
      <c r="E110" s="10" t="s">
        <v>10</v>
      </c>
      <c r="F110" s="10">
        <v>1398384</v>
      </c>
      <c r="G110" s="10" t="s">
        <v>168</v>
      </c>
      <c r="H110" s="11">
        <v>45412</v>
      </c>
      <c r="I110" s="10">
        <v>0</v>
      </c>
      <c r="J110" s="11">
        <f t="shared" si="3"/>
        <v>45412</v>
      </c>
      <c r="K110" s="12">
        <f>VLOOKUP(A110,[3]VA05!$A:$K,11,FALSE)</f>
        <v>45583</v>
      </c>
      <c r="L110" s="10" t="s">
        <v>12</v>
      </c>
      <c r="M110" s="10" t="s">
        <v>194</v>
      </c>
    </row>
    <row r="111" spans="1:13" x14ac:dyDescent="0.25">
      <c r="A111" s="13" t="str">
        <f t="shared" si="2"/>
        <v>50714276560</v>
      </c>
      <c r="B111" s="10">
        <v>1004052530</v>
      </c>
      <c r="C111" s="10">
        <v>507142765</v>
      </c>
      <c r="D111" s="10">
        <v>60</v>
      </c>
      <c r="E111" s="10" t="s">
        <v>10</v>
      </c>
      <c r="F111" s="10">
        <v>1398384</v>
      </c>
      <c r="G111" s="10" t="s">
        <v>168</v>
      </c>
      <c r="H111" s="11">
        <v>45412</v>
      </c>
      <c r="I111" s="10">
        <v>0</v>
      </c>
      <c r="J111" s="11">
        <f t="shared" si="3"/>
        <v>45412</v>
      </c>
      <c r="K111" s="12">
        <f>VLOOKUP(A111,[3]VA05!$A:$K,11,FALSE)</f>
        <v>45590</v>
      </c>
      <c r="L111" s="10" t="s">
        <v>12</v>
      </c>
      <c r="M111" s="10" t="s">
        <v>179</v>
      </c>
    </row>
    <row r="112" spans="1:13" x14ac:dyDescent="0.25">
      <c r="A112" s="13" t="str">
        <f t="shared" si="2"/>
        <v>50714276520</v>
      </c>
      <c r="B112" s="10">
        <v>1004052533</v>
      </c>
      <c r="C112" s="10">
        <v>507142765</v>
      </c>
      <c r="D112" s="10">
        <v>20</v>
      </c>
      <c r="E112" s="10" t="s">
        <v>10</v>
      </c>
      <c r="F112" s="10">
        <v>1398385</v>
      </c>
      <c r="G112" s="10" t="s">
        <v>183</v>
      </c>
      <c r="H112" s="11">
        <v>23528</v>
      </c>
      <c r="I112" s="11">
        <v>22678</v>
      </c>
      <c r="J112" s="11">
        <f t="shared" si="3"/>
        <v>850</v>
      </c>
      <c r="K112" s="12" t="e">
        <f>VLOOKUP(A112,[3]VA05!$A:$K,11,FALSE)</f>
        <v>#N/A</v>
      </c>
      <c r="L112" s="10" t="s">
        <v>18</v>
      </c>
      <c r="M112" s="10" t="s">
        <v>197</v>
      </c>
    </row>
    <row r="113" spans="1:13" x14ac:dyDescent="0.25">
      <c r="A113" s="13" t="str">
        <f t="shared" si="2"/>
        <v>50714276530</v>
      </c>
      <c r="B113" s="10">
        <v>1004052534</v>
      </c>
      <c r="C113" s="10">
        <v>507142765</v>
      </c>
      <c r="D113" s="10">
        <v>30</v>
      </c>
      <c r="E113" s="10" t="s">
        <v>10</v>
      </c>
      <c r="F113" s="10">
        <v>1398385</v>
      </c>
      <c r="G113" s="10" t="s">
        <v>183</v>
      </c>
      <c r="H113" s="11">
        <v>35852</v>
      </c>
      <c r="I113" s="10">
        <v>0</v>
      </c>
      <c r="J113" s="11">
        <f t="shared" si="3"/>
        <v>35852</v>
      </c>
      <c r="K113" s="12">
        <f>VLOOKUP(A113,[3]VA05!$A:$K,11,FALSE)</f>
        <v>45569</v>
      </c>
      <c r="L113" s="10" t="s">
        <v>56</v>
      </c>
      <c r="M113" s="10" t="s">
        <v>97</v>
      </c>
    </row>
    <row r="114" spans="1:13" x14ac:dyDescent="0.25">
      <c r="A114" s="13" t="str">
        <f t="shared" si="2"/>
        <v>50714276540</v>
      </c>
      <c r="B114" s="10">
        <v>1004052535</v>
      </c>
      <c r="C114" s="10">
        <v>507142765</v>
      </c>
      <c r="D114" s="10">
        <v>40</v>
      </c>
      <c r="E114" s="10" t="s">
        <v>10</v>
      </c>
      <c r="F114" s="10">
        <v>1398385</v>
      </c>
      <c r="G114" s="10" t="s">
        <v>183</v>
      </c>
      <c r="H114" s="11">
        <v>36131</v>
      </c>
      <c r="I114" s="10">
        <v>0</v>
      </c>
      <c r="J114" s="11">
        <f t="shared" si="3"/>
        <v>36131</v>
      </c>
      <c r="K114" s="12">
        <f>VLOOKUP(A114,[3]VA05!$A:$K,11,FALSE)</f>
        <v>45576</v>
      </c>
      <c r="L114" s="10" t="s">
        <v>12</v>
      </c>
      <c r="M114" s="10" t="s">
        <v>180</v>
      </c>
    </row>
    <row r="115" spans="1:13" x14ac:dyDescent="0.25">
      <c r="A115" s="13" t="str">
        <f t="shared" si="2"/>
        <v>50714276550</v>
      </c>
      <c r="B115" s="10">
        <v>1004052536</v>
      </c>
      <c r="C115" s="10">
        <v>507142765</v>
      </c>
      <c r="D115" s="10">
        <v>50</v>
      </c>
      <c r="E115" s="10" t="s">
        <v>10</v>
      </c>
      <c r="F115" s="10">
        <v>1398385</v>
      </c>
      <c r="G115" s="10" t="s">
        <v>183</v>
      </c>
      <c r="H115" s="11">
        <v>46775</v>
      </c>
      <c r="I115" s="10">
        <v>0</v>
      </c>
      <c r="J115" s="11">
        <f t="shared" si="3"/>
        <v>46775</v>
      </c>
      <c r="K115" s="12">
        <f>VLOOKUP(A115,[3]VA05!$A:$K,11,FALSE)</f>
        <v>45583</v>
      </c>
      <c r="L115" s="10" t="s">
        <v>12</v>
      </c>
      <c r="M115" s="10" t="s">
        <v>201</v>
      </c>
    </row>
    <row r="116" spans="1:13" x14ac:dyDescent="0.25">
      <c r="A116" s="13" t="str">
        <f t="shared" si="2"/>
        <v>50714276560</v>
      </c>
      <c r="B116" s="10">
        <v>1004052537</v>
      </c>
      <c r="C116" s="10">
        <v>507142765</v>
      </c>
      <c r="D116" s="10">
        <v>60</v>
      </c>
      <c r="E116" s="10" t="s">
        <v>10</v>
      </c>
      <c r="F116" s="10">
        <v>1398385</v>
      </c>
      <c r="G116" s="10" t="s">
        <v>183</v>
      </c>
      <c r="H116" s="11">
        <v>46775</v>
      </c>
      <c r="I116" s="10">
        <v>0</v>
      </c>
      <c r="J116" s="11">
        <f t="shared" si="3"/>
        <v>46775</v>
      </c>
      <c r="K116" s="12">
        <f>VLOOKUP(A116,[3]VA05!$A:$K,11,FALSE)</f>
        <v>45590</v>
      </c>
      <c r="L116" s="10" t="s">
        <v>12</v>
      </c>
      <c r="M116" s="10" t="s">
        <v>178</v>
      </c>
    </row>
    <row r="117" spans="1:13" x14ac:dyDescent="0.25">
      <c r="A117" s="13" t="str">
        <f t="shared" si="2"/>
        <v>50714276530</v>
      </c>
      <c r="B117" s="10">
        <v>1004052540</v>
      </c>
      <c r="C117" s="10">
        <v>507142765</v>
      </c>
      <c r="D117" s="10">
        <v>30</v>
      </c>
      <c r="E117" s="10" t="s">
        <v>10</v>
      </c>
      <c r="F117" s="10">
        <v>1398386</v>
      </c>
      <c r="G117" s="10" t="s">
        <v>184</v>
      </c>
      <c r="H117" s="11">
        <v>31642</v>
      </c>
      <c r="I117" s="11">
        <v>2610</v>
      </c>
      <c r="J117" s="11">
        <f t="shared" si="3"/>
        <v>29032</v>
      </c>
      <c r="K117" s="12">
        <f>VLOOKUP(A117,[3]VA05!$A:$K,11,FALSE)</f>
        <v>45569</v>
      </c>
      <c r="L117" s="10" t="s">
        <v>18</v>
      </c>
      <c r="M117" s="10" t="s">
        <v>162</v>
      </c>
    </row>
    <row r="118" spans="1:13" x14ac:dyDescent="0.25">
      <c r="A118" s="13" t="str">
        <f t="shared" si="2"/>
        <v>50714276540</v>
      </c>
      <c r="B118" s="10">
        <v>1004052541</v>
      </c>
      <c r="C118" s="10">
        <v>507142765</v>
      </c>
      <c r="D118" s="10">
        <v>40</v>
      </c>
      <c r="E118" s="10" t="s">
        <v>10</v>
      </c>
      <c r="F118" s="10">
        <v>1398386</v>
      </c>
      <c r="G118" s="10" t="s">
        <v>184</v>
      </c>
      <c r="H118" s="11">
        <v>31889</v>
      </c>
      <c r="I118" s="10">
        <v>0</v>
      </c>
      <c r="J118" s="11">
        <f t="shared" si="3"/>
        <v>31889</v>
      </c>
      <c r="K118" s="12">
        <f>VLOOKUP(A118,[3]VA05!$A:$K,11,FALSE)</f>
        <v>45576</v>
      </c>
      <c r="L118" s="10" t="s">
        <v>12</v>
      </c>
      <c r="M118" s="10" t="s">
        <v>156</v>
      </c>
    </row>
    <row r="119" spans="1:13" x14ac:dyDescent="0.25">
      <c r="A119" s="13" t="str">
        <f t="shared" si="2"/>
        <v>50714276550</v>
      </c>
      <c r="B119" s="10">
        <v>1004052543</v>
      </c>
      <c r="C119" s="10">
        <v>507142765</v>
      </c>
      <c r="D119" s="10">
        <v>50</v>
      </c>
      <c r="E119" s="10" t="s">
        <v>10</v>
      </c>
      <c r="F119" s="10">
        <v>1398386</v>
      </c>
      <c r="G119" s="10" t="s">
        <v>184</v>
      </c>
      <c r="H119" s="11">
        <v>41283</v>
      </c>
      <c r="I119" s="10">
        <v>0</v>
      </c>
      <c r="J119" s="11">
        <f t="shared" si="3"/>
        <v>41283</v>
      </c>
      <c r="K119" s="12">
        <f>VLOOKUP(A119,[3]VA05!$A:$K,11,FALSE)</f>
        <v>45583</v>
      </c>
      <c r="L119" s="10" t="s">
        <v>12</v>
      </c>
      <c r="M119" s="10" t="s">
        <v>202</v>
      </c>
    </row>
    <row r="120" spans="1:13" x14ac:dyDescent="0.25">
      <c r="A120" s="13" t="str">
        <f t="shared" si="2"/>
        <v>50714276560</v>
      </c>
      <c r="B120" s="10">
        <v>1004052544</v>
      </c>
      <c r="C120" s="10">
        <v>507142765</v>
      </c>
      <c r="D120" s="10">
        <v>60</v>
      </c>
      <c r="E120" s="10" t="s">
        <v>10</v>
      </c>
      <c r="F120" s="10">
        <v>1398386</v>
      </c>
      <c r="G120" s="10" t="s">
        <v>184</v>
      </c>
      <c r="H120" s="11">
        <v>41283</v>
      </c>
      <c r="I120" s="10">
        <v>0</v>
      </c>
      <c r="J120" s="11">
        <f t="shared" si="3"/>
        <v>41283</v>
      </c>
      <c r="K120" s="12">
        <f>VLOOKUP(A120,[3]VA05!$A:$K,11,FALSE)</f>
        <v>45590</v>
      </c>
      <c r="L120" s="10" t="s">
        <v>12</v>
      </c>
      <c r="M120" s="10" t="s">
        <v>191</v>
      </c>
    </row>
    <row r="121" spans="1:13" x14ac:dyDescent="0.25">
      <c r="A121" s="13" t="str">
        <f t="shared" si="2"/>
        <v>50714276630</v>
      </c>
      <c r="B121" s="10">
        <v>1004053435</v>
      </c>
      <c r="C121" s="10">
        <v>507142766</v>
      </c>
      <c r="D121" s="10">
        <v>30</v>
      </c>
      <c r="E121" s="10" t="s">
        <v>10</v>
      </c>
      <c r="F121" s="10">
        <v>1398747</v>
      </c>
      <c r="G121" s="10" t="s">
        <v>214</v>
      </c>
      <c r="H121" s="11">
        <v>31148</v>
      </c>
      <c r="I121" s="11">
        <v>22387</v>
      </c>
      <c r="J121" s="11">
        <f t="shared" si="3"/>
        <v>8761</v>
      </c>
      <c r="K121" s="12">
        <f>VLOOKUP(A121,[3]VA05!$A:$K,11,FALSE)</f>
        <v>45596</v>
      </c>
      <c r="L121" s="10" t="s">
        <v>18</v>
      </c>
      <c r="M121" s="10" t="s">
        <v>197</v>
      </c>
    </row>
    <row r="122" spans="1:13" x14ac:dyDescent="0.25">
      <c r="A122" s="13" t="str">
        <f t="shared" si="2"/>
        <v>50714270610</v>
      </c>
      <c r="B122" s="10">
        <v>1004052545</v>
      </c>
      <c r="C122" s="10">
        <v>507142706</v>
      </c>
      <c r="D122" s="10">
        <v>10</v>
      </c>
      <c r="E122" s="10" t="s">
        <v>10</v>
      </c>
      <c r="F122" s="10">
        <v>1152845</v>
      </c>
      <c r="G122" s="10" t="s">
        <v>185</v>
      </c>
      <c r="H122" s="11">
        <v>10262</v>
      </c>
      <c r="I122" s="10">
        <v>0</v>
      </c>
      <c r="J122" s="11">
        <f t="shared" si="3"/>
        <v>10262</v>
      </c>
      <c r="K122" s="12">
        <f>VLOOKUP(A122,[3]VA05!$A:$K,11,FALSE)</f>
        <v>45567</v>
      </c>
      <c r="L122" s="10" t="s">
        <v>13</v>
      </c>
      <c r="M122" s="10" t="s">
        <v>195</v>
      </c>
    </row>
    <row r="123" spans="1:13" x14ac:dyDescent="0.25">
      <c r="A123" s="13" t="str">
        <f t="shared" si="2"/>
        <v>50714283610</v>
      </c>
      <c r="B123" s="10">
        <v>1004058753</v>
      </c>
      <c r="C123" s="10">
        <v>507142836</v>
      </c>
      <c r="D123" s="10">
        <v>10</v>
      </c>
      <c r="E123" s="10" t="s">
        <v>10</v>
      </c>
      <c r="F123" s="10">
        <v>1152845</v>
      </c>
      <c r="G123" s="10" t="s">
        <v>185</v>
      </c>
      <c r="H123" s="11">
        <v>25821</v>
      </c>
      <c r="I123" s="10">
        <v>0</v>
      </c>
      <c r="J123" s="11">
        <f t="shared" si="3"/>
        <v>25821</v>
      </c>
      <c r="K123" s="12">
        <f>VLOOKUP(A123,[3]VA05!$A:$K,11,FALSE)</f>
        <v>45588</v>
      </c>
      <c r="L123" s="10" t="s">
        <v>119</v>
      </c>
      <c r="M123" s="10" t="s">
        <v>216</v>
      </c>
    </row>
    <row r="124" spans="1:13" x14ac:dyDescent="0.25">
      <c r="A124" s="13" t="str">
        <f t="shared" si="2"/>
        <v>50714283610</v>
      </c>
      <c r="B124" s="10">
        <v>1004061401</v>
      </c>
      <c r="C124" s="10">
        <v>507142836</v>
      </c>
      <c r="D124" s="10">
        <v>10</v>
      </c>
      <c r="E124" s="10" t="s">
        <v>10</v>
      </c>
      <c r="F124" s="10">
        <v>1206292</v>
      </c>
      <c r="G124" s="10" t="s">
        <v>257</v>
      </c>
      <c r="H124" s="11">
        <v>29436</v>
      </c>
      <c r="I124" s="10">
        <v>0</v>
      </c>
      <c r="J124" s="11">
        <f t="shared" si="3"/>
        <v>29436</v>
      </c>
      <c r="K124" s="12">
        <f>VLOOKUP(A124,[3]VA05!$A:$K,11,FALSE)</f>
        <v>45588</v>
      </c>
      <c r="L124" s="10" t="s">
        <v>12</v>
      </c>
      <c r="M124" s="10" t="s">
        <v>157</v>
      </c>
    </row>
    <row r="125" spans="1:13" x14ac:dyDescent="0.25">
      <c r="A125" s="13" t="str">
        <f t="shared" si="2"/>
        <v>50714271310</v>
      </c>
      <c r="B125" s="10">
        <v>1004052555</v>
      </c>
      <c r="C125" s="10">
        <v>507142713</v>
      </c>
      <c r="D125" s="10">
        <v>10</v>
      </c>
      <c r="E125" s="10" t="s">
        <v>10</v>
      </c>
      <c r="F125" s="10">
        <v>1172472</v>
      </c>
      <c r="G125" s="10" t="s">
        <v>86</v>
      </c>
      <c r="H125" s="11">
        <v>10524</v>
      </c>
      <c r="I125" s="10">
        <v>246</v>
      </c>
      <c r="J125" s="11">
        <f t="shared" si="3"/>
        <v>10278</v>
      </c>
      <c r="K125" s="12">
        <f>VLOOKUP(A125,[3]VA05!$A:$K,11,FALSE)</f>
        <v>45591</v>
      </c>
      <c r="L125" s="10" t="s">
        <v>18</v>
      </c>
      <c r="M125" s="10" t="s">
        <v>203</v>
      </c>
    </row>
    <row r="126" spans="1:13" x14ac:dyDescent="0.25">
      <c r="A126" s="13" t="str">
        <f t="shared" si="2"/>
        <v>50714271340</v>
      </c>
      <c r="B126" s="10">
        <v>1004052556</v>
      </c>
      <c r="C126" s="10">
        <v>507142713</v>
      </c>
      <c r="D126" s="10">
        <v>40</v>
      </c>
      <c r="E126" s="10" t="s">
        <v>10</v>
      </c>
      <c r="F126" s="10">
        <v>1172472</v>
      </c>
      <c r="G126" s="10" t="s">
        <v>86</v>
      </c>
      <c r="H126" s="11">
        <v>10524</v>
      </c>
      <c r="I126" s="10">
        <v>0</v>
      </c>
      <c r="J126" s="11">
        <f t="shared" si="3"/>
        <v>10524</v>
      </c>
      <c r="K126" s="12">
        <f>VLOOKUP(A126,[3]VA05!$A:$K,11,FALSE)</f>
        <v>45591</v>
      </c>
      <c r="L126" s="10" t="s">
        <v>12</v>
      </c>
      <c r="M126" s="10" t="s">
        <v>203</v>
      </c>
    </row>
    <row r="127" spans="1:13" hidden="1" x14ac:dyDescent="0.25">
      <c r="A127" s="13" t="str">
        <f t="shared" si="2"/>
        <v>50714241640</v>
      </c>
      <c r="B127" s="10">
        <v>1004035739</v>
      </c>
      <c r="C127" s="10">
        <v>507142416</v>
      </c>
      <c r="D127" s="10">
        <v>40</v>
      </c>
      <c r="E127" s="10" t="s">
        <v>10</v>
      </c>
      <c r="F127" s="10">
        <v>1171177</v>
      </c>
      <c r="G127" s="10" t="s">
        <v>88</v>
      </c>
      <c r="H127" s="11">
        <v>10170</v>
      </c>
      <c r="I127" s="10">
        <v>0</v>
      </c>
      <c r="J127" s="11">
        <f t="shared" si="3"/>
        <v>10170</v>
      </c>
      <c r="K127" s="12">
        <f>VLOOKUP(A127,[3]VA05!$A:$K,11,FALSE)</f>
        <v>45573</v>
      </c>
      <c r="L127" s="10" t="s">
        <v>260</v>
      </c>
      <c r="M127" s="10" t="s">
        <v>109</v>
      </c>
    </row>
    <row r="128" spans="1:13" x14ac:dyDescent="0.25">
      <c r="A128" s="13" t="str">
        <f t="shared" si="2"/>
        <v>507142416100</v>
      </c>
      <c r="B128" s="10">
        <v>1004052560</v>
      </c>
      <c r="C128" s="10">
        <v>507142416</v>
      </c>
      <c r="D128" s="10">
        <v>100</v>
      </c>
      <c r="E128" s="10" t="s">
        <v>10</v>
      </c>
      <c r="F128" s="10">
        <v>1171177</v>
      </c>
      <c r="G128" s="10" t="s">
        <v>88</v>
      </c>
      <c r="H128" s="11">
        <v>10170</v>
      </c>
      <c r="I128" s="11">
        <v>1654</v>
      </c>
      <c r="J128" s="11">
        <f t="shared" si="3"/>
        <v>8516</v>
      </c>
      <c r="K128" s="12">
        <f>VLOOKUP(A128,[3]VA05!$A:$K,11,FALSE)</f>
        <v>45580</v>
      </c>
      <c r="L128" s="10" t="s">
        <v>18</v>
      </c>
      <c r="M128" s="10" t="s">
        <v>179</v>
      </c>
    </row>
    <row r="129" spans="1:13" x14ac:dyDescent="0.25">
      <c r="A129" s="13" t="str">
        <f t="shared" si="2"/>
        <v>507142416190</v>
      </c>
      <c r="B129" s="10">
        <v>1004052561</v>
      </c>
      <c r="C129" s="10">
        <v>507142416</v>
      </c>
      <c r="D129" s="10">
        <v>190</v>
      </c>
      <c r="E129" s="10" t="s">
        <v>10</v>
      </c>
      <c r="F129" s="10">
        <v>1171177</v>
      </c>
      <c r="G129" s="10" t="s">
        <v>88</v>
      </c>
      <c r="H129" s="11">
        <v>10170</v>
      </c>
      <c r="I129" s="10">
        <v>0</v>
      </c>
      <c r="J129" s="11">
        <f t="shared" si="3"/>
        <v>10170</v>
      </c>
      <c r="K129" s="12">
        <f>VLOOKUP(A129,[3]VA05!$A:$K,11,FALSE)</f>
        <v>45583</v>
      </c>
      <c r="L129" s="10" t="s">
        <v>12</v>
      </c>
      <c r="M129" s="10" t="s">
        <v>177</v>
      </c>
    </row>
    <row r="130" spans="1:13" x14ac:dyDescent="0.25">
      <c r="A130" s="13" t="str">
        <f t="shared" si="2"/>
        <v>507142416220</v>
      </c>
      <c r="B130" s="10">
        <v>1004052563</v>
      </c>
      <c r="C130" s="10">
        <v>507142416</v>
      </c>
      <c r="D130" s="10">
        <v>220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VLOOKUP(A130,[3]VA05!$A:$K,11,FALSE)</f>
        <v>45587</v>
      </c>
      <c r="L130" s="10" t="s">
        <v>12</v>
      </c>
      <c r="M130" s="10" t="s">
        <v>109</v>
      </c>
    </row>
    <row r="131" spans="1:13" x14ac:dyDescent="0.25">
      <c r="A131" s="13" t="str">
        <f t="shared" si="2"/>
        <v>50714271320</v>
      </c>
      <c r="B131" s="10">
        <v>1004052564</v>
      </c>
      <c r="C131" s="10">
        <v>507142713</v>
      </c>
      <c r="D131" s="10">
        <v>20</v>
      </c>
      <c r="E131" s="10" t="s">
        <v>10</v>
      </c>
      <c r="F131" s="10">
        <v>1171177</v>
      </c>
      <c r="G131" s="10" t="s">
        <v>88</v>
      </c>
      <c r="H131" s="11">
        <v>10170</v>
      </c>
      <c r="I131" s="10">
        <v>0</v>
      </c>
      <c r="J131" s="11">
        <f t="shared" si="3"/>
        <v>10170</v>
      </c>
      <c r="K131" s="12">
        <f>VLOOKUP(A131,[3]VA05!$A:$K,11,FALSE)</f>
        <v>45591</v>
      </c>
      <c r="L131" s="10" t="s">
        <v>12</v>
      </c>
      <c r="M131" s="10" t="s">
        <v>204</v>
      </c>
    </row>
    <row r="132" spans="1:13" x14ac:dyDescent="0.25">
      <c r="A132" s="13" t="str">
        <f t="shared" ref="A132:A195" si="4">C132&amp;D132</f>
        <v>50714271350</v>
      </c>
      <c r="B132" s="10">
        <v>1004052565</v>
      </c>
      <c r="C132" s="10">
        <v>507142713</v>
      </c>
      <c r="D132" s="10">
        <v>50</v>
      </c>
      <c r="E132" s="10" t="s">
        <v>10</v>
      </c>
      <c r="F132" s="10">
        <v>1171177</v>
      </c>
      <c r="G132" s="10" t="s">
        <v>88</v>
      </c>
      <c r="H132" s="11">
        <v>10170</v>
      </c>
      <c r="I132" s="10">
        <v>0</v>
      </c>
      <c r="J132" s="11">
        <f t="shared" ref="J132:J195" si="5">H132-I132</f>
        <v>10170</v>
      </c>
      <c r="K132" s="12">
        <f>VLOOKUP(A132,[3]VA05!$A:$K,11,FALSE)</f>
        <v>45591</v>
      </c>
      <c r="L132" s="10" t="s">
        <v>12</v>
      </c>
      <c r="M132" s="10" t="s">
        <v>204</v>
      </c>
    </row>
    <row r="133" spans="1:13" hidden="1" x14ac:dyDescent="0.25">
      <c r="A133" s="13" t="str">
        <f t="shared" si="4"/>
        <v>507142416220</v>
      </c>
      <c r="B133" s="10">
        <v>1004052611</v>
      </c>
      <c r="C133" s="10">
        <v>507142416</v>
      </c>
      <c r="D133" s="10">
        <v>220</v>
      </c>
      <c r="E133" s="10" t="s">
        <v>10</v>
      </c>
      <c r="F133" s="10">
        <v>1171178</v>
      </c>
      <c r="G133" s="10" t="s">
        <v>87</v>
      </c>
      <c r="H133" s="11">
        <v>10170</v>
      </c>
      <c r="I133" s="11">
        <v>10170</v>
      </c>
      <c r="J133" s="11">
        <f t="shared" si="5"/>
        <v>0</v>
      </c>
      <c r="K133" s="12">
        <f>VLOOKUP(A133,[3]VA05!$A:$K,11,FALSE)</f>
        <v>45587</v>
      </c>
      <c r="L133" s="10" t="s">
        <v>28</v>
      </c>
      <c r="M133" s="10" t="s">
        <v>109</v>
      </c>
    </row>
    <row r="134" spans="1:13" x14ac:dyDescent="0.25">
      <c r="A134" s="13" t="str">
        <f t="shared" si="4"/>
        <v>50714271320</v>
      </c>
      <c r="B134" s="10">
        <v>1004052612</v>
      </c>
      <c r="C134" s="10">
        <v>507142713</v>
      </c>
      <c r="D134" s="10">
        <v>20</v>
      </c>
      <c r="E134" s="10" t="s">
        <v>10</v>
      </c>
      <c r="F134" s="10">
        <v>1171178</v>
      </c>
      <c r="G134" s="10" t="s">
        <v>87</v>
      </c>
      <c r="H134" s="11">
        <v>10170</v>
      </c>
      <c r="I134" s="11">
        <v>4630</v>
      </c>
      <c r="J134" s="11">
        <f t="shared" si="5"/>
        <v>5540</v>
      </c>
      <c r="K134" s="12">
        <f>VLOOKUP(A134,[3]VA05!$A:$K,11,FALSE)</f>
        <v>45591</v>
      </c>
      <c r="L134" s="10" t="s">
        <v>18</v>
      </c>
      <c r="M134" s="10" t="s">
        <v>204</v>
      </c>
    </row>
    <row r="135" spans="1:13" x14ac:dyDescent="0.25">
      <c r="A135" s="13" t="str">
        <f t="shared" si="4"/>
        <v>50714271350</v>
      </c>
      <c r="B135" s="10">
        <v>1004052613</v>
      </c>
      <c r="C135" s="10">
        <v>507142713</v>
      </c>
      <c r="D135" s="10">
        <v>50</v>
      </c>
      <c r="E135" s="10" t="s">
        <v>10</v>
      </c>
      <c r="F135" s="10">
        <v>1171178</v>
      </c>
      <c r="G135" s="10" t="s">
        <v>87</v>
      </c>
      <c r="H135" s="11">
        <v>10170</v>
      </c>
      <c r="I135" s="10">
        <v>0</v>
      </c>
      <c r="J135" s="11">
        <f t="shared" si="5"/>
        <v>10170</v>
      </c>
      <c r="K135" s="12">
        <f>VLOOKUP(A135,[3]VA05!$A:$K,11,FALSE)</f>
        <v>45591</v>
      </c>
      <c r="L135" s="10" t="s">
        <v>12</v>
      </c>
      <c r="M135" s="10" t="s">
        <v>204</v>
      </c>
    </row>
    <row r="136" spans="1:13" x14ac:dyDescent="0.25">
      <c r="A136" s="13" t="str">
        <f t="shared" si="4"/>
        <v>50714262630</v>
      </c>
      <c r="B136" s="10">
        <v>1004052617</v>
      </c>
      <c r="C136" s="10">
        <v>507142626</v>
      </c>
      <c r="D136" s="10">
        <v>30</v>
      </c>
      <c r="E136" s="10" t="s">
        <v>10</v>
      </c>
      <c r="F136" s="10">
        <v>1172030</v>
      </c>
      <c r="G136" s="10" t="s">
        <v>112</v>
      </c>
      <c r="H136" s="11">
        <v>29055</v>
      </c>
      <c r="I136" s="10">
        <v>0</v>
      </c>
      <c r="J136" s="11">
        <f t="shared" si="5"/>
        <v>29055</v>
      </c>
      <c r="K136" s="12">
        <f>VLOOKUP(A136,[3]VA05!$A:$K,11,FALSE)</f>
        <v>45590</v>
      </c>
      <c r="L136" s="10" t="s">
        <v>12</v>
      </c>
      <c r="M136" s="10" t="s">
        <v>154</v>
      </c>
    </row>
    <row r="137" spans="1:13" x14ac:dyDescent="0.25">
      <c r="A137" s="13" t="str">
        <f t="shared" si="4"/>
        <v>50714226520</v>
      </c>
      <c r="B137" s="10">
        <v>1004058766</v>
      </c>
      <c r="C137" s="10">
        <v>507142265</v>
      </c>
      <c r="D137" s="10">
        <v>20</v>
      </c>
      <c r="E137" s="10" t="s">
        <v>10</v>
      </c>
      <c r="F137" s="10">
        <v>1172347</v>
      </c>
      <c r="G137" s="10" t="s">
        <v>237</v>
      </c>
      <c r="H137" s="11">
        <v>40524</v>
      </c>
      <c r="I137" s="11">
        <v>22704</v>
      </c>
      <c r="J137" s="11">
        <f t="shared" si="5"/>
        <v>17820</v>
      </c>
      <c r="K137" s="12">
        <f>VLOOKUP(A137,[3]VA05!$A:$K,11,FALSE)</f>
        <v>45576</v>
      </c>
      <c r="L137" s="10" t="s">
        <v>11</v>
      </c>
      <c r="M137" s="10" t="s">
        <v>197</v>
      </c>
    </row>
    <row r="138" spans="1:13" x14ac:dyDescent="0.25">
      <c r="A138" s="13" t="str">
        <f t="shared" si="4"/>
        <v>50714270920</v>
      </c>
      <c r="B138" s="10">
        <v>1004061878</v>
      </c>
      <c r="C138" s="10">
        <v>507142709</v>
      </c>
      <c r="D138" s="10">
        <v>20</v>
      </c>
      <c r="E138" s="10" t="s">
        <v>10</v>
      </c>
      <c r="F138" s="10">
        <v>1172347</v>
      </c>
      <c r="G138" s="10" t="s">
        <v>237</v>
      </c>
      <c r="H138" s="11">
        <v>30393</v>
      </c>
      <c r="I138" s="10">
        <v>0</v>
      </c>
      <c r="J138" s="11">
        <f t="shared" si="5"/>
        <v>30393</v>
      </c>
      <c r="K138" s="12">
        <f>VLOOKUP(A138,[3]VA05!$A:$K,11,FALSE)</f>
        <v>45583</v>
      </c>
      <c r="L138" s="10" t="s">
        <v>13</v>
      </c>
      <c r="M138" s="10" t="s">
        <v>162</v>
      </c>
    </row>
    <row r="139" spans="1:13" x14ac:dyDescent="0.25">
      <c r="A139" s="13" t="str">
        <f t="shared" si="4"/>
        <v>50714271020</v>
      </c>
      <c r="B139" s="10">
        <v>1004061879</v>
      </c>
      <c r="C139" s="10">
        <v>507142710</v>
      </c>
      <c r="D139" s="10">
        <v>20</v>
      </c>
      <c r="E139" s="10" t="s">
        <v>10</v>
      </c>
      <c r="F139" s="10">
        <v>1172347</v>
      </c>
      <c r="G139" s="10" t="s">
        <v>237</v>
      </c>
      <c r="H139" s="11">
        <v>30393</v>
      </c>
      <c r="I139" s="10">
        <v>0</v>
      </c>
      <c r="J139" s="11">
        <f t="shared" si="5"/>
        <v>30393</v>
      </c>
      <c r="K139" s="12">
        <f>VLOOKUP(A139,[3]VA05!$A:$K,11,FALSE)</f>
        <v>45596</v>
      </c>
      <c r="L139" s="10" t="s">
        <v>12</v>
      </c>
      <c r="M139" s="10" t="s">
        <v>199</v>
      </c>
    </row>
    <row r="140" spans="1:13" hidden="1" x14ac:dyDescent="0.25">
      <c r="A140" s="13" t="str">
        <f t="shared" si="4"/>
        <v>50714170530</v>
      </c>
      <c r="B140" s="10">
        <v>1003946987</v>
      </c>
      <c r="C140" s="10">
        <v>507141705</v>
      </c>
      <c r="D140" s="10">
        <v>30</v>
      </c>
      <c r="E140" s="10" t="s">
        <v>10</v>
      </c>
      <c r="F140" s="10">
        <v>1167579</v>
      </c>
      <c r="G140" s="10" t="s">
        <v>19</v>
      </c>
      <c r="H140" s="11">
        <v>10195</v>
      </c>
      <c r="I140" s="10">
        <v>0</v>
      </c>
      <c r="J140" s="11">
        <f t="shared" si="5"/>
        <v>10195</v>
      </c>
      <c r="K140" s="12" t="e">
        <f>VLOOKUP(A140,[3]VA05!$A:$K,11,FALSE)</f>
        <v>#N/A</v>
      </c>
      <c r="L140" s="10" t="s">
        <v>260</v>
      </c>
      <c r="M140" s="10" t="s">
        <v>270</v>
      </c>
    </row>
    <row r="141" spans="1:13" x14ac:dyDescent="0.25">
      <c r="A141" s="13" t="str">
        <f t="shared" si="4"/>
        <v>50714276920</v>
      </c>
      <c r="B141" s="10">
        <v>1004054833</v>
      </c>
      <c r="C141" s="10">
        <v>507142769</v>
      </c>
      <c r="D141" s="10">
        <v>20</v>
      </c>
      <c r="E141" s="10" t="s">
        <v>10</v>
      </c>
      <c r="F141" s="10">
        <v>1173995</v>
      </c>
      <c r="G141" s="10" t="s">
        <v>20</v>
      </c>
      <c r="H141" s="11">
        <v>34793</v>
      </c>
      <c r="I141" s="11">
        <v>4400</v>
      </c>
      <c r="J141" s="11">
        <f t="shared" si="5"/>
        <v>30393</v>
      </c>
      <c r="K141" s="12">
        <f>VLOOKUP(A141,[3]VA05!$A:$K,11,FALSE)</f>
        <v>45575</v>
      </c>
      <c r="L141" s="10" t="s">
        <v>18</v>
      </c>
      <c r="M141" s="10" t="s">
        <v>201</v>
      </c>
    </row>
    <row r="142" spans="1:13" x14ac:dyDescent="0.25">
      <c r="A142" s="13" t="str">
        <f t="shared" si="4"/>
        <v>50714262610</v>
      </c>
      <c r="B142" s="10">
        <v>1004050514</v>
      </c>
      <c r="C142" s="10">
        <v>507142626</v>
      </c>
      <c r="D142" s="10">
        <v>10</v>
      </c>
      <c r="E142" s="10" t="s">
        <v>10</v>
      </c>
      <c r="F142" s="10">
        <v>1212641</v>
      </c>
      <c r="G142" s="10" t="s">
        <v>99</v>
      </c>
      <c r="H142" s="11">
        <v>25858</v>
      </c>
      <c r="I142" s="10">
        <v>0</v>
      </c>
      <c r="J142" s="11">
        <f t="shared" si="5"/>
        <v>25858</v>
      </c>
      <c r="K142" s="12">
        <f>VLOOKUP(A142,[3]VA05!$A:$K,11,FALSE)</f>
        <v>45590</v>
      </c>
      <c r="L142" s="10" t="s">
        <v>27</v>
      </c>
      <c r="M142" s="10" t="s">
        <v>162</v>
      </c>
    </row>
    <row r="143" spans="1:13" hidden="1" x14ac:dyDescent="0.25">
      <c r="A143" s="13" t="str">
        <f t="shared" si="4"/>
        <v>50714201220</v>
      </c>
      <c r="B143" s="10">
        <v>1003980075</v>
      </c>
      <c r="C143" s="10">
        <v>507142012</v>
      </c>
      <c r="D143" s="10">
        <v>20</v>
      </c>
      <c r="E143" s="10" t="s">
        <v>24</v>
      </c>
      <c r="F143" s="10">
        <v>1171484</v>
      </c>
      <c r="G143" s="10" t="s">
        <v>271</v>
      </c>
      <c r="H143" s="11">
        <v>4000</v>
      </c>
      <c r="I143" s="10">
        <v>0</v>
      </c>
      <c r="J143" s="11">
        <f t="shared" si="5"/>
        <v>4000</v>
      </c>
      <c r="K143" s="12" t="e">
        <f>VLOOKUP(A143,[3]VA05!$A:$K,11,FALSE)</f>
        <v>#N/A</v>
      </c>
      <c r="L143" s="10" t="s">
        <v>260</v>
      </c>
      <c r="M143" s="10" t="s">
        <v>272</v>
      </c>
    </row>
    <row r="144" spans="1:13" x14ac:dyDescent="0.25">
      <c r="A144" s="13" t="str">
        <f t="shared" si="4"/>
        <v>50714271010</v>
      </c>
      <c r="B144" s="10">
        <v>1004058763</v>
      </c>
      <c r="C144" s="10">
        <v>507142710</v>
      </c>
      <c r="D144" s="10">
        <v>10</v>
      </c>
      <c r="E144" s="10" t="s">
        <v>10</v>
      </c>
      <c r="F144" s="10">
        <v>1172346</v>
      </c>
      <c r="G144" s="10" t="s">
        <v>158</v>
      </c>
      <c r="H144" s="11">
        <v>34782</v>
      </c>
      <c r="I144" s="11">
        <v>3861</v>
      </c>
      <c r="J144" s="11">
        <f t="shared" si="5"/>
        <v>30921</v>
      </c>
      <c r="K144" s="12">
        <f>VLOOKUP(A144,[3]VA05!$A:$K,11,FALSE)</f>
        <v>45596</v>
      </c>
      <c r="L144" s="10" t="s">
        <v>18</v>
      </c>
      <c r="M144" s="10" t="s">
        <v>176</v>
      </c>
    </row>
    <row r="145" spans="1:13" x14ac:dyDescent="0.25">
      <c r="A145" s="13" t="str">
        <f t="shared" si="4"/>
        <v>50714239710</v>
      </c>
      <c r="B145" s="10">
        <v>1004054834</v>
      </c>
      <c r="C145" s="10">
        <v>507142397</v>
      </c>
      <c r="D145" s="10">
        <v>10</v>
      </c>
      <c r="E145" s="10" t="s">
        <v>10</v>
      </c>
      <c r="F145" s="10">
        <v>1195537</v>
      </c>
      <c r="G145" s="10" t="s">
        <v>220</v>
      </c>
      <c r="H145" s="11">
        <v>62346</v>
      </c>
      <c r="I145" s="10">
        <v>0</v>
      </c>
      <c r="J145" s="11">
        <f t="shared" si="5"/>
        <v>62346</v>
      </c>
      <c r="K145" s="12">
        <f>VLOOKUP(A145,[3]VA05!$A:$K,11,FALSE)</f>
        <v>45579</v>
      </c>
      <c r="L145" s="10" t="s">
        <v>13</v>
      </c>
      <c r="M145" s="10" t="s">
        <v>162</v>
      </c>
    </row>
    <row r="146" spans="1:13" x14ac:dyDescent="0.25">
      <c r="A146" s="13" t="str">
        <f t="shared" si="4"/>
        <v>50714247910</v>
      </c>
      <c r="B146" s="10">
        <v>1004054835</v>
      </c>
      <c r="C146" s="10">
        <v>507142479</v>
      </c>
      <c r="D146" s="10">
        <v>10</v>
      </c>
      <c r="E146" s="10" t="s">
        <v>10</v>
      </c>
      <c r="F146" s="10">
        <v>1195537</v>
      </c>
      <c r="G146" s="10" t="s">
        <v>220</v>
      </c>
      <c r="H146" s="11">
        <v>52994</v>
      </c>
      <c r="I146" s="10">
        <v>0</v>
      </c>
      <c r="J146" s="11">
        <f t="shared" si="5"/>
        <v>52994</v>
      </c>
      <c r="K146" s="12">
        <f>VLOOKUP(A146,[3]VA05!$A:$K,11,FALSE)</f>
        <v>45587</v>
      </c>
      <c r="L146" s="10" t="s">
        <v>12</v>
      </c>
      <c r="M146" s="10" t="s">
        <v>155</v>
      </c>
    </row>
    <row r="147" spans="1:13" x14ac:dyDescent="0.25">
      <c r="A147" s="13" t="str">
        <f t="shared" si="4"/>
        <v>50714248010</v>
      </c>
      <c r="B147" s="10">
        <v>1004052386</v>
      </c>
      <c r="C147" s="10">
        <v>507142480</v>
      </c>
      <c r="D147" s="10">
        <v>10</v>
      </c>
      <c r="E147" s="10" t="s">
        <v>10</v>
      </c>
      <c r="F147" s="10">
        <v>1191883</v>
      </c>
      <c r="G147" s="10" t="s">
        <v>125</v>
      </c>
      <c r="H147" s="11">
        <v>57584</v>
      </c>
      <c r="I147" s="11">
        <v>42089</v>
      </c>
      <c r="J147" s="11">
        <f t="shared" si="5"/>
        <v>15495</v>
      </c>
      <c r="K147" s="12">
        <f>VLOOKUP(A147,[3]VA05!$A:$K,11,FALSE)</f>
        <v>45587</v>
      </c>
      <c r="L147" s="10" t="s">
        <v>18</v>
      </c>
      <c r="M147" s="10" t="s">
        <v>195</v>
      </c>
    </row>
    <row r="148" spans="1:13" x14ac:dyDescent="0.25">
      <c r="A148" s="13" t="str">
        <f t="shared" si="4"/>
        <v>50714248010</v>
      </c>
      <c r="B148" s="10">
        <v>1004042840</v>
      </c>
      <c r="C148" s="10">
        <v>507142480</v>
      </c>
      <c r="D148" s="10">
        <v>10</v>
      </c>
      <c r="E148" s="10" t="s">
        <v>10</v>
      </c>
      <c r="F148" s="10">
        <v>1191882</v>
      </c>
      <c r="G148" s="10" t="s">
        <v>137</v>
      </c>
      <c r="H148" s="11">
        <v>51677</v>
      </c>
      <c r="I148" s="11">
        <v>43905</v>
      </c>
      <c r="J148" s="11">
        <f t="shared" si="5"/>
        <v>7772</v>
      </c>
      <c r="K148" s="12">
        <f>VLOOKUP(A148,[3]VA05!$A:$K,11,FALSE)</f>
        <v>45587</v>
      </c>
      <c r="L148" s="10" t="s">
        <v>11</v>
      </c>
      <c r="M148" s="10" t="s">
        <v>178</v>
      </c>
    </row>
    <row r="149" spans="1:13" hidden="1" x14ac:dyDescent="0.25">
      <c r="A149" s="13" t="str">
        <f t="shared" si="4"/>
        <v>50714248010</v>
      </c>
      <c r="B149" s="10">
        <v>1004062060</v>
      </c>
      <c r="C149" s="10">
        <v>507142480</v>
      </c>
      <c r="D149" s="10">
        <v>10</v>
      </c>
      <c r="E149" s="10" t="s">
        <v>24</v>
      </c>
      <c r="F149" s="10">
        <v>1191889</v>
      </c>
      <c r="G149" s="10" t="s">
        <v>126</v>
      </c>
      <c r="H149" s="11">
        <v>5000</v>
      </c>
      <c r="I149" s="10">
        <v>0</v>
      </c>
      <c r="J149" s="11">
        <f t="shared" si="5"/>
        <v>5000</v>
      </c>
      <c r="K149" s="12">
        <f>VLOOKUP(A149,[3]VA05!$A:$K,11,FALSE)</f>
        <v>45587</v>
      </c>
      <c r="L149" s="10" t="s">
        <v>27</v>
      </c>
      <c r="M149" s="10" t="s">
        <v>162</v>
      </c>
    </row>
    <row r="150" spans="1:13" hidden="1" x14ac:dyDescent="0.25">
      <c r="A150" s="13" t="str">
        <f t="shared" si="4"/>
        <v>50714223250</v>
      </c>
      <c r="B150" s="10">
        <v>1004029422</v>
      </c>
      <c r="C150" s="10">
        <v>507142232</v>
      </c>
      <c r="D150" s="10">
        <v>50</v>
      </c>
      <c r="E150" s="10" t="s">
        <v>24</v>
      </c>
      <c r="F150" s="10">
        <v>1317217</v>
      </c>
      <c r="G150" s="10" t="s">
        <v>273</v>
      </c>
      <c r="H150" s="11">
        <v>12500</v>
      </c>
      <c r="I150" s="10">
        <v>0</v>
      </c>
      <c r="J150" s="11">
        <f t="shared" si="5"/>
        <v>12500</v>
      </c>
      <c r="K150" s="12" t="e">
        <f>VLOOKUP(A150,[3]VA05!$A:$K,11,FALSE)</f>
        <v>#N/A</v>
      </c>
      <c r="L150" s="10" t="s">
        <v>260</v>
      </c>
      <c r="M150" s="10" t="s">
        <v>274</v>
      </c>
    </row>
    <row r="151" spans="1:13" x14ac:dyDescent="0.25">
      <c r="A151" s="13" t="str">
        <f t="shared" si="4"/>
        <v>50714278320</v>
      </c>
      <c r="B151" s="10">
        <v>1004056039</v>
      </c>
      <c r="C151" s="10">
        <v>507142783</v>
      </c>
      <c r="D151" s="10">
        <v>20</v>
      </c>
      <c r="E151" s="10" t="s">
        <v>10</v>
      </c>
      <c r="F151" s="10">
        <v>1161035</v>
      </c>
      <c r="G151" s="10" t="s">
        <v>222</v>
      </c>
      <c r="H151" s="11">
        <v>25747</v>
      </c>
      <c r="I151" s="10">
        <v>0</v>
      </c>
      <c r="J151" s="11">
        <f t="shared" si="5"/>
        <v>25747</v>
      </c>
      <c r="K151" s="12">
        <f>VLOOKUP(A151,[3]VA05!$A:$K,11,FALSE)</f>
        <v>45582</v>
      </c>
      <c r="L151" s="10" t="s">
        <v>13</v>
      </c>
      <c r="M151" s="10" t="s">
        <v>202</v>
      </c>
    </row>
    <row r="152" spans="1:13" x14ac:dyDescent="0.25">
      <c r="A152" s="13" t="str">
        <f t="shared" si="4"/>
        <v>50714271610</v>
      </c>
      <c r="B152" s="10">
        <v>1004056047</v>
      </c>
      <c r="C152" s="10">
        <v>507142716</v>
      </c>
      <c r="D152" s="10">
        <v>10</v>
      </c>
      <c r="E152" s="10" t="s">
        <v>10</v>
      </c>
      <c r="F152" s="10">
        <v>1159340</v>
      </c>
      <c r="G152" s="10" t="s">
        <v>223</v>
      </c>
      <c r="H152" s="11">
        <v>18391</v>
      </c>
      <c r="I152" s="10">
        <v>0</v>
      </c>
      <c r="J152" s="11">
        <f t="shared" si="5"/>
        <v>18391</v>
      </c>
      <c r="K152" s="12">
        <f>VLOOKUP(A152,[3]VA05!$A:$K,11,FALSE)</f>
        <v>45569</v>
      </c>
      <c r="L152" s="10" t="s">
        <v>13</v>
      </c>
      <c r="M152" s="10" t="s">
        <v>180</v>
      </c>
    </row>
    <row r="153" spans="1:13" x14ac:dyDescent="0.25">
      <c r="A153" s="13" t="str">
        <f t="shared" si="4"/>
        <v>50714279710</v>
      </c>
      <c r="B153" s="10">
        <v>1004058006</v>
      </c>
      <c r="C153" s="10">
        <v>507142797</v>
      </c>
      <c r="D153" s="10">
        <v>10</v>
      </c>
      <c r="E153" s="10" t="s">
        <v>10</v>
      </c>
      <c r="F153" s="10">
        <v>1161417</v>
      </c>
      <c r="G153" s="10" t="s">
        <v>228</v>
      </c>
      <c r="H153" s="11">
        <v>25543</v>
      </c>
      <c r="I153" s="10">
        <v>0</v>
      </c>
      <c r="J153" s="11">
        <f t="shared" si="5"/>
        <v>25543</v>
      </c>
      <c r="K153" s="12">
        <f>VLOOKUP(A153,[3]VA05!$A:$K,11,FALSE)</f>
        <v>45588</v>
      </c>
      <c r="L153" s="10" t="s">
        <v>13</v>
      </c>
      <c r="M153" s="10" t="s">
        <v>177</v>
      </c>
    </row>
    <row r="154" spans="1:13" x14ac:dyDescent="0.25">
      <c r="A154" s="13" t="str">
        <f t="shared" si="4"/>
        <v>50714278110</v>
      </c>
      <c r="B154" s="10">
        <v>1004058007</v>
      </c>
      <c r="C154" s="10">
        <v>507142781</v>
      </c>
      <c r="D154" s="10">
        <v>10</v>
      </c>
      <c r="E154" s="10" t="s">
        <v>10</v>
      </c>
      <c r="F154" s="10">
        <v>1161417</v>
      </c>
      <c r="G154" s="10" t="s">
        <v>228</v>
      </c>
      <c r="H154" s="11">
        <v>5109</v>
      </c>
      <c r="I154" s="10">
        <v>0</v>
      </c>
      <c r="J154" s="11">
        <f t="shared" si="5"/>
        <v>5109</v>
      </c>
      <c r="K154" s="12">
        <f>VLOOKUP(A154,[3]VA05!$A:$K,11,FALSE)</f>
        <v>45595</v>
      </c>
      <c r="L154" s="10" t="s">
        <v>13</v>
      </c>
      <c r="M154" s="10" t="s">
        <v>196</v>
      </c>
    </row>
    <row r="155" spans="1:13" x14ac:dyDescent="0.25">
      <c r="A155" s="13" t="str">
        <f t="shared" si="4"/>
        <v>50714271120</v>
      </c>
      <c r="B155" s="10">
        <v>1004058008</v>
      </c>
      <c r="C155" s="10">
        <v>507142711</v>
      </c>
      <c r="D155" s="10">
        <v>20</v>
      </c>
      <c r="E155" s="10" t="s">
        <v>10</v>
      </c>
      <c r="F155" s="10">
        <v>1161417</v>
      </c>
      <c r="G155" s="10" t="s">
        <v>228</v>
      </c>
      <c r="H155" s="11">
        <v>6845</v>
      </c>
      <c r="I155" s="10">
        <v>0</v>
      </c>
      <c r="J155" s="11">
        <f t="shared" si="5"/>
        <v>6845</v>
      </c>
      <c r="K155" s="12">
        <f>VLOOKUP(A155,[3]VA05!$A:$K,11,FALSE)</f>
        <v>45565</v>
      </c>
      <c r="L155" s="10" t="s">
        <v>12</v>
      </c>
      <c r="M155" s="10" t="s">
        <v>155</v>
      </c>
    </row>
    <row r="156" spans="1:13" x14ac:dyDescent="0.25">
      <c r="A156" s="13" t="str">
        <f t="shared" si="4"/>
        <v>50714244520</v>
      </c>
      <c r="B156" s="10">
        <v>1004053208</v>
      </c>
      <c r="C156" s="10">
        <v>507142445</v>
      </c>
      <c r="D156" s="10">
        <v>20</v>
      </c>
      <c r="E156" s="10" t="s">
        <v>10</v>
      </c>
      <c r="F156" s="10">
        <v>1210955</v>
      </c>
      <c r="G156" s="10" t="s">
        <v>215</v>
      </c>
      <c r="H156" s="11">
        <v>53210</v>
      </c>
      <c r="I156" s="10">
        <v>0</v>
      </c>
      <c r="J156" s="11">
        <f t="shared" si="5"/>
        <v>53210</v>
      </c>
      <c r="K156" s="12">
        <f>VLOOKUP(A156,[3]VA05!$A:$K,11,FALSE)</f>
        <v>45595</v>
      </c>
      <c r="L156" s="10" t="s">
        <v>239</v>
      </c>
      <c r="M156" s="10" t="s">
        <v>216</v>
      </c>
    </row>
    <row r="157" spans="1:13" x14ac:dyDescent="0.25">
      <c r="A157" s="13" t="str">
        <f t="shared" si="4"/>
        <v>50714244520</v>
      </c>
      <c r="B157" s="10">
        <v>1004052416</v>
      </c>
      <c r="C157" s="10">
        <v>507142445</v>
      </c>
      <c r="D157" s="10">
        <v>20</v>
      </c>
      <c r="E157" s="10" t="s">
        <v>10</v>
      </c>
      <c r="F157" s="10">
        <v>1259266</v>
      </c>
      <c r="G157" s="10" t="s">
        <v>64</v>
      </c>
      <c r="H157" s="11">
        <v>51912</v>
      </c>
      <c r="I157" s="10">
        <v>0</v>
      </c>
      <c r="J157" s="11">
        <f t="shared" si="5"/>
        <v>51912</v>
      </c>
      <c r="K157" s="12">
        <f>VLOOKUP(A157,[3]VA05!$A:$K,11,FALSE)</f>
        <v>45595</v>
      </c>
      <c r="L157" s="10" t="s">
        <v>239</v>
      </c>
      <c r="M157" s="10" t="s">
        <v>199</v>
      </c>
    </row>
    <row r="158" spans="1:13" x14ac:dyDescent="0.25">
      <c r="A158" s="13" t="str">
        <f t="shared" si="4"/>
        <v>50714244520</v>
      </c>
      <c r="B158" s="10">
        <v>1004052417</v>
      </c>
      <c r="C158" s="10">
        <v>507142445</v>
      </c>
      <c r="D158" s="10">
        <v>20</v>
      </c>
      <c r="E158" s="10" t="s">
        <v>10</v>
      </c>
      <c r="F158" s="10">
        <v>1259265</v>
      </c>
      <c r="G158" s="10" t="s">
        <v>187</v>
      </c>
      <c r="H158" s="11">
        <v>53210</v>
      </c>
      <c r="I158" s="10">
        <v>0</v>
      </c>
      <c r="J158" s="11">
        <f t="shared" si="5"/>
        <v>53210</v>
      </c>
      <c r="K158" s="12">
        <f>VLOOKUP(A158,[3]VA05!$A:$K,11,FALSE)</f>
        <v>45595</v>
      </c>
      <c r="L158" s="10" t="s">
        <v>12</v>
      </c>
      <c r="M158" s="10" t="s">
        <v>202</v>
      </c>
    </row>
    <row r="159" spans="1:13" hidden="1" x14ac:dyDescent="0.25">
      <c r="A159" s="13" t="str">
        <f t="shared" si="4"/>
        <v>50714264710</v>
      </c>
      <c r="B159" s="10">
        <v>1004045115</v>
      </c>
      <c r="C159" s="10">
        <v>507142647</v>
      </c>
      <c r="D159" s="10">
        <v>10</v>
      </c>
      <c r="E159" s="10" t="s">
        <v>10</v>
      </c>
      <c r="F159" s="10">
        <v>1168128</v>
      </c>
      <c r="G159" s="10" t="s">
        <v>77</v>
      </c>
      <c r="H159" s="11">
        <v>54355</v>
      </c>
      <c r="I159" s="11">
        <v>54355</v>
      </c>
      <c r="J159" s="11">
        <f t="shared" si="5"/>
        <v>0</v>
      </c>
      <c r="K159" s="12">
        <f>VLOOKUP(A159,[3]VA05!$A:$K,11,FALSE)</f>
        <v>45565</v>
      </c>
      <c r="L159" s="10" t="s">
        <v>28</v>
      </c>
      <c r="M159" s="10" t="s">
        <v>154</v>
      </c>
    </row>
    <row r="160" spans="1:13" x14ac:dyDescent="0.25">
      <c r="A160" s="13" t="str">
        <f t="shared" si="4"/>
        <v>50714278810</v>
      </c>
      <c r="B160" s="10">
        <v>1004053488</v>
      </c>
      <c r="C160" s="10">
        <v>507142788</v>
      </c>
      <c r="D160" s="10">
        <v>10</v>
      </c>
      <c r="E160" s="10" t="s">
        <v>10</v>
      </c>
      <c r="F160" s="10">
        <v>1168128</v>
      </c>
      <c r="G160" s="10" t="s">
        <v>77</v>
      </c>
      <c r="H160" s="11">
        <v>56529</v>
      </c>
      <c r="I160" s="10">
        <v>0</v>
      </c>
      <c r="J160" s="11">
        <f t="shared" si="5"/>
        <v>56529</v>
      </c>
      <c r="K160" s="12">
        <f>VLOOKUP(A160,[3]VA05!$A:$K,11,FALSE)</f>
        <v>45582</v>
      </c>
      <c r="L160" s="10" t="s">
        <v>12</v>
      </c>
      <c r="M160" s="10" t="s">
        <v>162</v>
      </c>
    </row>
    <row r="161" spans="1:13" x14ac:dyDescent="0.25">
      <c r="A161" s="13" t="str">
        <f t="shared" si="4"/>
        <v>50714264830</v>
      </c>
      <c r="B161" s="10">
        <v>1004062197</v>
      </c>
      <c r="C161" s="10">
        <v>507142648</v>
      </c>
      <c r="D161" s="10">
        <v>30</v>
      </c>
      <c r="E161" s="10" t="s">
        <v>10</v>
      </c>
      <c r="F161" s="10">
        <v>1168128</v>
      </c>
      <c r="G161" s="10" t="s">
        <v>77</v>
      </c>
      <c r="H161" s="11">
        <v>40343</v>
      </c>
      <c r="I161" s="10">
        <v>0</v>
      </c>
      <c r="J161" s="11">
        <f t="shared" si="5"/>
        <v>40343</v>
      </c>
      <c r="K161" s="12">
        <f>VLOOKUP(A161,[3]VA05!$A:$K,11,FALSE)</f>
        <v>45581</v>
      </c>
      <c r="L161" s="10" t="s">
        <v>12</v>
      </c>
      <c r="M161" s="10" t="s">
        <v>197</v>
      </c>
    </row>
    <row r="162" spans="1:13" x14ac:dyDescent="0.25">
      <c r="A162" s="13" t="str">
        <f t="shared" si="4"/>
        <v>50714268910</v>
      </c>
      <c r="B162" s="10">
        <v>1004062199</v>
      </c>
      <c r="C162" s="10">
        <v>507142689</v>
      </c>
      <c r="D162" s="10">
        <v>10</v>
      </c>
      <c r="E162" s="10" t="s">
        <v>10</v>
      </c>
      <c r="F162" s="10">
        <v>1168128</v>
      </c>
      <c r="G162" s="10" t="s">
        <v>77</v>
      </c>
      <c r="H162" s="11">
        <v>23177</v>
      </c>
      <c r="I162" s="10">
        <v>0</v>
      </c>
      <c r="J162" s="11">
        <f t="shared" si="5"/>
        <v>23177</v>
      </c>
      <c r="K162" s="12">
        <f>VLOOKUP(A162,[3]VA05!$A:$K,11,FALSE)</f>
        <v>45558</v>
      </c>
      <c r="L162" s="10" t="s">
        <v>25</v>
      </c>
      <c r="M162" s="10" t="s">
        <v>162</v>
      </c>
    </row>
    <row r="163" spans="1:13" x14ac:dyDescent="0.25">
      <c r="A163" s="13" t="str">
        <f t="shared" si="4"/>
        <v>50714282810</v>
      </c>
      <c r="B163" s="10">
        <v>1004062200</v>
      </c>
      <c r="C163" s="10">
        <v>507142828</v>
      </c>
      <c r="D163" s="10">
        <v>10</v>
      </c>
      <c r="E163" s="10" t="s">
        <v>10</v>
      </c>
      <c r="F163" s="10">
        <v>1168128</v>
      </c>
      <c r="G163" s="10" t="s">
        <v>77</v>
      </c>
      <c r="H163" s="11">
        <v>122842</v>
      </c>
      <c r="I163" s="10">
        <v>0</v>
      </c>
      <c r="J163" s="11">
        <f t="shared" si="5"/>
        <v>122842</v>
      </c>
      <c r="K163" s="12">
        <f>VLOOKUP(A163,[3]VA05!$A:$K,11,FALSE)</f>
        <v>45588</v>
      </c>
      <c r="L163" s="10" t="s">
        <v>12</v>
      </c>
      <c r="M163" s="10" t="s">
        <v>197</v>
      </c>
    </row>
    <row r="164" spans="1:13" x14ac:dyDescent="0.25">
      <c r="A164" s="13" t="str">
        <f t="shared" si="4"/>
        <v>50714264910</v>
      </c>
      <c r="B164" s="10">
        <v>1004038445</v>
      </c>
      <c r="C164" s="10">
        <v>507142649</v>
      </c>
      <c r="D164" s="10">
        <v>10</v>
      </c>
      <c r="E164" s="10" t="s">
        <v>10</v>
      </c>
      <c r="F164" s="10">
        <v>1168125</v>
      </c>
      <c r="G164" s="10" t="s">
        <v>32</v>
      </c>
      <c r="H164" s="11">
        <v>51094</v>
      </c>
      <c r="I164" s="11">
        <v>46617</v>
      </c>
      <c r="J164" s="11">
        <f t="shared" si="5"/>
        <v>4477</v>
      </c>
      <c r="K164" s="12" t="e">
        <f>VLOOKUP(A164,[3]VA05!$A:$K,11,FALSE)</f>
        <v>#N/A</v>
      </c>
      <c r="L164" s="10" t="s">
        <v>18</v>
      </c>
      <c r="M164" s="10" t="s">
        <v>154</v>
      </c>
    </row>
    <row r="165" spans="1:13" x14ac:dyDescent="0.25">
      <c r="A165" s="13" t="str">
        <f t="shared" si="4"/>
        <v>50714278810</v>
      </c>
      <c r="B165" s="10">
        <v>1004062042</v>
      </c>
      <c r="C165" s="10">
        <v>507142788</v>
      </c>
      <c r="D165" s="10">
        <v>10</v>
      </c>
      <c r="E165" s="10" t="s">
        <v>10</v>
      </c>
      <c r="F165" s="10">
        <v>1168125</v>
      </c>
      <c r="G165" s="10" t="s">
        <v>32</v>
      </c>
      <c r="H165" s="11">
        <v>56529</v>
      </c>
      <c r="I165" s="10">
        <v>0</v>
      </c>
      <c r="J165" s="11">
        <f t="shared" si="5"/>
        <v>56529</v>
      </c>
      <c r="K165" s="12">
        <f>VLOOKUP(A165,[3]VA05!$A:$K,11,FALSE)</f>
        <v>45582</v>
      </c>
      <c r="L165" s="10" t="s">
        <v>56</v>
      </c>
      <c r="M165" s="10" t="s">
        <v>162</v>
      </c>
    </row>
    <row r="166" spans="1:13" x14ac:dyDescent="0.25">
      <c r="A166" s="13" t="str">
        <f t="shared" si="4"/>
        <v>50714282810</v>
      </c>
      <c r="B166" s="10">
        <v>1004062043</v>
      </c>
      <c r="C166" s="10">
        <v>507142828</v>
      </c>
      <c r="D166" s="10">
        <v>10</v>
      </c>
      <c r="E166" s="10" t="s">
        <v>10</v>
      </c>
      <c r="F166" s="10">
        <v>1168125</v>
      </c>
      <c r="G166" s="10" t="s">
        <v>32</v>
      </c>
      <c r="H166" s="11">
        <v>122842</v>
      </c>
      <c r="I166" s="10">
        <v>0</v>
      </c>
      <c r="J166" s="11">
        <f t="shared" si="5"/>
        <v>122842</v>
      </c>
      <c r="K166" s="12">
        <f>VLOOKUP(A166,[3]VA05!$A:$K,11,FALSE)</f>
        <v>45588</v>
      </c>
      <c r="L166" s="10" t="s">
        <v>12</v>
      </c>
      <c r="M166" s="10" t="s">
        <v>197</v>
      </c>
    </row>
    <row r="167" spans="1:13" x14ac:dyDescent="0.25">
      <c r="A167" s="13" t="str">
        <f t="shared" si="4"/>
        <v>50714268810</v>
      </c>
      <c r="B167" s="10">
        <v>1004051400</v>
      </c>
      <c r="C167" s="10">
        <v>507142688</v>
      </c>
      <c r="D167" s="10">
        <v>10</v>
      </c>
      <c r="E167" s="10" t="s">
        <v>10</v>
      </c>
      <c r="F167" s="10">
        <v>1430111</v>
      </c>
      <c r="G167" s="10" t="s">
        <v>101</v>
      </c>
      <c r="H167" s="11">
        <v>122842</v>
      </c>
      <c r="I167" s="11">
        <v>86416</v>
      </c>
      <c r="J167" s="11">
        <f t="shared" si="5"/>
        <v>36426</v>
      </c>
      <c r="K167" s="12">
        <f>VLOOKUP(A167,[3]VA05!$A:$K,11,FALSE)</f>
        <v>45567</v>
      </c>
      <c r="L167" s="10" t="s">
        <v>18</v>
      </c>
      <c r="M167" s="10" t="s">
        <v>107</v>
      </c>
    </row>
    <row r="168" spans="1:13" x14ac:dyDescent="0.25">
      <c r="A168" s="13" t="str">
        <f t="shared" si="4"/>
        <v>50714281910</v>
      </c>
      <c r="B168" s="10">
        <v>1004062796</v>
      </c>
      <c r="C168" s="10">
        <v>507142819</v>
      </c>
      <c r="D168" s="10">
        <v>10</v>
      </c>
      <c r="E168" s="10" t="s">
        <v>10</v>
      </c>
      <c r="F168" s="10">
        <v>1402677</v>
      </c>
      <c r="G168" s="10" t="s">
        <v>296</v>
      </c>
      <c r="H168" s="11">
        <v>10871</v>
      </c>
      <c r="I168" s="10">
        <v>0</v>
      </c>
      <c r="J168" s="11">
        <f t="shared" si="5"/>
        <v>10871</v>
      </c>
      <c r="K168" s="12">
        <f>VLOOKUP(A168,[3]VA05!$A:$K,11,FALSE)</f>
        <v>45581</v>
      </c>
      <c r="L168" s="10" t="s">
        <v>12</v>
      </c>
      <c r="M168" s="10" t="s">
        <v>157</v>
      </c>
    </row>
    <row r="169" spans="1:13" x14ac:dyDescent="0.25">
      <c r="A169" s="13" t="str">
        <f t="shared" si="4"/>
        <v>50714239390</v>
      </c>
      <c r="B169" s="10">
        <v>1004032826</v>
      </c>
      <c r="C169" s="10">
        <v>507142393</v>
      </c>
      <c r="D169" s="10">
        <v>90</v>
      </c>
      <c r="E169" s="10" t="s">
        <v>10</v>
      </c>
      <c r="F169" s="10">
        <v>1416752</v>
      </c>
      <c r="G169" s="10" t="s">
        <v>52</v>
      </c>
      <c r="H169" s="11">
        <v>47012</v>
      </c>
      <c r="I169" s="11">
        <v>38740</v>
      </c>
      <c r="J169" s="11">
        <f t="shared" si="5"/>
        <v>8272</v>
      </c>
      <c r="K169" s="12" t="e">
        <f>VLOOKUP(A169,[3]VA05!$A:$K,11,FALSE)</f>
        <v>#N/A</v>
      </c>
      <c r="L169" s="10" t="s">
        <v>11</v>
      </c>
      <c r="M169" s="10" t="s">
        <v>73</v>
      </c>
    </row>
    <row r="170" spans="1:13" x14ac:dyDescent="0.25">
      <c r="A170" s="13" t="str">
        <f t="shared" si="4"/>
        <v>507142416150</v>
      </c>
      <c r="B170" s="10">
        <v>1004052419</v>
      </c>
      <c r="C170" s="10">
        <v>507142416</v>
      </c>
      <c r="D170" s="10">
        <v>150</v>
      </c>
      <c r="E170" s="10" t="s">
        <v>10</v>
      </c>
      <c r="F170" s="10">
        <v>1269350</v>
      </c>
      <c r="G170" s="10" t="s">
        <v>188</v>
      </c>
      <c r="H170" s="11">
        <v>10439</v>
      </c>
      <c r="I170" s="10">
        <v>0</v>
      </c>
      <c r="J170" s="11">
        <f t="shared" si="5"/>
        <v>10439</v>
      </c>
      <c r="K170" s="12">
        <f>VLOOKUP(A170,[3]VA05!$A:$K,11,FALSE)</f>
        <v>45576</v>
      </c>
      <c r="L170" s="10" t="s">
        <v>12</v>
      </c>
      <c r="M170" s="10" t="s">
        <v>156</v>
      </c>
    </row>
    <row r="171" spans="1:13" x14ac:dyDescent="0.25">
      <c r="A171" s="13" t="str">
        <f t="shared" si="4"/>
        <v>50714268820</v>
      </c>
      <c r="B171" s="10">
        <v>1004052420</v>
      </c>
      <c r="C171" s="10">
        <v>507142688</v>
      </c>
      <c r="D171" s="10">
        <v>20</v>
      </c>
      <c r="E171" s="10" t="s">
        <v>10</v>
      </c>
      <c r="F171" s="10">
        <v>1430096</v>
      </c>
      <c r="G171" s="10" t="s">
        <v>93</v>
      </c>
      <c r="H171" s="11">
        <v>134120</v>
      </c>
      <c r="I171" s="11">
        <v>94784</v>
      </c>
      <c r="J171" s="11">
        <f t="shared" si="5"/>
        <v>39336</v>
      </c>
      <c r="K171" s="12">
        <f>VLOOKUP(A171,[3]VA05!$A:$K,11,FALSE)</f>
        <v>45567</v>
      </c>
      <c r="L171" s="10" t="s">
        <v>18</v>
      </c>
      <c r="M171" s="10" t="s">
        <v>195</v>
      </c>
    </row>
    <row r="172" spans="1:13" x14ac:dyDescent="0.25">
      <c r="A172" s="13" t="str">
        <f t="shared" si="4"/>
        <v>50714282120</v>
      </c>
      <c r="B172" s="10">
        <v>1004062792</v>
      </c>
      <c r="C172" s="10">
        <v>507142821</v>
      </c>
      <c r="D172" s="10">
        <v>20</v>
      </c>
      <c r="E172" s="10" t="s">
        <v>10</v>
      </c>
      <c r="F172" s="10">
        <v>1153476</v>
      </c>
      <c r="G172" s="10" t="s">
        <v>297</v>
      </c>
      <c r="H172" s="11">
        <v>27862</v>
      </c>
      <c r="I172" s="10">
        <v>0</v>
      </c>
      <c r="J172" s="11">
        <f t="shared" si="5"/>
        <v>27862</v>
      </c>
      <c r="K172" s="12">
        <f>VLOOKUP(A172,[3]VA05!$A:$K,11,FALSE)</f>
        <v>45589</v>
      </c>
      <c r="L172" s="10" t="s">
        <v>12</v>
      </c>
      <c r="M172" s="10" t="s">
        <v>199</v>
      </c>
    </row>
    <row r="173" spans="1:13" x14ac:dyDescent="0.25">
      <c r="A173" s="13" t="str">
        <f t="shared" si="4"/>
        <v>50714282220</v>
      </c>
      <c r="B173" s="10">
        <v>1004062794</v>
      </c>
      <c r="C173" s="10">
        <v>507142822</v>
      </c>
      <c r="D173" s="10">
        <v>20</v>
      </c>
      <c r="E173" s="10" t="s">
        <v>10</v>
      </c>
      <c r="F173" s="10">
        <v>1153476</v>
      </c>
      <c r="G173" s="10" t="s">
        <v>297</v>
      </c>
      <c r="H173" s="11">
        <v>27862</v>
      </c>
      <c r="I173" s="10">
        <v>0</v>
      </c>
      <c r="J173" s="11">
        <f t="shared" si="5"/>
        <v>27862</v>
      </c>
      <c r="K173" s="12">
        <f>VLOOKUP(A173,[3]VA05!$A:$K,11,FALSE)</f>
        <v>45589</v>
      </c>
      <c r="L173" s="10" t="s">
        <v>12</v>
      </c>
      <c r="M173" s="10" t="s">
        <v>199</v>
      </c>
    </row>
    <row r="174" spans="1:13" x14ac:dyDescent="0.25">
      <c r="A174" s="13" t="str">
        <f t="shared" si="4"/>
        <v>50714268920</v>
      </c>
      <c r="B174" s="10">
        <v>1004041355</v>
      </c>
      <c r="C174" s="10">
        <v>507142689</v>
      </c>
      <c r="D174" s="10">
        <v>20</v>
      </c>
      <c r="E174" s="10" t="s">
        <v>10</v>
      </c>
      <c r="F174" s="10">
        <v>1187156</v>
      </c>
      <c r="G174" s="10" t="s">
        <v>80</v>
      </c>
      <c r="H174" s="11">
        <v>85860</v>
      </c>
      <c r="I174" s="11">
        <v>28066</v>
      </c>
      <c r="J174" s="11">
        <f t="shared" si="5"/>
        <v>57794</v>
      </c>
      <c r="K174" s="12">
        <f>VLOOKUP(A174,[3]VA05!$A:$K,11,FALSE)</f>
        <v>45558</v>
      </c>
      <c r="L174" s="10" t="s">
        <v>18</v>
      </c>
      <c r="M174" s="10" t="s">
        <v>131</v>
      </c>
    </row>
    <row r="175" spans="1:13" x14ac:dyDescent="0.25">
      <c r="A175" s="13" t="str">
        <f t="shared" si="4"/>
        <v>50714278820</v>
      </c>
      <c r="B175" s="10">
        <v>1004058947</v>
      </c>
      <c r="C175" s="10">
        <v>507142788</v>
      </c>
      <c r="D175" s="10">
        <v>20</v>
      </c>
      <c r="E175" s="10" t="s">
        <v>10</v>
      </c>
      <c r="F175" s="10">
        <v>1187156</v>
      </c>
      <c r="G175" s="10" t="s">
        <v>80</v>
      </c>
      <c r="H175" s="11">
        <v>62884</v>
      </c>
      <c r="I175" s="10">
        <v>0</v>
      </c>
      <c r="J175" s="11">
        <f t="shared" si="5"/>
        <v>62884</v>
      </c>
      <c r="K175" s="12">
        <f>VLOOKUP(A175,[3]VA05!$A:$K,11,FALSE)</f>
        <v>45582</v>
      </c>
      <c r="L175" s="10" t="s">
        <v>12</v>
      </c>
      <c r="M175" s="10" t="s">
        <v>156</v>
      </c>
    </row>
    <row r="176" spans="1:13" x14ac:dyDescent="0.25">
      <c r="A176" s="13" t="str">
        <f t="shared" si="4"/>
        <v>50714281920</v>
      </c>
      <c r="B176" s="10">
        <v>1004062795</v>
      </c>
      <c r="C176" s="10">
        <v>507142819</v>
      </c>
      <c r="D176" s="10">
        <v>20</v>
      </c>
      <c r="E176" s="10" t="s">
        <v>10</v>
      </c>
      <c r="F176" s="10">
        <v>1402742</v>
      </c>
      <c r="G176" s="10" t="s">
        <v>298</v>
      </c>
      <c r="H176" s="11">
        <v>11758</v>
      </c>
      <c r="I176" s="10">
        <v>0</v>
      </c>
      <c r="J176" s="11">
        <f t="shared" si="5"/>
        <v>11758</v>
      </c>
      <c r="K176" s="12">
        <f>VLOOKUP(A176,[3]VA05!$A:$K,11,FALSE)</f>
        <v>45581</v>
      </c>
      <c r="L176" s="10" t="s">
        <v>12</v>
      </c>
      <c r="M176" s="10" t="s">
        <v>179</v>
      </c>
    </row>
    <row r="177" spans="1:13" hidden="1" x14ac:dyDescent="0.25">
      <c r="A177" s="13" t="str">
        <f t="shared" si="4"/>
        <v>50714208240</v>
      </c>
      <c r="B177" s="10">
        <v>1003985006</v>
      </c>
      <c r="C177" s="10">
        <v>507142082</v>
      </c>
      <c r="D177" s="10">
        <v>40</v>
      </c>
      <c r="E177" s="10" t="s">
        <v>24</v>
      </c>
      <c r="F177" s="10">
        <v>1171152</v>
      </c>
      <c r="G177" s="10" t="s">
        <v>275</v>
      </c>
      <c r="H177" s="11">
        <v>27812</v>
      </c>
      <c r="I177" s="10">
        <v>0</v>
      </c>
      <c r="J177" s="11">
        <f t="shared" si="5"/>
        <v>27812</v>
      </c>
      <c r="K177" s="12" t="e">
        <f>VLOOKUP(A177,[3]VA05!$A:$K,11,FALSE)</f>
        <v>#N/A</v>
      </c>
      <c r="L177" s="10" t="s">
        <v>260</v>
      </c>
      <c r="M177" s="10" t="s">
        <v>276</v>
      </c>
    </row>
    <row r="178" spans="1:13" x14ac:dyDescent="0.25">
      <c r="A178" s="13" t="str">
        <f t="shared" si="4"/>
        <v>507142416140</v>
      </c>
      <c r="B178" s="10">
        <v>1004051396</v>
      </c>
      <c r="C178" s="10">
        <v>507142416</v>
      </c>
      <c r="D178" s="10">
        <v>140</v>
      </c>
      <c r="E178" s="10" t="s">
        <v>10</v>
      </c>
      <c r="F178" s="10">
        <v>1269354</v>
      </c>
      <c r="G178" s="10" t="s">
        <v>169</v>
      </c>
      <c r="H178" s="11">
        <v>10217</v>
      </c>
      <c r="I178" s="10">
        <v>0</v>
      </c>
      <c r="J178" s="11">
        <f t="shared" si="5"/>
        <v>10217</v>
      </c>
      <c r="K178" s="12">
        <f>VLOOKUP(A178,[3]VA05!$A:$K,11,FALSE)</f>
        <v>45576</v>
      </c>
      <c r="L178" s="10" t="s">
        <v>25</v>
      </c>
      <c r="M178" s="10" t="s">
        <v>162</v>
      </c>
    </row>
    <row r="179" spans="1:13" x14ac:dyDescent="0.25">
      <c r="A179" s="13" t="str">
        <f t="shared" si="4"/>
        <v>507142416120</v>
      </c>
      <c r="B179" s="10">
        <v>1004058990</v>
      </c>
      <c r="C179" s="10">
        <v>507142416</v>
      </c>
      <c r="D179" s="10">
        <v>120</v>
      </c>
      <c r="E179" s="10" t="s">
        <v>10</v>
      </c>
      <c r="F179" s="10">
        <v>1255973</v>
      </c>
      <c r="G179" s="10" t="s">
        <v>238</v>
      </c>
      <c r="H179" s="11">
        <v>10217</v>
      </c>
      <c r="I179" s="10">
        <v>0</v>
      </c>
      <c r="J179" s="11">
        <f t="shared" si="5"/>
        <v>10217</v>
      </c>
      <c r="K179" s="12">
        <f>VLOOKUP(A179,[3]VA05!$A:$K,11,FALSE)</f>
        <v>45573</v>
      </c>
      <c r="L179" s="10" t="s">
        <v>12</v>
      </c>
      <c r="M179" s="10" t="s">
        <v>194</v>
      </c>
    </row>
    <row r="180" spans="1:13" x14ac:dyDescent="0.25">
      <c r="A180" s="13" t="str">
        <f t="shared" si="4"/>
        <v>50714271370</v>
      </c>
      <c r="B180" s="10">
        <v>1004042923</v>
      </c>
      <c r="C180" s="10">
        <v>507142713</v>
      </c>
      <c r="D180" s="10">
        <v>70</v>
      </c>
      <c r="E180" s="10" t="s">
        <v>10</v>
      </c>
      <c r="F180" s="10">
        <v>1256197</v>
      </c>
      <c r="G180" s="10" t="s">
        <v>139</v>
      </c>
      <c r="H180" s="11">
        <v>10217</v>
      </c>
      <c r="I180" s="10">
        <v>0</v>
      </c>
      <c r="J180" s="11">
        <f t="shared" si="5"/>
        <v>10217</v>
      </c>
      <c r="K180" s="12">
        <f>VLOOKUP(A180,[3]VA05!$A:$K,11,FALSE)</f>
        <v>45591</v>
      </c>
      <c r="L180" s="10" t="s">
        <v>13</v>
      </c>
      <c r="M180" s="10" t="s">
        <v>142</v>
      </c>
    </row>
    <row r="181" spans="1:13" x14ac:dyDescent="0.25">
      <c r="A181" s="13" t="str">
        <f t="shared" si="4"/>
        <v>50714264830</v>
      </c>
      <c r="B181" s="10">
        <v>1004052621</v>
      </c>
      <c r="C181" s="10">
        <v>507142648</v>
      </c>
      <c r="D181" s="10">
        <v>30</v>
      </c>
      <c r="E181" s="10" t="s">
        <v>10</v>
      </c>
      <c r="F181" s="10">
        <v>1168127</v>
      </c>
      <c r="G181" s="10" t="s">
        <v>21</v>
      </c>
      <c r="H181" s="11">
        <v>71748</v>
      </c>
      <c r="I181" s="11">
        <v>37747</v>
      </c>
      <c r="J181" s="11">
        <f t="shared" si="5"/>
        <v>34001</v>
      </c>
      <c r="K181" s="12">
        <f>VLOOKUP(A181,[3]VA05!$A:$K,11,FALSE)</f>
        <v>45581</v>
      </c>
      <c r="L181" s="10" t="s">
        <v>18</v>
      </c>
      <c r="M181" s="10" t="s">
        <v>162</v>
      </c>
    </row>
    <row r="182" spans="1:13" x14ac:dyDescent="0.25">
      <c r="A182" s="13" t="str">
        <f t="shared" si="4"/>
        <v>507142416150</v>
      </c>
      <c r="B182" s="10">
        <v>1004052622</v>
      </c>
      <c r="C182" s="10">
        <v>507142416</v>
      </c>
      <c r="D182" s="10">
        <v>150</v>
      </c>
      <c r="E182" s="10" t="s">
        <v>10</v>
      </c>
      <c r="F182" s="10">
        <v>1168127</v>
      </c>
      <c r="G182" s="10" t="s">
        <v>21</v>
      </c>
      <c r="H182" s="11">
        <v>10217</v>
      </c>
      <c r="I182" s="10">
        <v>0</v>
      </c>
      <c r="J182" s="11">
        <f t="shared" si="5"/>
        <v>10217</v>
      </c>
      <c r="K182" s="12">
        <f>VLOOKUP(A182,[3]VA05!$A:$K,11,FALSE)</f>
        <v>45576</v>
      </c>
      <c r="L182" s="10" t="s">
        <v>56</v>
      </c>
      <c r="M182" s="10" t="s">
        <v>162</v>
      </c>
    </row>
    <row r="183" spans="1:13" x14ac:dyDescent="0.25">
      <c r="A183" s="13" t="str">
        <f t="shared" si="4"/>
        <v>50714278810</v>
      </c>
      <c r="B183" s="10">
        <v>1004052623</v>
      </c>
      <c r="C183" s="10">
        <v>507142788</v>
      </c>
      <c r="D183" s="10">
        <v>10</v>
      </c>
      <c r="E183" s="10" t="s">
        <v>10</v>
      </c>
      <c r="F183" s="10">
        <v>1168127</v>
      </c>
      <c r="G183" s="10" t="s">
        <v>21</v>
      </c>
      <c r="H183" s="11">
        <v>56529</v>
      </c>
      <c r="I183" s="10">
        <v>0</v>
      </c>
      <c r="J183" s="11">
        <f t="shared" si="5"/>
        <v>56529</v>
      </c>
      <c r="K183" s="12">
        <f>VLOOKUP(A183,[3]VA05!$A:$K,11,FALSE)</f>
        <v>45582</v>
      </c>
      <c r="L183" s="10" t="s">
        <v>12</v>
      </c>
      <c r="M183" s="10" t="s">
        <v>162</v>
      </c>
    </row>
    <row r="184" spans="1:13" x14ac:dyDescent="0.25">
      <c r="A184" s="13" t="str">
        <f t="shared" si="4"/>
        <v>50714271380</v>
      </c>
      <c r="B184" s="10">
        <v>1004052624</v>
      </c>
      <c r="C184" s="10">
        <v>507142713</v>
      </c>
      <c r="D184" s="10">
        <v>80</v>
      </c>
      <c r="E184" s="10" t="s">
        <v>10</v>
      </c>
      <c r="F184" s="10">
        <v>1168127</v>
      </c>
      <c r="G184" s="10" t="s">
        <v>21</v>
      </c>
      <c r="H184" s="11">
        <v>10217</v>
      </c>
      <c r="I184" s="10">
        <v>0</v>
      </c>
      <c r="J184" s="11">
        <f t="shared" si="5"/>
        <v>10217</v>
      </c>
      <c r="K184" s="12">
        <f>VLOOKUP(A184,[3]VA05!$A:$K,11,FALSE)</f>
        <v>45591</v>
      </c>
      <c r="L184" s="10" t="s">
        <v>12</v>
      </c>
      <c r="M184" s="10" t="s">
        <v>204</v>
      </c>
    </row>
    <row r="185" spans="1:13" x14ac:dyDescent="0.25">
      <c r="A185" s="13" t="str">
        <f t="shared" si="4"/>
        <v>50714281910</v>
      </c>
      <c r="B185" s="10">
        <v>1004062726</v>
      </c>
      <c r="C185" s="10">
        <v>507142819</v>
      </c>
      <c r="D185" s="10">
        <v>10</v>
      </c>
      <c r="E185" s="10" t="s">
        <v>10</v>
      </c>
      <c r="F185" s="10">
        <v>1168127</v>
      </c>
      <c r="G185" s="10" t="s">
        <v>21</v>
      </c>
      <c r="H185" s="11">
        <v>10871</v>
      </c>
      <c r="I185" s="10">
        <v>0</v>
      </c>
      <c r="J185" s="11">
        <f t="shared" si="5"/>
        <v>10871</v>
      </c>
      <c r="K185" s="12">
        <f>VLOOKUP(A185,[3]VA05!$A:$K,11,FALSE)</f>
        <v>45581</v>
      </c>
      <c r="L185" s="10" t="s">
        <v>12</v>
      </c>
      <c r="M185" s="10" t="s">
        <v>157</v>
      </c>
    </row>
    <row r="186" spans="1:13" x14ac:dyDescent="0.25">
      <c r="A186" s="13" t="str">
        <f t="shared" si="4"/>
        <v>50714282010</v>
      </c>
      <c r="B186" s="10">
        <v>1004062727</v>
      </c>
      <c r="C186" s="10">
        <v>507142820</v>
      </c>
      <c r="D186" s="10">
        <v>10</v>
      </c>
      <c r="E186" s="10" t="s">
        <v>10</v>
      </c>
      <c r="F186" s="10">
        <v>1168127</v>
      </c>
      <c r="G186" s="10" t="s">
        <v>21</v>
      </c>
      <c r="H186" s="11">
        <v>26091</v>
      </c>
      <c r="I186" s="10">
        <v>0</v>
      </c>
      <c r="J186" s="11">
        <f t="shared" si="5"/>
        <v>26091</v>
      </c>
      <c r="K186" s="12">
        <f>VLOOKUP(A186,[3]VA05!$A:$K,11,FALSE)</f>
        <v>45587</v>
      </c>
      <c r="L186" s="10" t="s">
        <v>12</v>
      </c>
      <c r="M186" s="10" t="s">
        <v>177</v>
      </c>
    </row>
    <row r="187" spans="1:13" x14ac:dyDescent="0.25">
      <c r="A187" s="13" t="str">
        <f t="shared" si="4"/>
        <v>50714282110</v>
      </c>
      <c r="B187" s="10">
        <v>1004062728</v>
      </c>
      <c r="C187" s="10">
        <v>507142821</v>
      </c>
      <c r="D187" s="10">
        <v>10</v>
      </c>
      <c r="E187" s="10" t="s">
        <v>10</v>
      </c>
      <c r="F187" s="10">
        <v>1168127</v>
      </c>
      <c r="G187" s="10" t="s">
        <v>21</v>
      </c>
      <c r="H187" s="11">
        <v>14571</v>
      </c>
      <c r="I187" s="10">
        <v>0</v>
      </c>
      <c r="J187" s="11">
        <f t="shared" si="5"/>
        <v>14571</v>
      </c>
      <c r="K187" s="12">
        <f>VLOOKUP(A187,[3]VA05!$A:$K,11,FALSE)</f>
        <v>45589</v>
      </c>
      <c r="L187" s="10" t="s">
        <v>12</v>
      </c>
      <c r="M187" s="10" t="s">
        <v>199</v>
      </c>
    </row>
    <row r="188" spans="1:13" x14ac:dyDescent="0.25">
      <c r="A188" s="13" t="str">
        <f t="shared" si="4"/>
        <v>50714282210</v>
      </c>
      <c r="B188" s="10">
        <v>1004062789</v>
      </c>
      <c r="C188" s="10">
        <v>507142822</v>
      </c>
      <c r="D188" s="10">
        <v>10</v>
      </c>
      <c r="E188" s="10" t="s">
        <v>10</v>
      </c>
      <c r="F188" s="10">
        <v>1168127</v>
      </c>
      <c r="G188" s="10" t="s">
        <v>21</v>
      </c>
      <c r="H188" s="11">
        <v>26091</v>
      </c>
      <c r="I188" s="10">
        <v>0</v>
      </c>
      <c r="J188" s="11">
        <f t="shared" si="5"/>
        <v>26091</v>
      </c>
      <c r="K188" s="12">
        <f>VLOOKUP(A188,[3]VA05!$A:$K,11,FALSE)</f>
        <v>45589</v>
      </c>
      <c r="L188" s="10" t="s">
        <v>12</v>
      </c>
      <c r="M188" s="10" t="s">
        <v>199</v>
      </c>
    </row>
    <row r="189" spans="1:13" x14ac:dyDescent="0.25">
      <c r="A189" s="13" t="str">
        <f t="shared" si="4"/>
        <v>50714282310</v>
      </c>
      <c r="B189" s="10">
        <v>1004062791</v>
      </c>
      <c r="C189" s="10">
        <v>507142823</v>
      </c>
      <c r="D189" s="10">
        <v>10</v>
      </c>
      <c r="E189" s="10" t="s">
        <v>10</v>
      </c>
      <c r="F189" s="10">
        <v>1168127</v>
      </c>
      <c r="G189" s="10" t="s">
        <v>21</v>
      </c>
      <c r="H189" s="11">
        <v>26091</v>
      </c>
      <c r="I189" s="10">
        <v>0</v>
      </c>
      <c r="J189" s="11">
        <f t="shared" si="5"/>
        <v>26091</v>
      </c>
      <c r="K189" s="12">
        <f>VLOOKUP(A189,[3]VA05!$A:$K,11,FALSE)</f>
        <v>45589</v>
      </c>
      <c r="L189" s="10" t="s">
        <v>12</v>
      </c>
      <c r="M189" s="10" t="s">
        <v>109</v>
      </c>
    </row>
    <row r="190" spans="1:13" x14ac:dyDescent="0.25">
      <c r="A190" s="13" t="str">
        <f t="shared" si="4"/>
        <v>507142416150</v>
      </c>
      <c r="B190" s="10">
        <v>1004051561</v>
      </c>
      <c r="C190" s="10">
        <v>507142416</v>
      </c>
      <c r="D190" s="10">
        <v>150</v>
      </c>
      <c r="E190" s="10" t="s">
        <v>10</v>
      </c>
      <c r="F190" s="10">
        <v>1269318</v>
      </c>
      <c r="G190" s="10" t="s">
        <v>170</v>
      </c>
      <c r="H190" s="11">
        <v>10217</v>
      </c>
      <c r="I190" s="10">
        <v>0</v>
      </c>
      <c r="J190" s="11">
        <f t="shared" si="5"/>
        <v>10217</v>
      </c>
      <c r="K190" s="12">
        <f>VLOOKUP(A190,[3]VA05!$A:$K,11,FALSE)</f>
        <v>45576</v>
      </c>
      <c r="L190" s="10" t="s">
        <v>56</v>
      </c>
      <c r="M190" s="10" t="s">
        <v>162</v>
      </c>
    </row>
    <row r="191" spans="1:13" x14ac:dyDescent="0.25">
      <c r="A191" s="13" t="str">
        <f t="shared" si="4"/>
        <v>507142416130</v>
      </c>
      <c r="B191" s="10">
        <v>1004058014</v>
      </c>
      <c r="C191" s="10">
        <v>507142416</v>
      </c>
      <c r="D191" s="10">
        <v>130</v>
      </c>
      <c r="E191" s="10" t="s">
        <v>10</v>
      </c>
      <c r="F191" s="10">
        <v>1255976</v>
      </c>
      <c r="G191" s="10" t="s">
        <v>229</v>
      </c>
      <c r="H191" s="11">
        <v>10217</v>
      </c>
      <c r="I191" s="10">
        <v>0</v>
      </c>
      <c r="J191" s="11">
        <f t="shared" si="5"/>
        <v>10217</v>
      </c>
      <c r="K191" s="12">
        <f>VLOOKUP(A191,[3]VA05!$A:$K,11,FALSE)</f>
        <v>45573</v>
      </c>
      <c r="L191" s="10" t="s">
        <v>56</v>
      </c>
      <c r="M191" s="10" t="s">
        <v>194</v>
      </c>
    </row>
    <row r="192" spans="1:13" x14ac:dyDescent="0.25">
      <c r="A192" s="13" t="str">
        <f t="shared" si="4"/>
        <v>50714271380</v>
      </c>
      <c r="B192" s="10">
        <v>1004058015</v>
      </c>
      <c r="C192" s="10">
        <v>507142713</v>
      </c>
      <c r="D192" s="10">
        <v>80</v>
      </c>
      <c r="E192" s="10" t="s">
        <v>10</v>
      </c>
      <c r="F192" s="10">
        <v>1256193</v>
      </c>
      <c r="G192" s="10" t="s">
        <v>230</v>
      </c>
      <c r="H192" s="11">
        <v>10217</v>
      </c>
      <c r="I192" s="10">
        <v>0</v>
      </c>
      <c r="J192" s="11">
        <f t="shared" si="5"/>
        <v>10217</v>
      </c>
      <c r="K192" s="12">
        <f>VLOOKUP(A192,[3]VA05!$A:$K,11,FALSE)</f>
        <v>45591</v>
      </c>
      <c r="L192" s="10" t="s">
        <v>12</v>
      </c>
      <c r="M192" s="10" t="s">
        <v>204</v>
      </c>
    </row>
    <row r="193" spans="1:13" x14ac:dyDescent="0.25">
      <c r="A193" s="13" t="str">
        <f t="shared" si="4"/>
        <v>50714282210</v>
      </c>
      <c r="B193" s="10">
        <v>1004062956</v>
      </c>
      <c r="C193" s="10">
        <v>507142822</v>
      </c>
      <c r="D193" s="10">
        <v>10</v>
      </c>
      <c r="E193" s="10" t="s">
        <v>10</v>
      </c>
      <c r="F193" s="10">
        <v>1153314</v>
      </c>
      <c r="G193" s="10" t="s">
        <v>60</v>
      </c>
      <c r="H193" s="11">
        <v>26091</v>
      </c>
      <c r="I193" s="10">
        <v>0</v>
      </c>
      <c r="J193" s="11">
        <f t="shared" si="5"/>
        <v>26091</v>
      </c>
      <c r="K193" s="12">
        <f>VLOOKUP(A193,[3]VA05!$A:$K,11,FALSE)</f>
        <v>45589</v>
      </c>
      <c r="L193" s="10" t="s">
        <v>12</v>
      </c>
      <c r="M193" s="10" t="s">
        <v>203</v>
      </c>
    </row>
    <row r="194" spans="1:13" x14ac:dyDescent="0.25">
      <c r="A194" s="13" t="str">
        <f t="shared" si="4"/>
        <v>50714282110</v>
      </c>
      <c r="B194" s="10">
        <v>1004062957</v>
      </c>
      <c r="C194" s="10">
        <v>507142821</v>
      </c>
      <c r="D194" s="10">
        <v>10</v>
      </c>
      <c r="E194" s="10" t="s">
        <v>10</v>
      </c>
      <c r="F194" s="10">
        <v>1153314</v>
      </c>
      <c r="G194" s="10" t="s">
        <v>60</v>
      </c>
      <c r="H194" s="11">
        <v>26091</v>
      </c>
      <c r="I194" s="10">
        <v>0</v>
      </c>
      <c r="J194" s="11">
        <f t="shared" si="5"/>
        <v>26091</v>
      </c>
      <c r="K194" s="12">
        <f>VLOOKUP(A194,[3]VA05!$A:$K,11,FALSE)</f>
        <v>45589</v>
      </c>
      <c r="L194" s="10" t="s">
        <v>12</v>
      </c>
      <c r="M194" s="10" t="s">
        <v>203</v>
      </c>
    </row>
    <row r="195" spans="1:13" x14ac:dyDescent="0.25">
      <c r="A195" s="13" t="str">
        <f t="shared" si="4"/>
        <v>50714239390</v>
      </c>
      <c r="B195" s="10">
        <v>1004032825</v>
      </c>
      <c r="C195" s="10">
        <v>507142393</v>
      </c>
      <c r="D195" s="10">
        <v>90</v>
      </c>
      <c r="E195" s="10" t="s">
        <v>10</v>
      </c>
      <c r="F195" s="10">
        <v>1416751</v>
      </c>
      <c r="G195" s="10" t="s">
        <v>57</v>
      </c>
      <c r="H195" s="11">
        <v>45642</v>
      </c>
      <c r="I195" s="10">
        <v>0</v>
      </c>
      <c r="J195" s="11">
        <f t="shared" si="5"/>
        <v>45642</v>
      </c>
      <c r="K195" s="12" t="e">
        <f>VLOOKUP(A195,[3]VA05!$A:$K,11,FALSE)</f>
        <v>#N/A</v>
      </c>
      <c r="L195" s="10" t="s">
        <v>12</v>
      </c>
      <c r="M195" s="10" t="s">
        <v>73</v>
      </c>
    </row>
    <row r="196" spans="1:13" x14ac:dyDescent="0.25">
      <c r="A196" s="13" t="str">
        <f t="shared" ref="A196:A259" si="6">C196&amp;D196</f>
        <v>50714256730</v>
      </c>
      <c r="B196" s="10">
        <v>1004041366</v>
      </c>
      <c r="C196" s="10">
        <v>507142567</v>
      </c>
      <c r="D196" s="10">
        <v>30</v>
      </c>
      <c r="E196" s="10" t="s">
        <v>10</v>
      </c>
      <c r="F196" s="10">
        <v>1170136</v>
      </c>
      <c r="G196" s="10" t="s">
        <v>81</v>
      </c>
      <c r="H196" s="11">
        <v>17589</v>
      </c>
      <c r="I196" s="11">
        <v>16036</v>
      </c>
      <c r="J196" s="11">
        <f t="shared" ref="J196:J259" si="7">H196-I196</f>
        <v>1553</v>
      </c>
      <c r="K196" s="12">
        <f>VLOOKUP(A196,[3]VA05!$A:$K,11,FALSE)</f>
        <v>45561</v>
      </c>
      <c r="L196" s="10" t="s">
        <v>18</v>
      </c>
      <c r="M196" s="10" t="s">
        <v>197</v>
      </c>
    </row>
    <row r="197" spans="1:13" hidden="1" x14ac:dyDescent="0.25">
      <c r="A197" s="13" t="str">
        <f t="shared" si="6"/>
        <v>50714256230</v>
      </c>
      <c r="B197" s="10">
        <v>1004062724</v>
      </c>
      <c r="C197" s="10">
        <v>507142562</v>
      </c>
      <c r="D197" s="10">
        <v>30</v>
      </c>
      <c r="E197" s="10" t="s">
        <v>24</v>
      </c>
      <c r="F197" s="10">
        <v>1170136</v>
      </c>
      <c r="G197" s="10" t="s">
        <v>81</v>
      </c>
      <c r="H197" s="11">
        <v>10000</v>
      </c>
      <c r="I197" s="10">
        <v>0</v>
      </c>
      <c r="J197" s="11">
        <f t="shared" si="7"/>
        <v>10000</v>
      </c>
      <c r="K197" s="12">
        <f>VLOOKUP(A197,[3]VA05!$A:$K,11,FALSE)</f>
        <v>45573</v>
      </c>
      <c r="L197" s="10" t="s">
        <v>13</v>
      </c>
      <c r="M197" s="10" t="s">
        <v>162</v>
      </c>
    </row>
    <row r="198" spans="1:13" hidden="1" x14ac:dyDescent="0.25">
      <c r="A198" s="13" t="str">
        <f t="shared" si="6"/>
        <v>50714256230</v>
      </c>
      <c r="B198" s="10">
        <v>1004062191</v>
      </c>
      <c r="C198" s="10">
        <v>507142562</v>
      </c>
      <c r="D198" s="10">
        <v>30</v>
      </c>
      <c r="E198" s="10" t="s">
        <v>24</v>
      </c>
      <c r="F198" s="10">
        <v>1170133</v>
      </c>
      <c r="G198" s="10" t="s">
        <v>70</v>
      </c>
      <c r="H198" s="11">
        <v>19000</v>
      </c>
      <c r="I198" s="10">
        <v>0</v>
      </c>
      <c r="J198" s="11">
        <f t="shared" si="7"/>
        <v>19000</v>
      </c>
      <c r="K198" s="12">
        <f>VLOOKUP(A198,[3]VA05!$A:$K,11,FALSE)</f>
        <v>45573</v>
      </c>
      <c r="L198" s="10" t="s">
        <v>27</v>
      </c>
      <c r="M198" s="10" t="s">
        <v>162</v>
      </c>
    </row>
    <row r="199" spans="1:13" hidden="1" x14ac:dyDescent="0.25">
      <c r="A199" s="13" t="str">
        <f t="shared" si="6"/>
        <v>50714256530</v>
      </c>
      <c r="B199" s="10">
        <v>1004044947</v>
      </c>
      <c r="C199" s="10">
        <v>507142565</v>
      </c>
      <c r="D199" s="10">
        <v>30</v>
      </c>
      <c r="E199" s="10" t="s">
        <v>10</v>
      </c>
      <c r="F199" s="10">
        <v>1169065</v>
      </c>
      <c r="G199" s="10" t="s">
        <v>83</v>
      </c>
      <c r="H199" s="11">
        <v>85895</v>
      </c>
      <c r="I199" s="11">
        <v>85895</v>
      </c>
      <c r="J199" s="11">
        <f t="shared" si="7"/>
        <v>0</v>
      </c>
      <c r="K199" s="12">
        <f>VLOOKUP(A199,[3]VA05!$A:$K,11,FALSE)</f>
        <v>45561</v>
      </c>
      <c r="L199" s="10" t="s">
        <v>28</v>
      </c>
      <c r="M199" s="10" t="s">
        <v>142</v>
      </c>
    </row>
    <row r="200" spans="1:13" x14ac:dyDescent="0.25">
      <c r="A200" s="13" t="str">
        <f t="shared" si="6"/>
        <v>50714256720</v>
      </c>
      <c r="B200" s="10">
        <v>1004044948</v>
      </c>
      <c r="C200" s="10">
        <v>507142567</v>
      </c>
      <c r="D200" s="10">
        <v>20</v>
      </c>
      <c r="E200" s="10" t="s">
        <v>10</v>
      </c>
      <c r="F200" s="10">
        <v>1169065</v>
      </c>
      <c r="G200" s="10" t="s">
        <v>83</v>
      </c>
      <c r="H200" s="11">
        <v>17711</v>
      </c>
      <c r="I200" s="11">
        <v>7063</v>
      </c>
      <c r="J200" s="11">
        <f t="shared" si="7"/>
        <v>10648</v>
      </c>
      <c r="K200" s="12">
        <f>VLOOKUP(A200,[3]VA05!$A:$K,11,FALSE)</f>
        <v>45561</v>
      </c>
      <c r="L200" s="10" t="s">
        <v>18</v>
      </c>
      <c r="M200" s="10" t="s">
        <v>178</v>
      </c>
    </row>
    <row r="201" spans="1:13" x14ac:dyDescent="0.25">
      <c r="A201" s="13" t="str">
        <f t="shared" si="6"/>
        <v>50714256730</v>
      </c>
      <c r="B201" s="10">
        <v>1004052387</v>
      </c>
      <c r="C201" s="10">
        <v>507142567</v>
      </c>
      <c r="D201" s="10">
        <v>30</v>
      </c>
      <c r="E201" s="10" t="s">
        <v>10</v>
      </c>
      <c r="F201" s="10">
        <v>1171801</v>
      </c>
      <c r="G201" s="10" t="s">
        <v>71</v>
      </c>
      <c r="H201" s="11">
        <v>16066</v>
      </c>
      <c r="I201" s="11">
        <v>10410</v>
      </c>
      <c r="J201" s="11">
        <f t="shared" si="7"/>
        <v>5656</v>
      </c>
      <c r="K201" s="12">
        <f>VLOOKUP(A201,[3]VA05!$A:$K,11,FALSE)</f>
        <v>45561</v>
      </c>
      <c r="L201" s="10" t="s">
        <v>18</v>
      </c>
      <c r="M201" s="10" t="s">
        <v>155</v>
      </c>
    </row>
    <row r="202" spans="1:13" x14ac:dyDescent="0.25">
      <c r="A202" s="13" t="str">
        <f t="shared" si="6"/>
        <v>50714256520</v>
      </c>
      <c r="B202" s="10">
        <v>1004052388</v>
      </c>
      <c r="C202" s="10">
        <v>507142565</v>
      </c>
      <c r="D202" s="10">
        <v>20</v>
      </c>
      <c r="E202" s="10" t="s">
        <v>10</v>
      </c>
      <c r="F202" s="10">
        <v>1171801</v>
      </c>
      <c r="G202" s="10" t="s">
        <v>71</v>
      </c>
      <c r="H202" s="11">
        <v>79905</v>
      </c>
      <c r="I202" s="10">
        <v>0</v>
      </c>
      <c r="J202" s="11">
        <f t="shared" si="7"/>
        <v>79905</v>
      </c>
      <c r="K202" s="12">
        <f>VLOOKUP(A202,[3]VA05!$A:$K,11,FALSE)</f>
        <v>45580</v>
      </c>
      <c r="L202" s="10" t="s">
        <v>13</v>
      </c>
      <c r="M202" s="10" t="s">
        <v>180</v>
      </c>
    </row>
    <row r="203" spans="1:13" hidden="1" x14ac:dyDescent="0.25">
      <c r="A203" s="13" t="str">
        <f t="shared" si="6"/>
        <v>50714187310</v>
      </c>
      <c r="B203" s="10">
        <v>1003935029</v>
      </c>
      <c r="C203" s="10">
        <v>507141873</v>
      </c>
      <c r="D203" s="10">
        <v>10</v>
      </c>
      <c r="E203" s="10" t="s">
        <v>10</v>
      </c>
      <c r="F203" s="10">
        <v>1411092</v>
      </c>
      <c r="G203" s="10" t="s">
        <v>277</v>
      </c>
      <c r="H203" s="11">
        <v>30900</v>
      </c>
      <c r="I203" s="10">
        <v>0</v>
      </c>
      <c r="J203" s="11">
        <f t="shared" si="7"/>
        <v>30900</v>
      </c>
      <c r="K203" s="12" t="e">
        <f>VLOOKUP(A203,[3]VA05!$A:$K,11,FALSE)</f>
        <v>#N/A</v>
      </c>
      <c r="L203" s="10" t="s">
        <v>278</v>
      </c>
      <c r="M203" s="10" t="s">
        <v>279</v>
      </c>
    </row>
    <row r="204" spans="1:13" hidden="1" x14ac:dyDescent="0.25">
      <c r="A204" s="13" t="str">
        <f t="shared" si="6"/>
        <v>50714276210</v>
      </c>
      <c r="B204" s="10">
        <v>1004062062</v>
      </c>
      <c r="C204" s="10">
        <v>507142762</v>
      </c>
      <c r="D204" s="10">
        <v>10</v>
      </c>
      <c r="E204" s="10" t="s">
        <v>24</v>
      </c>
      <c r="F204" s="10">
        <v>1162016</v>
      </c>
      <c r="G204" s="10" t="s">
        <v>172</v>
      </c>
      <c r="H204" s="11">
        <v>10000</v>
      </c>
      <c r="I204" s="10">
        <v>0</v>
      </c>
      <c r="J204" s="11">
        <f t="shared" si="7"/>
        <v>10000</v>
      </c>
      <c r="K204" s="12">
        <f>VLOOKUP(A204,[3]VA05!$A:$K,11,FALSE)</f>
        <v>45570</v>
      </c>
      <c r="L204" s="10" t="s">
        <v>13</v>
      </c>
      <c r="M204" s="10" t="s">
        <v>162</v>
      </c>
    </row>
    <row r="205" spans="1:13" x14ac:dyDescent="0.25">
      <c r="A205" s="13" t="str">
        <f t="shared" si="6"/>
        <v>50714263610</v>
      </c>
      <c r="B205" s="10">
        <v>1004040222</v>
      </c>
      <c r="C205" s="10">
        <v>507142636</v>
      </c>
      <c r="D205" s="10">
        <v>10</v>
      </c>
      <c r="E205" s="10" t="s">
        <v>10</v>
      </c>
      <c r="F205" s="10">
        <v>1437043</v>
      </c>
      <c r="G205" s="10" t="s">
        <v>115</v>
      </c>
      <c r="H205" s="11">
        <v>51125</v>
      </c>
      <c r="I205" s="11">
        <v>43670</v>
      </c>
      <c r="J205" s="11">
        <f t="shared" si="7"/>
        <v>7455</v>
      </c>
      <c r="K205" s="12">
        <f>VLOOKUP(A205,[3]VA05!$A:$K,11,FALSE)</f>
        <v>45566</v>
      </c>
      <c r="L205" s="10" t="s">
        <v>11</v>
      </c>
      <c r="M205" s="10" t="s">
        <v>116</v>
      </c>
    </row>
    <row r="206" spans="1:13" x14ac:dyDescent="0.25">
      <c r="A206" s="13" t="str">
        <f t="shared" si="6"/>
        <v>50714276210</v>
      </c>
      <c r="B206" s="10">
        <v>1004051398</v>
      </c>
      <c r="C206" s="10">
        <v>507142762</v>
      </c>
      <c r="D206" s="10">
        <v>10</v>
      </c>
      <c r="E206" s="10" t="s">
        <v>10</v>
      </c>
      <c r="F206" s="10">
        <v>1162012</v>
      </c>
      <c r="G206" s="10" t="s">
        <v>173</v>
      </c>
      <c r="H206" s="11">
        <v>40900</v>
      </c>
      <c r="I206" s="11">
        <v>23209</v>
      </c>
      <c r="J206" s="11">
        <f t="shared" si="7"/>
        <v>17691</v>
      </c>
      <c r="K206" s="12">
        <f>VLOOKUP(A206,[3]VA05!$A:$K,11,FALSE)</f>
        <v>45570</v>
      </c>
      <c r="L206" s="10" t="s">
        <v>11</v>
      </c>
      <c r="M206" s="10" t="s">
        <v>178</v>
      </c>
    </row>
    <row r="207" spans="1:13" x14ac:dyDescent="0.25">
      <c r="A207" s="13" t="str">
        <f t="shared" si="6"/>
        <v>50714276210</v>
      </c>
      <c r="B207" s="10">
        <v>1004051399</v>
      </c>
      <c r="C207" s="10">
        <v>507142762</v>
      </c>
      <c r="D207" s="10">
        <v>10</v>
      </c>
      <c r="E207" s="10" t="s">
        <v>10</v>
      </c>
      <c r="F207" s="10">
        <v>1163168</v>
      </c>
      <c r="G207" s="10" t="s">
        <v>174</v>
      </c>
      <c r="H207" s="11">
        <v>40900</v>
      </c>
      <c r="I207" s="11">
        <v>27809</v>
      </c>
      <c r="J207" s="11">
        <f t="shared" si="7"/>
        <v>13091</v>
      </c>
      <c r="K207" s="12">
        <f>VLOOKUP(A207,[3]VA05!$A:$K,11,FALSE)</f>
        <v>45570</v>
      </c>
      <c r="L207" s="10" t="s">
        <v>11</v>
      </c>
      <c r="M207" s="10" t="s">
        <v>197</v>
      </c>
    </row>
    <row r="208" spans="1:13" hidden="1" x14ac:dyDescent="0.25">
      <c r="A208" s="13" t="str">
        <f t="shared" si="6"/>
        <v>50714194510</v>
      </c>
      <c r="B208" s="10">
        <v>1003974005</v>
      </c>
      <c r="C208" s="10">
        <v>507141945</v>
      </c>
      <c r="D208" s="10">
        <v>10</v>
      </c>
      <c r="E208" s="10" t="s">
        <v>24</v>
      </c>
      <c r="F208" s="10">
        <v>1193564</v>
      </c>
      <c r="G208" s="10" t="s">
        <v>280</v>
      </c>
      <c r="H208" s="11">
        <v>5113</v>
      </c>
      <c r="I208" s="10">
        <v>0</v>
      </c>
      <c r="J208" s="11">
        <f t="shared" si="7"/>
        <v>5113</v>
      </c>
      <c r="K208" s="12" t="e">
        <f>VLOOKUP(A208,[3]VA05!$A:$K,11,FALSE)</f>
        <v>#N/A</v>
      </c>
      <c r="L208" s="10" t="s">
        <v>260</v>
      </c>
      <c r="M208" s="10" t="s">
        <v>281</v>
      </c>
    </row>
    <row r="209" spans="1:13" hidden="1" x14ac:dyDescent="0.25">
      <c r="A209" s="13" t="str">
        <f t="shared" si="6"/>
        <v>50714263850</v>
      </c>
      <c r="B209" s="10">
        <v>1004049841</v>
      </c>
      <c r="C209" s="10">
        <v>507142638</v>
      </c>
      <c r="D209" s="10">
        <v>50</v>
      </c>
      <c r="E209" s="10" t="s">
        <v>10</v>
      </c>
      <c r="F209" s="10">
        <v>1361170</v>
      </c>
      <c r="G209" s="10" t="s">
        <v>103</v>
      </c>
      <c r="H209" s="11">
        <v>27540</v>
      </c>
      <c r="I209" s="11">
        <v>27540</v>
      </c>
      <c r="J209" s="11">
        <f t="shared" si="7"/>
        <v>0</v>
      </c>
      <c r="K209" s="12">
        <f>VLOOKUP(A209,[3]VA05!$A:$K,11,FALSE)</f>
        <v>45560</v>
      </c>
      <c r="L209" s="10" t="s">
        <v>224</v>
      </c>
      <c r="M209" s="10" t="s">
        <v>143</v>
      </c>
    </row>
    <row r="210" spans="1:13" hidden="1" x14ac:dyDescent="0.25">
      <c r="A210" s="13" t="str">
        <f t="shared" si="6"/>
        <v>50714263850</v>
      </c>
      <c r="B210" s="10">
        <v>1004049842</v>
      </c>
      <c r="C210" s="10">
        <v>507142638</v>
      </c>
      <c r="D210" s="10">
        <v>50</v>
      </c>
      <c r="E210" s="10" t="s">
        <v>10</v>
      </c>
      <c r="F210" s="10">
        <v>1361170</v>
      </c>
      <c r="G210" s="10" t="s">
        <v>103</v>
      </c>
      <c r="H210" s="11">
        <v>27540</v>
      </c>
      <c r="I210" s="11">
        <v>27540</v>
      </c>
      <c r="J210" s="11">
        <f t="shared" si="7"/>
        <v>0</v>
      </c>
      <c r="K210" s="12">
        <f>VLOOKUP(A210,[3]VA05!$A:$K,11,FALSE)</f>
        <v>45560</v>
      </c>
      <c r="L210" s="10" t="s">
        <v>11</v>
      </c>
      <c r="M210" s="10" t="s">
        <v>195</v>
      </c>
    </row>
    <row r="211" spans="1:13" x14ac:dyDescent="0.25">
      <c r="A211" s="13" t="str">
        <f t="shared" si="6"/>
        <v>50714263850</v>
      </c>
      <c r="B211" s="10">
        <v>1004049843</v>
      </c>
      <c r="C211" s="10">
        <v>507142638</v>
      </c>
      <c r="D211" s="10">
        <v>50</v>
      </c>
      <c r="E211" s="10" t="s">
        <v>10</v>
      </c>
      <c r="F211" s="10">
        <v>1361170</v>
      </c>
      <c r="G211" s="10" t="s">
        <v>103</v>
      </c>
      <c r="H211" s="11">
        <v>27270</v>
      </c>
      <c r="I211" s="10">
        <v>0</v>
      </c>
      <c r="J211" s="11">
        <f t="shared" si="7"/>
        <v>27270</v>
      </c>
      <c r="K211" s="12">
        <f>VLOOKUP(A211,[3]VA05!$A:$K,11,FALSE)</f>
        <v>45560</v>
      </c>
      <c r="L211" s="10" t="s">
        <v>117</v>
      </c>
      <c r="M211" s="10" t="s">
        <v>143</v>
      </c>
    </row>
    <row r="212" spans="1:13" x14ac:dyDescent="0.25">
      <c r="A212" s="13" t="str">
        <f t="shared" si="6"/>
        <v>50714273810</v>
      </c>
      <c r="B212" s="10">
        <v>1004051551</v>
      </c>
      <c r="C212" s="10">
        <v>507142738</v>
      </c>
      <c r="D212" s="10">
        <v>10</v>
      </c>
      <c r="E212" s="10" t="s">
        <v>10</v>
      </c>
      <c r="F212" s="10">
        <v>1361170</v>
      </c>
      <c r="G212" s="10" t="s">
        <v>103</v>
      </c>
      <c r="H212" s="11">
        <v>27540</v>
      </c>
      <c r="I212" s="10">
        <v>0</v>
      </c>
      <c r="J212" s="11">
        <f t="shared" si="7"/>
        <v>27540</v>
      </c>
      <c r="K212" s="12">
        <f>VLOOKUP(A212,[3]VA05!$A:$K,11,FALSE)</f>
        <v>45567</v>
      </c>
      <c r="L212" s="10" t="s">
        <v>12</v>
      </c>
      <c r="M212" s="10" t="s">
        <v>180</v>
      </c>
    </row>
    <row r="213" spans="1:13" x14ac:dyDescent="0.25">
      <c r="A213" s="13" t="str">
        <f t="shared" si="6"/>
        <v>50714273810</v>
      </c>
      <c r="B213" s="10">
        <v>1004051552</v>
      </c>
      <c r="C213" s="10">
        <v>507142738</v>
      </c>
      <c r="D213" s="10">
        <v>10</v>
      </c>
      <c r="E213" s="10" t="s">
        <v>10</v>
      </c>
      <c r="F213" s="10">
        <v>1361170</v>
      </c>
      <c r="G213" s="10" t="s">
        <v>103</v>
      </c>
      <c r="H213" s="11">
        <v>27540</v>
      </c>
      <c r="I213" s="10">
        <v>0</v>
      </c>
      <c r="J213" s="11">
        <f t="shared" si="7"/>
        <v>27540</v>
      </c>
      <c r="K213" s="12">
        <f>VLOOKUP(A213,[3]VA05!$A:$K,11,FALSE)</f>
        <v>45567</v>
      </c>
      <c r="L213" s="10" t="s">
        <v>12</v>
      </c>
      <c r="M213" s="10" t="s">
        <v>180</v>
      </c>
    </row>
    <row r="214" spans="1:13" x14ac:dyDescent="0.25">
      <c r="A214" s="13" t="str">
        <f t="shared" si="6"/>
        <v>50714273810</v>
      </c>
      <c r="B214" s="10">
        <v>1004051553</v>
      </c>
      <c r="C214" s="10">
        <v>507142738</v>
      </c>
      <c r="D214" s="10">
        <v>10</v>
      </c>
      <c r="E214" s="10" t="s">
        <v>10</v>
      </c>
      <c r="F214" s="10">
        <v>1361170</v>
      </c>
      <c r="G214" s="10" t="s">
        <v>103</v>
      </c>
      <c r="H214" s="11">
        <v>27540</v>
      </c>
      <c r="I214" s="10">
        <v>0</v>
      </c>
      <c r="J214" s="11">
        <f t="shared" si="7"/>
        <v>27540</v>
      </c>
      <c r="K214" s="12">
        <f>VLOOKUP(A214,[3]VA05!$A:$K,11,FALSE)</f>
        <v>45567</v>
      </c>
      <c r="L214" s="10" t="s">
        <v>12</v>
      </c>
      <c r="M214" s="10" t="s">
        <v>180</v>
      </c>
    </row>
    <row r="215" spans="1:13" x14ac:dyDescent="0.25">
      <c r="A215" s="13" t="str">
        <f t="shared" si="6"/>
        <v>50714273810</v>
      </c>
      <c r="B215" s="10">
        <v>1004051554</v>
      </c>
      <c r="C215" s="10">
        <v>507142738</v>
      </c>
      <c r="D215" s="10">
        <v>10</v>
      </c>
      <c r="E215" s="10" t="s">
        <v>10</v>
      </c>
      <c r="F215" s="10">
        <v>1361170</v>
      </c>
      <c r="G215" s="10" t="s">
        <v>103</v>
      </c>
      <c r="H215" s="11">
        <v>27540</v>
      </c>
      <c r="I215" s="10">
        <v>0</v>
      </c>
      <c r="J215" s="11">
        <f t="shared" si="7"/>
        <v>27540</v>
      </c>
      <c r="K215" s="12">
        <f>VLOOKUP(A215,[3]VA05!$A:$K,11,FALSE)</f>
        <v>45567</v>
      </c>
      <c r="L215" s="10" t="s">
        <v>12</v>
      </c>
      <c r="M215" s="10" t="s">
        <v>180</v>
      </c>
    </row>
    <row r="216" spans="1:13" x14ac:dyDescent="0.25">
      <c r="A216" s="13" t="str">
        <f t="shared" si="6"/>
        <v>50714269230</v>
      </c>
      <c r="B216" s="10">
        <v>1004059598</v>
      </c>
      <c r="C216" s="10">
        <v>507142692</v>
      </c>
      <c r="D216" s="10">
        <v>30</v>
      </c>
      <c r="E216" s="10" t="s">
        <v>10</v>
      </c>
      <c r="F216" s="10">
        <v>1367372</v>
      </c>
      <c r="G216" s="10" t="s">
        <v>62</v>
      </c>
      <c r="H216" s="11">
        <v>25110</v>
      </c>
      <c r="I216" s="11">
        <v>13396</v>
      </c>
      <c r="J216" s="11">
        <f t="shared" si="7"/>
        <v>11714</v>
      </c>
      <c r="K216" s="12">
        <f>VLOOKUP(A216,[3]VA05!$A:$K,11,FALSE)</f>
        <v>45567</v>
      </c>
      <c r="L216" s="10" t="s">
        <v>34</v>
      </c>
      <c r="M216" s="10" t="s">
        <v>197</v>
      </c>
    </row>
    <row r="217" spans="1:13" x14ac:dyDescent="0.25">
      <c r="A217" s="13" t="str">
        <f t="shared" si="6"/>
        <v>50714269230</v>
      </c>
      <c r="B217" s="10">
        <v>1004059599</v>
      </c>
      <c r="C217" s="10">
        <v>507142692</v>
      </c>
      <c r="D217" s="10">
        <v>30</v>
      </c>
      <c r="E217" s="10" t="s">
        <v>10</v>
      </c>
      <c r="F217" s="10">
        <v>1367372</v>
      </c>
      <c r="G217" s="10" t="s">
        <v>62</v>
      </c>
      <c r="H217" s="11">
        <v>25110</v>
      </c>
      <c r="I217" s="11"/>
      <c r="J217" s="11">
        <f t="shared" si="7"/>
        <v>25110</v>
      </c>
      <c r="K217" s="12">
        <f>VLOOKUP(A217,[3]VA05!$A:$K,11,FALSE)</f>
        <v>45567</v>
      </c>
      <c r="L217" s="10" t="s">
        <v>234</v>
      </c>
      <c r="M217" s="10" t="s">
        <v>178</v>
      </c>
    </row>
    <row r="218" spans="1:13" x14ac:dyDescent="0.25">
      <c r="A218" s="13" t="str">
        <f t="shared" si="6"/>
        <v>50714269230</v>
      </c>
      <c r="B218" s="10">
        <v>1004059600</v>
      </c>
      <c r="C218" s="10">
        <v>507142692</v>
      </c>
      <c r="D218" s="10">
        <v>30</v>
      </c>
      <c r="E218" s="10" t="s">
        <v>10</v>
      </c>
      <c r="F218" s="10">
        <v>1367372</v>
      </c>
      <c r="G218" s="10" t="s">
        <v>62</v>
      </c>
      <c r="H218" s="11">
        <v>25110</v>
      </c>
      <c r="I218" s="11"/>
      <c r="J218" s="11">
        <f t="shared" si="7"/>
        <v>25110</v>
      </c>
      <c r="K218" s="12">
        <f>VLOOKUP(A218,[3]VA05!$A:$K,11,FALSE)</f>
        <v>45567</v>
      </c>
      <c r="L218" s="10" t="s">
        <v>235</v>
      </c>
      <c r="M218" s="10" t="s">
        <v>178</v>
      </c>
    </row>
    <row r="219" spans="1:13" x14ac:dyDescent="0.25">
      <c r="A219" s="13" t="str">
        <f t="shared" si="6"/>
        <v>50714269230</v>
      </c>
      <c r="B219" s="10">
        <v>1004059601</v>
      </c>
      <c r="C219" s="10">
        <v>507142692</v>
      </c>
      <c r="D219" s="10">
        <v>30</v>
      </c>
      <c r="E219" s="10" t="s">
        <v>10</v>
      </c>
      <c r="F219" s="10">
        <v>1367372</v>
      </c>
      <c r="G219" s="10" t="s">
        <v>62</v>
      </c>
      <c r="H219" s="11">
        <v>24570</v>
      </c>
      <c r="I219" s="10">
        <v>0</v>
      </c>
      <c r="J219" s="11">
        <f t="shared" si="7"/>
        <v>24570</v>
      </c>
      <c r="K219" s="12">
        <f>VLOOKUP(A219,[3]VA05!$A:$K,11,FALSE)</f>
        <v>45567</v>
      </c>
      <c r="L219" s="10" t="s">
        <v>25</v>
      </c>
      <c r="M219" s="10" t="s">
        <v>178</v>
      </c>
    </row>
    <row r="220" spans="1:13" hidden="1" x14ac:dyDescent="0.25">
      <c r="A220" s="13" t="str">
        <f t="shared" si="6"/>
        <v>50714208620</v>
      </c>
      <c r="B220" s="10">
        <v>1003976459</v>
      </c>
      <c r="C220" s="10">
        <v>507142086</v>
      </c>
      <c r="D220" s="10">
        <v>20</v>
      </c>
      <c r="E220" s="10" t="s">
        <v>10</v>
      </c>
      <c r="F220" s="10">
        <v>1361175</v>
      </c>
      <c r="G220" s="10" t="s">
        <v>22</v>
      </c>
      <c r="H220" s="11">
        <v>28350</v>
      </c>
      <c r="I220" s="10">
        <v>0</v>
      </c>
      <c r="J220" s="11">
        <f t="shared" si="7"/>
        <v>28350</v>
      </c>
      <c r="K220" s="12" t="e">
        <f>VLOOKUP(A220,[3]VA05!$A:$K,11,FALSE)</f>
        <v>#N/A</v>
      </c>
      <c r="L220" s="10" t="s">
        <v>260</v>
      </c>
      <c r="M220" s="10" t="s">
        <v>282</v>
      </c>
    </row>
    <row r="221" spans="1:13" hidden="1" x14ac:dyDescent="0.25">
      <c r="A221" s="13" t="str">
        <f t="shared" si="6"/>
        <v>50714208620</v>
      </c>
      <c r="B221" s="10">
        <v>1003976460</v>
      </c>
      <c r="C221" s="10">
        <v>507142086</v>
      </c>
      <c r="D221" s="10">
        <v>20</v>
      </c>
      <c r="E221" s="10" t="s">
        <v>10</v>
      </c>
      <c r="F221" s="10">
        <v>1361175</v>
      </c>
      <c r="G221" s="10" t="s">
        <v>22</v>
      </c>
      <c r="H221" s="11">
        <v>28350</v>
      </c>
      <c r="I221" s="10">
        <v>0</v>
      </c>
      <c r="J221" s="11">
        <f t="shared" si="7"/>
        <v>28350</v>
      </c>
      <c r="K221" s="12" t="e">
        <f>VLOOKUP(A221,[3]VA05!$A:$K,11,FALSE)</f>
        <v>#N/A</v>
      </c>
      <c r="L221" s="10" t="s">
        <v>260</v>
      </c>
      <c r="M221" s="10" t="s">
        <v>282</v>
      </c>
    </row>
    <row r="222" spans="1:13" hidden="1" x14ac:dyDescent="0.25">
      <c r="A222" s="13" t="str">
        <f t="shared" si="6"/>
        <v>50714208640</v>
      </c>
      <c r="B222" s="10">
        <v>1003976464</v>
      </c>
      <c r="C222" s="10">
        <v>507142086</v>
      </c>
      <c r="D222" s="10">
        <v>40</v>
      </c>
      <c r="E222" s="10" t="s">
        <v>10</v>
      </c>
      <c r="F222" s="10">
        <v>1361175</v>
      </c>
      <c r="G222" s="10" t="s">
        <v>22</v>
      </c>
      <c r="H222" s="11">
        <v>28350</v>
      </c>
      <c r="I222" s="10">
        <v>0</v>
      </c>
      <c r="J222" s="11">
        <f t="shared" si="7"/>
        <v>28350</v>
      </c>
      <c r="K222" s="12" t="e">
        <f>VLOOKUP(A222,[3]VA05!$A:$K,11,FALSE)</f>
        <v>#N/A</v>
      </c>
      <c r="L222" s="10" t="s">
        <v>260</v>
      </c>
      <c r="M222" s="10" t="s">
        <v>269</v>
      </c>
    </row>
    <row r="223" spans="1:13" hidden="1" x14ac:dyDescent="0.25">
      <c r="A223" s="13" t="str">
        <f t="shared" si="6"/>
        <v>50714208640</v>
      </c>
      <c r="B223" s="10">
        <v>1003976465</v>
      </c>
      <c r="C223" s="10">
        <v>507142086</v>
      </c>
      <c r="D223" s="10">
        <v>40</v>
      </c>
      <c r="E223" s="10" t="s">
        <v>10</v>
      </c>
      <c r="F223" s="10">
        <v>1361175</v>
      </c>
      <c r="G223" s="10" t="s">
        <v>22</v>
      </c>
      <c r="H223" s="11">
        <v>28350</v>
      </c>
      <c r="I223" s="10">
        <v>0</v>
      </c>
      <c r="J223" s="11">
        <f t="shared" si="7"/>
        <v>28350</v>
      </c>
      <c r="K223" s="12" t="e">
        <f>VLOOKUP(A223,[3]VA05!$A:$K,11,FALSE)</f>
        <v>#N/A</v>
      </c>
      <c r="L223" s="10" t="s">
        <v>260</v>
      </c>
      <c r="M223" s="10" t="s">
        <v>269</v>
      </c>
    </row>
    <row r="224" spans="1:13" hidden="1" x14ac:dyDescent="0.25">
      <c r="A224" s="13" t="str">
        <f t="shared" si="6"/>
        <v>50714208640</v>
      </c>
      <c r="B224" s="10">
        <v>1003976466</v>
      </c>
      <c r="C224" s="10">
        <v>507142086</v>
      </c>
      <c r="D224" s="10">
        <v>40</v>
      </c>
      <c r="E224" s="10" t="s">
        <v>10</v>
      </c>
      <c r="F224" s="10">
        <v>1361175</v>
      </c>
      <c r="G224" s="10" t="s">
        <v>22</v>
      </c>
      <c r="H224" s="11">
        <v>28350</v>
      </c>
      <c r="I224" s="10">
        <v>0</v>
      </c>
      <c r="J224" s="11">
        <f t="shared" si="7"/>
        <v>28350</v>
      </c>
      <c r="K224" s="12" t="e">
        <f>VLOOKUP(A224,[3]VA05!$A:$K,11,FALSE)</f>
        <v>#N/A</v>
      </c>
      <c r="L224" s="10" t="s">
        <v>260</v>
      </c>
      <c r="M224" s="10" t="s">
        <v>269</v>
      </c>
    </row>
    <row r="225" spans="1:13" hidden="1" x14ac:dyDescent="0.25">
      <c r="A225" s="13" t="str">
        <f t="shared" si="6"/>
        <v>50714208640</v>
      </c>
      <c r="B225" s="10">
        <v>1003976467</v>
      </c>
      <c r="C225" s="10">
        <v>507142086</v>
      </c>
      <c r="D225" s="10">
        <v>40</v>
      </c>
      <c r="E225" s="10" t="s">
        <v>10</v>
      </c>
      <c r="F225" s="10">
        <v>1361175</v>
      </c>
      <c r="G225" s="10" t="s">
        <v>22</v>
      </c>
      <c r="H225" s="11">
        <v>31590</v>
      </c>
      <c r="I225" s="10">
        <v>0</v>
      </c>
      <c r="J225" s="11">
        <f t="shared" si="7"/>
        <v>31590</v>
      </c>
      <c r="K225" s="12" t="e">
        <f>VLOOKUP(A225,[3]VA05!$A:$K,11,FALSE)</f>
        <v>#N/A</v>
      </c>
      <c r="L225" s="10" t="s">
        <v>260</v>
      </c>
      <c r="M225" s="10" t="s">
        <v>269</v>
      </c>
    </row>
    <row r="226" spans="1:13" hidden="1" x14ac:dyDescent="0.25">
      <c r="A226" s="13" t="str">
        <f t="shared" si="6"/>
        <v>50714208660</v>
      </c>
      <c r="B226" s="10">
        <v>1003976468</v>
      </c>
      <c r="C226" s="10">
        <v>507142086</v>
      </c>
      <c r="D226" s="10">
        <v>60</v>
      </c>
      <c r="E226" s="10" t="s">
        <v>10</v>
      </c>
      <c r="F226" s="10">
        <v>1361175</v>
      </c>
      <c r="G226" s="10" t="s">
        <v>22</v>
      </c>
      <c r="H226" s="11">
        <v>28350</v>
      </c>
      <c r="I226" s="10">
        <v>0</v>
      </c>
      <c r="J226" s="11">
        <f t="shared" si="7"/>
        <v>28350</v>
      </c>
      <c r="K226" s="12" t="e">
        <f>VLOOKUP(A226,[3]VA05!$A:$K,11,FALSE)</f>
        <v>#N/A</v>
      </c>
      <c r="L226" s="10" t="s">
        <v>260</v>
      </c>
      <c r="M226" s="10" t="s">
        <v>283</v>
      </c>
    </row>
    <row r="227" spans="1:13" hidden="1" x14ac:dyDescent="0.25">
      <c r="A227" s="13" t="str">
        <f t="shared" si="6"/>
        <v>50714208660</v>
      </c>
      <c r="B227" s="10">
        <v>1003976469</v>
      </c>
      <c r="C227" s="10">
        <v>507142086</v>
      </c>
      <c r="D227" s="10">
        <v>60</v>
      </c>
      <c r="E227" s="10" t="s">
        <v>10</v>
      </c>
      <c r="F227" s="10">
        <v>1361175</v>
      </c>
      <c r="G227" s="10" t="s">
        <v>22</v>
      </c>
      <c r="H227" s="11">
        <v>28350</v>
      </c>
      <c r="I227" s="10">
        <v>0</v>
      </c>
      <c r="J227" s="11">
        <f t="shared" si="7"/>
        <v>28350</v>
      </c>
      <c r="K227" s="12" t="e">
        <f>VLOOKUP(A227,[3]VA05!$A:$K,11,FALSE)</f>
        <v>#N/A</v>
      </c>
      <c r="L227" s="10" t="s">
        <v>260</v>
      </c>
      <c r="M227" s="10" t="s">
        <v>283</v>
      </c>
    </row>
    <row r="228" spans="1:13" hidden="1" x14ac:dyDescent="0.25">
      <c r="A228" s="13" t="str">
        <f t="shared" si="6"/>
        <v>50714208660</v>
      </c>
      <c r="B228" s="10">
        <v>1003976470</v>
      </c>
      <c r="C228" s="10">
        <v>507142086</v>
      </c>
      <c r="D228" s="10">
        <v>60</v>
      </c>
      <c r="E228" s="10" t="s">
        <v>10</v>
      </c>
      <c r="F228" s="10">
        <v>1361175</v>
      </c>
      <c r="G228" s="10" t="s">
        <v>22</v>
      </c>
      <c r="H228" s="11">
        <v>28350</v>
      </c>
      <c r="I228" s="10">
        <v>0</v>
      </c>
      <c r="J228" s="11">
        <f t="shared" si="7"/>
        <v>28350</v>
      </c>
      <c r="K228" s="12" t="e">
        <f>VLOOKUP(A228,[3]VA05!$A:$K,11,FALSE)</f>
        <v>#N/A</v>
      </c>
      <c r="L228" s="10" t="s">
        <v>260</v>
      </c>
      <c r="M228" s="10" t="s">
        <v>283</v>
      </c>
    </row>
    <row r="229" spans="1:13" hidden="1" x14ac:dyDescent="0.25">
      <c r="A229" s="13" t="str">
        <f t="shared" si="6"/>
        <v>50714208660</v>
      </c>
      <c r="B229" s="10">
        <v>1003976471</v>
      </c>
      <c r="C229" s="10">
        <v>507142086</v>
      </c>
      <c r="D229" s="10">
        <v>60</v>
      </c>
      <c r="E229" s="10" t="s">
        <v>10</v>
      </c>
      <c r="F229" s="10">
        <v>1361175</v>
      </c>
      <c r="G229" s="10" t="s">
        <v>22</v>
      </c>
      <c r="H229" s="11">
        <v>25110</v>
      </c>
      <c r="I229" s="10">
        <v>0</v>
      </c>
      <c r="J229" s="11">
        <f t="shared" si="7"/>
        <v>25110</v>
      </c>
      <c r="K229" s="12" t="e">
        <f>VLOOKUP(A229,[3]VA05!$A:$K,11,FALSE)</f>
        <v>#N/A</v>
      </c>
      <c r="L229" s="10" t="s">
        <v>260</v>
      </c>
      <c r="M229" s="10" t="s">
        <v>283</v>
      </c>
    </row>
    <row r="230" spans="1:13" x14ac:dyDescent="0.25">
      <c r="A230" s="13" t="str">
        <f t="shared" si="6"/>
        <v>50714263860</v>
      </c>
      <c r="B230" s="10">
        <v>1004049845</v>
      </c>
      <c r="C230" s="10">
        <v>507142638</v>
      </c>
      <c r="D230" s="10">
        <v>60</v>
      </c>
      <c r="E230" s="10" t="s">
        <v>10</v>
      </c>
      <c r="F230" s="10">
        <v>1361175</v>
      </c>
      <c r="G230" s="10" t="s">
        <v>22</v>
      </c>
      <c r="H230" s="11">
        <v>36850</v>
      </c>
      <c r="I230" s="11">
        <v>4576</v>
      </c>
      <c r="J230" s="11">
        <f t="shared" si="7"/>
        <v>32274</v>
      </c>
      <c r="K230" s="12">
        <f>VLOOKUP(A230,[3]VA05!$A:$K,11,FALSE)</f>
        <v>45560</v>
      </c>
      <c r="L230" s="10" t="s">
        <v>132</v>
      </c>
      <c r="M230" s="10" t="s">
        <v>143</v>
      </c>
    </row>
    <row r="231" spans="1:13" x14ac:dyDescent="0.25">
      <c r="A231" s="13" t="str">
        <f t="shared" si="6"/>
        <v>50714263860</v>
      </c>
      <c r="B231" s="10">
        <v>1004049846</v>
      </c>
      <c r="C231" s="10">
        <v>507142638</v>
      </c>
      <c r="D231" s="10">
        <v>60</v>
      </c>
      <c r="E231" s="10" t="s">
        <v>10</v>
      </c>
      <c r="F231" s="10">
        <v>1361175</v>
      </c>
      <c r="G231" s="10" t="s">
        <v>22</v>
      </c>
      <c r="H231" s="11">
        <v>36190</v>
      </c>
      <c r="I231" s="10">
        <v>0</v>
      </c>
      <c r="J231" s="11">
        <f t="shared" si="7"/>
        <v>36190</v>
      </c>
      <c r="K231" s="12">
        <f>VLOOKUP(A231,[3]VA05!$A:$K,11,FALSE)</f>
        <v>45560</v>
      </c>
      <c r="L231" s="10" t="s">
        <v>241</v>
      </c>
      <c r="M231" s="10" t="s">
        <v>97</v>
      </c>
    </row>
    <row r="232" spans="1:13" x14ac:dyDescent="0.25">
      <c r="A232" s="13" t="str">
        <f t="shared" si="6"/>
        <v>50714269240</v>
      </c>
      <c r="B232" s="10">
        <v>1004060927</v>
      </c>
      <c r="C232" s="10">
        <v>507142692</v>
      </c>
      <c r="D232" s="10">
        <v>40</v>
      </c>
      <c r="E232" s="10" t="s">
        <v>10</v>
      </c>
      <c r="F232" s="10">
        <v>1367370</v>
      </c>
      <c r="G232" s="10" t="s">
        <v>63</v>
      </c>
      <c r="H232" s="11">
        <v>32400</v>
      </c>
      <c r="I232" s="11">
        <v>26644</v>
      </c>
      <c r="J232" s="11">
        <f t="shared" si="7"/>
        <v>5756</v>
      </c>
      <c r="K232" s="12">
        <f>VLOOKUP(A232,[3]VA05!$A:$K,11,FALSE)</f>
        <v>45567</v>
      </c>
      <c r="L232" s="10" t="s">
        <v>34</v>
      </c>
      <c r="M232" s="10" t="s">
        <v>178</v>
      </c>
    </row>
    <row r="233" spans="1:13" x14ac:dyDescent="0.25">
      <c r="A233" s="13" t="str">
        <f t="shared" si="6"/>
        <v>50714269240</v>
      </c>
      <c r="B233" s="10">
        <v>1004060928</v>
      </c>
      <c r="C233" s="10">
        <v>507142692</v>
      </c>
      <c r="D233" s="10">
        <v>40</v>
      </c>
      <c r="E233" s="10" t="s">
        <v>10</v>
      </c>
      <c r="F233" s="10">
        <v>1367370</v>
      </c>
      <c r="G233" s="10" t="s">
        <v>63</v>
      </c>
      <c r="H233" s="11">
        <v>32400</v>
      </c>
      <c r="I233" s="11"/>
      <c r="J233" s="11">
        <f t="shared" si="7"/>
        <v>32400</v>
      </c>
      <c r="K233" s="12">
        <f>VLOOKUP(A233,[3]VA05!$A:$K,11,FALSE)</f>
        <v>45567</v>
      </c>
      <c r="L233" s="10" t="s">
        <v>235</v>
      </c>
      <c r="M233" s="10" t="s">
        <v>178</v>
      </c>
    </row>
    <row r="234" spans="1:13" x14ac:dyDescent="0.25">
      <c r="A234" s="13" t="str">
        <f t="shared" si="6"/>
        <v>50714269240</v>
      </c>
      <c r="B234" s="10">
        <v>1004061129</v>
      </c>
      <c r="C234" s="10">
        <v>507142692</v>
      </c>
      <c r="D234" s="10">
        <v>40</v>
      </c>
      <c r="E234" s="10" t="s">
        <v>10</v>
      </c>
      <c r="F234" s="10">
        <v>1367370</v>
      </c>
      <c r="G234" s="10" t="s">
        <v>63</v>
      </c>
      <c r="H234" s="11">
        <v>34400</v>
      </c>
      <c r="I234" s="10">
        <v>0</v>
      </c>
      <c r="J234" s="11">
        <f t="shared" si="7"/>
        <v>34400</v>
      </c>
      <c r="K234" s="12">
        <f>VLOOKUP(A234,[3]VA05!$A:$K,11,FALSE)</f>
        <v>45567</v>
      </c>
      <c r="L234" s="10" t="s">
        <v>25</v>
      </c>
      <c r="M234" s="10" t="s">
        <v>178</v>
      </c>
    </row>
    <row r="235" spans="1:13" hidden="1" x14ac:dyDescent="0.25">
      <c r="A235" s="13" t="str">
        <f t="shared" si="6"/>
        <v>50714200350</v>
      </c>
      <c r="B235" s="10">
        <v>1003967868</v>
      </c>
      <c r="C235" s="10">
        <v>507142003</v>
      </c>
      <c r="D235" s="10">
        <v>50</v>
      </c>
      <c r="E235" s="10" t="s">
        <v>10</v>
      </c>
      <c r="F235" s="10">
        <v>1361213</v>
      </c>
      <c r="G235" s="10" t="s">
        <v>23</v>
      </c>
      <c r="H235" s="11">
        <v>74809</v>
      </c>
      <c r="I235" s="10">
        <v>0</v>
      </c>
      <c r="J235" s="11">
        <f t="shared" si="7"/>
        <v>74809</v>
      </c>
      <c r="K235" s="12" t="e">
        <f>VLOOKUP(A235,[3]VA05!$A:$K,11,FALSE)</f>
        <v>#N/A</v>
      </c>
      <c r="L235" s="10" t="s">
        <v>260</v>
      </c>
      <c r="M235" s="10" t="s">
        <v>284</v>
      </c>
    </row>
    <row r="236" spans="1:13" x14ac:dyDescent="0.25">
      <c r="A236" s="13" t="str">
        <f t="shared" si="6"/>
        <v>50714263850</v>
      </c>
      <c r="B236" s="10">
        <v>1004043126</v>
      </c>
      <c r="C236" s="10">
        <v>507142638</v>
      </c>
      <c r="D236" s="10">
        <v>50</v>
      </c>
      <c r="E236" s="10" t="s">
        <v>10</v>
      </c>
      <c r="F236" s="10">
        <v>1361213</v>
      </c>
      <c r="G236" s="10" t="s">
        <v>23</v>
      </c>
      <c r="H236" s="11">
        <v>113187</v>
      </c>
      <c r="I236" s="11">
        <v>16178</v>
      </c>
      <c r="J236" s="11">
        <f t="shared" si="7"/>
        <v>97009</v>
      </c>
      <c r="K236" s="12">
        <f>VLOOKUP(A236,[3]VA05!$A:$K,11,FALSE)</f>
        <v>45560</v>
      </c>
      <c r="L236" s="10" t="s">
        <v>18</v>
      </c>
      <c r="M236" s="10" t="s">
        <v>178</v>
      </c>
    </row>
    <row r="237" spans="1:13" x14ac:dyDescent="0.25">
      <c r="A237" s="13" t="str">
        <f t="shared" si="6"/>
        <v>50714273810</v>
      </c>
      <c r="B237" s="10">
        <v>1004053617</v>
      </c>
      <c r="C237" s="10">
        <v>507142738</v>
      </c>
      <c r="D237" s="10">
        <v>10</v>
      </c>
      <c r="E237" s="10" t="s">
        <v>10</v>
      </c>
      <c r="F237" s="10">
        <v>1361213</v>
      </c>
      <c r="G237" s="10" t="s">
        <v>23</v>
      </c>
      <c r="H237" s="11">
        <v>113468</v>
      </c>
      <c r="I237" s="10">
        <v>0</v>
      </c>
      <c r="J237" s="11">
        <f t="shared" si="7"/>
        <v>113468</v>
      </c>
      <c r="K237" s="12">
        <f>VLOOKUP(A237,[3]VA05!$A:$K,11,FALSE)</f>
        <v>45567</v>
      </c>
      <c r="L237" s="10" t="s">
        <v>12</v>
      </c>
      <c r="M237" s="10" t="s">
        <v>130</v>
      </c>
    </row>
    <row r="238" spans="1:13" x14ac:dyDescent="0.25">
      <c r="A238" s="13" t="str">
        <f t="shared" si="6"/>
        <v>50714279010</v>
      </c>
      <c r="B238" s="10">
        <v>1004053618</v>
      </c>
      <c r="C238" s="10">
        <v>507142790</v>
      </c>
      <c r="D238" s="10">
        <v>10</v>
      </c>
      <c r="E238" s="10" t="s">
        <v>10</v>
      </c>
      <c r="F238" s="10">
        <v>1361213</v>
      </c>
      <c r="G238" s="10" t="s">
        <v>23</v>
      </c>
      <c r="H238" s="11">
        <v>113465</v>
      </c>
      <c r="I238" s="10">
        <v>0</v>
      </c>
      <c r="J238" s="11">
        <f t="shared" si="7"/>
        <v>113465</v>
      </c>
      <c r="K238" s="12">
        <f>VLOOKUP(A238,[3]VA05!$A:$K,11,FALSE)</f>
        <v>45583</v>
      </c>
      <c r="L238" s="10" t="s">
        <v>12</v>
      </c>
      <c r="M238" s="10" t="s">
        <v>180</v>
      </c>
    </row>
    <row r="239" spans="1:13" x14ac:dyDescent="0.25">
      <c r="A239" s="13" t="str">
        <f t="shared" si="6"/>
        <v>50714269230</v>
      </c>
      <c r="B239" s="10">
        <v>1004062502</v>
      </c>
      <c r="C239" s="10">
        <v>507142692</v>
      </c>
      <c r="D239" s="10">
        <v>30</v>
      </c>
      <c r="E239" s="10" t="s">
        <v>10</v>
      </c>
      <c r="F239" s="10">
        <v>1361213</v>
      </c>
      <c r="G239" s="10" t="s">
        <v>23</v>
      </c>
      <c r="H239" s="11">
        <v>102900</v>
      </c>
      <c r="I239" s="10">
        <v>0</v>
      </c>
      <c r="J239" s="11">
        <f t="shared" si="7"/>
        <v>102900</v>
      </c>
      <c r="K239" s="12">
        <f>VLOOKUP(A239,[3]VA05!$A:$K,11,FALSE)</f>
        <v>45567</v>
      </c>
      <c r="L239" s="10" t="s">
        <v>12</v>
      </c>
      <c r="M239" s="10" t="s">
        <v>162</v>
      </c>
    </row>
    <row r="240" spans="1:13" x14ac:dyDescent="0.25">
      <c r="A240" s="13" t="str">
        <f t="shared" si="6"/>
        <v>50714269210</v>
      </c>
      <c r="B240" s="10">
        <v>1004062503</v>
      </c>
      <c r="C240" s="10">
        <v>507142692</v>
      </c>
      <c r="D240" s="10">
        <v>10</v>
      </c>
      <c r="E240" s="10" t="s">
        <v>10</v>
      </c>
      <c r="F240" s="10">
        <v>1361213</v>
      </c>
      <c r="G240" s="10" t="s">
        <v>23</v>
      </c>
      <c r="H240" s="11">
        <v>39734</v>
      </c>
      <c r="I240" s="10">
        <v>0</v>
      </c>
      <c r="J240" s="11">
        <f t="shared" si="7"/>
        <v>39734</v>
      </c>
      <c r="K240" s="12">
        <f>VLOOKUP(A240,[3]VA05!$A:$K,11,FALSE)</f>
        <v>45572</v>
      </c>
      <c r="L240" s="10" t="s">
        <v>12</v>
      </c>
      <c r="M240" s="10" t="s">
        <v>162</v>
      </c>
    </row>
    <row r="241" spans="1:13" x14ac:dyDescent="0.25">
      <c r="A241" s="13" t="str">
        <f t="shared" si="6"/>
        <v>50714283110</v>
      </c>
      <c r="B241" s="10">
        <v>1004062504</v>
      </c>
      <c r="C241" s="10">
        <v>507142831</v>
      </c>
      <c r="D241" s="10">
        <v>10</v>
      </c>
      <c r="E241" s="10" t="s">
        <v>10</v>
      </c>
      <c r="F241" s="10">
        <v>1361213</v>
      </c>
      <c r="G241" s="10" t="s">
        <v>23</v>
      </c>
      <c r="H241" s="11">
        <v>51727</v>
      </c>
      <c r="I241" s="10">
        <v>0</v>
      </c>
      <c r="J241" s="11">
        <f t="shared" si="7"/>
        <v>51727</v>
      </c>
      <c r="K241" s="12">
        <f>VLOOKUP(A241,[3]VA05!$A:$K,11,FALSE)</f>
        <v>45587</v>
      </c>
      <c r="L241" s="10" t="s">
        <v>12</v>
      </c>
      <c r="M241" s="10" t="s">
        <v>179</v>
      </c>
    </row>
    <row r="242" spans="1:13" hidden="1" x14ac:dyDescent="0.25">
      <c r="A242" s="13" t="str">
        <f t="shared" si="6"/>
        <v>50714263750</v>
      </c>
      <c r="B242" s="10">
        <v>1004053626</v>
      </c>
      <c r="C242" s="10">
        <v>507142637</v>
      </c>
      <c r="D242" s="10">
        <v>50</v>
      </c>
      <c r="E242" s="10" t="s">
        <v>10</v>
      </c>
      <c r="F242" s="10">
        <v>1408740</v>
      </c>
      <c r="G242" s="10" t="s">
        <v>104</v>
      </c>
      <c r="H242" s="11">
        <v>27540</v>
      </c>
      <c r="I242" s="11">
        <v>27540</v>
      </c>
      <c r="J242" s="11">
        <f t="shared" si="7"/>
        <v>0</v>
      </c>
      <c r="K242" s="12">
        <f>VLOOKUP(A242,[3]VA05!$A:$K,11,FALSE)</f>
        <v>45572</v>
      </c>
      <c r="L242" s="10" t="s">
        <v>233</v>
      </c>
      <c r="M242" s="10" t="s">
        <v>154</v>
      </c>
    </row>
    <row r="243" spans="1:13" hidden="1" x14ac:dyDescent="0.25">
      <c r="A243" s="13" t="str">
        <f t="shared" si="6"/>
        <v>50714263750</v>
      </c>
      <c r="B243" s="10">
        <v>1004053627</v>
      </c>
      <c r="C243" s="10">
        <v>507142637</v>
      </c>
      <c r="D243" s="10">
        <v>50</v>
      </c>
      <c r="E243" s="10" t="s">
        <v>10</v>
      </c>
      <c r="F243" s="10">
        <v>1408740</v>
      </c>
      <c r="G243" s="10" t="s">
        <v>104</v>
      </c>
      <c r="H243" s="11">
        <v>27540</v>
      </c>
      <c r="I243" s="11">
        <v>27540</v>
      </c>
      <c r="J243" s="11">
        <f t="shared" si="7"/>
        <v>0</v>
      </c>
      <c r="K243" s="12">
        <f>VLOOKUP(A243,[3]VA05!$A:$K,11,FALSE)</f>
        <v>45572</v>
      </c>
      <c r="L243" s="10" t="s">
        <v>233</v>
      </c>
      <c r="M243" s="10" t="s">
        <v>194</v>
      </c>
    </row>
    <row r="244" spans="1:13" hidden="1" x14ac:dyDescent="0.25">
      <c r="A244" s="13" t="str">
        <f t="shared" si="6"/>
        <v>50714263750</v>
      </c>
      <c r="B244" s="10">
        <v>1004053628</v>
      </c>
      <c r="C244" s="10">
        <v>507142637</v>
      </c>
      <c r="D244" s="10">
        <v>50</v>
      </c>
      <c r="E244" s="10" t="s">
        <v>10</v>
      </c>
      <c r="F244" s="10">
        <v>1408740</v>
      </c>
      <c r="G244" s="10" t="s">
        <v>104</v>
      </c>
      <c r="H244" s="11">
        <v>27540</v>
      </c>
      <c r="I244" s="11">
        <v>27540</v>
      </c>
      <c r="J244" s="11">
        <f t="shared" si="7"/>
        <v>0</v>
      </c>
      <c r="K244" s="12">
        <f>VLOOKUP(A244,[3]VA05!$A:$K,11,FALSE)</f>
        <v>45572</v>
      </c>
      <c r="L244" s="10" t="s">
        <v>34</v>
      </c>
      <c r="M244" s="10" t="s">
        <v>178</v>
      </c>
    </row>
    <row r="245" spans="1:13" hidden="1" x14ac:dyDescent="0.25">
      <c r="A245" s="13" t="str">
        <f t="shared" si="6"/>
        <v>50714263750</v>
      </c>
      <c r="B245" s="10">
        <v>1004053629</v>
      </c>
      <c r="C245" s="10">
        <v>507142637</v>
      </c>
      <c r="D245" s="10">
        <v>50</v>
      </c>
      <c r="E245" s="10" t="s">
        <v>10</v>
      </c>
      <c r="F245" s="10">
        <v>1408740</v>
      </c>
      <c r="G245" s="10" t="s">
        <v>104</v>
      </c>
      <c r="H245" s="11">
        <v>27270</v>
      </c>
      <c r="I245" s="11">
        <v>27270</v>
      </c>
      <c r="J245" s="11">
        <f t="shared" si="7"/>
        <v>0</v>
      </c>
      <c r="K245" s="12">
        <f>VLOOKUP(A245,[3]VA05!$A:$K,11,FALSE)</f>
        <v>45572</v>
      </c>
      <c r="L245" s="10" t="s">
        <v>28</v>
      </c>
      <c r="M245" s="10" t="s">
        <v>154</v>
      </c>
    </row>
    <row r="246" spans="1:13" hidden="1" x14ac:dyDescent="0.25">
      <c r="A246" s="13" t="str">
        <f t="shared" si="6"/>
        <v>50714269810</v>
      </c>
      <c r="B246" s="10">
        <v>1004061887</v>
      </c>
      <c r="C246" s="10">
        <v>507142698</v>
      </c>
      <c r="D246" s="10">
        <v>10</v>
      </c>
      <c r="E246" s="10" t="s">
        <v>10</v>
      </c>
      <c r="F246" s="10">
        <v>1408740</v>
      </c>
      <c r="G246" s="10" t="s">
        <v>104</v>
      </c>
      <c r="H246" s="11">
        <v>27540</v>
      </c>
      <c r="I246" s="11">
        <v>27540</v>
      </c>
      <c r="J246" s="11">
        <f t="shared" si="7"/>
        <v>0</v>
      </c>
      <c r="K246" s="12">
        <f>VLOOKUP(A246,[3]VA05!$A:$K,11,FALSE)</f>
        <v>45553</v>
      </c>
      <c r="L246" s="10" t="s">
        <v>18</v>
      </c>
      <c r="M246" s="10" t="s">
        <v>197</v>
      </c>
    </row>
    <row r="247" spans="1:13" x14ac:dyDescent="0.25">
      <c r="A247" s="13" t="str">
        <f t="shared" si="6"/>
        <v>50714269810</v>
      </c>
      <c r="B247" s="10">
        <v>1004061888</v>
      </c>
      <c r="C247" s="10">
        <v>507142698</v>
      </c>
      <c r="D247" s="10">
        <v>10</v>
      </c>
      <c r="E247" s="10" t="s">
        <v>10</v>
      </c>
      <c r="F247" s="10">
        <v>1408740</v>
      </c>
      <c r="G247" s="10" t="s">
        <v>104</v>
      </c>
      <c r="H247" s="11">
        <v>27540</v>
      </c>
      <c r="I247" s="10">
        <v>10532</v>
      </c>
      <c r="J247" s="11">
        <f t="shared" si="7"/>
        <v>17008</v>
      </c>
      <c r="K247" s="12">
        <f>VLOOKUP(A247,[3]VA05!$A:$K,11,FALSE)</f>
        <v>45553</v>
      </c>
      <c r="L247" s="10" t="s">
        <v>240</v>
      </c>
      <c r="M247" s="10" t="s">
        <v>202</v>
      </c>
    </row>
    <row r="248" spans="1:13" x14ac:dyDescent="0.25">
      <c r="A248" s="13" t="str">
        <f t="shared" si="6"/>
        <v>50714269810</v>
      </c>
      <c r="B248" s="10">
        <v>1004062029</v>
      </c>
      <c r="C248" s="10">
        <v>507142698</v>
      </c>
      <c r="D248" s="10">
        <v>10</v>
      </c>
      <c r="E248" s="10" t="s">
        <v>10</v>
      </c>
      <c r="F248" s="10">
        <v>1408740</v>
      </c>
      <c r="G248" s="10" t="s">
        <v>104</v>
      </c>
      <c r="H248" s="11">
        <v>27540</v>
      </c>
      <c r="I248" s="10">
        <v>0</v>
      </c>
      <c r="J248" s="11">
        <f t="shared" si="7"/>
        <v>27540</v>
      </c>
      <c r="K248" s="12">
        <f>VLOOKUP(A248,[3]VA05!$A:$K,11,FALSE)</f>
        <v>45553</v>
      </c>
      <c r="L248" s="10" t="s">
        <v>12</v>
      </c>
      <c r="M248" s="10" t="s">
        <v>197</v>
      </c>
    </row>
    <row r="249" spans="1:13" x14ac:dyDescent="0.25">
      <c r="A249" s="13" t="str">
        <f t="shared" si="6"/>
        <v>50714269810</v>
      </c>
      <c r="B249" s="10">
        <v>1004062030</v>
      </c>
      <c r="C249" s="10">
        <v>507142698</v>
      </c>
      <c r="D249" s="10">
        <v>10</v>
      </c>
      <c r="E249" s="10" t="s">
        <v>10</v>
      </c>
      <c r="F249" s="10">
        <v>1408740</v>
      </c>
      <c r="G249" s="10" t="s">
        <v>104</v>
      </c>
      <c r="H249" s="11">
        <v>27540</v>
      </c>
      <c r="I249" s="10">
        <v>0</v>
      </c>
      <c r="J249" s="11">
        <f t="shared" si="7"/>
        <v>27540</v>
      </c>
      <c r="K249" s="12">
        <f>VLOOKUP(A249,[3]VA05!$A:$K,11,FALSE)</f>
        <v>45553</v>
      </c>
      <c r="L249" s="10" t="s">
        <v>12</v>
      </c>
      <c r="M249" s="10" t="s">
        <v>197</v>
      </c>
    </row>
    <row r="250" spans="1:13" x14ac:dyDescent="0.25">
      <c r="A250" s="13" t="str">
        <f t="shared" si="6"/>
        <v>50714269830</v>
      </c>
      <c r="B250" s="10">
        <v>1004062031</v>
      </c>
      <c r="C250" s="10">
        <v>507142698</v>
      </c>
      <c r="D250" s="10">
        <v>30</v>
      </c>
      <c r="E250" s="10" t="s">
        <v>10</v>
      </c>
      <c r="F250" s="10">
        <v>1408740</v>
      </c>
      <c r="G250" s="10" t="s">
        <v>104</v>
      </c>
      <c r="H250" s="11">
        <v>27540</v>
      </c>
      <c r="I250" s="10">
        <v>0</v>
      </c>
      <c r="J250" s="11">
        <f t="shared" si="7"/>
        <v>27540</v>
      </c>
      <c r="K250" s="12">
        <f>VLOOKUP(A250,[3]VA05!$A:$K,11,FALSE)</f>
        <v>45567</v>
      </c>
      <c r="L250" s="10" t="s">
        <v>12</v>
      </c>
      <c r="M250" s="10" t="s">
        <v>197</v>
      </c>
    </row>
    <row r="251" spans="1:13" x14ac:dyDescent="0.25">
      <c r="A251" s="13" t="str">
        <f t="shared" si="6"/>
        <v>50714269830</v>
      </c>
      <c r="B251" s="10">
        <v>1004062032</v>
      </c>
      <c r="C251" s="10">
        <v>507142698</v>
      </c>
      <c r="D251" s="10">
        <v>30</v>
      </c>
      <c r="E251" s="10" t="s">
        <v>10</v>
      </c>
      <c r="F251" s="10">
        <v>1408740</v>
      </c>
      <c r="G251" s="10" t="s">
        <v>104</v>
      </c>
      <c r="H251" s="11">
        <v>27540</v>
      </c>
      <c r="I251" s="10">
        <v>0</v>
      </c>
      <c r="J251" s="11">
        <f t="shared" si="7"/>
        <v>27540</v>
      </c>
      <c r="K251" s="12">
        <f>VLOOKUP(A251,[3]VA05!$A:$K,11,FALSE)</f>
        <v>45567</v>
      </c>
      <c r="L251" s="10" t="s">
        <v>12</v>
      </c>
      <c r="M251" s="10" t="s">
        <v>197</v>
      </c>
    </row>
    <row r="252" spans="1:13" x14ac:dyDescent="0.25">
      <c r="A252" s="13" t="str">
        <f t="shared" si="6"/>
        <v>50714269830</v>
      </c>
      <c r="B252" s="10">
        <v>1004062033</v>
      </c>
      <c r="C252" s="10">
        <v>507142698</v>
      </c>
      <c r="D252" s="10">
        <v>30</v>
      </c>
      <c r="E252" s="10" t="s">
        <v>10</v>
      </c>
      <c r="F252" s="10">
        <v>1408740</v>
      </c>
      <c r="G252" s="10" t="s">
        <v>104</v>
      </c>
      <c r="H252" s="11">
        <v>27540</v>
      </c>
      <c r="I252" s="10">
        <v>0</v>
      </c>
      <c r="J252" s="11">
        <f t="shared" si="7"/>
        <v>27540</v>
      </c>
      <c r="K252" s="12">
        <f>VLOOKUP(A252,[3]VA05!$A:$K,11,FALSE)</f>
        <v>45567</v>
      </c>
      <c r="L252" s="10" t="s">
        <v>12</v>
      </c>
      <c r="M252" s="10" t="s">
        <v>197</v>
      </c>
    </row>
    <row r="253" spans="1:13" x14ac:dyDescent="0.25">
      <c r="A253" s="13" t="str">
        <f t="shared" si="6"/>
        <v>50714269830</v>
      </c>
      <c r="B253" s="10">
        <v>1004062034</v>
      </c>
      <c r="C253" s="10">
        <v>507142698</v>
      </c>
      <c r="D253" s="10">
        <v>30</v>
      </c>
      <c r="E253" s="10" t="s">
        <v>10</v>
      </c>
      <c r="F253" s="10">
        <v>1408740</v>
      </c>
      <c r="G253" s="10" t="s">
        <v>104</v>
      </c>
      <c r="H253" s="11">
        <v>27270</v>
      </c>
      <c r="I253" s="10">
        <v>0</v>
      </c>
      <c r="J253" s="11">
        <f t="shared" si="7"/>
        <v>27270</v>
      </c>
      <c r="K253" s="12">
        <f>VLOOKUP(A253,[3]VA05!$A:$K,11,FALSE)</f>
        <v>45567</v>
      </c>
      <c r="L253" s="10" t="s">
        <v>12</v>
      </c>
      <c r="M253" s="10" t="s">
        <v>197</v>
      </c>
    </row>
    <row r="254" spans="1:13" x14ac:dyDescent="0.25">
      <c r="A254" s="13" t="str">
        <f t="shared" si="6"/>
        <v>50714208810</v>
      </c>
      <c r="B254" s="10">
        <v>1003976472</v>
      </c>
      <c r="C254" s="10">
        <v>507142088</v>
      </c>
      <c r="D254" s="10">
        <v>10</v>
      </c>
      <c r="E254" s="10" t="s">
        <v>10</v>
      </c>
      <c r="F254" s="10">
        <v>1408739</v>
      </c>
      <c r="G254" s="10" t="s">
        <v>37</v>
      </c>
      <c r="H254" s="11">
        <v>28350</v>
      </c>
      <c r="I254" s="10">
        <v>0</v>
      </c>
      <c r="J254" s="11">
        <f t="shared" si="7"/>
        <v>28350</v>
      </c>
      <c r="K254" s="12" t="e">
        <f>VLOOKUP(A254,[3]VA05!$A:$K,11,FALSE)</f>
        <v>#N/A</v>
      </c>
      <c r="L254" s="10" t="s">
        <v>285</v>
      </c>
      <c r="M254" s="10" t="s">
        <v>282</v>
      </c>
    </row>
    <row r="255" spans="1:13" x14ac:dyDescent="0.25">
      <c r="A255" s="13" t="str">
        <f t="shared" si="6"/>
        <v>50714208810</v>
      </c>
      <c r="B255" s="10">
        <v>1003976473</v>
      </c>
      <c r="C255" s="10">
        <v>507142088</v>
      </c>
      <c r="D255" s="10">
        <v>10</v>
      </c>
      <c r="E255" s="10" t="s">
        <v>10</v>
      </c>
      <c r="F255" s="10">
        <v>1408739</v>
      </c>
      <c r="G255" s="10" t="s">
        <v>37</v>
      </c>
      <c r="H255" s="11">
        <v>28350</v>
      </c>
      <c r="I255" s="10">
        <v>0</v>
      </c>
      <c r="J255" s="11">
        <f t="shared" si="7"/>
        <v>28350</v>
      </c>
      <c r="K255" s="12" t="e">
        <f>VLOOKUP(A255,[3]VA05!$A:$K,11,FALSE)</f>
        <v>#N/A</v>
      </c>
      <c r="L255" s="10" t="s">
        <v>285</v>
      </c>
      <c r="M255" s="10" t="s">
        <v>282</v>
      </c>
    </row>
    <row r="256" spans="1:13" hidden="1" x14ac:dyDescent="0.25">
      <c r="A256" s="13" t="str">
        <f t="shared" si="6"/>
        <v>50714208810</v>
      </c>
      <c r="B256" s="10">
        <v>1003976474</v>
      </c>
      <c r="C256" s="10">
        <v>507142088</v>
      </c>
      <c r="D256" s="10">
        <v>10</v>
      </c>
      <c r="E256" s="10" t="s">
        <v>10</v>
      </c>
      <c r="F256" s="10">
        <v>1408739</v>
      </c>
      <c r="G256" s="10" t="s">
        <v>37</v>
      </c>
      <c r="H256" s="11">
        <v>28350</v>
      </c>
      <c r="I256" s="10">
        <v>0</v>
      </c>
      <c r="J256" s="11">
        <f t="shared" si="7"/>
        <v>28350</v>
      </c>
      <c r="K256" s="12" t="e">
        <f>VLOOKUP(A256,[3]VA05!$A:$K,11,FALSE)</f>
        <v>#N/A</v>
      </c>
      <c r="L256" s="10" t="s">
        <v>260</v>
      </c>
      <c r="M256" s="10" t="s">
        <v>282</v>
      </c>
    </row>
    <row r="257" spans="1:13" hidden="1" x14ac:dyDescent="0.25">
      <c r="A257" s="13" t="str">
        <f t="shared" si="6"/>
        <v>50714208810</v>
      </c>
      <c r="B257" s="10">
        <v>1003976475</v>
      </c>
      <c r="C257" s="10">
        <v>507142088</v>
      </c>
      <c r="D257" s="10">
        <v>10</v>
      </c>
      <c r="E257" s="10" t="s">
        <v>10</v>
      </c>
      <c r="F257" s="10">
        <v>1408739</v>
      </c>
      <c r="G257" s="10" t="s">
        <v>37</v>
      </c>
      <c r="H257" s="11">
        <v>28350</v>
      </c>
      <c r="I257" s="10">
        <v>0</v>
      </c>
      <c r="J257" s="11">
        <f t="shared" si="7"/>
        <v>28350</v>
      </c>
      <c r="K257" s="12" t="e">
        <f>VLOOKUP(A257,[3]VA05!$A:$K,11,FALSE)</f>
        <v>#N/A</v>
      </c>
      <c r="L257" s="10" t="s">
        <v>260</v>
      </c>
      <c r="M257" s="10" t="s">
        <v>282</v>
      </c>
    </row>
    <row r="258" spans="1:13" hidden="1" x14ac:dyDescent="0.25">
      <c r="A258" s="13" t="str">
        <f t="shared" si="6"/>
        <v>50714208810</v>
      </c>
      <c r="B258" s="10">
        <v>1003976476</v>
      </c>
      <c r="C258" s="10">
        <v>507142088</v>
      </c>
      <c r="D258" s="10">
        <v>10</v>
      </c>
      <c r="E258" s="10" t="s">
        <v>10</v>
      </c>
      <c r="F258" s="10">
        <v>1408739</v>
      </c>
      <c r="G258" s="10" t="s">
        <v>37</v>
      </c>
      <c r="H258" s="11">
        <v>28350</v>
      </c>
      <c r="I258" s="10">
        <v>0</v>
      </c>
      <c r="J258" s="11">
        <f t="shared" si="7"/>
        <v>28350</v>
      </c>
      <c r="K258" s="12" t="e">
        <f>VLOOKUP(A258,[3]VA05!$A:$K,11,FALSE)</f>
        <v>#N/A</v>
      </c>
      <c r="L258" s="10" t="s">
        <v>260</v>
      </c>
      <c r="M258" s="10" t="s">
        <v>282</v>
      </c>
    </row>
    <row r="259" spans="1:13" hidden="1" x14ac:dyDescent="0.25">
      <c r="A259" s="13" t="str">
        <f t="shared" si="6"/>
        <v>50714208810</v>
      </c>
      <c r="B259" s="10">
        <v>1003976477</v>
      </c>
      <c r="C259" s="10">
        <v>507142088</v>
      </c>
      <c r="D259" s="10">
        <v>10</v>
      </c>
      <c r="E259" s="10" t="s">
        <v>10</v>
      </c>
      <c r="F259" s="10">
        <v>1408739</v>
      </c>
      <c r="G259" s="10" t="s">
        <v>37</v>
      </c>
      <c r="H259" s="11">
        <v>22410</v>
      </c>
      <c r="I259" s="10">
        <v>0</v>
      </c>
      <c r="J259" s="11">
        <f t="shared" si="7"/>
        <v>22410</v>
      </c>
      <c r="K259" s="12" t="e">
        <f>VLOOKUP(A259,[3]VA05!$A:$K,11,FALSE)</f>
        <v>#N/A</v>
      </c>
      <c r="L259" s="10" t="s">
        <v>260</v>
      </c>
      <c r="M259" s="10" t="s">
        <v>282</v>
      </c>
    </row>
    <row r="260" spans="1:13" hidden="1" x14ac:dyDescent="0.25">
      <c r="A260" s="13" t="str">
        <f t="shared" ref="A260:A304" si="8">C260&amp;D260</f>
        <v>50714208830</v>
      </c>
      <c r="B260" s="10">
        <v>1003976478</v>
      </c>
      <c r="C260" s="10">
        <v>507142088</v>
      </c>
      <c r="D260" s="10">
        <v>30</v>
      </c>
      <c r="E260" s="10" t="s">
        <v>10</v>
      </c>
      <c r="F260" s="10">
        <v>1408739</v>
      </c>
      <c r="G260" s="10" t="s">
        <v>37</v>
      </c>
      <c r="H260" s="11">
        <v>28350</v>
      </c>
      <c r="I260" s="10">
        <v>0</v>
      </c>
      <c r="J260" s="11">
        <f t="shared" ref="J260:J304" si="9">H260-I260</f>
        <v>28350</v>
      </c>
      <c r="K260" s="12" t="e">
        <f>VLOOKUP(A260,[3]VA05!$A:$K,11,FALSE)</f>
        <v>#N/A</v>
      </c>
      <c r="L260" s="10" t="s">
        <v>260</v>
      </c>
      <c r="M260" s="10" t="s">
        <v>286</v>
      </c>
    </row>
    <row r="261" spans="1:13" hidden="1" x14ac:dyDescent="0.25">
      <c r="A261" s="13" t="str">
        <f t="shared" si="8"/>
        <v>50714208830</v>
      </c>
      <c r="B261" s="10">
        <v>1003976479</v>
      </c>
      <c r="C261" s="10">
        <v>507142088</v>
      </c>
      <c r="D261" s="10">
        <v>30</v>
      </c>
      <c r="E261" s="10" t="s">
        <v>10</v>
      </c>
      <c r="F261" s="10">
        <v>1408739</v>
      </c>
      <c r="G261" s="10" t="s">
        <v>37</v>
      </c>
      <c r="H261" s="11">
        <v>28350</v>
      </c>
      <c r="I261" s="10">
        <v>0</v>
      </c>
      <c r="J261" s="11">
        <f t="shared" si="9"/>
        <v>28350</v>
      </c>
      <c r="K261" s="12" t="e">
        <f>VLOOKUP(A261,[3]VA05!$A:$K,11,FALSE)</f>
        <v>#N/A</v>
      </c>
      <c r="L261" s="10" t="s">
        <v>260</v>
      </c>
      <c r="M261" s="10" t="s">
        <v>286</v>
      </c>
    </row>
    <row r="262" spans="1:13" hidden="1" x14ac:dyDescent="0.25">
      <c r="A262" s="13" t="str">
        <f t="shared" si="8"/>
        <v>50714208830</v>
      </c>
      <c r="B262" s="10">
        <v>1003976480</v>
      </c>
      <c r="C262" s="10">
        <v>507142088</v>
      </c>
      <c r="D262" s="10">
        <v>30</v>
      </c>
      <c r="E262" s="10" t="s">
        <v>10</v>
      </c>
      <c r="F262" s="10">
        <v>1408739</v>
      </c>
      <c r="G262" s="10" t="s">
        <v>37</v>
      </c>
      <c r="H262" s="11">
        <v>28350</v>
      </c>
      <c r="I262" s="10">
        <v>0</v>
      </c>
      <c r="J262" s="11">
        <f t="shared" si="9"/>
        <v>28350</v>
      </c>
      <c r="K262" s="12" t="e">
        <f>VLOOKUP(A262,[3]VA05!$A:$K,11,FALSE)</f>
        <v>#N/A</v>
      </c>
      <c r="L262" s="10" t="s">
        <v>260</v>
      </c>
      <c r="M262" s="10" t="s">
        <v>286</v>
      </c>
    </row>
    <row r="263" spans="1:13" hidden="1" x14ac:dyDescent="0.25">
      <c r="A263" s="13" t="str">
        <f t="shared" si="8"/>
        <v>50714208830</v>
      </c>
      <c r="B263" s="10">
        <v>1003976481</v>
      </c>
      <c r="C263" s="10">
        <v>507142088</v>
      </c>
      <c r="D263" s="10">
        <v>30</v>
      </c>
      <c r="E263" s="10" t="s">
        <v>10</v>
      </c>
      <c r="F263" s="10">
        <v>1408739</v>
      </c>
      <c r="G263" s="10" t="s">
        <v>37</v>
      </c>
      <c r="H263" s="11">
        <v>25110</v>
      </c>
      <c r="I263" s="10">
        <v>0</v>
      </c>
      <c r="J263" s="11">
        <f t="shared" si="9"/>
        <v>25110</v>
      </c>
      <c r="K263" s="12" t="e">
        <f>VLOOKUP(A263,[3]VA05!$A:$K,11,FALSE)</f>
        <v>#N/A</v>
      </c>
      <c r="L263" s="10" t="s">
        <v>260</v>
      </c>
      <c r="M263" s="10" t="s">
        <v>286</v>
      </c>
    </row>
    <row r="264" spans="1:13" hidden="1" x14ac:dyDescent="0.25">
      <c r="A264" s="13" t="str">
        <f t="shared" si="8"/>
        <v>50714238420</v>
      </c>
      <c r="B264" s="10">
        <v>1004037415</v>
      </c>
      <c r="C264" s="10">
        <v>507142384</v>
      </c>
      <c r="D264" s="10">
        <v>20</v>
      </c>
      <c r="E264" s="10" t="s">
        <v>10</v>
      </c>
      <c r="F264" s="10">
        <v>1408739</v>
      </c>
      <c r="G264" s="10" t="s">
        <v>37</v>
      </c>
      <c r="H264" s="11">
        <v>25640</v>
      </c>
      <c r="I264" s="10">
        <v>0</v>
      </c>
      <c r="J264" s="11">
        <f t="shared" si="9"/>
        <v>25640</v>
      </c>
      <c r="K264" s="12" t="e">
        <f>VLOOKUP(A264,[3]VA05!$A:$K,11,FALSE)</f>
        <v>#N/A</v>
      </c>
      <c r="L264" s="10" t="s">
        <v>260</v>
      </c>
      <c r="M264" s="10" t="s">
        <v>287</v>
      </c>
    </row>
    <row r="265" spans="1:13" hidden="1" x14ac:dyDescent="0.25">
      <c r="A265" s="13" t="str">
        <f t="shared" si="8"/>
        <v>50714238420</v>
      </c>
      <c r="B265" s="10">
        <v>1004037416</v>
      </c>
      <c r="C265" s="10">
        <v>507142384</v>
      </c>
      <c r="D265" s="10">
        <v>20</v>
      </c>
      <c r="E265" s="10" t="s">
        <v>10</v>
      </c>
      <c r="F265" s="10">
        <v>1408739</v>
      </c>
      <c r="G265" s="10" t="s">
        <v>37</v>
      </c>
      <c r="H265" s="11">
        <v>26200</v>
      </c>
      <c r="I265" s="10">
        <v>0</v>
      </c>
      <c r="J265" s="11">
        <f t="shared" si="9"/>
        <v>26200</v>
      </c>
      <c r="K265" s="12" t="e">
        <f>VLOOKUP(A265,[3]VA05!$A:$K,11,FALSE)</f>
        <v>#N/A</v>
      </c>
      <c r="L265" s="10" t="s">
        <v>260</v>
      </c>
      <c r="M265" s="10" t="s">
        <v>287</v>
      </c>
    </row>
    <row r="266" spans="1:13" x14ac:dyDescent="0.25">
      <c r="A266" s="13" t="str">
        <f t="shared" si="8"/>
        <v>50714269820</v>
      </c>
      <c r="B266" s="10">
        <v>1004059594</v>
      </c>
      <c r="C266" s="10">
        <v>507142698</v>
      </c>
      <c r="D266" s="10">
        <v>20</v>
      </c>
      <c r="E266" s="10" t="s">
        <v>10</v>
      </c>
      <c r="F266" s="10">
        <v>1408739</v>
      </c>
      <c r="G266" s="10" t="s">
        <v>37</v>
      </c>
      <c r="H266" s="11">
        <v>27864</v>
      </c>
      <c r="I266" s="11">
        <v>19992</v>
      </c>
      <c r="J266" s="11">
        <f t="shared" si="9"/>
        <v>7872</v>
      </c>
      <c r="K266" s="12">
        <f>VLOOKUP(A266,[3]VA05!$A:$K,11,FALSE)</f>
        <v>45553</v>
      </c>
      <c r="L266" s="10" t="s">
        <v>118</v>
      </c>
      <c r="M266" s="10" t="s">
        <v>194</v>
      </c>
    </row>
    <row r="267" spans="1:13" x14ac:dyDescent="0.25">
      <c r="A267" s="13" t="str">
        <f t="shared" si="8"/>
        <v>50714269820</v>
      </c>
      <c r="B267" s="10">
        <v>1004059595</v>
      </c>
      <c r="C267" s="10">
        <v>507142698</v>
      </c>
      <c r="D267" s="10">
        <v>20</v>
      </c>
      <c r="E267" s="10" t="s">
        <v>10</v>
      </c>
      <c r="F267" s="10">
        <v>1408739</v>
      </c>
      <c r="G267" s="10" t="s">
        <v>37</v>
      </c>
      <c r="H267" s="11">
        <v>27864</v>
      </c>
      <c r="I267" s="11"/>
      <c r="J267" s="11">
        <f t="shared" si="9"/>
        <v>27864</v>
      </c>
      <c r="K267" s="12">
        <f>VLOOKUP(A267,[3]VA05!$A:$K,11,FALSE)</f>
        <v>45553</v>
      </c>
      <c r="L267" s="10" t="s">
        <v>299</v>
      </c>
      <c r="M267" s="10" t="s">
        <v>156</v>
      </c>
    </row>
    <row r="268" spans="1:13" x14ac:dyDescent="0.25">
      <c r="A268" s="13" t="str">
        <f t="shared" si="8"/>
        <v>50714269820</v>
      </c>
      <c r="B268" s="10">
        <v>1004059596</v>
      </c>
      <c r="C268" s="10">
        <v>507142698</v>
      </c>
      <c r="D268" s="10">
        <v>20</v>
      </c>
      <c r="E268" s="10" t="s">
        <v>10</v>
      </c>
      <c r="F268" s="10">
        <v>1408739</v>
      </c>
      <c r="G268" s="10" t="s">
        <v>37</v>
      </c>
      <c r="H268" s="11">
        <v>27864</v>
      </c>
      <c r="I268" s="10">
        <v>0</v>
      </c>
      <c r="J268" s="11">
        <f t="shared" si="9"/>
        <v>27864</v>
      </c>
      <c r="K268" s="12">
        <f>VLOOKUP(A268,[3]VA05!$A:$K,11,FALSE)</f>
        <v>45553</v>
      </c>
      <c r="L268" s="10" t="s">
        <v>254</v>
      </c>
      <c r="M268" s="10" t="s">
        <v>156</v>
      </c>
    </row>
    <row r="269" spans="1:13" x14ac:dyDescent="0.25">
      <c r="A269" s="13" t="str">
        <f t="shared" si="8"/>
        <v>50714269820</v>
      </c>
      <c r="B269" s="10">
        <v>1004059597</v>
      </c>
      <c r="C269" s="10">
        <v>507142698</v>
      </c>
      <c r="D269" s="10">
        <v>20</v>
      </c>
      <c r="E269" s="10" t="s">
        <v>10</v>
      </c>
      <c r="F269" s="10">
        <v>1408739</v>
      </c>
      <c r="G269" s="10" t="s">
        <v>37</v>
      </c>
      <c r="H269" s="11">
        <v>26568</v>
      </c>
      <c r="I269" s="10">
        <v>0</v>
      </c>
      <c r="J269" s="11">
        <f t="shared" si="9"/>
        <v>26568</v>
      </c>
      <c r="K269" s="12">
        <f>VLOOKUP(A269,[3]VA05!$A:$K,11,FALSE)</f>
        <v>45553</v>
      </c>
      <c r="L269" s="10" t="s">
        <v>254</v>
      </c>
      <c r="M269" s="10" t="s">
        <v>156</v>
      </c>
    </row>
    <row r="270" spans="1:13" x14ac:dyDescent="0.25">
      <c r="A270" s="13" t="str">
        <f t="shared" si="8"/>
        <v>50714269840</v>
      </c>
      <c r="B270" s="10">
        <v>1004062035</v>
      </c>
      <c r="C270" s="10">
        <v>507142698</v>
      </c>
      <c r="D270" s="10">
        <v>40</v>
      </c>
      <c r="E270" s="10" t="s">
        <v>10</v>
      </c>
      <c r="F270" s="10">
        <v>1408739</v>
      </c>
      <c r="G270" s="10" t="s">
        <v>37</v>
      </c>
      <c r="H270" s="11">
        <v>27864</v>
      </c>
      <c r="I270" s="10">
        <v>0</v>
      </c>
      <c r="J270" s="11">
        <f t="shared" si="9"/>
        <v>27864</v>
      </c>
      <c r="K270" s="12">
        <f>VLOOKUP(A270,[3]VA05!$A:$K,11,FALSE)</f>
        <v>45567</v>
      </c>
      <c r="L270" s="10" t="s">
        <v>12</v>
      </c>
      <c r="M270" s="10" t="s">
        <v>197</v>
      </c>
    </row>
    <row r="271" spans="1:13" x14ac:dyDescent="0.25">
      <c r="A271" s="13" t="str">
        <f t="shared" si="8"/>
        <v>50714269840</v>
      </c>
      <c r="B271" s="10">
        <v>1004062036</v>
      </c>
      <c r="C271" s="10">
        <v>507142698</v>
      </c>
      <c r="D271" s="10">
        <v>40</v>
      </c>
      <c r="E271" s="10" t="s">
        <v>10</v>
      </c>
      <c r="F271" s="10">
        <v>1408739</v>
      </c>
      <c r="G271" s="10" t="s">
        <v>37</v>
      </c>
      <c r="H271" s="11">
        <v>27864</v>
      </c>
      <c r="I271" s="10">
        <v>0</v>
      </c>
      <c r="J271" s="11">
        <f t="shared" si="9"/>
        <v>27864</v>
      </c>
      <c r="K271" s="12">
        <f>VLOOKUP(A271,[3]VA05!$A:$K,11,FALSE)</f>
        <v>45567</v>
      </c>
      <c r="L271" s="10" t="s">
        <v>12</v>
      </c>
      <c r="M271" s="10" t="s">
        <v>197</v>
      </c>
    </row>
    <row r="272" spans="1:13" x14ac:dyDescent="0.25">
      <c r="A272" s="13" t="str">
        <f t="shared" si="8"/>
        <v>50714269840</v>
      </c>
      <c r="B272" s="10">
        <v>1004062037</v>
      </c>
      <c r="C272" s="10">
        <v>507142698</v>
      </c>
      <c r="D272" s="10">
        <v>40</v>
      </c>
      <c r="E272" s="10" t="s">
        <v>10</v>
      </c>
      <c r="F272" s="10">
        <v>1408739</v>
      </c>
      <c r="G272" s="10" t="s">
        <v>37</v>
      </c>
      <c r="H272" s="11">
        <v>27864</v>
      </c>
      <c r="I272" s="10">
        <v>0</v>
      </c>
      <c r="J272" s="11">
        <f t="shared" si="9"/>
        <v>27864</v>
      </c>
      <c r="K272" s="12">
        <f>VLOOKUP(A272,[3]VA05!$A:$K,11,FALSE)</f>
        <v>45567</v>
      </c>
      <c r="L272" s="10" t="s">
        <v>12</v>
      </c>
      <c r="M272" s="10" t="s">
        <v>197</v>
      </c>
    </row>
    <row r="273" spans="1:13" x14ac:dyDescent="0.25">
      <c r="A273" s="13" t="str">
        <f t="shared" si="8"/>
        <v>50714269840</v>
      </c>
      <c r="B273" s="10">
        <v>1004062038</v>
      </c>
      <c r="C273" s="10">
        <v>507142698</v>
      </c>
      <c r="D273" s="10">
        <v>40</v>
      </c>
      <c r="E273" s="10" t="s">
        <v>10</v>
      </c>
      <c r="F273" s="10">
        <v>1408739</v>
      </c>
      <c r="G273" s="10" t="s">
        <v>37</v>
      </c>
      <c r="H273" s="11">
        <v>26298</v>
      </c>
      <c r="I273" s="10">
        <v>0</v>
      </c>
      <c r="J273" s="11">
        <f t="shared" si="9"/>
        <v>26298</v>
      </c>
      <c r="K273" s="12">
        <f>VLOOKUP(A273,[3]VA05!$A:$K,11,FALSE)</f>
        <v>45567</v>
      </c>
      <c r="L273" s="10" t="s">
        <v>12</v>
      </c>
      <c r="M273" s="10" t="s">
        <v>197</v>
      </c>
    </row>
    <row r="274" spans="1:13" x14ac:dyDescent="0.25">
      <c r="A274" s="13" t="str">
        <f t="shared" si="8"/>
        <v>50714222020</v>
      </c>
      <c r="B274" s="10">
        <v>1003984115</v>
      </c>
      <c r="C274" s="10">
        <v>507142220</v>
      </c>
      <c r="D274" s="10">
        <v>20</v>
      </c>
      <c r="E274" s="10" t="s">
        <v>10</v>
      </c>
      <c r="F274" s="10">
        <v>1420373</v>
      </c>
      <c r="G274" s="10" t="s">
        <v>288</v>
      </c>
      <c r="H274" s="11">
        <v>25272</v>
      </c>
      <c r="I274" s="10">
        <v>0</v>
      </c>
      <c r="J274" s="11">
        <f t="shared" si="9"/>
        <v>25272</v>
      </c>
      <c r="K274" s="12" t="e">
        <f>VLOOKUP(A274,[3]VA05!$A:$K,11,FALSE)</f>
        <v>#N/A</v>
      </c>
      <c r="L274" s="10" t="s">
        <v>285</v>
      </c>
      <c r="M274" s="10" t="s">
        <v>283</v>
      </c>
    </row>
    <row r="275" spans="1:13" x14ac:dyDescent="0.25">
      <c r="A275" s="13" t="str">
        <f t="shared" si="8"/>
        <v>50714269810</v>
      </c>
      <c r="B275" s="10">
        <v>1004062505</v>
      </c>
      <c r="C275" s="10">
        <v>507142698</v>
      </c>
      <c r="D275" s="10">
        <v>10</v>
      </c>
      <c r="E275" s="10" t="s">
        <v>10</v>
      </c>
      <c r="F275" s="10">
        <v>1408742</v>
      </c>
      <c r="G275" s="10" t="s">
        <v>38</v>
      </c>
      <c r="H275" s="11">
        <v>70103</v>
      </c>
      <c r="I275" s="11">
        <v>20440</v>
      </c>
      <c r="J275" s="11">
        <f t="shared" si="9"/>
        <v>49663</v>
      </c>
      <c r="K275" s="12">
        <f>VLOOKUP(A275,[3]VA05!$A:$K,11,FALSE)</f>
        <v>45553</v>
      </c>
      <c r="L275" s="10" t="s">
        <v>18</v>
      </c>
      <c r="M275" s="10" t="s">
        <v>162</v>
      </c>
    </row>
    <row r="276" spans="1:13" x14ac:dyDescent="0.25">
      <c r="A276" s="13" t="str">
        <f t="shared" si="8"/>
        <v>50714269830</v>
      </c>
      <c r="B276" s="10">
        <v>1004062506</v>
      </c>
      <c r="C276" s="10">
        <v>507142698</v>
      </c>
      <c r="D276" s="10">
        <v>30</v>
      </c>
      <c r="E276" s="10" t="s">
        <v>10</v>
      </c>
      <c r="F276" s="10">
        <v>1408742</v>
      </c>
      <c r="G276" s="10" t="s">
        <v>38</v>
      </c>
      <c r="H276" s="11">
        <v>113190</v>
      </c>
      <c r="I276" s="10">
        <v>0</v>
      </c>
      <c r="J276" s="11">
        <f t="shared" si="9"/>
        <v>113190</v>
      </c>
      <c r="K276" s="12">
        <f>VLOOKUP(A276,[3]VA05!$A:$K,11,FALSE)</f>
        <v>45567</v>
      </c>
      <c r="L276" s="10" t="s">
        <v>12</v>
      </c>
      <c r="M276" s="10" t="s">
        <v>162</v>
      </c>
    </row>
    <row r="277" spans="1:13" x14ac:dyDescent="0.25">
      <c r="A277" s="13" t="str">
        <f t="shared" si="8"/>
        <v>50714283710</v>
      </c>
      <c r="B277" s="10">
        <v>1004062507</v>
      </c>
      <c r="C277" s="10">
        <v>507142837</v>
      </c>
      <c r="D277" s="10">
        <v>10</v>
      </c>
      <c r="E277" s="10" t="s">
        <v>10</v>
      </c>
      <c r="F277" s="10">
        <v>1408742</v>
      </c>
      <c r="G277" s="10" t="s">
        <v>38</v>
      </c>
      <c r="H277" s="11">
        <v>113465</v>
      </c>
      <c r="I277" s="10">
        <v>0</v>
      </c>
      <c r="J277" s="11">
        <f t="shared" si="9"/>
        <v>113465</v>
      </c>
      <c r="K277" s="12">
        <f>VLOOKUP(A277,[3]VA05!$A:$K,11,FALSE)</f>
        <v>45587</v>
      </c>
      <c r="L277" s="10" t="s">
        <v>12</v>
      </c>
      <c r="M277" s="10" t="s">
        <v>162</v>
      </c>
    </row>
    <row r="278" spans="1:13" x14ac:dyDescent="0.25">
      <c r="A278" s="13" t="str">
        <f t="shared" si="8"/>
        <v>50714275730</v>
      </c>
      <c r="B278" s="10">
        <v>1004054926</v>
      </c>
      <c r="C278" s="10">
        <v>507142757</v>
      </c>
      <c r="D278" s="10">
        <v>30</v>
      </c>
      <c r="E278" s="10" t="s">
        <v>10</v>
      </c>
      <c r="F278" s="10">
        <v>1411702</v>
      </c>
      <c r="G278" s="10" t="s">
        <v>221</v>
      </c>
      <c r="H278" s="11">
        <v>126758</v>
      </c>
      <c r="I278" s="11">
        <v>76770</v>
      </c>
      <c r="J278" s="11">
        <f t="shared" si="9"/>
        <v>49988</v>
      </c>
      <c r="K278" s="12">
        <f>VLOOKUP(A278,[3]VA05!$A:$K,11,FALSE)</f>
        <v>45574</v>
      </c>
      <c r="L278" s="10" t="s">
        <v>18</v>
      </c>
      <c r="M278" s="10" t="s">
        <v>178</v>
      </c>
    </row>
    <row r="279" spans="1:13" x14ac:dyDescent="0.25">
      <c r="A279" s="13" t="str">
        <f t="shared" si="8"/>
        <v>50714275750</v>
      </c>
      <c r="B279" s="10">
        <v>1004054927</v>
      </c>
      <c r="C279" s="10">
        <v>507142757</v>
      </c>
      <c r="D279" s="10">
        <v>50</v>
      </c>
      <c r="E279" s="10" t="s">
        <v>10</v>
      </c>
      <c r="F279" s="10">
        <v>1411702</v>
      </c>
      <c r="G279" s="10" t="s">
        <v>221</v>
      </c>
      <c r="H279" s="11">
        <v>63514</v>
      </c>
      <c r="I279" s="10">
        <v>0</v>
      </c>
      <c r="J279" s="11">
        <f t="shared" si="9"/>
        <v>63514</v>
      </c>
      <c r="K279" s="12">
        <f>VLOOKUP(A279,[3]VA05!$A:$K,11,FALSE)</f>
        <v>45587</v>
      </c>
      <c r="L279" s="10" t="s">
        <v>12</v>
      </c>
      <c r="M279" s="10" t="s">
        <v>156</v>
      </c>
    </row>
    <row r="280" spans="1:13" x14ac:dyDescent="0.25">
      <c r="A280" s="13" t="str">
        <f t="shared" si="8"/>
        <v>50714275670</v>
      </c>
      <c r="B280" s="10">
        <v>1004052383</v>
      </c>
      <c r="C280" s="10">
        <v>507142756</v>
      </c>
      <c r="D280" s="10">
        <v>70</v>
      </c>
      <c r="E280" s="10" t="s">
        <v>10</v>
      </c>
      <c r="F280" s="10">
        <v>1411902</v>
      </c>
      <c r="G280" s="10" t="s">
        <v>151</v>
      </c>
      <c r="H280" s="11">
        <v>126758</v>
      </c>
      <c r="I280" s="11">
        <v>51462</v>
      </c>
      <c r="J280" s="11">
        <f t="shared" si="9"/>
        <v>75296</v>
      </c>
      <c r="K280" s="12">
        <f>VLOOKUP(A280,[3]VA05!$A:$K,11,FALSE)</f>
        <v>45582</v>
      </c>
      <c r="L280" s="10" t="s">
        <v>18</v>
      </c>
      <c r="M280" s="10" t="s">
        <v>201</v>
      </c>
    </row>
    <row r="281" spans="1:13" x14ac:dyDescent="0.25">
      <c r="A281" s="13" t="str">
        <f t="shared" si="8"/>
        <v>50714275690</v>
      </c>
      <c r="B281" s="10">
        <v>1004052384</v>
      </c>
      <c r="C281" s="10">
        <v>507142756</v>
      </c>
      <c r="D281" s="10">
        <v>90</v>
      </c>
      <c r="E281" s="10" t="s">
        <v>10</v>
      </c>
      <c r="F281" s="10">
        <v>1411902</v>
      </c>
      <c r="G281" s="10" t="s">
        <v>151</v>
      </c>
      <c r="H281" s="11">
        <v>68920</v>
      </c>
      <c r="I281" s="10">
        <v>0</v>
      </c>
      <c r="J281" s="11">
        <f t="shared" si="9"/>
        <v>68920</v>
      </c>
      <c r="K281" s="12">
        <f>VLOOKUP(A281,[3]VA05!$A:$K,11,FALSE)</f>
        <v>45588</v>
      </c>
      <c r="L281" s="10" t="s">
        <v>12</v>
      </c>
      <c r="M281" s="10" t="s">
        <v>194</v>
      </c>
    </row>
    <row r="282" spans="1:13" x14ac:dyDescent="0.25">
      <c r="A282" s="13" t="str">
        <f t="shared" si="8"/>
        <v>50714275740</v>
      </c>
      <c r="B282" s="10">
        <v>1004052374</v>
      </c>
      <c r="C282" s="10">
        <v>507142757</v>
      </c>
      <c r="D282" s="10">
        <v>40</v>
      </c>
      <c r="E282" s="10" t="s">
        <v>10</v>
      </c>
      <c r="F282" s="10">
        <v>1411705</v>
      </c>
      <c r="G282" s="10" t="s">
        <v>189</v>
      </c>
      <c r="H282" s="11">
        <v>129220</v>
      </c>
      <c r="I282" s="11">
        <v>91499</v>
      </c>
      <c r="J282" s="11">
        <f t="shared" si="9"/>
        <v>37721</v>
      </c>
      <c r="K282" s="12">
        <f>VLOOKUP(A282,[3]VA05!$A:$K,11,FALSE)</f>
        <v>45574</v>
      </c>
      <c r="L282" s="10" t="s">
        <v>18</v>
      </c>
      <c r="M282" s="10" t="s">
        <v>197</v>
      </c>
    </row>
    <row r="283" spans="1:13" x14ac:dyDescent="0.25">
      <c r="A283" s="13" t="str">
        <f t="shared" si="8"/>
        <v>50714275760</v>
      </c>
      <c r="B283" s="10">
        <v>1004052375</v>
      </c>
      <c r="C283" s="10">
        <v>507142757</v>
      </c>
      <c r="D283" s="10">
        <v>60</v>
      </c>
      <c r="E283" s="10" t="s">
        <v>10</v>
      </c>
      <c r="F283" s="10">
        <v>1411705</v>
      </c>
      <c r="G283" s="10" t="s">
        <v>189</v>
      </c>
      <c r="H283" s="11">
        <v>64748</v>
      </c>
      <c r="I283" s="10">
        <v>0</v>
      </c>
      <c r="J283" s="11">
        <f t="shared" si="9"/>
        <v>64748</v>
      </c>
      <c r="K283" s="12">
        <f>VLOOKUP(A283,[3]VA05!$A:$K,11,FALSE)</f>
        <v>45587</v>
      </c>
      <c r="L283" s="10" t="s">
        <v>12</v>
      </c>
      <c r="M283" s="10" t="s">
        <v>156</v>
      </c>
    </row>
    <row r="284" spans="1:13" x14ac:dyDescent="0.25">
      <c r="A284" s="13" t="str">
        <f t="shared" si="8"/>
        <v>50714275780</v>
      </c>
      <c r="B284" s="10">
        <v>1004052376</v>
      </c>
      <c r="C284" s="10">
        <v>507142757</v>
      </c>
      <c r="D284" s="10">
        <v>80</v>
      </c>
      <c r="E284" s="10" t="s">
        <v>10</v>
      </c>
      <c r="F284" s="10">
        <v>1411705</v>
      </c>
      <c r="G284" s="10" t="s">
        <v>189</v>
      </c>
      <c r="H284" s="11">
        <v>23145</v>
      </c>
      <c r="I284" s="10">
        <v>0</v>
      </c>
      <c r="J284" s="11">
        <f t="shared" si="9"/>
        <v>23145</v>
      </c>
      <c r="K284" s="12">
        <f>VLOOKUP(A284,[3]VA05!$A:$K,11,FALSE)</f>
        <v>45594</v>
      </c>
      <c r="L284" s="10" t="s">
        <v>12</v>
      </c>
      <c r="M284" s="10" t="s">
        <v>176</v>
      </c>
    </row>
    <row r="285" spans="1:13" x14ac:dyDescent="0.25">
      <c r="A285" s="13" t="str">
        <f t="shared" si="8"/>
        <v>50714275680</v>
      </c>
      <c r="B285" s="10">
        <v>1004052371</v>
      </c>
      <c r="C285" s="10">
        <v>507142756</v>
      </c>
      <c r="D285" s="10">
        <v>80</v>
      </c>
      <c r="E285" s="10" t="s">
        <v>10</v>
      </c>
      <c r="F285" s="10">
        <v>1411900</v>
      </c>
      <c r="G285" s="10" t="s">
        <v>152</v>
      </c>
      <c r="H285" s="11">
        <v>129220</v>
      </c>
      <c r="I285" s="11">
        <v>40422</v>
      </c>
      <c r="J285" s="11">
        <f t="shared" si="9"/>
        <v>88798</v>
      </c>
      <c r="K285" s="12">
        <f>VLOOKUP(A285,[3]VA05!$A:$K,11,FALSE)</f>
        <v>45582</v>
      </c>
      <c r="L285" s="10" t="s">
        <v>18</v>
      </c>
      <c r="M285" s="10" t="s">
        <v>180</v>
      </c>
    </row>
    <row r="286" spans="1:13" x14ac:dyDescent="0.25">
      <c r="A286" s="13" t="str">
        <f t="shared" si="8"/>
        <v>507142756100</v>
      </c>
      <c r="B286" s="10">
        <v>1004052372</v>
      </c>
      <c r="C286" s="10">
        <v>507142756</v>
      </c>
      <c r="D286" s="10">
        <v>100</v>
      </c>
      <c r="E286" s="10" t="s">
        <v>10</v>
      </c>
      <c r="F286" s="10">
        <v>1411900</v>
      </c>
      <c r="G286" s="10" t="s">
        <v>152</v>
      </c>
      <c r="H286" s="11">
        <v>70258</v>
      </c>
      <c r="I286" s="10">
        <v>0</v>
      </c>
      <c r="J286" s="11">
        <f t="shared" si="9"/>
        <v>70258</v>
      </c>
      <c r="K286" s="12">
        <f>VLOOKUP(A286,[3]VA05!$A:$K,11,FALSE)</f>
        <v>45588</v>
      </c>
      <c r="L286" s="10" t="s">
        <v>12</v>
      </c>
      <c r="M286" s="10" t="s">
        <v>178</v>
      </c>
    </row>
    <row r="287" spans="1:13" x14ac:dyDescent="0.25">
      <c r="A287" s="13" t="str">
        <f t="shared" si="8"/>
        <v>50714275710</v>
      </c>
      <c r="B287" s="10">
        <v>1004052377</v>
      </c>
      <c r="C287" s="10">
        <v>507142757</v>
      </c>
      <c r="D287" s="10">
        <v>10</v>
      </c>
      <c r="E287" s="10" t="s">
        <v>10</v>
      </c>
      <c r="F287" s="10">
        <v>1411703</v>
      </c>
      <c r="G287" s="10" t="s">
        <v>190</v>
      </c>
      <c r="H287" s="11">
        <v>71898</v>
      </c>
      <c r="I287" s="11">
        <v>67393</v>
      </c>
      <c r="J287" s="11">
        <f t="shared" si="9"/>
        <v>4505</v>
      </c>
      <c r="K287" s="12">
        <f>VLOOKUP(A287,[3]VA05!$A:$K,11,FALSE)</f>
        <v>45572</v>
      </c>
      <c r="L287" s="10" t="s">
        <v>11</v>
      </c>
      <c r="M287" s="10" t="s">
        <v>143</v>
      </c>
    </row>
    <row r="288" spans="1:13" x14ac:dyDescent="0.25">
      <c r="A288" s="13" t="str">
        <f t="shared" si="8"/>
        <v>50714275730</v>
      </c>
      <c r="B288" s="10">
        <v>1004052378</v>
      </c>
      <c r="C288" s="10">
        <v>507142757</v>
      </c>
      <c r="D288" s="10">
        <v>30</v>
      </c>
      <c r="E288" s="10" t="s">
        <v>10</v>
      </c>
      <c r="F288" s="10">
        <v>1411703</v>
      </c>
      <c r="G288" s="10" t="s">
        <v>190</v>
      </c>
      <c r="H288" s="11">
        <v>123066</v>
      </c>
      <c r="I288" s="10">
        <v>0</v>
      </c>
      <c r="J288" s="11">
        <f t="shared" si="9"/>
        <v>123066</v>
      </c>
      <c r="K288" s="12">
        <f>VLOOKUP(A288,[3]VA05!$A:$K,11,FALSE)</f>
        <v>45574</v>
      </c>
      <c r="L288" s="10" t="s">
        <v>56</v>
      </c>
      <c r="M288" s="10" t="s">
        <v>97</v>
      </c>
    </row>
    <row r="289" spans="1:13" x14ac:dyDescent="0.25">
      <c r="A289" s="13" t="str">
        <f t="shared" si="8"/>
        <v>50714275750</v>
      </c>
      <c r="B289" s="10">
        <v>1004052379</v>
      </c>
      <c r="C289" s="10">
        <v>507142757</v>
      </c>
      <c r="D289" s="10">
        <v>50</v>
      </c>
      <c r="E289" s="10" t="s">
        <v>10</v>
      </c>
      <c r="F289" s="10">
        <v>1411703</v>
      </c>
      <c r="G289" s="10" t="s">
        <v>190</v>
      </c>
      <c r="H289" s="11">
        <v>61664</v>
      </c>
      <c r="I289" s="10">
        <v>0</v>
      </c>
      <c r="J289" s="11">
        <f t="shared" si="9"/>
        <v>61664</v>
      </c>
      <c r="K289" s="12">
        <f>VLOOKUP(A289,[3]VA05!$A:$K,11,FALSE)</f>
        <v>45587</v>
      </c>
      <c r="L289" s="10" t="s">
        <v>12</v>
      </c>
      <c r="M289" s="10" t="s">
        <v>156</v>
      </c>
    </row>
    <row r="290" spans="1:13" x14ac:dyDescent="0.25">
      <c r="A290" s="13" t="str">
        <f t="shared" si="8"/>
        <v>50714275770</v>
      </c>
      <c r="B290" s="10">
        <v>1004052380</v>
      </c>
      <c r="C290" s="10">
        <v>507142757</v>
      </c>
      <c r="D290" s="10">
        <v>70</v>
      </c>
      <c r="E290" s="10" t="s">
        <v>10</v>
      </c>
      <c r="F290" s="10">
        <v>1411703</v>
      </c>
      <c r="G290" s="10" t="s">
        <v>190</v>
      </c>
      <c r="H290" s="11">
        <v>22042</v>
      </c>
      <c r="I290" s="10">
        <v>0</v>
      </c>
      <c r="J290" s="11">
        <f t="shared" si="9"/>
        <v>22042</v>
      </c>
      <c r="K290" s="12">
        <f>VLOOKUP(A290,[3]VA05!$A:$K,11,FALSE)</f>
        <v>45594</v>
      </c>
      <c r="L290" s="10" t="s">
        <v>12</v>
      </c>
      <c r="M290" s="10" t="s">
        <v>176</v>
      </c>
    </row>
    <row r="291" spans="1:13" x14ac:dyDescent="0.25">
      <c r="A291" s="13" t="str">
        <f t="shared" si="8"/>
        <v>50714275670</v>
      </c>
      <c r="B291" s="10">
        <v>1004052381</v>
      </c>
      <c r="C291" s="10">
        <v>507142756</v>
      </c>
      <c r="D291" s="10">
        <v>70</v>
      </c>
      <c r="E291" s="10" t="s">
        <v>10</v>
      </c>
      <c r="F291" s="10">
        <v>1411901</v>
      </c>
      <c r="G291" s="10" t="s">
        <v>153</v>
      </c>
      <c r="H291" s="11">
        <v>123066</v>
      </c>
      <c r="I291" s="11">
        <v>1660</v>
      </c>
      <c r="J291" s="11">
        <f t="shared" si="9"/>
        <v>121406</v>
      </c>
      <c r="K291" s="12">
        <f>VLOOKUP(A291,[3]VA05!$A:$K,11,FALSE)</f>
        <v>45582</v>
      </c>
      <c r="L291" s="10" t="s">
        <v>18</v>
      </c>
      <c r="M291" s="10" t="s">
        <v>154</v>
      </c>
    </row>
    <row r="292" spans="1:13" x14ac:dyDescent="0.25">
      <c r="A292" s="13" t="str">
        <f t="shared" si="8"/>
        <v>50714275690</v>
      </c>
      <c r="B292" s="10">
        <v>1004052382</v>
      </c>
      <c r="C292" s="10">
        <v>507142756</v>
      </c>
      <c r="D292" s="10">
        <v>90</v>
      </c>
      <c r="E292" s="10" t="s">
        <v>10</v>
      </c>
      <c r="F292" s="10">
        <v>1411901</v>
      </c>
      <c r="G292" s="10" t="s">
        <v>153</v>
      </c>
      <c r="H292" s="11">
        <v>66912</v>
      </c>
      <c r="I292" s="10">
        <v>0</v>
      </c>
      <c r="J292" s="11">
        <f t="shared" si="9"/>
        <v>66912</v>
      </c>
      <c r="K292" s="12">
        <f>VLOOKUP(A292,[3]VA05!$A:$K,11,FALSE)</f>
        <v>45588</v>
      </c>
      <c r="L292" s="10" t="s">
        <v>12</v>
      </c>
      <c r="M292" s="10" t="s">
        <v>156</v>
      </c>
    </row>
    <row r="293" spans="1:13" hidden="1" x14ac:dyDescent="0.25">
      <c r="A293" s="13" t="str">
        <f t="shared" si="8"/>
        <v>507142416110</v>
      </c>
      <c r="B293" s="10">
        <v>1004053567</v>
      </c>
      <c r="C293" s="10">
        <v>507142416</v>
      </c>
      <c r="D293" s="10">
        <v>110</v>
      </c>
      <c r="E293" s="10" t="s">
        <v>10</v>
      </c>
      <c r="F293" s="10">
        <v>1172059</v>
      </c>
      <c r="G293" s="10" t="s">
        <v>59</v>
      </c>
      <c r="H293" s="11">
        <v>10195</v>
      </c>
      <c r="I293" s="11">
        <v>10195</v>
      </c>
      <c r="J293" s="11">
        <f t="shared" si="9"/>
        <v>0</v>
      </c>
      <c r="K293" s="12">
        <f>VLOOKUP(A293,[3]VA05!$A:$K,11,FALSE)</f>
        <v>45580</v>
      </c>
      <c r="L293" s="10" t="s">
        <v>28</v>
      </c>
      <c r="M293" s="10" t="s">
        <v>202</v>
      </c>
    </row>
    <row r="294" spans="1:13" x14ac:dyDescent="0.25">
      <c r="A294" s="13" t="str">
        <f t="shared" si="8"/>
        <v>507142416200</v>
      </c>
      <c r="B294" s="10">
        <v>1004053568</v>
      </c>
      <c r="C294" s="10">
        <v>507142416</v>
      </c>
      <c r="D294" s="10">
        <v>200</v>
      </c>
      <c r="E294" s="10" t="s">
        <v>10</v>
      </c>
      <c r="F294" s="10">
        <v>1172059</v>
      </c>
      <c r="G294" s="10" t="s">
        <v>59</v>
      </c>
      <c r="H294" s="11">
        <v>10195</v>
      </c>
      <c r="I294" s="11">
        <v>2957</v>
      </c>
      <c r="J294" s="11">
        <f t="shared" si="9"/>
        <v>7238</v>
      </c>
      <c r="K294" s="12">
        <f>VLOOKUP(A294,[3]VA05!$A:$K,11,FALSE)</f>
        <v>45582</v>
      </c>
      <c r="L294" s="10" t="s">
        <v>18</v>
      </c>
      <c r="M294" s="10" t="s">
        <v>179</v>
      </c>
    </row>
    <row r="295" spans="1:13" x14ac:dyDescent="0.25">
      <c r="A295" s="13" t="str">
        <f t="shared" si="8"/>
        <v>507142416230</v>
      </c>
      <c r="B295" s="10">
        <v>1004053609</v>
      </c>
      <c r="C295" s="10">
        <v>507142416</v>
      </c>
      <c r="D295" s="10">
        <v>230</v>
      </c>
      <c r="E295" s="10" t="s">
        <v>10</v>
      </c>
      <c r="F295" s="10">
        <v>1172059</v>
      </c>
      <c r="G295" s="10" t="s">
        <v>59</v>
      </c>
      <c r="H295" s="11">
        <v>10195</v>
      </c>
      <c r="I295" s="10">
        <v>0</v>
      </c>
      <c r="J295" s="11">
        <f t="shared" si="9"/>
        <v>10195</v>
      </c>
      <c r="K295" s="12">
        <f>VLOOKUP(A295,[3]VA05!$A:$K,11,FALSE)</f>
        <v>45587</v>
      </c>
      <c r="L295" s="10" t="s">
        <v>12</v>
      </c>
      <c r="M295" s="10" t="s">
        <v>191</v>
      </c>
    </row>
    <row r="296" spans="1:13" hidden="1" x14ac:dyDescent="0.25">
      <c r="A296" s="13" t="str">
        <f t="shared" si="8"/>
        <v>50714267980</v>
      </c>
      <c r="B296" s="10">
        <v>1004053550</v>
      </c>
      <c r="C296" s="10">
        <v>507142679</v>
      </c>
      <c r="D296" s="10">
        <v>80</v>
      </c>
      <c r="E296" s="10" t="s">
        <v>10</v>
      </c>
      <c r="F296" s="10">
        <v>1167435</v>
      </c>
      <c r="G296" s="10" t="s">
        <v>26</v>
      </c>
      <c r="H296" s="11">
        <v>20260</v>
      </c>
      <c r="I296" s="11">
        <v>20260</v>
      </c>
      <c r="J296" s="11">
        <f t="shared" si="9"/>
        <v>0</v>
      </c>
      <c r="K296" s="12" t="e">
        <f>VLOOKUP(A296,[3]VA05!$A:$K,11,FALSE)</f>
        <v>#N/A</v>
      </c>
      <c r="L296" s="10" t="s">
        <v>28</v>
      </c>
      <c r="M296" s="10" t="s">
        <v>195</v>
      </c>
    </row>
    <row r="297" spans="1:13" x14ac:dyDescent="0.25">
      <c r="A297" s="13" t="str">
        <f t="shared" si="8"/>
        <v>50714268040</v>
      </c>
      <c r="B297" s="10">
        <v>1004053551</v>
      </c>
      <c r="C297" s="10">
        <v>507142680</v>
      </c>
      <c r="D297" s="10">
        <v>40</v>
      </c>
      <c r="E297" s="10" t="s">
        <v>10</v>
      </c>
      <c r="F297" s="10">
        <v>1167435</v>
      </c>
      <c r="G297" s="10" t="s">
        <v>26</v>
      </c>
      <c r="H297" s="11">
        <v>25287</v>
      </c>
      <c r="I297" s="11">
        <v>1612</v>
      </c>
      <c r="J297" s="11">
        <f t="shared" si="9"/>
        <v>23675</v>
      </c>
      <c r="K297" s="12">
        <f>VLOOKUP(A297,[3]VA05!$A:$K,11,FALSE)</f>
        <v>45572</v>
      </c>
      <c r="L297" s="10" t="s">
        <v>18</v>
      </c>
      <c r="M297" s="10" t="s">
        <v>156</v>
      </c>
    </row>
    <row r="298" spans="1:13" x14ac:dyDescent="0.25">
      <c r="A298" s="13" t="str">
        <f t="shared" si="8"/>
        <v>50714275420</v>
      </c>
      <c r="B298" s="10">
        <v>1004053562</v>
      </c>
      <c r="C298" s="10">
        <v>507142754</v>
      </c>
      <c r="D298" s="10">
        <v>20</v>
      </c>
      <c r="E298" s="10" t="s">
        <v>10</v>
      </c>
      <c r="F298" s="10">
        <v>1167435</v>
      </c>
      <c r="G298" s="10" t="s">
        <v>26</v>
      </c>
      <c r="H298" s="11">
        <v>20390</v>
      </c>
      <c r="I298" s="10">
        <v>0</v>
      </c>
      <c r="J298" s="11">
        <f t="shared" si="9"/>
        <v>20390</v>
      </c>
      <c r="K298" s="12">
        <f>VLOOKUP(A298,[3]VA05!$A:$K,11,FALSE)</f>
        <v>45611</v>
      </c>
      <c r="L298" s="10" t="s">
        <v>12</v>
      </c>
      <c r="M298" s="10" t="s">
        <v>217</v>
      </c>
    </row>
    <row r="299" spans="1:13" x14ac:dyDescent="0.25">
      <c r="A299" s="13" t="str">
        <f t="shared" si="8"/>
        <v>50714276930</v>
      </c>
      <c r="B299" s="10">
        <v>1004053564</v>
      </c>
      <c r="C299" s="10">
        <v>507142769</v>
      </c>
      <c r="D299" s="10">
        <v>30</v>
      </c>
      <c r="E299" s="10" t="s">
        <v>10</v>
      </c>
      <c r="F299" s="10">
        <v>1167435</v>
      </c>
      <c r="G299" s="10" t="s">
        <v>26</v>
      </c>
      <c r="H299" s="11">
        <v>30683</v>
      </c>
      <c r="I299" s="10">
        <v>0</v>
      </c>
      <c r="J299" s="11">
        <f t="shared" si="9"/>
        <v>30683</v>
      </c>
      <c r="K299" s="12">
        <f>VLOOKUP(A299,[3]VA05!$A:$K,11,FALSE)</f>
        <v>45575</v>
      </c>
      <c r="L299" s="10" t="s">
        <v>12</v>
      </c>
      <c r="M299" s="10" t="s">
        <v>155</v>
      </c>
    </row>
    <row r="300" spans="1:13" x14ac:dyDescent="0.25">
      <c r="A300" s="13" t="str">
        <f t="shared" si="8"/>
        <v>50714283530</v>
      </c>
      <c r="B300" s="10">
        <v>1004060455</v>
      </c>
      <c r="C300" s="10">
        <v>507142835</v>
      </c>
      <c r="D300" s="10">
        <v>30</v>
      </c>
      <c r="E300" s="10" t="s">
        <v>10</v>
      </c>
      <c r="F300" s="10">
        <v>1167435</v>
      </c>
      <c r="G300" s="10" t="s">
        <v>26</v>
      </c>
      <c r="H300" s="11">
        <v>10277</v>
      </c>
      <c r="I300" s="10">
        <v>0</v>
      </c>
      <c r="J300" s="11">
        <f t="shared" si="9"/>
        <v>10277</v>
      </c>
      <c r="K300" s="12">
        <f>VLOOKUP(A300,[3]VA05!$A:$K,11,FALSE)</f>
        <v>45587</v>
      </c>
      <c r="L300" s="10" t="s">
        <v>12</v>
      </c>
      <c r="M300" s="10" t="s">
        <v>109</v>
      </c>
    </row>
    <row r="301" spans="1:13" x14ac:dyDescent="0.25">
      <c r="A301" s="13" t="str">
        <f t="shared" si="8"/>
        <v>50714226530</v>
      </c>
      <c r="B301" s="10">
        <v>1004060456</v>
      </c>
      <c r="C301" s="10">
        <v>507142265</v>
      </c>
      <c r="D301" s="10">
        <v>30</v>
      </c>
      <c r="E301" s="10" t="s">
        <v>10</v>
      </c>
      <c r="F301" s="10">
        <v>1170825</v>
      </c>
      <c r="G301" s="10" t="s">
        <v>252</v>
      </c>
      <c r="H301" s="11">
        <v>40524</v>
      </c>
      <c r="I301" s="10">
        <v>0</v>
      </c>
      <c r="J301" s="11">
        <f t="shared" si="9"/>
        <v>40524</v>
      </c>
      <c r="K301" s="12">
        <f>VLOOKUP(A301,[3]VA05!$A:$K,11,FALSE)</f>
        <v>45576</v>
      </c>
      <c r="L301" s="10" t="s">
        <v>12</v>
      </c>
      <c r="M301" s="10" t="s">
        <v>194</v>
      </c>
    </row>
    <row r="302" spans="1:13" x14ac:dyDescent="0.25">
      <c r="A302" s="13" t="str">
        <f t="shared" si="8"/>
        <v>50714262620</v>
      </c>
      <c r="B302" s="10">
        <v>1004060457</v>
      </c>
      <c r="C302" s="10">
        <v>507142626</v>
      </c>
      <c r="D302" s="10">
        <v>20</v>
      </c>
      <c r="E302" s="10" t="s">
        <v>10</v>
      </c>
      <c r="F302" s="10">
        <v>1170825</v>
      </c>
      <c r="G302" s="10" t="s">
        <v>252</v>
      </c>
      <c r="H302" s="11">
        <v>25425</v>
      </c>
      <c r="I302" s="10">
        <v>0</v>
      </c>
      <c r="J302" s="11">
        <f t="shared" si="9"/>
        <v>25425</v>
      </c>
      <c r="K302" s="12">
        <f>VLOOKUP(A302,[3]VA05!$A:$K,11,FALSE)</f>
        <v>45590</v>
      </c>
      <c r="L302" s="10" t="s">
        <v>12</v>
      </c>
      <c r="M302" s="10" t="s">
        <v>199</v>
      </c>
    </row>
    <row r="303" spans="1:13" x14ac:dyDescent="0.25">
      <c r="A303" s="13" t="str">
        <f t="shared" si="8"/>
        <v>50714270930</v>
      </c>
      <c r="B303" s="10">
        <v>1004060458</v>
      </c>
      <c r="C303" s="10">
        <v>507142709</v>
      </c>
      <c r="D303" s="10">
        <v>30</v>
      </c>
      <c r="E303" s="10" t="s">
        <v>10</v>
      </c>
      <c r="F303" s="10">
        <v>1170825</v>
      </c>
      <c r="G303" s="10" t="s">
        <v>252</v>
      </c>
      <c r="H303" s="11">
        <v>30393</v>
      </c>
      <c r="I303" s="10">
        <v>0</v>
      </c>
      <c r="J303" s="11">
        <f t="shared" si="9"/>
        <v>30393</v>
      </c>
      <c r="K303" s="12">
        <f>VLOOKUP(A303,[3]VA05!$A:$K,11,FALSE)</f>
        <v>45583</v>
      </c>
      <c r="L303" s="10" t="s">
        <v>12</v>
      </c>
      <c r="M303" s="10" t="s">
        <v>179</v>
      </c>
    </row>
    <row r="304" spans="1:13" x14ac:dyDescent="0.25">
      <c r="A304" s="13" t="str">
        <f t="shared" si="8"/>
        <v>50714271030</v>
      </c>
      <c r="B304" s="10">
        <v>1004060459</v>
      </c>
      <c r="C304" s="10">
        <v>507142710</v>
      </c>
      <c r="D304" s="10">
        <v>30</v>
      </c>
      <c r="E304" s="10" t="s">
        <v>10</v>
      </c>
      <c r="F304" s="10">
        <v>1170825</v>
      </c>
      <c r="G304" s="10" t="s">
        <v>252</v>
      </c>
      <c r="H304" s="11">
        <v>30393</v>
      </c>
      <c r="I304" s="10">
        <v>0</v>
      </c>
      <c r="J304" s="11">
        <f t="shared" si="9"/>
        <v>30393</v>
      </c>
      <c r="K304" s="12">
        <f>VLOOKUP(A304,[3]VA05!$A:$K,11,FALSE)</f>
        <v>45596</v>
      </c>
      <c r="L304" s="10" t="s">
        <v>12</v>
      </c>
      <c r="M304" s="10" t="s">
        <v>207</v>
      </c>
    </row>
  </sheetData>
  <autoFilter ref="A2:M304" xr:uid="{A1429C91-A1DD-4CF1-8F11-20F65FD82A7B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DLV  PRC  BASC BCRQ GMPS SETC"/>
        <filter val="REL  MSPT PCNF DLV  PRC  BASC BCRQ GMPS*"/>
        <filter val="REL  MSPT PCNF PRC  BASC BCRQ GMPS PDLV*"/>
        <filter val="REL  MSPT PCNF PRC  BASC BCRQ SETC"/>
        <filter val="REL  MSPT PPRT PCNF PRC  BASC BCRQ GMPS*"/>
        <filter val="REL  MSPT PRC  BASC BCRQ GMPS PDLV SETC"/>
        <filter val="REL  MSPT PRC  BASC BCRQ GMPS RESA SETC"/>
        <filter val="REL  MSPT PRC  BASC BCRQ GMPS SETC"/>
        <filter val="REL  MSPT PRC  BASC BCRQ SETC"/>
        <filter val="REL  MSPT PRT  PCNF DLV  PRC  BASC BCRQ*"/>
        <filter val="REL  MSPT PRT  PCNF PRC  BASC BCRQ GMPS*"/>
        <filter val="REL  MSPT PRT  PRC  BASC BCRQ GMPS RESA*"/>
        <filter val="REL  MSPT PRT  PRC  BASC BCRQ SETC"/>
        <filter val="REL  MSPT PRT  PRC  DLFL BASC BCRQ SETC"/>
        <filter val="REL  PCNF DLV  PRC  BASC BCRQ GMPS MACM*"/>
        <filter val="REL  PRC  BASC BCRQ GMPS MACM PDLV SETC"/>
        <filter val="REL  PRC  BASC BCRQ MACM SETC"/>
        <filter val="REL  PRT  PCNF DLV  PRC  BASC BCRQ GMPS*"/>
        <filter val="REL  PRT  PCNF PRC  BASC BCRQ GMPS MACM*"/>
        <filter val="REL  PRT  PRC  BASC BCRQ GMPS MACM RESA*"/>
      </filters>
    </filterColumn>
  </autoFilter>
  <pageMargins left="0.2" right="0.2" top="0.25" bottom="0.25" header="0.05" footer="0.05"/>
  <pageSetup scale="106"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2D90-7378-4672-B9CE-F01B46F05AFD}">
  <sheetPr filterMode="1"/>
  <dimension ref="A1:M296"/>
  <sheetViews>
    <sheetView workbookViewId="0">
      <selection activeCell="K3" sqref="K3"/>
    </sheetView>
  </sheetViews>
  <sheetFormatPr defaultRowHeight="15" x14ac:dyDescent="0.25"/>
  <cols>
    <col min="2" max="2" width="12.42578125" bestFit="1" customWidth="1"/>
    <col min="3" max="3" width="12.140625" customWidth="1"/>
    <col min="4" max="4" width="4.7109375" customWidth="1"/>
    <col min="5" max="5" width="7.85546875" customWidth="1"/>
    <col min="6" max="6" width="9.28515625" bestFit="1" customWidth="1"/>
    <col min="7" max="7" width="37.140625" customWidth="1"/>
    <col min="8" max="10" width="9.28515625" bestFit="1" customWidth="1"/>
    <col min="12" max="12" width="4.7109375" customWidth="1"/>
  </cols>
  <sheetData>
    <row r="1" spans="1:13" s="13" customFormat="1" ht="23.25" x14ac:dyDescent="0.35">
      <c r="B1" s="1" t="s">
        <v>300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VLOOKUP(A3,[4]VA05!$A:$K,11,FALSE)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VLOOKUP(A4,[4]VA05!$A:$K,11,FALSE)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VLOOKUP(A5,[4]VA05!$A:$K,11,FALSE)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VLOOKUP(A6,[4]VA05!$A:$K,11,FALSE)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VLOOKUP(A7,[4]VA05!$A:$K,11,FALSE)</f>
        <v>45593</v>
      </c>
      <c r="L7" s="10" t="s">
        <v>12</v>
      </c>
      <c r="M7" s="10" t="s">
        <v>140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VLOOKUP(A8,[4]VA05!$A:$K,11,FALSE)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50800513010</v>
      </c>
      <c r="B9" s="10">
        <v>1004054829</v>
      </c>
      <c r="C9" s="10">
        <v>508005130</v>
      </c>
      <c r="D9" s="10">
        <v>10</v>
      </c>
      <c r="E9" s="10" t="s">
        <v>10</v>
      </c>
      <c r="F9" s="10">
        <v>1200941</v>
      </c>
      <c r="G9" s="10" t="s">
        <v>48</v>
      </c>
      <c r="H9" s="11">
        <v>20400</v>
      </c>
      <c r="I9" s="10">
        <v>0</v>
      </c>
      <c r="J9" s="11">
        <f t="shared" si="1"/>
        <v>20400</v>
      </c>
      <c r="K9" s="12" t="e">
        <f>VLOOKUP(A9,[4]VA05!$A:$K,11,FALSE)</f>
        <v>#N/A</v>
      </c>
      <c r="L9" s="10" t="s">
        <v>12</v>
      </c>
      <c r="M9" s="10" t="s">
        <v>61</v>
      </c>
    </row>
    <row r="10" spans="1:13" x14ac:dyDescent="0.25">
      <c r="A10" s="13" t="str">
        <f t="shared" si="0"/>
        <v>50714156910</v>
      </c>
      <c r="B10" s="10">
        <v>1004003998</v>
      </c>
      <c r="C10" s="10">
        <v>507141569</v>
      </c>
      <c r="D10" s="10">
        <v>10</v>
      </c>
      <c r="E10" s="10" t="s">
        <v>10</v>
      </c>
      <c r="F10" s="10">
        <v>1175312</v>
      </c>
      <c r="G10" s="10" t="s">
        <v>51</v>
      </c>
      <c r="H10" s="11">
        <v>25845</v>
      </c>
      <c r="I10" s="10">
        <v>0</v>
      </c>
      <c r="J10" s="11">
        <f t="shared" si="1"/>
        <v>25845</v>
      </c>
      <c r="K10" s="12">
        <f>VLOOKUP(A10,[4]VA05!$A:$K,11,FALSE)</f>
        <v>45611</v>
      </c>
      <c r="L10" s="10" t="s">
        <v>117</v>
      </c>
      <c r="M10" s="10" t="s">
        <v>78</v>
      </c>
    </row>
    <row r="11" spans="1:13" x14ac:dyDescent="0.25">
      <c r="A11" s="13" t="str">
        <f t="shared" si="0"/>
        <v>50714156910</v>
      </c>
      <c r="B11" s="10">
        <v>1004017074</v>
      </c>
      <c r="C11" s="10">
        <v>507141569</v>
      </c>
      <c r="D11" s="10">
        <v>10</v>
      </c>
      <c r="E11" s="10" t="s">
        <v>10</v>
      </c>
      <c r="F11" s="10">
        <v>1175311</v>
      </c>
      <c r="G11" s="10" t="s">
        <v>67</v>
      </c>
      <c r="H11" s="11">
        <v>25845</v>
      </c>
      <c r="I11" s="10">
        <v>0</v>
      </c>
      <c r="J11" s="11">
        <f t="shared" si="1"/>
        <v>25845</v>
      </c>
      <c r="K11" s="12">
        <f>VLOOKUP(A11,[4]VA05!$A:$K,11,FALSE)</f>
        <v>45611</v>
      </c>
      <c r="L11" s="10" t="s">
        <v>12</v>
      </c>
      <c r="M11" s="10" t="s">
        <v>50</v>
      </c>
    </row>
    <row r="12" spans="1:13" x14ac:dyDescent="0.25">
      <c r="A12" s="13" t="str">
        <f t="shared" si="0"/>
        <v>50714270810</v>
      </c>
      <c r="B12" s="10">
        <v>1004052045</v>
      </c>
      <c r="C12" s="10">
        <v>507142708</v>
      </c>
      <c r="D12" s="10">
        <v>10</v>
      </c>
      <c r="E12" s="10" t="s">
        <v>10</v>
      </c>
      <c r="F12" s="10">
        <v>1215664</v>
      </c>
      <c r="G12" s="10" t="s">
        <v>90</v>
      </c>
      <c r="H12" s="11">
        <v>11159</v>
      </c>
      <c r="I12" s="10">
        <v>0</v>
      </c>
      <c r="J12" s="11">
        <f t="shared" si="1"/>
        <v>11159</v>
      </c>
      <c r="K12" s="12">
        <f>VLOOKUP(A12,[4]VA05!$A:$K,11,FALSE)</f>
        <v>45588</v>
      </c>
      <c r="L12" s="10" t="s">
        <v>12</v>
      </c>
      <c r="M12" s="10" t="s">
        <v>191</v>
      </c>
    </row>
    <row r="13" spans="1:13" x14ac:dyDescent="0.25">
      <c r="A13" s="13" t="str">
        <f t="shared" si="0"/>
        <v>50714278910</v>
      </c>
      <c r="B13" s="10">
        <v>1004052165</v>
      </c>
      <c r="C13" s="10">
        <v>507142789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14201</v>
      </c>
      <c r="I13" s="11">
        <v>9898</v>
      </c>
      <c r="J13" s="11">
        <f t="shared" si="1"/>
        <v>4303</v>
      </c>
      <c r="K13" s="12">
        <f>VLOOKUP(A13,[4]VA05!$A:$K,11,FALSE)</f>
        <v>45583</v>
      </c>
      <c r="L13" s="10" t="s">
        <v>18</v>
      </c>
      <c r="M13" s="10" t="s">
        <v>162</v>
      </c>
    </row>
    <row r="14" spans="1:13" x14ac:dyDescent="0.25">
      <c r="A14" s="13" t="str">
        <f t="shared" si="0"/>
        <v>50714282710</v>
      </c>
      <c r="B14" s="10">
        <v>1004061191</v>
      </c>
      <c r="C14" s="10">
        <v>507142827</v>
      </c>
      <c r="D14" s="10">
        <v>10</v>
      </c>
      <c r="E14" s="10" t="s">
        <v>10</v>
      </c>
      <c r="F14" s="10">
        <v>1411198</v>
      </c>
      <c r="G14" s="10" t="s">
        <v>41</v>
      </c>
      <c r="H14" s="11">
        <v>28402</v>
      </c>
      <c r="I14" s="10">
        <v>0</v>
      </c>
      <c r="J14" s="11">
        <f t="shared" si="1"/>
        <v>28402</v>
      </c>
      <c r="K14" s="12">
        <f>VLOOKUP(A14,[4]VA05!$A:$K,11,FALSE)</f>
        <v>45588</v>
      </c>
      <c r="L14" s="10" t="s">
        <v>12</v>
      </c>
      <c r="M14" s="10" t="s">
        <v>178</v>
      </c>
    </row>
    <row r="15" spans="1:13" x14ac:dyDescent="0.25">
      <c r="A15" s="13" t="str">
        <f t="shared" si="0"/>
        <v>50714270810</v>
      </c>
      <c r="B15" s="10">
        <v>1004052046</v>
      </c>
      <c r="C15" s="10">
        <v>507142708</v>
      </c>
      <c r="D15" s="10">
        <v>10</v>
      </c>
      <c r="E15" s="10" t="s">
        <v>10</v>
      </c>
      <c r="F15" s="10">
        <v>1215668</v>
      </c>
      <c r="G15" s="10" t="s">
        <v>108</v>
      </c>
      <c r="H15" s="11">
        <v>11349</v>
      </c>
      <c r="I15" s="10">
        <v>0</v>
      </c>
      <c r="J15" s="11">
        <f t="shared" si="1"/>
        <v>11349</v>
      </c>
      <c r="K15" s="12">
        <f>VLOOKUP(A15,[4]VA05!$A:$K,11,FALSE)</f>
        <v>45588</v>
      </c>
      <c r="L15" s="10" t="s">
        <v>12</v>
      </c>
      <c r="M15" s="10" t="s">
        <v>192</v>
      </c>
    </row>
    <row r="16" spans="1:13" x14ac:dyDescent="0.25">
      <c r="A16" s="13" t="str">
        <f t="shared" si="0"/>
        <v>50714283810</v>
      </c>
      <c r="B16" s="10">
        <v>1004061192</v>
      </c>
      <c r="C16" s="10">
        <v>507142838</v>
      </c>
      <c r="D16" s="10">
        <v>10</v>
      </c>
      <c r="E16" s="10" t="s">
        <v>10</v>
      </c>
      <c r="F16" s="10">
        <v>1171797</v>
      </c>
      <c r="G16" s="10" t="s">
        <v>255</v>
      </c>
      <c r="H16" s="11">
        <v>31141</v>
      </c>
      <c r="I16" s="10">
        <v>0</v>
      </c>
      <c r="J16" s="11">
        <f t="shared" si="1"/>
        <v>31141</v>
      </c>
      <c r="K16" s="12">
        <f>VLOOKUP(A16,[4]VA05!$A:$K,11,FALSE)</f>
        <v>45593</v>
      </c>
      <c r="L16" s="10" t="s">
        <v>12</v>
      </c>
      <c r="M16" s="10" t="s">
        <v>162</v>
      </c>
    </row>
    <row r="17" spans="1:13" x14ac:dyDescent="0.25">
      <c r="A17" s="13" t="str">
        <f t="shared" si="0"/>
        <v>50714270810</v>
      </c>
      <c r="B17" s="10">
        <v>1004052048</v>
      </c>
      <c r="C17" s="10">
        <v>507142708</v>
      </c>
      <c r="D17" s="10">
        <v>10</v>
      </c>
      <c r="E17" s="10" t="s">
        <v>10</v>
      </c>
      <c r="F17" s="10">
        <v>1215666</v>
      </c>
      <c r="G17" s="10" t="s">
        <v>182</v>
      </c>
      <c r="H17" s="11">
        <v>11159</v>
      </c>
      <c r="I17" s="10">
        <v>0</v>
      </c>
      <c r="J17" s="11">
        <f t="shared" si="1"/>
        <v>11159</v>
      </c>
      <c r="K17" s="12">
        <f>VLOOKUP(A17,[4]VA05!$A:$K,11,FALSE)</f>
        <v>45588</v>
      </c>
      <c r="L17" s="10" t="s">
        <v>12</v>
      </c>
      <c r="M17" s="10" t="s">
        <v>191</v>
      </c>
    </row>
    <row r="18" spans="1:13" hidden="1" x14ac:dyDescent="0.25">
      <c r="A18" s="13" t="str">
        <f t="shared" si="0"/>
        <v>50800482020</v>
      </c>
      <c r="B18" s="10">
        <v>1003970409</v>
      </c>
      <c r="C18" s="10">
        <v>508004820</v>
      </c>
      <c r="D18" s="10">
        <v>20</v>
      </c>
      <c r="E18" s="10" t="s">
        <v>10</v>
      </c>
      <c r="F18" s="10">
        <v>1174032</v>
      </c>
      <c r="G18" s="10" t="s">
        <v>261</v>
      </c>
      <c r="H18" s="11">
        <v>10948</v>
      </c>
      <c r="I18" s="10">
        <v>0</v>
      </c>
      <c r="J18" s="11">
        <f t="shared" si="1"/>
        <v>10948</v>
      </c>
      <c r="K18" s="12" t="e">
        <f>VLOOKUP(A18,[4]VA05!$A:$K,11,FALSE)</f>
        <v>#N/A</v>
      </c>
      <c r="L18" s="10" t="s">
        <v>260</v>
      </c>
      <c r="M18" s="10" t="s">
        <v>262</v>
      </c>
    </row>
    <row r="19" spans="1:13" x14ac:dyDescent="0.25">
      <c r="A19" s="13" t="str">
        <f t="shared" si="0"/>
        <v>50714282710</v>
      </c>
      <c r="B19" s="10">
        <v>1004063656</v>
      </c>
      <c r="C19" s="10">
        <v>507142827</v>
      </c>
      <c r="D19" s="10">
        <v>10</v>
      </c>
      <c r="E19" s="10" t="s">
        <v>10</v>
      </c>
      <c r="F19" s="10">
        <v>1411194</v>
      </c>
      <c r="G19" s="10" t="s">
        <v>46</v>
      </c>
      <c r="H19" s="11">
        <v>20598</v>
      </c>
      <c r="I19" s="10">
        <v>0</v>
      </c>
      <c r="J19" s="11">
        <f t="shared" si="1"/>
        <v>20598</v>
      </c>
      <c r="K19" s="12">
        <f>VLOOKUP(A19,[4]VA05!$A:$K,11,FALSE)</f>
        <v>45588</v>
      </c>
      <c r="L19" s="10" t="s">
        <v>12</v>
      </c>
      <c r="M19" s="10" t="s">
        <v>177</v>
      </c>
    </row>
    <row r="20" spans="1:13" x14ac:dyDescent="0.25">
      <c r="A20" s="13" t="str">
        <f t="shared" si="0"/>
        <v>50714282720</v>
      </c>
      <c r="B20" s="10">
        <v>1004063657</v>
      </c>
      <c r="C20" s="10">
        <v>507142827</v>
      </c>
      <c r="D20" s="10">
        <v>20</v>
      </c>
      <c r="E20" s="10" t="s">
        <v>10</v>
      </c>
      <c r="F20" s="10">
        <v>1411194</v>
      </c>
      <c r="G20" s="10" t="s">
        <v>46</v>
      </c>
      <c r="H20" s="11">
        <v>10054</v>
      </c>
      <c r="I20" s="10">
        <v>0</v>
      </c>
      <c r="J20" s="11">
        <f t="shared" si="1"/>
        <v>10054</v>
      </c>
      <c r="K20" s="12">
        <f>VLOOKUP(A20,[4]VA05!$A:$K,11,FALSE)</f>
        <v>45594</v>
      </c>
      <c r="L20" s="10" t="s">
        <v>12</v>
      </c>
      <c r="M20" s="10" t="s">
        <v>204</v>
      </c>
    </row>
    <row r="21" spans="1:13" x14ac:dyDescent="0.25">
      <c r="A21" s="13" t="str">
        <f t="shared" si="0"/>
        <v>50714251220</v>
      </c>
      <c r="B21" s="10">
        <v>1004061391</v>
      </c>
      <c r="C21" s="10">
        <v>507142512</v>
      </c>
      <c r="D21" s="10">
        <v>20</v>
      </c>
      <c r="E21" s="10" t="s">
        <v>10</v>
      </c>
      <c r="F21" s="10">
        <v>1173944</v>
      </c>
      <c r="G21" s="10" t="s">
        <v>91</v>
      </c>
      <c r="H21" s="11">
        <v>11020</v>
      </c>
      <c r="I21" s="11">
        <v>7855</v>
      </c>
      <c r="J21" s="11">
        <f t="shared" si="1"/>
        <v>3165</v>
      </c>
      <c r="K21" s="12" t="e">
        <f>VLOOKUP(A21,[4]VA05!$A:$K,11,FALSE)</f>
        <v>#N/A</v>
      </c>
      <c r="L21" s="10" t="s">
        <v>18</v>
      </c>
      <c r="M21" s="10" t="s">
        <v>202</v>
      </c>
    </row>
    <row r="22" spans="1:13" x14ac:dyDescent="0.25">
      <c r="A22" s="13" t="str">
        <f t="shared" si="0"/>
        <v>50714269620</v>
      </c>
      <c r="B22" s="10">
        <v>1004061392</v>
      </c>
      <c r="C22" s="10">
        <v>507142696</v>
      </c>
      <c r="D22" s="10">
        <v>20</v>
      </c>
      <c r="E22" s="10" t="s">
        <v>10</v>
      </c>
      <c r="F22" s="10">
        <v>1173944</v>
      </c>
      <c r="G22" s="10" t="s">
        <v>91</v>
      </c>
      <c r="H22" s="11">
        <v>5603</v>
      </c>
      <c r="I22" s="10">
        <v>0</v>
      </c>
      <c r="J22" s="11">
        <f t="shared" si="1"/>
        <v>5603</v>
      </c>
      <c r="K22" s="12">
        <f>VLOOKUP(A22,[4]VA05!$A:$K,11,FALSE)</f>
        <v>45566</v>
      </c>
      <c r="L22" s="10" t="s">
        <v>27</v>
      </c>
      <c r="M22" s="10" t="s">
        <v>202</v>
      </c>
    </row>
    <row r="23" spans="1:13" x14ac:dyDescent="0.25">
      <c r="A23" s="13" t="str">
        <f t="shared" si="0"/>
        <v>50714282510</v>
      </c>
      <c r="B23" s="10">
        <v>1004061393</v>
      </c>
      <c r="C23" s="10">
        <v>507142825</v>
      </c>
      <c r="D23" s="10">
        <v>10</v>
      </c>
      <c r="E23" s="10" t="s">
        <v>10</v>
      </c>
      <c r="F23" s="10">
        <v>1173944</v>
      </c>
      <c r="G23" s="10" t="s">
        <v>91</v>
      </c>
      <c r="H23" s="11">
        <v>21855</v>
      </c>
      <c r="I23" s="10">
        <v>0</v>
      </c>
      <c r="J23" s="11">
        <f t="shared" si="1"/>
        <v>21855</v>
      </c>
      <c r="K23" s="12">
        <f>VLOOKUP(A23,[4]VA05!$A:$K,11,FALSE)</f>
        <v>45589</v>
      </c>
      <c r="L23" s="10" t="s">
        <v>12</v>
      </c>
      <c r="M23" s="10" t="s">
        <v>191</v>
      </c>
    </row>
    <row r="24" spans="1:13" x14ac:dyDescent="0.25">
      <c r="A24" s="13" t="str">
        <f t="shared" si="0"/>
        <v>50714282910</v>
      </c>
      <c r="B24" s="10">
        <v>1004061394</v>
      </c>
      <c r="C24" s="10">
        <v>507142829</v>
      </c>
      <c r="D24" s="10">
        <v>10</v>
      </c>
      <c r="E24" s="10" t="s">
        <v>10</v>
      </c>
      <c r="F24" s="10">
        <v>1173944</v>
      </c>
      <c r="G24" s="10" t="s">
        <v>91</v>
      </c>
      <c r="H24" s="11">
        <v>11020</v>
      </c>
      <c r="I24" s="10">
        <v>0</v>
      </c>
      <c r="J24" s="11">
        <f t="shared" si="1"/>
        <v>11020</v>
      </c>
      <c r="K24" s="12">
        <f>VLOOKUP(A24,[4]VA05!$A:$K,11,FALSE)</f>
        <v>45582</v>
      </c>
      <c r="L24" s="10" t="s">
        <v>12</v>
      </c>
      <c r="M24" s="10" t="s">
        <v>179</v>
      </c>
    </row>
    <row r="25" spans="1:13" hidden="1" x14ac:dyDescent="0.25">
      <c r="A25" s="13" t="str">
        <f t="shared" si="0"/>
        <v>50714227010</v>
      </c>
      <c r="B25" s="10">
        <v>1004057062</v>
      </c>
      <c r="C25" s="10">
        <v>507142270</v>
      </c>
      <c r="D25" s="10">
        <v>10</v>
      </c>
      <c r="E25" s="10" t="s">
        <v>10</v>
      </c>
      <c r="F25" s="10">
        <v>1187764</v>
      </c>
      <c r="G25" s="10" t="s">
        <v>92</v>
      </c>
      <c r="H25" s="11">
        <v>5776</v>
      </c>
      <c r="I25" s="11">
        <v>5776</v>
      </c>
      <c r="J25" s="11">
        <f t="shared" si="1"/>
        <v>0</v>
      </c>
      <c r="K25" s="12">
        <f>VLOOKUP(A25,[4]VA05!$A:$K,11,FALSE)</f>
        <v>45565</v>
      </c>
      <c r="L25" s="10" t="s">
        <v>28</v>
      </c>
      <c r="M25" s="10" t="s">
        <v>197</v>
      </c>
    </row>
    <row r="26" spans="1:13" x14ac:dyDescent="0.25">
      <c r="A26" s="13" t="str">
        <f t="shared" si="0"/>
        <v>50714283810</v>
      </c>
      <c r="B26" s="10">
        <v>1004061390</v>
      </c>
      <c r="C26" s="10">
        <v>507142838</v>
      </c>
      <c r="D26" s="10">
        <v>10</v>
      </c>
      <c r="E26" s="10" t="s">
        <v>10</v>
      </c>
      <c r="F26" s="10">
        <v>1276494</v>
      </c>
      <c r="G26" s="10" t="s">
        <v>256</v>
      </c>
      <c r="H26" s="11">
        <v>27035</v>
      </c>
      <c r="I26" s="10">
        <v>0</v>
      </c>
      <c r="J26" s="11">
        <f t="shared" si="1"/>
        <v>27035</v>
      </c>
      <c r="K26" s="12">
        <f>VLOOKUP(A26,[4]VA05!$A:$K,11,FALSE)</f>
        <v>45593</v>
      </c>
      <c r="L26" s="10" t="s">
        <v>12</v>
      </c>
      <c r="M26" s="10" t="s">
        <v>191</v>
      </c>
    </row>
    <row r="27" spans="1:13" hidden="1" x14ac:dyDescent="0.25">
      <c r="A27" s="13" t="str">
        <f t="shared" si="0"/>
        <v>50714166710</v>
      </c>
      <c r="B27" s="10">
        <v>1003920458</v>
      </c>
      <c r="C27" s="10">
        <v>507141667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23842</v>
      </c>
      <c r="I27" s="10">
        <v>0</v>
      </c>
      <c r="J27" s="11">
        <f t="shared" si="1"/>
        <v>23842</v>
      </c>
      <c r="K27" s="12" t="e">
        <f>VLOOKUP(A27,[4]VA05!$A:$K,11,FALSE)</f>
        <v>#N/A</v>
      </c>
      <c r="L27" s="10" t="s">
        <v>260</v>
      </c>
      <c r="M27" s="10" t="s">
        <v>263</v>
      </c>
    </row>
    <row r="28" spans="1:13" x14ac:dyDescent="0.25">
      <c r="A28" s="13" t="str">
        <f t="shared" si="0"/>
        <v>50714269620</v>
      </c>
      <c r="B28" s="10">
        <v>1004042037</v>
      </c>
      <c r="C28" s="10">
        <v>507142696</v>
      </c>
      <c r="D28" s="10">
        <v>20</v>
      </c>
      <c r="E28" s="10" t="s">
        <v>10</v>
      </c>
      <c r="F28" s="10">
        <v>1173947</v>
      </c>
      <c r="G28" s="10" t="s">
        <v>36</v>
      </c>
      <c r="H28" s="11">
        <v>12384</v>
      </c>
      <c r="I28" s="11">
        <v>3839</v>
      </c>
      <c r="J28" s="11">
        <f t="shared" si="1"/>
        <v>8545</v>
      </c>
      <c r="K28" s="12">
        <f>VLOOKUP(A28,[4]VA05!$A:$K,11,FALSE)</f>
        <v>45566</v>
      </c>
      <c r="L28" s="10" t="s">
        <v>18</v>
      </c>
      <c r="M28" s="10" t="s">
        <v>84</v>
      </c>
    </row>
    <row r="29" spans="1:13" x14ac:dyDescent="0.25">
      <c r="A29" s="13" t="str">
        <f t="shared" si="0"/>
        <v>50714274010</v>
      </c>
      <c r="B29" s="10">
        <v>1004052269</v>
      </c>
      <c r="C29" s="10">
        <v>507142740</v>
      </c>
      <c r="D29" s="10">
        <v>10</v>
      </c>
      <c r="E29" s="10" t="s">
        <v>10</v>
      </c>
      <c r="F29" s="10">
        <v>1173947</v>
      </c>
      <c r="G29" s="10" t="s">
        <v>36</v>
      </c>
      <c r="H29" s="11">
        <v>12384</v>
      </c>
      <c r="I29" s="10">
        <v>0</v>
      </c>
      <c r="J29" s="11">
        <f t="shared" si="1"/>
        <v>12384</v>
      </c>
      <c r="K29" s="12">
        <f>VLOOKUP(A29,[4]VA05!$A:$K,11,FALSE)</f>
        <v>45573</v>
      </c>
      <c r="L29" s="10" t="s">
        <v>12</v>
      </c>
      <c r="M29" s="10" t="s">
        <v>97</v>
      </c>
    </row>
    <row r="30" spans="1:13" x14ac:dyDescent="0.25">
      <c r="A30" s="13" t="str">
        <f t="shared" si="0"/>
        <v>50714277910</v>
      </c>
      <c r="B30" s="10">
        <v>1004052270</v>
      </c>
      <c r="C30" s="10">
        <v>507142779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11922</v>
      </c>
      <c r="I30" s="10">
        <v>0</v>
      </c>
      <c r="J30" s="11">
        <f t="shared" si="1"/>
        <v>11922</v>
      </c>
      <c r="K30" s="12">
        <f>VLOOKUP(A30,[4]VA05!$A:$K,11,FALSE)</f>
        <v>45580</v>
      </c>
      <c r="L30" s="10" t="s">
        <v>12</v>
      </c>
      <c r="M30" s="10" t="s">
        <v>194</v>
      </c>
    </row>
    <row r="31" spans="1:13" x14ac:dyDescent="0.25">
      <c r="A31" s="13" t="str">
        <f t="shared" si="0"/>
        <v>50714278410</v>
      </c>
      <c r="B31" s="10">
        <v>1004052271</v>
      </c>
      <c r="C31" s="10">
        <v>507142784</v>
      </c>
      <c r="D31" s="10">
        <v>10</v>
      </c>
      <c r="E31" s="10" t="s">
        <v>10</v>
      </c>
      <c r="F31" s="10">
        <v>1173947</v>
      </c>
      <c r="G31" s="10" t="s">
        <v>36</v>
      </c>
      <c r="H31" s="11">
        <v>12384</v>
      </c>
      <c r="I31" s="10">
        <v>0</v>
      </c>
      <c r="J31" s="11">
        <f t="shared" si="1"/>
        <v>12384</v>
      </c>
      <c r="K31" s="12">
        <f>VLOOKUP(A31,[4]VA05!$A:$K,11,FALSE)</f>
        <v>45580</v>
      </c>
      <c r="L31" s="10" t="s">
        <v>12</v>
      </c>
      <c r="M31" s="10" t="s">
        <v>97</v>
      </c>
    </row>
    <row r="32" spans="1:13" x14ac:dyDescent="0.25">
      <c r="A32" s="13" t="str">
        <f t="shared" si="0"/>
        <v>50714282510</v>
      </c>
      <c r="B32" s="10">
        <v>1004061395</v>
      </c>
      <c r="C32" s="10">
        <v>507142825</v>
      </c>
      <c r="D32" s="10">
        <v>10</v>
      </c>
      <c r="E32" s="10" t="s">
        <v>10</v>
      </c>
      <c r="F32" s="10">
        <v>1173947</v>
      </c>
      <c r="G32" s="10" t="s">
        <v>36</v>
      </c>
      <c r="H32" s="11">
        <v>23842</v>
      </c>
      <c r="I32" s="10">
        <v>0</v>
      </c>
      <c r="J32" s="11">
        <f t="shared" si="1"/>
        <v>23842</v>
      </c>
      <c r="K32" s="12">
        <f>VLOOKUP(A32,[4]VA05!$A:$K,11,FALSE)</f>
        <v>45589</v>
      </c>
      <c r="L32" s="10" t="s">
        <v>12</v>
      </c>
      <c r="M32" s="10" t="s">
        <v>179</v>
      </c>
    </row>
    <row r="33" spans="1:13" x14ac:dyDescent="0.25">
      <c r="A33" s="13" t="str">
        <f t="shared" si="0"/>
        <v>50714282710</v>
      </c>
      <c r="B33" s="10">
        <v>1004061284</v>
      </c>
      <c r="C33" s="10">
        <v>507142827</v>
      </c>
      <c r="D33" s="10">
        <v>10</v>
      </c>
      <c r="E33" s="10" t="s">
        <v>10</v>
      </c>
      <c r="F33" s="10">
        <v>1411193</v>
      </c>
      <c r="G33" s="10" t="s">
        <v>47</v>
      </c>
      <c r="H33" s="11">
        <v>20598</v>
      </c>
      <c r="I33" s="11">
        <v>6528</v>
      </c>
      <c r="J33" s="11">
        <f t="shared" si="1"/>
        <v>14070</v>
      </c>
      <c r="K33" s="12">
        <f>VLOOKUP(A33,[4]VA05!$A:$K,11,FALSE)</f>
        <v>45588</v>
      </c>
      <c r="L33" s="10" t="s">
        <v>18</v>
      </c>
      <c r="M33" s="10" t="s">
        <v>177</v>
      </c>
    </row>
    <row r="34" spans="1:13" hidden="1" x14ac:dyDescent="0.25">
      <c r="A34" s="13" t="str">
        <f t="shared" si="0"/>
        <v>50714166710</v>
      </c>
      <c r="B34" s="10">
        <v>1003920462</v>
      </c>
      <c r="C34" s="10">
        <v>507141667</v>
      </c>
      <c r="D34" s="10">
        <v>10</v>
      </c>
      <c r="E34" s="10" t="s">
        <v>10</v>
      </c>
      <c r="F34" s="10">
        <v>1171793</v>
      </c>
      <c r="G34" s="10" t="s">
        <v>33</v>
      </c>
      <c r="H34" s="11">
        <v>21582</v>
      </c>
      <c r="I34" s="10">
        <v>0</v>
      </c>
      <c r="J34" s="11">
        <f t="shared" si="1"/>
        <v>21582</v>
      </c>
      <c r="K34" s="12" t="e">
        <f>VLOOKUP(A34,[4]VA05!$A:$K,11,FALSE)</f>
        <v>#N/A</v>
      </c>
      <c r="L34" s="10" t="s">
        <v>260</v>
      </c>
      <c r="M34" s="10" t="s">
        <v>264</v>
      </c>
    </row>
    <row r="35" spans="1:13" x14ac:dyDescent="0.25">
      <c r="A35" s="13" t="str">
        <f t="shared" si="0"/>
        <v>50714277910</v>
      </c>
      <c r="B35" s="10">
        <v>1004053448</v>
      </c>
      <c r="C35" s="10">
        <v>507142779</v>
      </c>
      <c r="D35" s="10">
        <v>10</v>
      </c>
      <c r="E35" s="10" t="s">
        <v>10</v>
      </c>
      <c r="F35" s="10">
        <v>1171793</v>
      </c>
      <c r="G35" s="10" t="s">
        <v>33</v>
      </c>
      <c r="H35" s="11">
        <v>10792</v>
      </c>
      <c r="I35" s="10">
        <v>0</v>
      </c>
      <c r="J35" s="11">
        <f t="shared" si="1"/>
        <v>10792</v>
      </c>
      <c r="K35" s="12">
        <f>VLOOKUP(A35,[4]VA05!$A:$K,11,FALSE)</f>
        <v>45580</v>
      </c>
      <c r="L35" s="10" t="s">
        <v>12</v>
      </c>
      <c r="M35" s="10" t="s">
        <v>162</v>
      </c>
    </row>
    <row r="36" spans="1:13" x14ac:dyDescent="0.25">
      <c r="A36" s="13" t="str">
        <f t="shared" si="0"/>
        <v>50714278410</v>
      </c>
      <c r="B36" s="10">
        <v>1004061396</v>
      </c>
      <c r="C36" s="10">
        <v>507142784</v>
      </c>
      <c r="D36" s="10">
        <v>10</v>
      </c>
      <c r="E36" s="10" t="s">
        <v>10</v>
      </c>
      <c r="F36" s="10">
        <v>1171793</v>
      </c>
      <c r="G36" s="10" t="s">
        <v>33</v>
      </c>
      <c r="H36" s="11">
        <v>10882</v>
      </c>
      <c r="I36" s="10">
        <v>0</v>
      </c>
      <c r="J36" s="11">
        <f t="shared" si="1"/>
        <v>10882</v>
      </c>
      <c r="K36" s="12">
        <f>VLOOKUP(A36,[4]VA05!$A:$K,11,FALSE)</f>
        <v>45580</v>
      </c>
      <c r="L36" s="10" t="s">
        <v>12</v>
      </c>
      <c r="M36" s="10" t="s">
        <v>162</v>
      </c>
    </row>
    <row r="37" spans="1:13" x14ac:dyDescent="0.25">
      <c r="A37" s="13" t="str">
        <f t="shared" si="0"/>
        <v>50714282510</v>
      </c>
      <c r="B37" s="10">
        <v>1004061397</v>
      </c>
      <c r="C37" s="10">
        <v>507142825</v>
      </c>
      <c r="D37" s="10">
        <v>10</v>
      </c>
      <c r="E37" s="10" t="s">
        <v>10</v>
      </c>
      <c r="F37" s="10">
        <v>1171793</v>
      </c>
      <c r="G37" s="10" t="s">
        <v>33</v>
      </c>
      <c r="H37" s="11">
        <v>21582</v>
      </c>
      <c r="I37" s="10">
        <v>0</v>
      </c>
      <c r="J37" s="11">
        <f t="shared" si="1"/>
        <v>21582</v>
      </c>
      <c r="K37" s="12">
        <f>VLOOKUP(A37,[4]VA05!$A:$K,11,FALSE)</f>
        <v>45589</v>
      </c>
      <c r="L37" s="10" t="s">
        <v>12</v>
      </c>
      <c r="M37" s="10" t="s">
        <v>191</v>
      </c>
    </row>
    <row r="38" spans="1:13" x14ac:dyDescent="0.25">
      <c r="A38" s="13" t="str">
        <f t="shared" si="0"/>
        <v>50714282910</v>
      </c>
      <c r="B38" s="10">
        <v>1004061398</v>
      </c>
      <c r="C38" s="10">
        <v>507142829</v>
      </c>
      <c r="D38" s="10">
        <v>10</v>
      </c>
      <c r="E38" s="10" t="s">
        <v>10</v>
      </c>
      <c r="F38" s="10">
        <v>1171793</v>
      </c>
      <c r="G38" s="10" t="s">
        <v>33</v>
      </c>
      <c r="H38" s="11">
        <v>10882</v>
      </c>
      <c r="I38" s="10">
        <v>0</v>
      </c>
      <c r="J38" s="11">
        <f t="shared" si="1"/>
        <v>10882</v>
      </c>
      <c r="K38" s="12">
        <f>VLOOKUP(A38,[4]VA05!$A:$K,11,FALSE)</f>
        <v>45582</v>
      </c>
      <c r="L38" s="10" t="s">
        <v>12</v>
      </c>
      <c r="M38" s="10" t="s">
        <v>157</v>
      </c>
    </row>
    <row r="39" spans="1:13" x14ac:dyDescent="0.25">
      <c r="A39" s="13" t="str">
        <f t="shared" si="0"/>
        <v>50714227020</v>
      </c>
      <c r="B39" s="10">
        <v>1004057063</v>
      </c>
      <c r="C39" s="10">
        <v>507142270</v>
      </c>
      <c r="D39" s="10">
        <v>20</v>
      </c>
      <c r="E39" s="10" t="s">
        <v>10</v>
      </c>
      <c r="F39" s="10">
        <v>1187765</v>
      </c>
      <c r="G39" s="10" t="s">
        <v>147</v>
      </c>
      <c r="H39" s="11">
        <v>17325</v>
      </c>
      <c r="I39" s="11">
        <v>10735</v>
      </c>
      <c r="J39" s="11">
        <f t="shared" si="1"/>
        <v>6590</v>
      </c>
      <c r="K39" s="12">
        <f>VLOOKUP(A39,[4]VA05!$A:$K,11,FALSE)</f>
        <v>45565</v>
      </c>
      <c r="L39" s="10" t="s">
        <v>11</v>
      </c>
      <c r="M39" s="10" t="s">
        <v>195</v>
      </c>
    </row>
    <row r="40" spans="1:13" hidden="1" x14ac:dyDescent="0.25">
      <c r="A40" s="13" t="str">
        <f t="shared" si="0"/>
        <v>50714156710</v>
      </c>
      <c r="B40" s="10">
        <v>1003967343</v>
      </c>
      <c r="C40" s="10">
        <v>507141567</v>
      </c>
      <c r="D40" s="10">
        <v>10</v>
      </c>
      <c r="E40" s="10" t="s">
        <v>24</v>
      </c>
      <c r="F40" s="10">
        <v>1169655</v>
      </c>
      <c r="G40" s="10" t="s">
        <v>265</v>
      </c>
      <c r="H40" s="11">
        <v>12000</v>
      </c>
      <c r="I40" s="10">
        <v>0</v>
      </c>
      <c r="J40" s="11">
        <f t="shared" si="1"/>
        <v>12000</v>
      </c>
      <c r="K40" s="12" t="e">
        <f>VLOOKUP(A40,[4]VA05!$A:$K,11,FALSE)</f>
        <v>#N/A</v>
      </c>
      <c r="L40" s="10" t="s">
        <v>260</v>
      </c>
      <c r="M40" s="10" t="s">
        <v>266</v>
      </c>
    </row>
    <row r="41" spans="1:13" x14ac:dyDescent="0.25">
      <c r="A41" s="13" t="str">
        <f t="shared" si="0"/>
        <v>50714272510</v>
      </c>
      <c r="B41" s="10">
        <v>1004060450</v>
      </c>
      <c r="C41" s="10">
        <v>507142725</v>
      </c>
      <c r="D41" s="10">
        <v>10</v>
      </c>
      <c r="E41" s="10" t="s">
        <v>10</v>
      </c>
      <c r="F41" s="10">
        <v>1420608</v>
      </c>
      <c r="G41" s="10" t="s">
        <v>110</v>
      </c>
      <c r="H41" s="11">
        <v>16376</v>
      </c>
      <c r="I41" s="11">
        <v>9715</v>
      </c>
      <c r="J41" s="11">
        <f t="shared" si="1"/>
        <v>6661</v>
      </c>
      <c r="K41" s="12">
        <f>VLOOKUP(A41,[4]VA05!$A:$K,11,FALSE)</f>
        <v>45573</v>
      </c>
      <c r="L41" s="10" t="s">
        <v>18</v>
      </c>
      <c r="M41" s="10" t="s">
        <v>162</v>
      </c>
    </row>
    <row r="42" spans="1:13" x14ac:dyDescent="0.25">
      <c r="A42" s="13" t="str">
        <f t="shared" si="0"/>
        <v>50714278610</v>
      </c>
      <c r="B42" s="10">
        <v>1004059422</v>
      </c>
      <c r="C42" s="10">
        <v>507142786</v>
      </c>
      <c r="D42" s="10">
        <v>10</v>
      </c>
      <c r="E42" s="10" t="s">
        <v>10</v>
      </c>
      <c r="F42" s="10">
        <v>1149455</v>
      </c>
      <c r="G42" s="10" t="s">
        <v>44</v>
      </c>
      <c r="H42" s="11">
        <v>27228</v>
      </c>
      <c r="I42" s="11">
        <v>12352</v>
      </c>
      <c r="J42" s="11">
        <f t="shared" si="1"/>
        <v>14876</v>
      </c>
      <c r="K42" s="12">
        <f>VLOOKUP(A42,[4]VA05!$A:$K,11,FALSE)</f>
        <v>45581</v>
      </c>
      <c r="L42" s="10" t="s">
        <v>18</v>
      </c>
      <c r="M42" s="10" t="s">
        <v>194</v>
      </c>
    </row>
    <row r="43" spans="1:13" hidden="1" x14ac:dyDescent="0.25">
      <c r="A43" s="13" t="str">
        <f t="shared" si="0"/>
        <v>50714265120</v>
      </c>
      <c r="B43" s="10">
        <v>1004059425</v>
      </c>
      <c r="C43" s="10">
        <v>507142651</v>
      </c>
      <c r="D43" s="10">
        <v>20</v>
      </c>
      <c r="E43" s="10" t="s">
        <v>24</v>
      </c>
      <c r="F43" s="10">
        <v>1149455</v>
      </c>
      <c r="G43" s="10" t="s">
        <v>44</v>
      </c>
      <c r="H43" s="11">
        <v>10000</v>
      </c>
      <c r="I43" s="10">
        <v>0</v>
      </c>
      <c r="J43" s="11">
        <f t="shared" si="1"/>
        <v>10000</v>
      </c>
      <c r="K43" s="12" t="e">
        <f>VLOOKUP(A43,[4]VA05!$A:$K,11,FALSE)</f>
        <v>#N/A</v>
      </c>
      <c r="L43" s="10" t="s">
        <v>13</v>
      </c>
      <c r="M43" s="10" t="s">
        <v>154</v>
      </c>
    </row>
    <row r="44" spans="1:13" x14ac:dyDescent="0.25">
      <c r="A44" s="13" t="str">
        <f t="shared" si="0"/>
        <v>50714235110</v>
      </c>
      <c r="B44" s="10">
        <v>1004042803</v>
      </c>
      <c r="C44" s="10">
        <v>507142351</v>
      </c>
      <c r="D44" s="10">
        <v>10</v>
      </c>
      <c r="E44" s="10" t="s">
        <v>10</v>
      </c>
      <c r="F44" s="10">
        <v>1192909</v>
      </c>
      <c r="G44" s="10" t="s">
        <v>35</v>
      </c>
      <c r="H44" s="11">
        <v>16753</v>
      </c>
      <c r="I44" s="11">
        <v>9187</v>
      </c>
      <c r="J44" s="11">
        <f t="shared" si="1"/>
        <v>7566</v>
      </c>
      <c r="K44" s="12">
        <f>VLOOKUP(A44,[4]VA05!$A:$K,11,FALSE)</f>
        <v>45545</v>
      </c>
      <c r="L44" s="10" t="s">
        <v>18</v>
      </c>
      <c r="M44" s="10" t="s">
        <v>111</v>
      </c>
    </row>
    <row r="45" spans="1:13" x14ac:dyDescent="0.25">
      <c r="A45" s="13" t="str">
        <f t="shared" si="0"/>
        <v>50800515530</v>
      </c>
      <c r="B45" s="10">
        <v>1004062676</v>
      </c>
      <c r="C45" s="10">
        <v>508005155</v>
      </c>
      <c r="D45" s="10">
        <v>30</v>
      </c>
      <c r="E45" s="10" t="s">
        <v>10</v>
      </c>
      <c r="F45" s="10">
        <v>1420888</v>
      </c>
      <c r="G45" s="10" t="s">
        <v>295</v>
      </c>
      <c r="H45" s="11">
        <v>16246</v>
      </c>
      <c r="I45" s="10">
        <v>0</v>
      </c>
      <c r="J45" s="11">
        <f t="shared" si="1"/>
        <v>16246</v>
      </c>
      <c r="K45" s="12" t="e">
        <f>VLOOKUP(A45,[4]VA05!$A:$K,11,FALSE)</f>
        <v>#N/A</v>
      </c>
      <c r="L45" s="10" t="s">
        <v>25</v>
      </c>
      <c r="M45" s="10" t="s">
        <v>179</v>
      </c>
    </row>
    <row r="46" spans="1:13" x14ac:dyDescent="0.25">
      <c r="A46" s="13" t="str">
        <f t="shared" si="0"/>
        <v>50714272510</v>
      </c>
      <c r="B46" s="10">
        <v>1004060387</v>
      </c>
      <c r="C46" s="10">
        <v>507142725</v>
      </c>
      <c r="D46" s="10">
        <v>10</v>
      </c>
      <c r="E46" s="10" t="s">
        <v>10</v>
      </c>
      <c r="F46" s="10">
        <v>1420609</v>
      </c>
      <c r="G46" s="10" t="s">
        <v>133</v>
      </c>
      <c r="H46" s="11">
        <v>16868</v>
      </c>
      <c r="I46" s="11">
        <v>13728</v>
      </c>
      <c r="J46" s="11">
        <f t="shared" si="1"/>
        <v>3140</v>
      </c>
      <c r="K46" s="12">
        <f>VLOOKUP(A46,[4]VA05!$A:$K,11,FALSE)</f>
        <v>45573</v>
      </c>
      <c r="L46" s="10" t="s">
        <v>18</v>
      </c>
      <c r="M46" s="10" t="s">
        <v>162</v>
      </c>
    </row>
    <row r="47" spans="1:13" x14ac:dyDescent="0.25">
      <c r="A47" s="13" t="str">
        <f t="shared" si="0"/>
        <v>50714278610</v>
      </c>
      <c r="B47" s="10">
        <v>1004056892</v>
      </c>
      <c r="C47" s="10">
        <v>507142786</v>
      </c>
      <c r="D47" s="10">
        <v>10</v>
      </c>
      <c r="E47" s="10" t="s">
        <v>10</v>
      </c>
      <c r="F47" s="10">
        <v>1304095</v>
      </c>
      <c r="G47" s="10" t="s">
        <v>76</v>
      </c>
      <c r="H47" s="11">
        <v>26709</v>
      </c>
      <c r="I47" s="11">
        <v>22080</v>
      </c>
      <c r="J47" s="11">
        <f t="shared" si="1"/>
        <v>4629</v>
      </c>
      <c r="K47" s="12">
        <f>VLOOKUP(A47,[4]VA05!$A:$K,11,FALSE)</f>
        <v>45581</v>
      </c>
      <c r="L47" s="10" t="s">
        <v>18</v>
      </c>
      <c r="M47" s="10" t="s">
        <v>154</v>
      </c>
    </row>
    <row r="48" spans="1:13" hidden="1" x14ac:dyDescent="0.25">
      <c r="A48" s="13" t="str">
        <f t="shared" si="0"/>
        <v>50714268610</v>
      </c>
      <c r="B48" s="10">
        <v>1004062044</v>
      </c>
      <c r="C48" s="10">
        <v>507142686</v>
      </c>
      <c r="D48" s="10">
        <v>10</v>
      </c>
      <c r="E48" s="10" t="s">
        <v>24</v>
      </c>
      <c r="F48" s="10">
        <v>1420838</v>
      </c>
      <c r="G48" s="10" t="s">
        <v>290</v>
      </c>
      <c r="H48" s="11">
        <v>10000</v>
      </c>
      <c r="I48" s="10">
        <v>0</v>
      </c>
      <c r="J48" s="11">
        <f t="shared" si="1"/>
        <v>10000</v>
      </c>
      <c r="K48" s="12">
        <f>VLOOKUP(A48,[4]VA05!$A:$K,11,FALSE)</f>
        <v>45573</v>
      </c>
      <c r="L48" s="10" t="s">
        <v>12</v>
      </c>
      <c r="M48" s="10" t="s">
        <v>197</v>
      </c>
    </row>
    <row r="49" spans="1:13" x14ac:dyDescent="0.25">
      <c r="A49" s="13" t="str">
        <f t="shared" si="0"/>
        <v>50714265120</v>
      </c>
      <c r="B49" s="10">
        <v>1004059424</v>
      </c>
      <c r="C49" s="10">
        <v>507142651</v>
      </c>
      <c r="D49" s="10">
        <v>20</v>
      </c>
      <c r="E49" s="10" t="s">
        <v>10</v>
      </c>
      <c r="F49" s="10">
        <v>1149454</v>
      </c>
      <c r="G49" s="10" t="s">
        <v>246</v>
      </c>
      <c r="H49" s="11">
        <v>28966</v>
      </c>
      <c r="I49" s="11">
        <v>5760</v>
      </c>
      <c r="J49" s="11">
        <f t="shared" si="1"/>
        <v>23206</v>
      </c>
      <c r="K49" s="12" t="e">
        <f>VLOOKUP(A49,[4]VA05!$A:$K,11,FALSE)</f>
        <v>#N/A</v>
      </c>
      <c r="L49" s="10" t="s">
        <v>18</v>
      </c>
      <c r="M49" s="10" t="s">
        <v>194</v>
      </c>
    </row>
    <row r="50" spans="1:13" x14ac:dyDescent="0.25">
      <c r="A50" s="13" t="str">
        <f t="shared" si="0"/>
        <v>50714273410</v>
      </c>
      <c r="B50" s="10">
        <v>1004054830</v>
      </c>
      <c r="C50" s="10">
        <v>507142734</v>
      </c>
      <c r="D50" s="10">
        <v>10</v>
      </c>
      <c r="E50" s="10" t="s">
        <v>10</v>
      </c>
      <c r="F50" s="10">
        <v>1193508</v>
      </c>
      <c r="G50" s="10" t="s">
        <v>134</v>
      </c>
      <c r="H50" s="11">
        <v>16753</v>
      </c>
      <c r="I50" s="11">
        <v>13900</v>
      </c>
      <c r="J50" s="11">
        <f t="shared" si="1"/>
        <v>2853</v>
      </c>
      <c r="K50" s="12">
        <f>VLOOKUP(A50,[4]VA05!$A:$K,11,FALSE)</f>
        <v>45572</v>
      </c>
      <c r="L50" s="10" t="s">
        <v>18</v>
      </c>
      <c r="M50" s="10" t="s">
        <v>195</v>
      </c>
    </row>
    <row r="51" spans="1:13" x14ac:dyDescent="0.25">
      <c r="A51" s="13" t="str">
        <f t="shared" si="0"/>
        <v>50714274310</v>
      </c>
      <c r="B51" s="10">
        <v>1004054831</v>
      </c>
      <c r="C51" s="10">
        <v>507142743</v>
      </c>
      <c r="D51" s="10">
        <v>10</v>
      </c>
      <c r="E51" s="10" t="s">
        <v>10</v>
      </c>
      <c r="F51" s="10">
        <v>1193508</v>
      </c>
      <c r="G51" s="10" t="s">
        <v>134</v>
      </c>
      <c r="H51" s="11">
        <v>16753</v>
      </c>
      <c r="I51" s="10">
        <v>0</v>
      </c>
      <c r="J51" s="11">
        <f t="shared" si="1"/>
        <v>16753</v>
      </c>
      <c r="K51" s="12">
        <f>VLOOKUP(A51,[4]VA05!$A:$K,11,FALSE)</f>
        <v>45575</v>
      </c>
      <c r="L51" s="10" t="s">
        <v>27</v>
      </c>
      <c r="M51" s="10" t="s">
        <v>195</v>
      </c>
    </row>
    <row r="52" spans="1:13" x14ac:dyDescent="0.25">
      <c r="A52" s="13" t="str">
        <f t="shared" si="0"/>
        <v>50714258410</v>
      </c>
      <c r="B52" s="10">
        <v>1004025718</v>
      </c>
      <c r="C52" s="10">
        <v>507142584</v>
      </c>
      <c r="D52" s="10">
        <v>10</v>
      </c>
      <c r="E52" s="10" t="s">
        <v>10</v>
      </c>
      <c r="F52" s="10">
        <v>1192705</v>
      </c>
      <c r="G52" s="10" t="s">
        <v>45</v>
      </c>
      <c r="H52" s="11">
        <v>29915</v>
      </c>
      <c r="I52" s="11">
        <v>15280</v>
      </c>
      <c r="J52" s="11">
        <f t="shared" si="1"/>
        <v>14635</v>
      </c>
      <c r="K52" s="12">
        <f>VLOOKUP(A52,[4]VA05!$A:$K,11,FALSE)</f>
        <v>45572</v>
      </c>
      <c r="L52" s="10" t="s">
        <v>18</v>
      </c>
      <c r="M52" s="10" t="s">
        <v>66</v>
      </c>
    </row>
    <row r="53" spans="1:13" x14ac:dyDescent="0.25">
      <c r="A53" s="13" t="str">
        <f t="shared" si="0"/>
        <v>50800515530</v>
      </c>
      <c r="B53" s="10">
        <v>1004062671</v>
      </c>
      <c r="C53" s="10">
        <v>508005155</v>
      </c>
      <c r="D53" s="10">
        <v>30</v>
      </c>
      <c r="E53" s="10" t="s">
        <v>10</v>
      </c>
      <c r="F53" s="10">
        <v>1420887</v>
      </c>
      <c r="G53" s="10" t="s">
        <v>291</v>
      </c>
      <c r="H53" s="11">
        <v>16246</v>
      </c>
      <c r="I53" s="10">
        <v>0</v>
      </c>
      <c r="J53" s="11">
        <f t="shared" si="1"/>
        <v>16246</v>
      </c>
      <c r="K53" s="12" t="e">
        <f>VLOOKUP(A53,[4]VA05!$A:$K,11,FALSE)</f>
        <v>#N/A</v>
      </c>
      <c r="L53" s="10" t="s">
        <v>25</v>
      </c>
      <c r="M53" s="10" t="s">
        <v>179</v>
      </c>
    </row>
    <row r="54" spans="1:13" x14ac:dyDescent="0.25">
      <c r="A54" s="13" t="str">
        <f t="shared" si="0"/>
        <v>50714259810</v>
      </c>
      <c r="B54" s="10">
        <v>1004042031</v>
      </c>
      <c r="C54" s="10">
        <v>507142598</v>
      </c>
      <c r="D54" s="10">
        <v>10</v>
      </c>
      <c r="E54" s="10" t="s">
        <v>10</v>
      </c>
      <c r="F54" s="10">
        <v>1233459</v>
      </c>
      <c r="G54" s="10" t="s">
        <v>121</v>
      </c>
      <c r="H54" s="11">
        <v>15449</v>
      </c>
      <c r="I54" s="11">
        <v>12464</v>
      </c>
      <c r="J54" s="11">
        <f t="shared" si="1"/>
        <v>2985</v>
      </c>
      <c r="K54" s="12">
        <f>VLOOKUP(A54,[4]VA05!$A:$K,11,FALSE)</f>
        <v>45572</v>
      </c>
      <c r="L54" s="10" t="s">
        <v>11</v>
      </c>
      <c r="M54" s="10" t="s">
        <v>106</v>
      </c>
    </row>
    <row r="55" spans="1:13" x14ac:dyDescent="0.25">
      <c r="A55" s="13" t="str">
        <f t="shared" si="0"/>
        <v>50714272410</v>
      </c>
      <c r="B55" s="10">
        <v>1004051405</v>
      </c>
      <c r="C55" s="10">
        <v>507142724</v>
      </c>
      <c r="D55" s="10">
        <v>10</v>
      </c>
      <c r="E55" s="10" t="s">
        <v>10</v>
      </c>
      <c r="F55" s="10">
        <v>1233459</v>
      </c>
      <c r="G55" s="10" t="s">
        <v>121</v>
      </c>
      <c r="H55" s="11">
        <v>10299</v>
      </c>
      <c r="I55" s="10">
        <v>0</v>
      </c>
      <c r="J55" s="11">
        <f t="shared" si="1"/>
        <v>10299</v>
      </c>
      <c r="K55" s="12">
        <f>VLOOKUP(A55,[4]VA05!$A:$K,11,FALSE)</f>
        <v>45594</v>
      </c>
      <c r="L55" s="10" t="s">
        <v>25</v>
      </c>
      <c r="M55" s="10" t="s">
        <v>176</v>
      </c>
    </row>
    <row r="56" spans="1:13" x14ac:dyDescent="0.25">
      <c r="A56" s="13" t="str">
        <f t="shared" si="0"/>
        <v>50714272410</v>
      </c>
      <c r="B56" s="10">
        <v>1004058756</v>
      </c>
      <c r="C56" s="10">
        <v>507142724</v>
      </c>
      <c r="D56" s="10">
        <v>10</v>
      </c>
      <c r="E56" s="10" t="s">
        <v>10</v>
      </c>
      <c r="F56" s="10">
        <v>1233477</v>
      </c>
      <c r="G56" s="10" t="s">
        <v>236</v>
      </c>
      <c r="H56" s="11">
        <v>11006</v>
      </c>
      <c r="I56" s="10">
        <v>0</v>
      </c>
      <c r="J56" s="11">
        <f t="shared" si="1"/>
        <v>11006</v>
      </c>
      <c r="K56" s="12">
        <f>VLOOKUP(A56,[4]VA05!$A:$K,11,FALSE)</f>
        <v>45594</v>
      </c>
      <c r="L56" s="10" t="s">
        <v>12</v>
      </c>
      <c r="M56" s="10" t="s">
        <v>109</v>
      </c>
    </row>
    <row r="57" spans="1:13" hidden="1" x14ac:dyDescent="0.25">
      <c r="A57" s="13" t="str">
        <f t="shared" si="0"/>
        <v>50714165620</v>
      </c>
      <c r="B57" s="10">
        <v>1003928019</v>
      </c>
      <c r="C57" s="10">
        <v>507141656</v>
      </c>
      <c r="D57" s="10">
        <v>20</v>
      </c>
      <c r="E57" s="10" t="s">
        <v>24</v>
      </c>
      <c r="F57" s="10">
        <v>1170081</v>
      </c>
      <c r="G57" s="10" t="s">
        <v>267</v>
      </c>
      <c r="H57" s="11">
        <v>5000</v>
      </c>
      <c r="I57" s="10">
        <v>0</v>
      </c>
      <c r="J57" s="11">
        <f t="shared" si="1"/>
        <v>5000</v>
      </c>
      <c r="K57" s="12" t="e">
        <f>VLOOKUP(A57,[4]VA05!$A:$K,11,FALSE)</f>
        <v>#N/A</v>
      </c>
      <c r="L57" s="10" t="s">
        <v>260</v>
      </c>
      <c r="M57" s="10" t="s">
        <v>268</v>
      </c>
    </row>
    <row r="58" spans="1:13" hidden="1" x14ac:dyDescent="0.25">
      <c r="A58" s="13" t="str">
        <f t="shared" si="0"/>
        <v>50714165620</v>
      </c>
      <c r="B58" s="10">
        <v>1003928021</v>
      </c>
      <c r="C58" s="10">
        <v>507141656</v>
      </c>
      <c r="D58" s="10">
        <v>20</v>
      </c>
      <c r="E58" s="10" t="s">
        <v>24</v>
      </c>
      <c r="F58" s="10">
        <v>1170081</v>
      </c>
      <c r="G58" s="10" t="s">
        <v>267</v>
      </c>
      <c r="H58" s="11">
        <v>5000</v>
      </c>
      <c r="I58" s="10">
        <v>0</v>
      </c>
      <c r="J58" s="11">
        <f t="shared" si="1"/>
        <v>5000</v>
      </c>
      <c r="K58" s="12" t="e">
        <f>VLOOKUP(A58,[4]VA05!$A:$K,11,FALSE)</f>
        <v>#N/A</v>
      </c>
      <c r="L58" s="10" t="s">
        <v>260</v>
      </c>
      <c r="M58" s="10" t="s">
        <v>268</v>
      </c>
    </row>
    <row r="59" spans="1:13" x14ac:dyDescent="0.25">
      <c r="A59" s="13" t="str">
        <f t="shared" si="0"/>
        <v>50714274240</v>
      </c>
      <c r="B59" s="10">
        <v>1004052518</v>
      </c>
      <c r="C59" s="10">
        <v>507142742</v>
      </c>
      <c r="D59" s="10">
        <v>40</v>
      </c>
      <c r="E59" s="10" t="s">
        <v>10</v>
      </c>
      <c r="F59" s="10">
        <v>1209335</v>
      </c>
      <c r="G59" s="10" t="s">
        <v>150</v>
      </c>
      <c r="H59" s="11">
        <v>35876</v>
      </c>
      <c r="I59" s="11">
        <v>4948</v>
      </c>
      <c r="J59" s="11">
        <f t="shared" si="1"/>
        <v>30928</v>
      </c>
      <c r="K59" s="12">
        <f>VLOOKUP(A59,[4]VA05!$A:$K,11,FALSE)</f>
        <v>45580</v>
      </c>
      <c r="L59" s="10" t="s">
        <v>18</v>
      </c>
      <c r="M59" s="10" t="s">
        <v>162</v>
      </c>
    </row>
    <row r="60" spans="1:13" x14ac:dyDescent="0.25">
      <c r="A60" s="13" t="str">
        <f t="shared" si="0"/>
        <v>50714274270</v>
      </c>
      <c r="B60" s="10">
        <v>1004052519</v>
      </c>
      <c r="C60" s="10">
        <v>507142742</v>
      </c>
      <c r="D60" s="10">
        <v>70</v>
      </c>
      <c r="E60" s="10" t="s">
        <v>10</v>
      </c>
      <c r="F60" s="10">
        <v>1209335</v>
      </c>
      <c r="G60" s="10" t="s">
        <v>150</v>
      </c>
      <c r="H60" s="11">
        <v>25576</v>
      </c>
      <c r="I60" s="10">
        <v>0</v>
      </c>
      <c r="J60" s="11">
        <f t="shared" si="1"/>
        <v>25576</v>
      </c>
      <c r="K60" s="12">
        <f>VLOOKUP(A60,[4]VA05!$A:$K,11,FALSE)</f>
        <v>45587</v>
      </c>
      <c r="L60" s="10" t="s">
        <v>12</v>
      </c>
      <c r="M60" s="10" t="s">
        <v>109</v>
      </c>
    </row>
    <row r="61" spans="1:13" x14ac:dyDescent="0.25">
      <c r="A61" s="13" t="str">
        <f t="shared" si="0"/>
        <v>507142742100</v>
      </c>
      <c r="B61" s="10">
        <v>1004052522</v>
      </c>
      <c r="C61" s="10">
        <v>507142742</v>
      </c>
      <c r="D61" s="10">
        <v>100</v>
      </c>
      <c r="E61" s="10" t="s">
        <v>10</v>
      </c>
      <c r="F61" s="10">
        <v>1209335</v>
      </c>
      <c r="G61" s="10" t="s">
        <v>150</v>
      </c>
      <c r="H61" s="11">
        <v>25576</v>
      </c>
      <c r="I61" s="10">
        <v>0</v>
      </c>
      <c r="J61" s="11">
        <f t="shared" si="1"/>
        <v>25576</v>
      </c>
      <c r="K61" s="12" t="e">
        <f>VLOOKUP(A61,[4]VA05!$A:$K,11,FALSE)</f>
        <v>#N/A</v>
      </c>
      <c r="L61" s="10" t="s">
        <v>12</v>
      </c>
      <c r="M61" s="10" t="s">
        <v>196</v>
      </c>
    </row>
    <row r="62" spans="1:13" x14ac:dyDescent="0.25">
      <c r="A62" s="13" t="str">
        <f t="shared" si="0"/>
        <v>50714285110</v>
      </c>
      <c r="B62" s="10">
        <v>1004062669</v>
      </c>
      <c r="C62" s="10">
        <v>507142851</v>
      </c>
      <c r="D62" s="10">
        <v>10</v>
      </c>
      <c r="E62" s="10" t="s">
        <v>10</v>
      </c>
      <c r="F62" s="10">
        <v>1209335</v>
      </c>
      <c r="G62" s="10" t="s">
        <v>150</v>
      </c>
      <c r="H62" s="11">
        <v>35874</v>
      </c>
      <c r="I62" s="10">
        <v>0</v>
      </c>
      <c r="J62" s="11">
        <f t="shared" si="1"/>
        <v>35874</v>
      </c>
      <c r="K62" s="12">
        <f>VLOOKUP(A62,[4]VA05!$A:$K,11,FALSE)</f>
        <v>45593</v>
      </c>
      <c r="L62" s="10" t="s">
        <v>12</v>
      </c>
      <c r="M62" s="10" t="s">
        <v>157</v>
      </c>
    </row>
    <row r="63" spans="1:13" x14ac:dyDescent="0.25">
      <c r="A63" s="13" t="str">
        <f t="shared" si="0"/>
        <v>50714268230</v>
      </c>
      <c r="B63" s="10">
        <v>1004062670</v>
      </c>
      <c r="C63" s="10">
        <v>507142682</v>
      </c>
      <c r="D63" s="10">
        <v>30</v>
      </c>
      <c r="E63" s="10" t="s">
        <v>10</v>
      </c>
      <c r="F63" s="10">
        <v>1440079</v>
      </c>
      <c r="G63" s="10" t="s">
        <v>292</v>
      </c>
      <c r="H63" s="11">
        <v>10217</v>
      </c>
      <c r="I63" s="10">
        <v>0</v>
      </c>
      <c r="J63" s="11">
        <f t="shared" si="1"/>
        <v>10217</v>
      </c>
      <c r="K63" s="12">
        <f>VLOOKUP(A63,[4]VA05!$A:$K,11,FALSE)</f>
        <v>45595</v>
      </c>
      <c r="L63" s="10" t="s">
        <v>12</v>
      </c>
      <c r="M63" s="10" t="s">
        <v>204</v>
      </c>
    </row>
    <row r="64" spans="1:13" x14ac:dyDescent="0.25">
      <c r="A64" s="13" t="str">
        <f t="shared" si="0"/>
        <v>50714274240</v>
      </c>
      <c r="B64" s="10">
        <v>1004052625</v>
      </c>
      <c r="C64" s="10">
        <v>507142742</v>
      </c>
      <c r="D64" s="10">
        <v>40</v>
      </c>
      <c r="E64" s="10" t="s">
        <v>10</v>
      </c>
      <c r="F64" s="10">
        <v>1437142</v>
      </c>
      <c r="G64" s="10" t="s">
        <v>145</v>
      </c>
      <c r="H64" s="11">
        <v>38800</v>
      </c>
      <c r="I64" s="10">
        <v>0</v>
      </c>
      <c r="J64" s="11">
        <f t="shared" si="1"/>
        <v>38800</v>
      </c>
      <c r="K64" s="12">
        <f>VLOOKUP(A64,[4]VA05!$A:$K,11,FALSE)</f>
        <v>45580</v>
      </c>
      <c r="L64" s="10" t="s">
        <v>12</v>
      </c>
      <c r="M64" s="10" t="s">
        <v>197</v>
      </c>
    </row>
    <row r="65" spans="1:13" x14ac:dyDescent="0.25">
      <c r="A65" s="13" t="str">
        <f t="shared" si="0"/>
        <v>50714274270</v>
      </c>
      <c r="B65" s="10">
        <v>1004052626</v>
      </c>
      <c r="C65" s="10">
        <v>507142742</v>
      </c>
      <c r="D65" s="10">
        <v>70</v>
      </c>
      <c r="E65" s="10" t="s">
        <v>10</v>
      </c>
      <c r="F65" s="10">
        <v>1437142</v>
      </c>
      <c r="G65" s="10" t="s">
        <v>145</v>
      </c>
      <c r="H65" s="11">
        <v>40825</v>
      </c>
      <c r="I65" s="10">
        <v>0</v>
      </c>
      <c r="J65" s="11">
        <f t="shared" si="1"/>
        <v>40825</v>
      </c>
      <c r="K65" s="12">
        <f>VLOOKUP(A65,[4]VA05!$A:$K,11,FALSE)</f>
        <v>45587</v>
      </c>
      <c r="L65" s="10" t="s">
        <v>12</v>
      </c>
      <c r="M65" s="10" t="s">
        <v>162</v>
      </c>
    </row>
    <row r="66" spans="1:13" x14ac:dyDescent="0.25">
      <c r="A66" s="13" t="str">
        <f t="shared" si="0"/>
        <v>507142742100</v>
      </c>
      <c r="B66" s="10">
        <v>1004052627</v>
      </c>
      <c r="C66" s="10">
        <v>507142742</v>
      </c>
      <c r="D66" s="10">
        <v>100</v>
      </c>
      <c r="E66" s="10" t="s">
        <v>10</v>
      </c>
      <c r="F66" s="10">
        <v>1437142</v>
      </c>
      <c r="G66" s="10" t="s">
        <v>145</v>
      </c>
      <c r="H66" s="11">
        <v>27661</v>
      </c>
      <c r="I66" s="10">
        <v>0</v>
      </c>
      <c r="J66" s="11">
        <f t="shared" si="1"/>
        <v>27661</v>
      </c>
      <c r="K66" s="12" t="e">
        <f>VLOOKUP(A66,[4]VA05!$A:$K,11,FALSE)</f>
        <v>#N/A</v>
      </c>
      <c r="L66" s="10" t="s">
        <v>12</v>
      </c>
      <c r="M66" s="10" t="s">
        <v>109</v>
      </c>
    </row>
    <row r="67" spans="1:13" x14ac:dyDescent="0.25">
      <c r="A67" s="13" t="str">
        <f t="shared" si="0"/>
        <v>50714274210</v>
      </c>
      <c r="B67" s="10">
        <v>1004054341</v>
      </c>
      <c r="C67" s="10">
        <v>507142742</v>
      </c>
      <c r="D67" s="10">
        <v>10</v>
      </c>
      <c r="E67" s="10" t="s">
        <v>10</v>
      </c>
      <c r="F67" s="10">
        <v>1437142</v>
      </c>
      <c r="G67" s="10" t="s">
        <v>145</v>
      </c>
      <c r="H67" s="11">
        <v>27661</v>
      </c>
      <c r="I67" s="11">
        <v>11900</v>
      </c>
      <c r="J67" s="11">
        <f t="shared" si="1"/>
        <v>15761</v>
      </c>
      <c r="K67" s="12">
        <f>VLOOKUP(A67,[4]VA05!$A:$K,11,FALSE)</f>
        <v>45575</v>
      </c>
      <c r="L67" s="10" t="s">
        <v>11</v>
      </c>
      <c r="M67" s="10" t="s">
        <v>155</v>
      </c>
    </row>
    <row r="68" spans="1:13" x14ac:dyDescent="0.25">
      <c r="A68" s="13" t="str">
        <f t="shared" ref="A68:A131" si="2">C68&amp;D68</f>
        <v>50714285110</v>
      </c>
      <c r="B68" s="10">
        <v>1004062677</v>
      </c>
      <c r="C68" s="10">
        <v>507142851</v>
      </c>
      <c r="D68" s="10">
        <v>10</v>
      </c>
      <c r="E68" s="10" t="s">
        <v>10</v>
      </c>
      <c r="F68" s="10">
        <v>1437142</v>
      </c>
      <c r="G68" s="10" t="s">
        <v>145</v>
      </c>
      <c r="H68" s="11">
        <v>38799</v>
      </c>
      <c r="I68" s="10">
        <v>0</v>
      </c>
      <c r="J68" s="11">
        <f t="shared" ref="J68:J131" si="3">H68-I68</f>
        <v>38799</v>
      </c>
      <c r="K68" s="12">
        <f>VLOOKUP(A68,[4]VA05!$A:$K,11,FALSE)</f>
        <v>45593</v>
      </c>
      <c r="L68" s="10" t="s">
        <v>12</v>
      </c>
      <c r="M68" s="10" t="s">
        <v>162</v>
      </c>
    </row>
    <row r="69" spans="1:13" x14ac:dyDescent="0.25">
      <c r="A69" s="13" t="str">
        <f t="shared" si="2"/>
        <v>50714268230</v>
      </c>
      <c r="B69" s="10">
        <v>1004059556</v>
      </c>
      <c r="C69" s="10">
        <v>507142682</v>
      </c>
      <c r="D69" s="10">
        <v>30</v>
      </c>
      <c r="E69" s="10" t="s">
        <v>10</v>
      </c>
      <c r="F69" s="10">
        <v>1440080</v>
      </c>
      <c r="G69" s="10" t="s">
        <v>247</v>
      </c>
      <c r="H69" s="11">
        <v>10524</v>
      </c>
      <c r="I69" s="10">
        <v>0</v>
      </c>
      <c r="J69" s="11">
        <f t="shared" si="3"/>
        <v>10524</v>
      </c>
      <c r="K69" s="12">
        <f>VLOOKUP(A69,[4]VA05!$A:$K,11,FALSE)</f>
        <v>45595</v>
      </c>
      <c r="L69" s="10" t="s">
        <v>12</v>
      </c>
      <c r="M69" s="10" t="s">
        <v>176</v>
      </c>
    </row>
    <row r="70" spans="1:13" x14ac:dyDescent="0.25">
      <c r="A70" s="13" t="str">
        <f t="shared" si="2"/>
        <v>50714242450</v>
      </c>
      <c r="B70" s="10">
        <v>1004019633</v>
      </c>
      <c r="C70" s="10">
        <v>507142424</v>
      </c>
      <c r="D70" s="10">
        <v>50</v>
      </c>
      <c r="E70" s="10" t="s">
        <v>10</v>
      </c>
      <c r="F70" s="10">
        <v>1212309</v>
      </c>
      <c r="G70" s="10" t="s">
        <v>16</v>
      </c>
      <c r="H70" s="11">
        <v>30725</v>
      </c>
      <c r="I70" s="10">
        <v>0</v>
      </c>
      <c r="J70" s="11">
        <f t="shared" si="3"/>
        <v>30725</v>
      </c>
      <c r="K70" s="12" t="e">
        <f>VLOOKUP(A70,[4]VA05!$A:$K,11,FALSE)</f>
        <v>#N/A</v>
      </c>
      <c r="L70" s="10" t="s">
        <v>12</v>
      </c>
      <c r="M70" s="10" t="s">
        <v>82</v>
      </c>
    </row>
    <row r="71" spans="1:13" x14ac:dyDescent="0.25">
      <c r="A71" s="13" t="str">
        <f t="shared" si="2"/>
        <v>50714274220</v>
      </c>
      <c r="B71" s="10">
        <v>1004052511</v>
      </c>
      <c r="C71" s="10">
        <v>507142742</v>
      </c>
      <c r="D71" s="10">
        <v>20</v>
      </c>
      <c r="E71" s="10" t="s">
        <v>10</v>
      </c>
      <c r="F71" s="10">
        <v>1209351</v>
      </c>
      <c r="G71" s="10" t="s">
        <v>135</v>
      </c>
      <c r="H71" s="11">
        <v>25576</v>
      </c>
      <c r="I71" s="11">
        <v>15533</v>
      </c>
      <c r="J71" s="11">
        <f t="shared" si="3"/>
        <v>10043</v>
      </c>
      <c r="K71" s="12">
        <f>VLOOKUP(A71,[4]VA05!$A:$K,11,FALSE)</f>
        <v>45575</v>
      </c>
      <c r="L71" s="10" t="s">
        <v>18</v>
      </c>
      <c r="M71" s="10" t="s">
        <v>197</v>
      </c>
    </row>
    <row r="72" spans="1:13" x14ac:dyDescent="0.25">
      <c r="A72" s="13" t="str">
        <f t="shared" si="2"/>
        <v>50714274250</v>
      </c>
      <c r="B72" s="10">
        <v>1004052512</v>
      </c>
      <c r="C72" s="10">
        <v>507142742</v>
      </c>
      <c r="D72" s="10">
        <v>50</v>
      </c>
      <c r="E72" s="10" t="s">
        <v>10</v>
      </c>
      <c r="F72" s="10">
        <v>1209351</v>
      </c>
      <c r="G72" s="10" t="s">
        <v>135</v>
      </c>
      <c r="H72" s="11">
        <v>25576</v>
      </c>
      <c r="I72" s="10">
        <v>0</v>
      </c>
      <c r="J72" s="11">
        <f t="shared" si="3"/>
        <v>25576</v>
      </c>
      <c r="K72" s="12">
        <f>VLOOKUP(A72,[4]VA05!$A:$K,11,FALSE)</f>
        <v>45580</v>
      </c>
      <c r="L72" s="10" t="s">
        <v>12</v>
      </c>
      <c r="M72" s="10" t="s">
        <v>192</v>
      </c>
    </row>
    <row r="73" spans="1:13" x14ac:dyDescent="0.25">
      <c r="A73" s="13" t="str">
        <f t="shared" si="2"/>
        <v>50714274280</v>
      </c>
      <c r="B73" s="10">
        <v>1004052513</v>
      </c>
      <c r="C73" s="10">
        <v>507142742</v>
      </c>
      <c r="D73" s="10">
        <v>80</v>
      </c>
      <c r="E73" s="10" t="s">
        <v>10</v>
      </c>
      <c r="F73" s="10">
        <v>1209351</v>
      </c>
      <c r="G73" s="10" t="s">
        <v>135</v>
      </c>
      <c r="H73" s="11">
        <v>25576</v>
      </c>
      <c r="I73" s="10">
        <v>0</v>
      </c>
      <c r="J73" s="11">
        <f t="shared" si="3"/>
        <v>25576</v>
      </c>
      <c r="K73" s="12">
        <f>VLOOKUP(A73,[4]VA05!$A:$K,11,FALSE)</f>
        <v>45587</v>
      </c>
      <c r="L73" s="10" t="s">
        <v>12</v>
      </c>
      <c r="M73" s="10" t="s">
        <v>176</v>
      </c>
    </row>
    <row r="74" spans="1:13" x14ac:dyDescent="0.25">
      <c r="A74" s="13" t="str">
        <f t="shared" si="2"/>
        <v>507142742110</v>
      </c>
      <c r="B74" s="10">
        <v>1004052514</v>
      </c>
      <c r="C74" s="10">
        <v>507142742</v>
      </c>
      <c r="D74" s="10">
        <v>110</v>
      </c>
      <c r="E74" s="10" t="s">
        <v>10</v>
      </c>
      <c r="F74" s="10">
        <v>1209351</v>
      </c>
      <c r="G74" s="10" t="s">
        <v>135</v>
      </c>
      <c r="H74" s="11">
        <v>25576</v>
      </c>
      <c r="I74" s="10">
        <v>0</v>
      </c>
      <c r="J74" s="11">
        <f t="shared" si="3"/>
        <v>25576</v>
      </c>
      <c r="K74" s="12" t="e">
        <f>VLOOKUP(A74,[4]VA05!$A:$K,11,FALSE)</f>
        <v>#N/A</v>
      </c>
      <c r="L74" s="10" t="s">
        <v>12</v>
      </c>
      <c r="M74" s="10" t="s">
        <v>198</v>
      </c>
    </row>
    <row r="75" spans="1:13" x14ac:dyDescent="0.25">
      <c r="A75" s="13" t="str">
        <f t="shared" si="2"/>
        <v>50714285120</v>
      </c>
      <c r="B75" s="10">
        <v>1004062680</v>
      </c>
      <c r="C75" s="10">
        <v>507142851</v>
      </c>
      <c r="D75" s="10">
        <v>20</v>
      </c>
      <c r="E75" s="10" t="s">
        <v>10</v>
      </c>
      <c r="F75" s="10">
        <v>1209351</v>
      </c>
      <c r="G75" s="10" t="s">
        <v>135</v>
      </c>
      <c r="H75" s="11">
        <v>35874</v>
      </c>
      <c r="I75" s="10">
        <v>0</v>
      </c>
      <c r="J75" s="11">
        <f t="shared" si="3"/>
        <v>35874</v>
      </c>
      <c r="K75" s="12">
        <f>VLOOKUP(A75,[4]VA05!$A:$K,11,FALSE)</f>
        <v>45593</v>
      </c>
      <c r="L75" s="10" t="s">
        <v>12</v>
      </c>
      <c r="M75" s="10" t="s">
        <v>199</v>
      </c>
    </row>
    <row r="76" spans="1:13" x14ac:dyDescent="0.25">
      <c r="A76" s="13" t="str">
        <f t="shared" si="2"/>
        <v>50900099220</v>
      </c>
      <c r="B76" s="10">
        <v>1004021332</v>
      </c>
      <c r="C76" s="10">
        <v>509000992</v>
      </c>
      <c r="D76" s="10">
        <v>20</v>
      </c>
      <c r="E76" s="10" t="s">
        <v>10</v>
      </c>
      <c r="F76" s="10">
        <v>1279716</v>
      </c>
      <c r="G76" s="10" t="s">
        <v>54</v>
      </c>
      <c r="H76" s="11">
        <v>10299</v>
      </c>
      <c r="I76" s="10">
        <v>0</v>
      </c>
      <c r="J76" s="11">
        <f t="shared" si="3"/>
        <v>10299</v>
      </c>
      <c r="K76" s="12" t="e">
        <f>VLOOKUP(A76,[4]VA05!$A:$K,11,FALSE)</f>
        <v>#N/A</v>
      </c>
      <c r="L76" s="10" t="s">
        <v>25</v>
      </c>
      <c r="M76" s="10" t="s">
        <v>66</v>
      </c>
    </row>
    <row r="77" spans="1:13" x14ac:dyDescent="0.25">
      <c r="A77" s="13" t="str">
        <f t="shared" si="2"/>
        <v>50714242410</v>
      </c>
      <c r="B77" s="10">
        <v>1004019563</v>
      </c>
      <c r="C77" s="10">
        <v>507142424</v>
      </c>
      <c r="D77" s="10">
        <v>10</v>
      </c>
      <c r="E77" s="10" t="s">
        <v>10</v>
      </c>
      <c r="F77" s="10">
        <v>1212320</v>
      </c>
      <c r="G77" s="10" t="s">
        <v>17</v>
      </c>
      <c r="H77" s="11">
        <v>19568</v>
      </c>
      <c r="I77" s="10">
        <v>0</v>
      </c>
      <c r="J77" s="11">
        <f t="shared" si="3"/>
        <v>19568</v>
      </c>
      <c r="K77" s="12" t="e">
        <f>VLOOKUP(A77,[4]VA05!$A:$K,11,FALSE)</f>
        <v>#N/A</v>
      </c>
      <c r="L77" s="10" t="s">
        <v>239</v>
      </c>
      <c r="M77" s="10" t="s">
        <v>72</v>
      </c>
    </row>
    <row r="78" spans="1:13" x14ac:dyDescent="0.25">
      <c r="A78" s="13" t="str">
        <f t="shared" si="2"/>
        <v>50714242430</v>
      </c>
      <c r="B78" s="10">
        <v>1004019564</v>
      </c>
      <c r="C78" s="10">
        <v>507142424</v>
      </c>
      <c r="D78" s="10">
        <v>30</v>
      </c>
      <c r="E78" s="10" t="s">
        <v>10</v>
      </c>
      <c r="F78" s="10">
        <v>1212320</v>
      </c>
      <c r="G78" s="10" t="s">
        <v>17</v>
      </c>
      <c r="H78" s="11">
        <v>19568</v>
      </c>
      <c r="I78" s="10">
        <v>0</v>
      </c>
      <c r="J78" s="11">
        <f t="shared" si="3"/>
        <v>19568</v>
      </c>
      <c r="K78" s="12" t="e">
        <f>VLOOKUP(A78,[4]VA05!$A:$K,11,FALSE)</f>
        <v>#N/A</v>
      </c>
      <c r="L78" s="10" t="s">
        <v>13</v>
      </c>
      <c r="M78" s="10" t="s">
        <v>69</v>
      </c>
    </row>
    <row r="79" spans="1:13" x14ac:dyDescent="0.25">
      <c r="A79" s="13" t="str">
        <f t="shared" si="2"/>
        <v>50714242450</v>
      </c>
      <c r="B79" s="10">
        <v>1004019566</v>
      </c>
      <c r="C79" s="10">
        <v>507142424</v>
      </c>
      <c r="D79" s="10">
        <v>50</v>
      </c>
      <c r="E79" s="10" t="s">
        <v>10</v>
      </c>
      <c r="F79" s="10">
        <v>1212320</v>
      </c>
      <c r="G79" s="10" t="s">
        <v>17</v>
      </c>
      <c r="H79" s="11">
        <v>30725</v>
      </c>
      <c r="I79" s="10">
        <v>0</v>
      </c>
      <c r="J79" s="11">
        <f t="shared" si="3"/>
        <v>30725</v>
      </c>
      <c r="K79" s="12" t="e">
        <f>VLOOKUP(A79,[4]VA05!$A:$K,11,FALSE)</f>
        <v>#N/A</v>
      </c>
      <c r="L79" s="10" t="s">
        <v>13</v>
      </c>
      <c r="M79" s="10" t="s">
        <v>73</v>
      </c>
    </row>
    <row r="80" spans="1:13" hidden="1" x14ac:dyDescent="0.25">
      <c r="A80" s="13" t="str">
        <f t="shared" si="2"/>
        <v>50714274220</v>
      </c>
      <c r="B80" s="10">
        <v>1004052428</v>
      </c>
      <c r="C80" s="10">
        <v>507142742</v>
      </c>
      <c r="D80" s="10">
        <v>20</v>
      </c>
      <c r="E80" s="10" t="s">
        <v>10</v>
      </c>
      <c r="F80" s="10">
        <v>1437172</v>
      </c>
      <c r="G80" s="10" t="s">
        <v>123</v>
      </c>
      <c r="H80" s="11">
        <v>25576</v>
      </c>
      <c r="I80" s="11">
        <v>25576</v>
      </c>
      <c r="J80" s="11">
        <f t="shared" si="3"/>
        <v>0</v>
      </c>
      <c r="K80" s="12">
        <f>VLOOKUP(A80,[4]VA05!$A:$K,11,FALSE)</f>
        <v>45575</v>
      </c>
      <c r="L80" s="10" t="s">
        <v>28</v>
      </c>
      <c r="M80" s="10" t="s">
        <v>197</v>
      </c>
    </row>
    <row r="81" spans="1:13" x14ac:dyDescent="0.25">
      <c r="A81" s="13" t="str">
        <f t="shared" si="2"/>
        <v>50714274280</v>
      </c>
      <c r="B81" s="10">
        <v>1004052509</v>
      </c>
      <c r="C81" s="10">
        <v>507142742</v>
      </c>
      <c r="D81" s="10">
        <v>80</v>
      </c>
      <c r="E81" s="10" t="s">
        <v>10</v>
      </c>
      <c r="F81" s="10">
        <v>1437172</v>
      </c>
      <c r="G81" s="10" t="s">
        <v>123</v>
      </c>
      <c r="H81" s="11">
        <v>25576</v>
      </c>
      <c r="I81" s="11">
        <v>15229</v>
      </c>
      <c r="J81" s="11">
        <f t="shared" si="3"/>
        <v>10347</v>
      </c>
      <c r="K81" s="12">
        <f>VLOOKUP(A81,[4]VA05!$A:$K,11,FALSE)</f>
        <v>45587</v>
      </c>
      <c r="L81" s="10" t="s">
        <v>18</v>
      </c>
      <c r="M81" s="10" t="s">
        <v>176</v>
      </c>
    </row>
    <row r="82" spans="1:13" x14ac:dyDescent="0.25">
      <c r="A82" s="13" t="str">
        <f t="shared" si="2"/>
        <v>507142742110</v>
      </c>
      <c r="B82" s="10">
        <v>1004052510</v>
      </c>
      <c r="C82" s="10">
        <v>507142742</v>
      </c>
      <c r="D82" s="10">
        <v>110</v>
      </c>
      <c r="E82" s="10" t="s">
        <v>10</v>
      </c>
      <c r="F82" s="10">
        <v>1437172</v>
      </c>
      <c r="G82" s="10" t="s">
        <v>123</v>
      </c>
      <c r="H82" s="11">
        <v>25576</v>
      </c>
      <c r="I82" s="10">
        <v>0</v>
      </c>
      <c r="J82" s="11">
        <f t="shared" si="3"/>
        <v>25576</v>
      </c>
      <c r="K82" s="12" t="e">
        <f>VLOOKUP(A82,[4]VA05!$A:$K,11,FALSE)</f>
        <v>#N/A</v>
      </c>
      <c r="L82" s="10" t="s">
        <v>12</v>
      </c>
      <c r="M82" s="10" t="s">
        <v>198</v>
      </c>
    </row>
    <row r="83" spans="1:13" x14ac:dyDescent="0.25">
      <c r="A83" s="13" t="str">
        <f t="shared" si="2"/>
        <v>50714285120</v>
      </c>
      <c r="B83" s="10">
        <v>1004062192</v>
      </c>
      <c r="C83" s="10">
        <v>507142851</v>
      </c>
      <c r="D83" s="10">
        <v>20</v>
      </c>
      <c r="E83" s="10" t="s">
        <v>10</v>
      </c>
      <c r="F83" s="10">
        <v>1437172</v>
      </c>
      <c r="G83" s="10" t="s">
        <v>123</v>
      </c>
      <c r="H83" s="11">
        <v>35874</v>
      </c>
      <c r="I83" s="10">
        <v>0</v>
      </c>
      <c r="J83" s="11">
        <f t="shared" si="3"/>
        <v>35874</v>
      </c>
      <c r="K83" s="12">
        <f>VLOOKUP(A83,[4]VA05!$A:$K,11,FALSE)</f>
        <v>45593</v>
      </c>
      <c r="L83" s="10" t="s">
        <v>12</v>
      </c>
      <c r="M83" s="10" t="s">
        <v>199</v>
      </c>
    </row>
    <row r="84" spans="1:13" x14ac:dyDescent="0.25">
      <c r="A84" s="13" t="str">
        <f t="shared" si="2"/>
        <v>50900099220</v>
      </c>
      <c r="B84" s="10">
        <v>1004016985</v>
      </c>
      <c r="C84" s="10">
        <v>509000992</v>
      </c>
      <c r="D84" s="10">
        <v>20</v>
      </c>
      <c r="E84" s="10" t="s">
        <v>10</v>
      </c>
      <c r="F84" s="10">
        <v>1279713</v>
      </c>
      <c r="G84" s="10" t="s">
        <v>55</v>
      </c>
      <c r="H84" s="11">
        <v>10299</v>
      </c>
      <c r="I84" s="10">
        <v>0</v>
      </c>
      <c r="J84" s="11">
        <f t="shared" si="3"/>
        <v>10299</v>
      </c>
      <c r="K84" s="12" t="e">
        <f>VLOOKUP(A84,[4]VA05!$A:$K,11,FALSE)</f>
        <v>#N/A</v>
      </c>
      <c r="L84" s="10" t="s">
        <v>13</v>
      </c>
      <c r="M84" s="10" t="s">
        <v>58</v>
      </c>
    </row>
    <row r="85" spans="1:13" x14ac:dyDescent="0.25">
      <c r="A85" s="13" t="str">
        <f t="shared" si="2"/>
        <v>50900099320</v>
      </c>
      <c r="B85" s="10">
        <v>1004016986</v>
      </c>
      <c r="C85" s="10">
        <v>509000993</v>
      </c>
      <c r="D85" s="10">
        <v>20</v>
      </c>
      <c r="E85" s="10" t="s">
        <v>10</v>
      </c>
      <c r="F85" s="10">
        <v>1279713</v>
      </c>
      <c r="G85" s="10" t="s">
        <v>55</v>
      </c>
      <c r="H85" s="11">
        <v>3262</v>
      </c>
      <c r="I85" s="10">
        <v>0</v>
      </c>
      <c r="J85" s="11">
        <f t="shared" si="3"/>
        <v>3262</v>
      </c>
      <c r="K85" s="12" t="e">
        <f>VLOOKUP(A85,[4]VA05!$A:$K,11,FALSE)</f>
        <v>#N/A</v>
      </c>
      <c r="L85" s="10" t="s">
        <v>12</v>
      </c>
      <c r="M85" s="10" t="s">
        <v>50</v>
      </c>
    </row>
    <row r="86" spans="1:13" x14ac:dyDescent="0.25">
      <c r="A86" s="13" t="str">
        <f t="shared" si="2"/>
        <v>50714274240</v>
      </c>
      <c r="B86" s="10">
        <v>1004049969</v>
      </c>
      <c r="C86" s="10">
        <v>507142742</v>
      </c>
      <c r="D86" s="10">
        <v>40</v>
      </c>
      <c r="E86" s="10" t="s">
        <v>10</v>
      </c>
      <c r="F86" s="10">
        <v>1209336</v>
      </c>
      <c r="G86" s="10" t="s">
        <v>124</v>
      </c>
      <c r="H86" s="11">
        <v>25576</v>
      </c>
      <c r="I86" s="11">
        <v>7662</v>
      </c>
      <c r="J86" s="11">
        <f t="shared" si="3"/>
        <v>17914</v>
      </c>
      <c r="K86" s="12">
        <f>VLOOKUP(A86,[4]VA05!$A:$K,11,FALSE)</f>
        <v>45580</v>
      </c>
      <c r="L86" s="10" t="s">
        <v>18</v>
      </c>
      <c r="M86" s="10" t="s">
        <v>157</v>
      </c>
    </row>
    <row r="87" spans="1:13" x14ac:dyDescent="0.25">
      <c r="A87" s="13" t="str">
        <f t="shared" si="2"/>
        <v>50714274270</v>
      </c>
      <c r="B87" s="10">
        <v>1004052425</v>
      </c>
      <c r="C87" s="10">
        <v>507142742</v>
      </c>
      <c r="D87" s="10">
        <v>70</v>
      </c>
      <c r="E87" s="10" t="s">
        <v>10</v>
      </c>
      <c r="F87" s="10">
        <v>1209336</v>
      </c>
      <c r="G87" s="10" t="s">
        <v>124</v>
      </c>
      <c r="H87" s="11">
        <v>25576</v>
      </c>
      <c r="I87" s="10">
        <v>0</v>
      </c>
      <c r="J87" s="11">
        <f t="shared" si="3"/>
        <v>25576</v>
      </c>
      <c r="K87" s="12">
        <f>VLOOKUP(A87,[4]VA05!$A:$K,11,FALSE)</f>
        <v>45587</v>
      </c>
      <c r="L87" s="10" t="s">
        <v>12</v>
      </c>
      <c r="M87" s="10" t="s">
        <v>199</v>
      </c>
    </row>
    <row r="88" spans="1:13" x14ac:dyDescent="0.25">
      <c r="A88" s="13" t="str">
        <f t="shared" si="2"/>
        <v>507142742100</v>
      </c>
      <c r="B88" s="10">
        <v>1004052426</v>
      </c>
      <c r="C88" s="10">
        <v>507142742</v>
      </c>
      <c r="D88" s="10">
        <v>100</v>
      </c>
      <c r="E88" s="10" t="s">
        <v>10</v>
      </c>
      <c r="F88" s="10">
        <v>1209336</v>
      </c>
      <c r="G88" s="10" t="s">
        <v>124</v>
      </c>
      <c r="H88" s="11">
        <v>25576</v>
      </c>
      <c r="I88" s="10">
        <v>0</v>
      </c>
      <c r="J88" s="11">
        <f t="shared" si="3"/>
        <v>25576</v>
      </c>
      <c r="K88" s="12" t="e">
        <f>VLOOKUP(A88,[4]VA05!$A:$K,11,FALSE)</f>
        <v>#N/A</v>
      </c>
      <c r="L88" s="10" t="s">
        <v>12</v>
      </c>
      <c r="M88" s="10" t="s">
        <v>200</v>
      </c>
    </row>
    <row r="89" spans="1:13" x14ac:dyDescent="0.25">
      <c r="A89" s="13" t="str">
        <f t="shared" si="2"/>
        <v>50714285110</v>
      </c>
      <c r="B89" s="10">
        <v>1004064146</v>
      </c>
      <c r="C89" s="10">
        <v>507142851</v>
      </c>
      <c r="D89" s="10">
        <v>10</v>
      </c>
      <c r="E89" s="10" t="s">
        <v>10</v>
      </c>
      <c r="F89" s="10">
        <v>1209336</v>
      </c>
      <c r="G89" s="10" t="s">
        <v>124</v>
      </c>
      <c r="H89" s="11">
        <v>35874</v>
      </c>
      <c r="I89" s="10">
        <v>0</v>
      </c>
      <c r="J89" s="11">
        <f t="shared" si="3"/>
        <v>35874</v>
      </c>
      <c r="K89" s="12">
        <f>VLOOKUP(A89,[4]VA05!$A:$K,11,FALSE)</f>
        <v>45593</v>
      </c>
      <c r="L89" s="10" t="s">
        <v>12</v>
      </c>
      <c r="M89" s="10" t="s">
        <v>192</v>
      </c>
    </row>
    <row r="90" spans="1:13" x14ac:dyDescent="0.25">
      <c r="A90" s="13" t="str">
        <f t="shared" si="2"/>
        <v>50714246960</v>
      </c>
      <c r="B90" s="10">
        <v>1004016982</v>
      </c>
      <c r="C90" s="10">
        <v>507142469</v>
      </c>
      <c r="D90" s="10">
        <v>60</v>
      </c>
      <c r="E90" s="10" t="s">
        <v>10</v>
      </c>
      <c r="F90" s="10">
        <v>1212321</v>
      </c>
      <c r="G90" s="10" t="s">
        <v>30</v>
      </c>
      <c r="H90" s="11">
        <v>71577</v>
      </c>
      <c r="I90" s="11">
        <v>8540</v>
      </c>
      <c r="J90" s="11">
        <f t="shared" si="3"/>
        <v>63037</v>
      </c>
      <c r="K90" s="12" t="e">
        <f>VLOOKUP(A90,[4]VA05!$A:$K,11,FALSE)</f>
        <v>#N/A</v>
      </c>
      <c r="L90" s="10" t="s">
        <v>18</v>
      </c>
      <c r="M90" s="10" t="s">
        <v>49</v>
      </c>
    </row>
    <row r="91" spans="1:13" x14ac:dyDescent="0.25">
      <c r="A91" s="13" t="str">
        <f t="shared" si="2"/>
        <v>50714274230</v>
      </c>
      <c r="B91" s="10">
        <v>1004052421</v>
      </c>
      <c r="C91" s="10">
        <v>507142742</v>
      </c>
      <c r="D91" s="10">
        <v>30</v>
      </c>
      <c r="E91" s="10" t="s">
        <v>10</v>
      </c>
      <c r="F91" s="10">
        <v>1209347</v>
      </c>
      <c r="G91" s="10" t="s">
        <v>136</v>
      </c>
      <c r="H91" s="11">
        <v>25576</v>
      </c>
      <c r="I91" s="10">
        <v>0</v>
      </c>
      <c r="J91" s="11">
        <f t="shared" si="3"/>
        <v>25576</v>
      </c>
      <c r="K91" s="12">
        <f>VLOOKUP(A91,[4]VA05!$A:$K,11,FALSE)</f>
        <v>45575</v>
      </c>
      <c r="L91" s="10" t="s">
        <v>12</v>
      </c>
      <c r="M91" s="10" t="s">
        <v>197</v>
      </c>
    </row>
    <row r="92" spans="1:13" x14ac:dyDescent="0.25">
      <c r="A92" s="13" t="str">
        <f t="shared" si="2"/>
        <v>50714274260</v>
      </c>
      <c r="B92" s="10">
        <v>1004052422</v>
      </c>
      <c r="C92" s="10">
        <v>507142742</v>
      </c>
      <c r="D92" s="10">
        <v>60</v>
      </c>
      <c r="E92" s="10" t="s">
        <v>10</v>
      </c>
      <c r="F92" s="10">
        <v>1209347</v>
      </c>
      <c r="G92" s="10" t="s">
        <v>136</v>
      </c>
      <c r="H92" s="11">
        <v>25576</v>
      </c>
      <c r="I92" s="10">
        <v>0</v>
      </c>
      <c r="J92" s="11">
        <f t="shared" si="3"/>
        <v>25576</v>
      </c>
      <c r="K92" s="12">
        <f>VLOOKUP(A92,[4]VA05!$A:$K,11,FALSE)</f>
        <v>45580</v>
      </c>
      <c r="L92" s="10" t="s">
        <v>12</v>
      </c>
      <c r="M92" s="10" t="s">
        <v>192</v>
      </c>
    </row>
    <row r="93" spans="1:13" x14ac:dyDescent="0.25">
      <c r="A93" s="13" t="str">
        <f t="shared" si="2"/>
        <v>50714274290</v>
      </c>
      <c r="B93" s="10">
        <v>1004052423</v>
      </c>
      <c r="C93" s="10">
        <v>507142742</v>
      </c>
      <c r="D93" s="10">
        <v>90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>
        <f>VLOOKUP(A93,[4]VA05!$A:$K,11,FALSE)</f>
        <v>45587</v>
      </c>
      <c r="L93" s="10" t="s">
        <v>12</v>
      </c>
      <c r="M93" s="10" t="s">
        <v>176</v>
      </c>
    </row>
    <row r="94" spans="1:13" x14ac:dyDescent="0.25">
      <c r="A94" s="13" t="str">
        <f t="shared" si="2"/>
        <v>507142742120</v>
      </c>
      <c r="B94" s="10">
        <v>1004052424</v>
      </c>
      <c r="C94" s="10">
        <v>507142742</v>
      </c>
      <c r="D94" s="10">
        <v>120</v>
      </c>
      <c r="E94" s="10" t="s">
        <v>10</v>
      </c>
      <c r="F94" s="10">
        <v>1209347</v>
      </c>
      <c r="G94" s="10" t="s">
        <v>136</v>
      </c>
      <c r="H94" s="11">
        <v>25576</v>
      </c>
      <c r="I94" s="10">
        <v>0</v>
      </c>
      <c r="J94" s="11">
        <f t="shared" si="3"/>
        <v>25576</v>
      </c>
      <c r="K94" s="12" t="e">
        <f>VLOOKUP(A94,[4]VA05!$A:$K,11,FALSE)</f>
        <v>#N/A</v>
      </c>
      <c r="L94" s="10" t="s">
        <v>12</v>
      </c>
      <c r="M94" s="10" t="s">
        <v>198</v>
      </c>
    </row>
    <row r="95" spans="1:13" hidden="1" x14ac:dyDescent="0.25">
      <c r="A95" s="13" t="str">
        <f t="shared" si="2"/>
        <v>50714203150</v>
      </c>
      <c r="B95" s="10">
        <v>1003958713</v>
      </c>
      <c r="C95" s="10">
        <v>507142031</v>
      </c>
      <c r="D95" s="10">
        <v>50</v>
      </c>
      <c r="E95" s="10" t="s">
        <v>10</v>
      </c>
      <c r="F95" s="10">
        <v>1409882</v>
      </c>
      <c r="G95" s="10" t="s">
        <v>39</v>
      </c>
      <c r="H95" s="11">
        <v>45777</v>
      </c>
      <c r="I95" s="10">
        <v>0</v>
      </c>
      <c r="J95" s="11">
        <f t="shared" si="3"/>
        <v>45777</v>
      </c>
      <c r="K95" s="12" t="e">
        <f>VLOOKUP(A95,[4]VA05!$A:$K,11,FALSE)</f>
        <v>#N/A</v>
      </c>
      <c r="L95" s="10" t="s">
        <v>260</v>
      </c>
      <c r="M95" s="10" t="s">
        <v>269</v>
      </c>
    </row>
    <row r="96" spans="1:13" x14ac:dyDescent="0.25">
      <c r="A96" s="13" t="str">
        <f t="shared" si="2"/>
        <v>50714273920</v>
      </c>
      <c r="B96" s="10">
        <v>1004051714</v>
      </c>
      <c r="C96" s="10">
        <v>507142739</v>
      </c>
      <c r="D96" s="10">
        <v>20</v>
      </c>
      <c r="E96" s="10" t="s">
        <v>10</v>
      </c>
      <c r="F96" s="10">
        <v>1409882</v>
      </c>
      <c r="G96" s="10" t="s">
        <v>39</v>
      </c>
      <c r="H96" s="11">
        <v>51460</v>
      </c>
      <c r="I96" s="11">
        <v>8326</v>
      </c>
      <c r="J96" s="11">
        <f t="shared" si="3"/>
        <v>43134</v>
      </c>
      <c r="K96" s="12">
        <f>VLOOKUP(A96,[4]VA05!$A:$K,11,FALSE)</f>
        <v>45573</v>
      </c>
      <c r="L96" s="10" t="s">
        <v>11</v>
      </c>
      <c r="M96" s="10" t="s">
        <v>202</v>
      </c>
    </row>
    <row r="97" spans="1:13" x14ac:dyDescent="0.25">
      <c r="A97" s="13" t="str">
        <f t="shared" si="2"/>
        <v>50714273930</v>
      </c>
      <c r="B97" s="10">
        <v>1004062039</v>
      </c>
      <c r="C97" s="10">
        <v>507142739</v>
      </c>
      <c r="D97" s="10">
        <v>30</v>
      </c>
      <c r="E97" s="10" t="s">
        <v>10</v>
      </c>
      <c r="F97" s="10">
        <v>1409882</v>
      </c>
      <c r="G97" s="10" t="s">
        <v>39</v>
      </c>
      <c r="H97" s="11">
        <v>28729</v>
      </c>
      <c r="I97" s="10">
        <v>0</v>
      </c>
      <c r="J97" s="11">
        <f t="shared" si="3"/>
        <v>28729</v>
      </c>
      <c r="K97" s="12">
        <f>VLOOKUP(A97,[4]VA05!$A:$K,11,FALSE)</f>
        <v>45580</v>
      </c>
      <c r="L97" s="10" t="s">
        <v>12</v>
      </c>
      <c r="M97" s="10" t="s">
        <v>197</v>
      </c>
    </row>
    <row r="98" spans="1:13" x14ac:dyDescent="0.25">
      <c r="A98" s="13" t="str">
        <f t="shared" si="2"/>
        <v>50714278010</v>
      </c>
      <c r="B98" s="10">
        <v>1004062040</v>
      </c>
      <c r="C98" s="10">
        <v>507142780</v>
      </c>
      <c r="D98" s="10">
        <v>10</v>
      </c>
      <c r="E98" s="10" t="s">
        <v>10</v>
      </c>
      <c r="F98" s="10">
        <v>1409882</v>
      </c>
      <c r="G98" s="10" t="s">
        <v>39</v>
      </c>
      <c r="H98" s="11">
        <v>32518</v>
      </c>
      <c r="I98" s="10">
        <v>0</v>
      </c>
      <c r="J98" s="11">
        <f t="shared" si="3"/>
        <v>32518</v>
      </c>
      <c r="K98" s="12">
        <f>VLOOKUP(A98,[4]VA05!$A:$K,11,FALSE)</f>
        <v>45580</v>
      </c>
      <c r="L98" s="10" t="s">
        <v>12</v>
      </c>
      <c r="M98" s="10" t="s">
        <v>162</v>
      </c>
    </row>
    <row r="99" spans="1:13" x14ac:dyDescent="0.25">
      <c r="A99" s="13" t="str">
        <f t="shared" si="2"/>
        <v>50714278020</v>
      </c>
      <c r="B99" s="10">
        <v>1004064147</v>
      </c>
      <c r="C99" s="10">
        <v>507142780</v>
      </c>
      <c r="D99" s="10">
        <v>20</v>
      </c>
      <c r="E99" s="10" t="s">
        <v>10</v>
      </c>
      <c r="F99" s="10">
        <v>1409882</v>
      </c>
      <c r="G99" s="10" t="s">
        <v>39</v>
      </c>
      <c r="H99" s="11">
        <v>51460</v>
      </c>
      <c r="I99" s="10">
        <v>0</v>
      </c>
      <c r="J99" s="11">
        <f t="shared" si="3"/>
        <v>51460</v>
      </c>
      <c r="K99" s="12">
        <f>VLOOKUP(A99,[4]VA05!$A:$K,11,FALSE)</f>
        <v>45587</v>
      </c>
      <c r="L99" s="10" t="s">
        <v>12</v>
      </c>
      <c r="M99" s="10" t="s">
        <v>179</v>
      </c>
    </row>
    <row r="100" spans="1:13" x14ac:dyDescent="0.25">
      <c r="A100" s="13" t="str">
        <f t="shared" si="2"/>
        <v>50714278030</v>
      </c>
      <c r="B100" s="10">
        <v>1004064148</v>
      </c>
      <c r="C100" s="10">
        <v>507142780</v>
      </c>
      <c r="D100" s="10">
        <v>30</v>
      </c>
      <c r="E100" s="10" t="s">
        <v>10</v>
      </c>
      <c r="F100" s="10">
        <v>1409882</v>
      </c>
      <c r="G100" s="10" t="s">
        <v>39</v>
      </c>
      <c r="H100" s="11">
        <v>18627</v>
      </c>
      <c r="I100" s="10">
        <v>0</v>
      </c>
      <c r="J100" s="11">
        <f t="shared" si="3"/>
        <v>18627</v>
      </c>
      <c r="K100" s="12">
        <f>VLOOKUP(A100,[4]VA05!$A:$K,11,FALSE)</f>
        <v>45594</v>
      </c>
      <c r="L100" s="10" t="s">
        <v>12</v>
      </c>
      <c r="M100" s="10" t="s">
        <v>176</v>
      </c>
    </row>
    <row r="101" spans="1:13" x14ac:dyDescent="0.25">
      <c r="A101" s="13" t="str">
        <f t="shared" si="2"/>
        <v>50714283210</v>
      </c>
      <c r="B101" s="10">
        <v>1004064309</v>
      </c>
      <c r="C101" s="10">
        <v>507142832</v>
      </c>
      <c r="D101" s="10">
        <v>10</v>
      </c>
      <c r="E101" s="10" t="s">
        <v>10</v>
      </c>
      <c r="F101" s="10">
        <v>1409882</v>
      </c>
      <c r="G101" s="10" t="s">
        <v>39</v>
      </c>
      <c r="H101" s="11">
        <v>51460</v>
      </c>
      <c r="I101" s="10">
        <v>0</v>
      </c>
      <c r="J101" s="11">
        <f t="shared" si="3"/>
        <v>51460</v>
      </c>
      <c r="K101" s="12">
        <f>VLOOKUP(A101,[4]VA05!$A:$K,11,FALSE)</f>
        <v>45595</v>
      </c>
      <c r="L101" s="10" t="s">
        <v>12</v>
      </c>
      <c r="M101" s="10" t="s">
        <v>157</v>
      </c>
    </row>
    <row r="102" spans="1:13" x14ac:dyDescent="0.25">
      <c r="A102" s="13" t="str">
        <f t="shared" si="2"/>
        <v>50714273920</v>
      </c>
      <c r="B102" s="10">
        <v>1004056941</v>
      </c>
      <c r="C102" s="10">
        <v>507142739</v>
      </c>
      <c r="D102" s="10">
        <v>20</v>
      </c>
      <c r="E102" s="10" t="s">
        <v>10</v>
      </c>
      <c r="F102" s="10">
        <v>1409883</v>
      </c>
      <c r="G102" s="10" t="s">
        <v>40</v>
      </c>
      <c r="H102" s="11">
        <v>54066</v>
      </c>
      <c r="I102" s="11">
        <v>45078</v>
      </c>
      <c r="J102" s="11">
        <f t="shared" si="3"/>
        <v>8988</v>
      </c>
      <c r="K102" s="12">
        <f>VLOOKUP(A102,[4]VA05!$A:$K,11,FALSE)</f>
        <v>45573</v>
      </c>
      <c r="L102" s="10" t="s">
        <v>11</v>
      </c>
      <c r="M102" s="10" t="s">
        <v>194</v>
      </c>
    </row>
    <row r="103" spans="1:13" x14ac:dyDescent="0.25">
      <c r="A103" s="13" t="str">
        <f t="shared" si="2"/>
        <v>50714273930</v>
      </c>
      <c r="B103" s="10">
        <v>1004057977</v>
      </c>
      <c r="C103" s="10">
        <v>507142739</v>
      </c>
      <c r="D103" s="10">
        <v>30</v>
      </c>
      <c r="E103" s="10" t="s">
        <v>10</v>
      </c>
      <c r="F103" s="10">
        <v>1409883</v>
      </c>
      <c r="G103" s="10" t="s">
        <v>40</v>
      </c>
      <c r="H103" s="11">
        <v>30185</v>
      </c>
      <c r="I103" s="10">
        <v>0</v>
      </c>
      <c r="J103" s="11">
        <f t="shared" si="3"/>
        <v>30185</v>
      </c>
      <c r="K103" s="12">
        <f>VLOOKUP(A103,[4]VA05!$A:$K,11,FALSE)</f>
        <v>45580</v>
      </c>
      <c r="L103" s="10" t="s">
        <v>119</v>
      </c>
      <c r="M103" s="10" t="s">
        <v>155</v>
      </c>
    </row>
    <row r="104" spans="1:13" x14ac:dyDescent="0.25">
      <c r="A104" s="13" t="str">
        <f t="shared" si="2"/>
        <v>50714278010</v>
      </c>
      <c r="B104" s="10">
        <v>1004058757</v>
      </c>
      <c r="C104" s="10">
        <v>507142780</v>
      </c>
      <c r="D104" s="10">
        <v>10</v>
      </c>
      <c r="E104" s="10" t="s">
        <v>10</v>
      </c>
      <c r="F104" s="10">
        <v>1409883</v>
      </c>
      <c r="G104" s="10" t="s">
        <v>40</v>
      </c>
      <c r="H104" s="11">
        <v>34165</v>
      </c>
      <c r="I104" s="10">
        <v>0</v>
      </c>
      <c r="J104" s="11">
        <f t="shared" si="3"/>
        <v>34165</v>
      </c>
      <c r="K104" s="12">
        <f>VLOOKUP(A104,[4]VA05!$A:$K,11,FALSE)</f>
        <v>45580</v>
      </c>
      <c r="L104" s="10" t="s">
        <v>12</v>
      </c>
      <c r="M104" s="10" t="s">
        <v>195</v>
      </c>
    </row>
    <row r="105" spans="1:13" x14ac:dyDescent="0.25">
      <c r="A105" s="13" t="str">
        <f t="shared" si="2"/>
        <v>50714278020</v>
      </c>
      <c r="B105" s="10">
        <v>1004058758</v>
      </c>
      <c r="C105" s="10">
        <v>507142780</v>
      </c>
      <c r="D105" s="10">
        <v>20</v>
      </c>
      <c r="E105" s="10" t="s">
        <v>10</v>
      </c>
      <c r="F105" s="10">
        <v>1409883</v>
      </c>
      <c r="G105" s="10" t="s">
        <v>40</v>
      </c>
      <c r="H105" s="11">
        <v>54066</v>
      </c>
      <c r="I105" s="10">
        <v>0</v>
      </c>
      <c r="J105" s="11">
        <f t="shared" si="3"/>
        <v>54066</v>
      </c>
      <c r="K105" s="12">
        <f>VLOOKUP(A105,[4]VA05!$A:$K,11,FALSE)</f>
        <v>45587</v>
      </c>
      <c r="L105" s="10" t="s">
        <v>12</v>
      </c>
      <c r="M105" s="10" t="s">
        <v>195</v>
      </c>
    </row>
    <row r="106" spans="1:13" x14ac:dyDescent="0.25">
      <c r="A106" s="13" t="str">
        <f t="shared" si="2"/>
        <v>50714278030</v>
      </c>
      <c r="B106" s="10">
        <v>1004058759</v>
      </c>
      <c r="C106" s="10">
        <v>507142780</v>
      </c>
      <c r="D106" s="10">
        <v>30</v>
      </c>
      <c r="E106" s="10" t="s">
        <v>10</v>
      </c>
      <c r="F106" s="10">
        <v>1409883</v>
      </c>
      <c r="G106" s="10" t="s">
        <v>40</v>
      </c>
      <c r="H106" s="11">
        <v>19571</v>
      </c>
      <c r="I106" s="10">
        <v>0</v>
      </c>
      <c r="J106" s="11">
        <f t="shared" si="3"/>
        <v>19571</v>
      </c>
      <c r="K106" s="12">
        <f>VLOOKUP(A106,[4]VA05!$A:$K,11,FALSE)</f>
        <v>45594</v>
      </c>
      <c r="L106" s="10" t="s">
        <v>12</v>
      </c>
      <c r="M106" s="10" t="s">
        <v>192</v>
      </c>
    </row>
    <row r="107" spans="1:13" x14ac:dyDescent="0.25">
      <c r="A107" s="13" t="str">
        <f t="shared" si="2"/>
        <v>50714276520</v>
      </c>
      <c r="B107" s="10">
        <v>1004051407</v>
      </c>
      <c r="C107" s="10">
        <v>507142765</v>
      </c>
      <c r="D107" s="10">
        <v>20</v>
      </c>
      <c r="E107" s="10" t="s">
        <v>10</v>
      </c>
      <c r="F107" s="10">
        <v>1398384</v>
      </c>
      <c r="G107" s="10" t="s">
        <v>168</v>
      </c>
      <c r="H107" s="11">
        <v>22842</v>
      </c>
      <c r="I107" s="11">
        <v>20971</v>
      </c>
      <c r="J107" s="11">
        <f t="shared" si="3"/>
        <v>1871</v>
      </c>
      <c r="K107" s="12" t="e">
        <f>VLOOKUP(A107,[4]VA05!$A:$K,11,FALSE)</f>
        <v>#N/A</v>
      </c>
      <c r="L107" s="10" t="s">
        <v>18</v>
      </c>
      <c r="M107" s="10" t="s">
        <v>197</v>
      </c>
    </row>
    <row r="108" spans="1:13" x14ac:dyDescent="0.25">
      <c r="A108" s="13" t="str">
        <f t="shared" si="2"/>
        <v>50714276530</v>
      </c>
      <c r="B108" s="10">
        <v>1004051408</v>
      </c>
      <c r="C108" s="10">
        <v>507142765</v>
      </c>
      <c r="D108" s="10">
        <v>30</v>
      </c>
      <c r="E108" s="10" t="s">
        <v>10</v>
      </c>
      <c r="F108" s="10">
        <v>1398384</v>
      </c>
      <c r="G108" s="10" t="s">
        <v>168</v>
      </c>
      <c r="H108" s="11">
        <v>34807</v>
      </c>
      <c r="I108" s="10">
        <v>0</v>
      </c>
      <c r="J108" s="11">
        <f t="shared" si="3"/>
        <v>34807</v>
      </c>
      <c r="K108" s="12">
        <f>VLOOKUP(A108,[4]VA05!$A:$K,11,FALSE)</f>
        <v>45569</v>
      </c>
      <c r="L108" s="10" t="s">
        <v>13</v>
      </c>
      <c r="M108" s="10" t="s">
        <v>202</v>
      </c>
    </row>
    <row r="109" spans="1:13" x14ac:dyDescent="0.25">
      <c r="A109" s="13" t="str">
        <f t="shared" si="2"/>
        <v>50714276540</v>
      </c>
      <c r="B109" s="10">
        <v>1004052528</v>
      </c>
      <c r="C109" s="10">
        <v>507142765</v>
      </c>
      <c r="D109" s="10">
        <v>40</v>
      </c>
      <c r="E109" s="10" t="s">
        <v>10</v>
      </c>
      <c r="F109" s="10">
        <v>1398384</v>
      </c>
      <c r="G109" s="10" t="s">
        <v>168</v>
      </c>
      <c r="H109" s="11">
        <v>35078</v>
      </c>
      <c r="I109" s="10">
        <v>0</v>
      </c>
      <c r="J109" s="11">
        <f t="shared" si="3"/>
        <v>35078</v>
      </c>
      <c r="K109" s="12">
        <f>VLOOKUP(A109,[4]VA05!$A:$K,11,FALSE)</f>
        <v>45576</v>
      </c>
      <c r="L109" s="10" t="s">
        <v>12</v>
      </c>
      <c r="M109" s="10" t="s">
        <v>195</v>
      </c>
    </row>
    <row r="110" spans="1:13" x14ac:dyDescent="0.25">
      <c r="A110" s="13" t="str">
        <f t="shared" si="2"/>
        <v>50714276550</v>
      </c>
      <c r="B110" s="10">
        <v>1004052529</v>
      </c>
      <c r="C110" s="10">
        <v>507142765</v>
      </c>
      <c r="D110" s="10">
        <v>50</v>
      </c>
      <c r="E110" s="10" t="s">
        <v>10</v>
      </c>
      <c r="F110" s="10">
        <v>1398384</v>
      </c>
      <c r="G110" s="10" t="s">
        <v>168</v>
      </c>
      <c r="H110" s="11">
        <v>45412</v>
      </c>
      <c r="I110" s="10">
        <v>0</v>
      </c>
      <c r="J110" s="11">
        <f t="shared" si="3"/>
        <v>45412</v>
      </c>
      <c r="K110" s="12">
        <f>VLOOKUP(A110,[4]VA05!$A:$K,11,FALSE)</f>
        <v>45583</v>
      </c>
      <c r="L110" s="10" t="s">
        <v>12</v>
      </c>
      <c r="M110" s="10" t="s">
        <v>194</v>
      </c>
    </row>
    <row r="111" spans="1:13" x14ac:dyDescent="0.25">
      <c r="A111" s="13" t="str">
        <f t="shared" si="2"/>
        <v>50714276560</v>
      </c>
      <c r="B111" s="10">
        <v>1004052530</v>
      </c>
      <c r="C111" s="10">
        <v>507142765</v>
      </c>
      <c r="D111" s="10">
        <v>60</v>
      </c>
      <c r="E111" s="10" t="s">
        <v>10</v>
      </c>
      <c r="F111" s="10">
        <v>1398384</v>
      </c>
      <c r="G111" s="10" t="s">
        <v>168</v>
      </c>
      <c r="H111" s="11">
        <v>45412</v>
      </c>
      <c r="I111" s="10">
        <v>0</v>
      </c>
      <c r="J111" s="11">
        <f t="shared" si="3"/>
        <v>45412</v>
      </c>
      <c r="K111" s="12">
        <f>VLOOKUP(A111,[4]VA05!$A:$K,11,FALSE)</f>
        <v>45590</v>
      </c>
      <c r="L111" s="10" t="s">
        <v>12</v>
      </c>
      <c r="M111" s="10" t="s">
        <v>179</v>
      </c>
    </row>
    <row r="112" spans="1:13" x14ac:dyDescent="0.25">
      <c r="A112" s="13" t="str">
        <f t="shared" si="2"/>
        <v>50714276530</v>
      </c>
      <c r="B112" s="10">
        <v>1004052534</v>
      </c>
      <c r="C112" s="10">
        <v>507142765</v>
      </c>
      <c r="D112" s="10">
        <v>30</v>
      </c>
      <c r="E112" s="10" t="s">
        <v>10</v>
      </c>
      <c r="F112" s="10">
        <v>1398385</v>
      </c>
      <c r="G112" s="10" t="s">
        <v>183</v>
      </c>
      <c r="H112" s="11">
        <v>35852</v>
      </c>
      <c r="I112" s="11">
        <v>7300</v>
      </c>
      <c r="J112" s="11">
        <f t="shared" si="3"/>
        <v>28552</v>
      </c>
      <c r="K112" s="12">
        <f>VLOOKUP(A112,[4]VA05!$A:$K,11,FALSE)</f>
        <v>45569</v>
      </c>
      <c r="L112" s="10" t="s">
        <v>11</v>
      </c>
      <c r="M112" s="10" t="s">
        <v>179</v>
      </c>
    </row>
    <row r="113" spans="1:13" x14ac:dyDescent="0.25">
      <c r="A113" s="13" t="str">
        <f t="shared" si="2"/>
        <v>50714276540</v>
      </c>
      <c r="B113" s="10">
        <v>1004052535</v>
      </c>
      <c r="C113" s="10">
        <v>507142765</v>
      </c>
      <c r="D113" s="10">
        <v>40</v>
      </c>
      <c r="E113" s="10" t="s">
        <v>10</v>
      </c>
      <c r="F113" s="10">
        <v>1398385</v>
      </c>
      <c r="G113" s="10" t="s">
        <v>183</v>
      </c>
      <c r="H113" s="11">
        <v>36131</v>
      </c>
      <c r="I113" s="10">
        <v>0</v>
      </c>
      <c r="J113" s="11">
        <f t="shared" si="3"/>
        <v>36131</v>
      </c>
      <c r="K113" s="12">
        <f>VLOOKUP(A113,[4]VA05!$A:$K,11,FALSE)</f>
        <v>45576</v>
      </c>
      <c r="L113" s="10" t="s">
        <v>12</v>
      </c>
      <c r="M113" s="10" t="s">
        <v>180</v>
      </c>
    </row>
    <row r="114" spans="1:13" x14ac:dyDescent="0.25">
      <c r="A114" s="13" t="str">
        <f t="shared" si="2"/>
        <v>50714276550</v>
      </c>
      <c r="B114" s="10">
        <v>1004052536</v>
      </c>
      <c r="C114" s="10">
        <v>507142765</v>
      </c>
      <c r="D114" s="10">
        <v>50</v>
      </c>
      <c r="E114" s="10" t="s">
        <v>10</v>
      </c>
      <c r="F114" s="10">
        <v>1398385</v>
      </c>
      <c r="G114" s="10" t="s">
        <v>183</v>
      </c>
      <c r="H114" s="11">
        <v>46775</v>
      </c>
      <c r="I114" s="10">
        <v>0</v>
      </c>
      <c r="J114" s="11">
        <f t="shared" si="3"/>
        <v>46775</v>
      </c>
      <c r="K114" s="12">
        <f>VLOOKUP(A114,[4]VA05!$A:$K,11,FALSE)</f>
        <v>45583</v>
      </c>
      <c r="L114" s="10" t="s">
        <v>12</v>
      </c>
      <c r="M114" s="10" t="s">
        <v>201</v>
      </c>
    </row>
    <row r="115" spans="1:13" x14ac:dyDescent="0.25">
      <c r="A115" s="13" t="str">
        <f t="shared" si="2"/>
        <v>50714276560</v>
      </c>
      <c r="B115" s="10">
        <v>1004052537</v>
      </c>
      <c r="C115" s="10">
        <v>507142765</v>
      </c>
      <c r="D115" s="10">
        <v>60</v>
      </c>
      <c r="E115" s="10" t="s">
        <v>10</v>
      </c>
      <c r="F115" s="10">
        <v>1398385</v>
      </c>
      <c r="G115" s="10" t="s">
        <v>183</v>
      </c>
      <c r="H115" s="11">
        <v>46775</v>
      </c>
      <c r="I115" s="10">
        <v>0</v>
      </c>
      <c r="J115" s="11">
        <f t="shared" si="3"/>
        <v>46775</v>
      </c>
      <c r="K115" s="12">
        <f>VLOOKUP(A115,[4]VA05!$A:$K,11,FALSE)</f>
        <v>45590</v>
      </c>
      <c r="L115" s="10" t="s">
        <v>12</v>
      </c>
      <c r="M115" s="10" t="s">
        <v>178</v>
      </c>
    </row>
    <row r="116" spans="1:13" x14ac:dyDescent="0.25">
      <c r="A116" s="13" t="str">
        <f t="shared" si="2"/>
        <v>50714276530</v>
      </c>
      <c r="B116" s="10">
        <v>1004052540</v>
      </c>
      <c r="C116" s="10">
        <v>507142765</v>
      </c>
      <c r="D116" s="10">
        <v>30</v>
      </c>
      <c r="E116" s="10" t="s">
        <v>10</v>
      </c>
      <c r="F116" s="10">
        <v>1398386</v>
      </c>
      <c r="G116" s="10" t="s">
        <v>184</v>
      </c>
      <c r="H116" s="11">
        <v>31642</v>
      </c>
      <c r="I116" s="11">
        <v>7290</v>
      </c>
      <c r="J116" s="11">
        <f t="shared" si="3"/>
        <v>24352</v>
      </c>
      <c r="K116" s="12">
        <f>VLOOKUP(A116,[4]VA05!$A:$K,11,FALSE)</f>
        <v>45569</v>
      </c>
      <c r="L116" s="10" t="s">
        <v>18</v>
      </c>
      <c r="M116" s="10" t="s">
        <v>162</v>
      </c>
    </row>
    <row r="117" spans="1:13" x14ac:dyDescent="0.25">
      <c r="A117" s="13" t="str">
        <f t="shared" si="2"/>
        <v>50714276540</v>
      </c>
      <c r="B117" s="10">
        <v>1004052541</v>
      </c>
      <c r="C117" s="10">
        <v>507142765</v>
      </c>
      <c r="D117" s="10">
        <v>40</v>
      </c>
      <c r="E117" s="10" t="s">
        <v>10</v>
      </c>
      <c r="F117" s="10">
        <v>1398386</v>
      </c>
      <c r="G117" s="10" t="s">
        <v>184</v>
      </c>
      <c r="H117" s="11">
        <v>31889</v>
      </c>
      <c r="I117" s="10">
        <v>0</v>
      </c>
      <c r="J117" s="11">
        <f t="shared" si="3"/>
        <v>31889</v>
      </c>
      <c r="K117" s="12">
        <f>VLOOKUP(A117,[4]VA05!$A:$K,11,FALSE)</f>
        <v>45576</v>
      </c>
      <c r="L117" s="10" t="s">
        <v>12</v>
      </c>
      <c r="M117" s="10" t="s">
        <v>156</v>
      </c>
    </row>
    <row r="118" spans="1:13" x14ac:dyDescent="0.25">
      <c r="A118" s="13" t="str">
        <f t="shared" si="2"/>
        <v>50714276550</v>
      </c>
      <c r="B118" s="10">
        <v>1004052543</v>
      </c>
      <c r="C118" s="10">
        <v>507142765</v>
      </c>
      <c r="D118" s="10">
        <v>50</v>
      </c>
      <c r="E118" s="10" t="s">
        <v>10</v>
      </c>
      <c r="F118" s="10">
        <v>1398386</v>
      </c>
      <c r="G118" s="10" t="s">
        <v>184</v>
      </c>
      <c r="H118" s="11">
        <v>41283</v>
      </c>
      <c r="I118" s="10">
        <v>0</v>
      </c>
      <c r="J118" s="11">
        <f t="shared" si="3"/>
        <v>41283</v>
      </c>
      <c r="K118" s="12">
        <f>VLOOKUP(A118,[4]VA05!$A:$K,11,FALSE)</f>
        <v>45583</v>
      </c>
      <c r="L118" s="10" t="s">
        <v>12</v>
      </c>
      <c r="M118" s="10" t="s">
        <v>202</v>
      </c>
    </row>
    <row r="119" spans="1:13" x14ac:dyDescent="0.25">
      <c r="A119" s="13" t="str">
        <f t="shared" si="2"/>
        <v>50714276560</v>
      </c>
      <c r="B119" s="10">
        <v>1004052544</v>
      </c>
      <c r="C119" s="10">
        <v>507142765</v>
      </c>
      <c r="D119" s="10">
        <v>60</v>
      </c>
      <c r="E119" s="10" t="s">
        <v>10</v>
      </c>
      <c r="F119" s="10">
        <v>1398386</v>
      </c>
      <c r="G119" s="10" t="s">
        <v>184</v>
      </c>
      <c r="H119" s="11">
        <v>41283</v>
      </c>
      <c r="I119" s="10">
        <v>0</v>
      </c>
      <c r="J119" s="11">
        <f t="shared" si="3"/>
        <v>41283</v>
      </c>
      <c r="K119" s="12">
        <f>VLOOKUP(A119,[4]VA05!$A:$K,11,FALSE)</f>
        <v>45590</v>
      </c>
      <c r="L119" s="10" t="s">
        <v>12</v>
      </c>
      <c r="M119" s="10" t="s">
        <v>191</v>
      </c>
    </row>
    <row r="120" spans="1:13" x14ac:dyDescent="0.25">
      <c r="A120" s="13" t="str">
        <f t="shared" si="2"/>
        <v>50714276630</v>
      </c>
      <c r="B120" s="10">
        <v>1004053435</v>
      </c>
      <c r="C120" s="10">
        <v>507142766</v>
      </c>
      <c r="D120" s="10">
        <v>30</v>
      </c>
      <c r="E120" s="10" t="s">
        <v>10</v>
      </c>
      <c r="F120" s="10">
        <v>1398747</v>
      </c>
      <c r="G120" s="10" t="s">
        <v>214</v>
      </c>
      <c r="H120" s="11">
        <v>31148</v>
      </c>
      <c r="I120" s="11">
        <v>22387</v>
      </c>
      <c r="J120" s="11">
        <f t="shared" si="3"/>
        <v>8761</v>
      </c>
      <c r="K120" s="12">
        <f>VLOOKUP(A120,[4]VA05!$A:$K,11,FALSE)</f>
        <v>45596</v>
      </c>
      <c r="L120" s="10" t="s">
        <v>18</v>
      </c>
      <c r="M120" s="10" t="s">
        <v>197</v>
      </c>
    </row>
    <row r="121" spans="1:13" x14ac:dyDescent="0.25">
      <c r="A121" s="13" t="str">
        <f t="shared" si="2"/>
        <v>50714270610</v>
      </c>
      <c r="B121" s="10">
        <v>1004052545</v>
      </c>
      <c r="C121" s="10">
        <v>507142706</v>
      </c>
      <c r="D121" s="10">
        <v>10</v>
      </c>
      <c r="E121" s="10" t="s">
        <v>10</v>
      </c>
      <c r="F121" s="10">
        <v>1152845</v>
      </c>
      <c r="G121" s="10" t="s">
        <v>185</v>
      </c>
      <c r="H121" s="11">
        <v>10262</v>
      </c>
      <c r="I121" s="10">
        <v>0</v>
      </c>
      <c r="J121" s="11">
        <f t="shared" si="3"/>
        <v>10262</v>
      </c>
      <c r="K121" s="12">
        <f>VLOOKUP(A121,[4]VA05!$A:$K,11,FALSE)</f>
        <v>45567</v>
      </c>
      <c r="L121" s="10" t="s">
        <v>13</v>
      </c>
      <c r="M121" s="10" t="s">
        <v>195</v>
      </c>
    </row>
    <row r="122" spans="1:13" x14ac:dyDescent="0.25">
      <c r="A122" s="13" t="str">
        <f t="shared" si="2"/>
        <v>50714283610</v>
      </c>
      <c r="B122" s="10">
        <v>1004058753</v>
      </c>
      <c r="C122" s="10">
        <v>507142836</v>
      </c>
      <c r="D122" s="10">
        <v>10</v>
      </c>
      <c r="E122" s="10" t="s">
        <v>10</v>
      </c>
      <c r="F122" s="10">
        <v>1152845</v>
      </c>
      <c r="G122" s="10" t="s">
        <v>185</v>
      </c>
      <c r="H122" s="11">
        <v>25821</v>
      </c>
      <c r="I122" s="10">
        <v>0</v>
      </c>
      <c r="J122" s="11">
        <f t="shared" si="3"/>
        <v>25821</v>
      </c>
      <c r="K122" s="12">
        <f>VLOOKUP(A122,[4]VA05!$A:$K,11,FALSE)</f>
        <v>45588</v>
      </c>
      <c r="L122" s="10" t="s">
        <v>119</v>
      </c>
      <c r="M122" s="10" t="s">
        <v>216</v>
      </c>
    </row>
    <row r="123" spans="1:13" x14ac:dyDescent="0.25">
      <c r="A123" s="13" t="str">
        <f t="shared" si="2"/>
        <v>50714283610</v>
      </c>
      <c r="B123" s="10">
        <v>1004061401</v>
      </c>
      <c r="C123" s="10">
        <v>507142836</v>
      </c>
      <c r="D123" s="10">
        <v>10</v>
      </c>
      <c r="E123" s="10" t="s">
        <v>10</v>
      </c>
      <c r="F123" s="10">
        <v>1206292</v>
      </c>
      <c r="G123" s="10" t="s">
        <v>257</v>
      </c>
      <c r="H123" s="11">
        <v>29436</v>
      </c>
      <c r="I123" s="10">
        <v>0</v>
      </c>
      <c r="J123" s="11">
        <f t="shared" si="3"/>
        <v>29436</v>
      </c>
      <c r="K123" s="12">
        <f>VLOOKUP(A123,[4]VA05!$A:$K,11,FALSE)</f>
        <v>45588</v>
      </c>
      <c r="L123" s="10" t="s">
        <v>12</v>
      </c>
      <c r="M123" s="10" t="s">
        <v>157</v>
      </c>
    </row>
    <row r="124" spans="1:13" x14ac:dyDescent="0.25">
      <c r="A124" s="13" t="str">
        <f t="shared" si="2"/>
        <v>50714271310</v>
      </c>
      <c r="B124" s="10">
        <v>1004052555</v>
      </c>
      <c r="C124" s="10">
        <v>507142713</v>
      </c>
      <c r="D124" s="10">
        <v>10</v>
      </c>
      <c r="E124" s="10" t="s">
        <v>10</v>
      </c>
      <c r="F124" s="10">
        <v>1172472</v>
      </c>
      <c r="G124" s="10" t="s">
        <v>86</v>
      </c>
      <c r="H124" s="11">
        <v>10524</v>
      </c>
      <c r="I124" s="10">
        <v>246</v>
      </c>
      <c r="J124" s="11">
        <f t="shared" si="3"/>
        <v>10278</v>
      </c>
      <c r="K124" s="12">
        <f>VLOOKUP(A124,[4]VA05!$A:$K,11,FALSE)</f>
        <v>45591</v>
      </c>
      <c r="L124" s="10" t="s">
        <v>18</v>
      </c>
      <c r="M124" s="10" t="s">
        <v>203</v>
      </c>
    </row>
    <row r="125" spans="1:13" x14ac:dyDescent="0.25">
      <c r="A125" s="13" t="str">
        <f t="shared" si="2"/>
        <v>50714271340</v>
      </c>
      <c r="B125" s="10">
        <v>1004052556</v>
      </c>
      <c r="C125" s="10">
        <v>507142713</v>
      </c>
      <c r="D125" s="10">
        <v>40</v>
      </c>
      <c r="E125" s="10" t="s">
        <v>10</v>
      </c>
      <c r="F125" s="10">
        <v>1172472</v>
      </c>
      <c r="G125" s="10" t="s">
        <v>86</v>
      </c>
      <c r="H125" s="11">
        <v>10524</v>
      </c>
      <c r="I125" s="10">
        <v>0</v>
      </c>
      <c r="J125" s="11">
        <f t="shared" si="3"/>
        <v>10524</v>
      </c>
      <c r="K125" s="12">
        <f>VLOOKUP(A125,[4]VA05!$A:$K,11,FALSE)</f>
        <v>45591</v>
      </c>
      <c r="L125" s="10" t="s">
        <v>12</v>
      </c>
      <c r="M125" s="10" t="s">
        <v>203</v>
      </c>
    </row>
    <row r="126" spans="1:13" hidden="1" x14ac:dyDescent="0.25">
      <c r="A126" s="13" t="str">
        <f t="shared" si="2"/>
        <v>50714241640</v>
      </c>
      <c r="B126" s="10">
        <v>1004035739</v>
      </c>
      <c r="C126" s="10">
        <v>507142416</v>
      </c>
      <c r="D126" s="10">
        <v>40</v>
      </c>
      <c r="E126" s="10" t="s">
        <v>10</v>
      </c>
      <c r="F126" s="10">
        <v>1171177</v>
      </c>
      <c r="G126" s="10" t="s">
        <v>88</v>
      </c>
      <c r="H126" s="11">
        <v>10170</v>
      </c>
      <c r="I126" s="10">
        <v>0</v>
      </c>
      <c r="J126" s="11">
        <f t="shared" si="3"/>
        <v>10170</v>
      </c>
      <c r="K126" s="12">
        <f>VLOOKUP(A126,[4]VA05!$A:$K,11,FALSE)</f>
        <v>45573</v>
      </c>
      <c r="L126" s="10" t="s">
        <v>260</v>
      </c>
      <c r="M126" s="10" t="s">
        <v>109</v>
      </c>
    </row>
    <row r="127" spans="1:13" x14ac:dyDescent="0.25">
      <c r="A127" s="13" t="str">
        <f t="shared" si="2"/>
        <v>507142416100</v>
      </c>
      <c r="B127" s="10">
        <v>1004052560</v>
      </c>
      <c r="C127" s="10">
        <v>507142416</v>
      </c>
      <c r="D127" s="10">
        <v>100</v>
      </c>
      <c r="E127" s="10" t="s">
        <v>10</v>
      </c>
      <c r="F127" s="10">
        <v>1171177</v>
      </c>
      <c r="G127" s="10" t="s">
        <v>88</v>
      </c>
      <c r="H127" s="11">
        <v>10170</v>
      </c>
      <c r="I127" s="11">
        <v>8366</v>
      </c>
      <c r="J127" s="11">
        <f t="shared" si="3"/>
        <v>1804</v>
      </c>
      <c r="K127" s="12">
        <f>VLOOKUP(A127,[4]VA05!$A:$K,11,FALSE)</f>
        <v>45580</v>
      </c>
      <c r="L127" s="10" t="s">
        <v>18</v>
      </c>
      <c r="M127" s="10" t="s">
        <v>179</v>
      </c>
    </row>
    <row r="128" spans="1:13" x14ac:dyDescent="0.25">
      <c r="A128" s="13" t="str">
        <f t="shared" si="2"/>
        <v>507142416190</v>
      </c>
      <c r="B128" s="10">
        <v>1004052561</v>
      </c>
      <c r="C128" s="10">
        <v>507142416</v>
      </c>
      <c r="D128" s="10">
        <v>190</v>
      </c>
      <c r="E128" s="10" t="s">
        <v>10</v>
      </c>
      <c r="F128" s="10">
        <v>1171177</v>
      </c>
      <c r="G128" s="10" t="s">
        <v>88</v>
      </c>
      <c r="H128" s="11">
        <v>10170</v>
      </c>
      <c r="I128" s="10">
        <v>0</v>
      </c>
      <c r="J128" s="11">
        <f t="shared" si="3"/>
        <v>10170</v>
      </c>
      <c r="K128" s="12">
        <f>VLOOKUP(A128,[4]VA05!$A:$K,11,FALSE)</f>
        <v>45583</v>
      </c>
      <c r="L128" s="10" t="s">
        <v>12</v>
      </c>
      <c r="M128" s="10" t="s">
        <v>177</v>
      </c>
    </row>
    <row r="129" spans="1:13" x14ac:dyDescent="0.25">
      <c r="A129" s="13" t="str">
        <f t="shared" si="2"/>
        <v>507142416220</v>
      </c>
      <c r="B129" s="10">
        <v>1004052563</v>
      </c>
      <c r="C129" s="10">
        <v>507142416</v>
      </c>
      <c r="D129" s="10">
        <v>220</v>
      </c>
      <c r="E129" s="10" t="s">
        <v>10</v>
      </c>
      <c r="F129" s="10">
        <v>1171177</v>
      </c>
      <c r="G129" s="10" t="s">
        <v>88</v>
      </c>
      <c r="H129" s="11">
        <v>10170</v>
      </c>
      <c r="I129" s="10">
        <v>0</v>
      </c>
      <c r="J129" s="11">
        <f t="shared" si="3"/>
        <v>10170</v>
      </c>
      <c r="K129" s="12">
        <f>VLOOKUP(A129,[4]VA05!$A:$K,11,FALSE)</f>
        <v>45587</v>
      </c>
      <c r="L129" s="10" t="s">
        <v>12</v>
      </c>
      <c r="M129" s="10" t="s">
        <v>109</v>
      </c>
    </row>
    <row r="130" spans="1:13" x14ac:dyDescent="0.25">
      <c r="A130" s="13" t="str">
        <f t="shared" si="2"/>
        <v>50714271320</v>
      </c>
      <c r="B130" s="10">
        <v>1004052564</v>
      </c>
      <c r="C130" s="10">
        <v>507142713</v>
      </c>
      <c r="D130" s="10">
        <v>20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VLOOKUP(A130,[4]VA05!$A:$K,11,FALSE)</f>
        <v>45591</v>
      </c>
      <c r="L130" s="10" t="s">
        <v>12</v>
      </c>
      <c r="M130" s="10" t="s">
        <v>204</v>
      </c>
    </row>
    <row r="131" spans="1:13" x14ac:dyDescent="0.25">
      <c r="A131" s="13" t="str">
        <f t="shared" si="2"/>
        <v>50714271350</v>
      </c>
      <c r="B131" s="10">
        <v>1004052565</v>
      </c>
      <c r="C131" s="10">
        <v>507142713</v>
      </c>
      <c r="D131" s="10">
        <v>50</v>
      </c>
      <c r="E131" s="10" t="s">
        <v>10</v>
      </c>
      <c r="F131" s="10">
        <v>1171177</v>
      </c>
      <c r="G131" s="10" t="s">
        <v>88</v>
      </c>
      <c r="H131" s="11">
        <v>10170</v>
      </c>
      <c r="I131" s="10">
        <v>0</v>
      </c>
      <c r="J131" s="11">
        <f t="shared" si="3"/>
        <v>10170</v>
      </c>
      <c r="K131" s="12">
        <f>VLOOKUP(A131,[4]VA05!$A:$K,11,FALSE)</f>
        <v>45591</v>
      </c>
      <c r="L131" s="10" t="s">
        <v>12</v>
      </c>
      <c r="M131" s="10" t="s">
        <v>204</v>
      </c>
    </row>
    <row r="132" spans="1:13" x14ac:dyDescent="0.25">
      <c r="A132" s="13" t="str">
        <f t="shared" ref="A132:A195" si="4">C132&amp;D132</f>
        <v>50714271320</v>
      </c>
      <c r="B132" s="10">
        <v>1004052612</v>
      </c>
      <c r="C132" s="10">
        <v>507142713</v>
      </c>
      <c r="D132" s="10">
        <v>20</v>
      </c>
      <c r="E132" s="10" t="s">
        <v>10</v>
      </c>
      <c r="F132" s="10">
        <v>1171178</v>
      </c>
      <c r="G132" s="10" t="s">
        <v>87</v>
      </c>
      <c r="H132" s="11">
        <v>10170</v>
      </c>
      <c r="I132" s="11">
        <v>5390</v>
      </c>
      <c r="J132" s="11">
        <f t="shared" ref="J132:J195" si="5">H132-I132</f>
        <v>4780</v>
      </c>
      <c r="K132" s="12">
        <f>VLOOKUP(A132,[4]VA05!$A:$K,11,FALSE)</f>
        <v>45591</v>
      </c>
      <c r="L132" s="10" t="s">
        <v>18</v>
      </c>
      <c r="M132" s="10" t="s">
        <v>204</v>
      </c>
    </row>
    <row r="133" spans="1:13" x14ac:dyDescent="0.25">
      <c r="A133" s="13" t="str">
        <f t="shared" si="4"/>
        <v>50714271350</v>
      </c>
      <c r="B133" s="10">
        <v>1004052613</v>
      </c>
      <c r="C133" s="10">
        <v>507142713</v>
      </c>
      <c r="D133" s="10">
        <v>50</v>
      </c>
      <c r="E133" s="10" t="s">
        <v>10</v>
      </c>
      <c r="F133" s="10">
        <v>1171178</v>
      </c>
      <c r="G133" s="10" t="s">
        <v>87</v>
      </c>
      <c r="H133" s="11">
        <v>10170</v>
      </c>
      <c r="I133" s="10">
        <v>0</v>
      </c>
      <c r="J133" s="11">
        <f t="shared" si="5"/>
        <v>10170</v>
      </c>
      <c r="K133" s="12">
        <f>VLOOKUP(A133,[4]VA05!$A:$K,11,FALSE)</f>
        <v>45591</v>
      </c>
      <c r="L133" s="10" t="s">
        <v>12</v>
      </c>
      <c r="M133" s="10" t="s">
        <v>204</v>
      </c>
    </row>
    <row r="134" spans="1:13" x14ac:dyDescent="0.25">
      <c r="A134" s="13" t="str">
        <f t="shared" si="4"/>
        <v>50714262630</v>
      </c>
      <c r="B134" s="10">
        <v>1004052617</v>
      </c>
      <c r="C134" s="10">
        <v>507142626</v>
      </c>
      <c r="D134" s="10">
        <v>30</v>
      </c>
      <c r="E134" s="10" t="s">
        <v>10</v>
      </c>
      <c r="F134" s="10">
        <v>1172030</v>
      </c>
      <c r="G134" s="10" t="s">
        <v>112</v>
      </c>
      <c r="H134" s="11">
        <v>29055</v>
      </c>
      <c r="I134" s="10">
        <v>0</v>
      </c>
      <c r="J134" s="11">
        <f t="shared" si="5"/>
        <v>29055</v>
      </c>
      <c r="K134" s="12">
        <f>VLOOKUP(A134,[4]VA05!$A:$K,11,FALSE)</f>
        <v>45590</v>
      </c>
      <c r="L134" s="10" t="s">
        <v>12</v>
      </c>
      <c r="M134" s="10" t="s">
        <v>154</v>
      </c>
    </row>
    <row r="135" spans="1:13" x14ac:dyDescent="0.25">
      <c r="A135" s="13" t="str">
        <f t="shared" si="4"/>
        <v>50714226520</v>
      </c>
      <c r="B135" s="10">
        <v>1004058766</v>
      </c>
      <c r="C135" s="10">
        <v>507142265</v>
      </c>
      <c r="D135" s="10">
        <v>20</v>
      </c>
      <c r="E135" s="10" t="s">
        <v>10</v>
      </c>
      <c r="F135" s="10">
        <v>1172347</v>
      </c>
      <c r="G135" s="10" t="s">
        <v>237</v>
      </c>
      <c r="H135" s="11">
        <v>40524</v>
      </c>
      <c r="I135" s="11">
        <v>29366</v>
      </c>
      <c r="J135" s="11">
        <f t="shared" si="5"/>
        <v>11158</v>
      </c>
      <c r="K135" s="12">
        <f>VLOOKUP(A135,[4]VA05!$A:$K,11,FALSE)</f>
        <v>45576</v>
      </c>
      <c r="L135" s="10" t="s">
        <v>11</v>
      </c>
      <c r="M135" s="10" t="s">
        <v>202</v>
      </c>
    </row>
    <row r="136" spans="1:13" x14ac:dyDescent="0.25">
      <c r="A136" s="13" t="str">
        <f t="shared" si="4"/>
        <v>50714270920</v>
      </c>
      <c r="B136" s="10">
        <v>1004061878</v>
      </c>
      <c r="C136" s="10">
        <v>507142709</v>
      </c>
      <c r="D136" s="10">
        <v>20</v>
      </c>
      <c r="E136" s="10" t="s">
        <v>10</v>
      </c>
      <c r="F136" s="10">
        <v>1172347</v>
      </c>
      <c r="G136" s="10" t="s">
        <v>237</v>
      </c>
      <c r="H136" s="11">
        <v>30393</v>
      </c>
      <c r="I136" s="10">
        <v>0</v>
      </c>
      <c r="J136" s="11">
        <f t="shared" si="5"/>
        <v>30393</v>
      </c>
      <c r="K136" s="12">
        <f>VLOOKUP(A136,[4]VA05!$A:$K,11,FALSE)</f>
        <v>45583</v>
      </c>
      <c r="L136" s="10" t="s">
        <v>13</v>
      </c>
      <c r="M136" s="10" t="s">
        <v>162</v>
      </c>
    </row>
    <row r="137" spans="1:13" x14ac:dyDescent="0.25">
      <c r="A137" s="13" t="str">
        <f t="shared" si="4"/>
        <v>50714271020</v>
      </c>
      <c r="B137" s="10">
        <v>1004061879</v>
      </c>
      <c r="C137" s="10">
        <v>507142710</v>
      </c>
      <c r="D137" s="10">
        <v>20</v>
      </c>
      <c r="E137" s="10" t="s">
        <v>10</v>
      </c>
      <c r="F137" s="10">
        <v>1172347</v>
      </c>
      <c r="G137" s="10" t="s">
        <v>237</v>
      </c>
      <c r="H137" s="11">
        <v>30393</v>
      </c>
      <c r="I137" s="10">
        <v>0</v>
      </c>
      <c r="J137" s="11">
        <f t="shared" si="5"/>
        <v>30393</v>
      </c>
      <c r="K137" s="12">
        <f>VLOOKUP(A137,[4]VA05!$A:$K,11,FALSE)</f>
        <v>45596</v>
      </c>
      <c r="L137" s="10" t="s">
        <v>12</v>
      </c>
      <c r="M137" s="10" t="s">
        <v>199</v>
      </c>
    </row>
    <row r="138" spans="1:13" hidden="1" x14ac:dyDescent="0.25">
      <c r="A138" s="13" t="str">
        <f t="shared" si="4"/>
        <v>50714170530</v>
      </c>
      <c r="B138" s="10">
        <v>1003946987</v>
      </c>
      <c r="C138" s="10">
        <v>507141705</v>
      </c>
      <c r="D138" s="10">
        <v>30</v>
      </c>
      <c r="E138" s="10" t="s">
        <v>10</v>
      </c>
      <c r="F138" s="10">
        <v>1167579</v>
      </c>
      <c r="G138" s="10" t="s">
        <v>19</v>
      </c>
      <c r="H138" s="11">
        <v>10195</v>
      </c>
      <c r="I138" s="10">
        <v>0</v>
      </c>
      <c r="J138" s="11">
        <f t="shared" si="5"/>
        <v>10195</v>
      </c>
      <c r="K138" s="12" t="e">
        <f>VLOOKUP(A138,[4]VA05!$A:$K,11,FALSE)</f>
        <v>#N/A</v>
      </c>
      <c r="L138" s="10" t="s">
        <v>260</v>
      </c>
      <c r="M138" s="10" t="s">
        <v>270</v>
      </c>
    </row>
    <row r="139" spans="1:13" x14ac:dyDescent="0.25">
      <c r="A139" s="13" t="str">
        <f t="shared" si="4"/>
        <v>50714276920</v>
      </c>
      <c r="B139" s="10">
        <v>1004054833</v>
      </c>
      <c r="C139" s="10">
        <v>507142769</v>
      </c>
      <c r="D139" s="10">
        <v>20</v>
      </c>
      <c r="E139" s="10" t="s">
        <v>10</v>
      </c>
      <c r="F139" s="10">
        <v>1173995</v>
      </c>
      <c r="G139" s="10" t="s">
        <v>20</v>
      </c>
      <c r="H139" s="11">
        <v>34793</v>
      </c>
      <c r="I139" s="11">
        <v>16620</v>
      </c>
      <c r="J139" s="11">
        <f t="shared" si="5"/>
        <v>18173</v>
      </c>
      <c r="K139" s="12">
        <f>VLOOKUP(A139,[4]VA05!$A:$K,11,FALSE)</f>
        <v>45575</v>
      </c>
      <c r="L139" s="10" t="s">
        <v>18</v>
      </c>
      <c r="M139" s="10" t="s">
        <v>201</v>
      </c>
    </row>
    <row r="140" spans="1:13" x14ac:dyDescent="0.25">
      <c r="A140" s="13" t="str">
        <f t="shared" si="4"/>
        <v>50714262610</v>
      </c>
      <c r="B140" s="10">
        <v>1004050514</v>
      </c>
      <c r="C140" s="10">
        <v>507142626</v>
      </c>
      <c r="D140" s="10">
        <v>10</v>
      </c>
      <c r="E140" s="10" t="s">
        <v>10</v>
      </c>
      <c r="F140" s="10">
        <v>1212641</v>
      </c>
      <c r="G140" s="10" t="s">
        <v>99</v>
      </c>
      <c r="H140" s="11">
        <v>25858</v>
      </c>
      <c r="I140" s="10">
        <v>0</v>
      </c>
      <c r="J140" s="11">
        <f t="shared" si="5"/>
        <v>25858</v>
      </c>
      <c r="K140" s="12">
        <f>VLOOKUP(A140,[4]VA05!$A:$K,11,FALSE)</f>
        <v>45590</v>
      </c>
      <c r="L140" s="10" t="s">
        <v>29</v>
      </c>
      <c r="M140" s="10" t="s">
        <v>202</v>
      </c>
    </row>
    <row r="141" spans="1:13" hidden="1" x14ac:dyDescent="0.25">
      <c r="A141" s="13" t="str">
        <f t="shared" si="4"/>
        <v>50714201220</v>
      </c>
      <c r="B141" s="10">
        <v>1003980075</v>
      </c>
      <c r="C141" s="10">
        <v>507142012</v>
      </c>
      <c r="D141" s="10">
        <v>20</v>
      </c>
      <c r="E141" s="10" t="s">
        <v>24</v>
      </c>
      <c r="F141" s="10">
        <v>1171484</v>
      </c>
      <c r="G141" s="10" t="s">
        <v>271</v>
      </c>
      <c r="H141" s="11">
        <v>4000</v>
      </c>
      <c r="I141" s="10">
        <v>0</v>
      </c>
      <c r="J141" s="11">
        <f t="shared" si="5"/>
        <v>4000</v>
      </c>
      <c r="K141" s="12" t="e">
        <f>VLOOKUP(A141,[4]VA05!$A:$K,11,FALSE)</f>
        <v>#N/A</v>
      </c>
      <c r="L141" s="10" t="s">
        <v>260</v>
      </c>
      <c r="M141" s="10" t="s">
        <v>272</v>
      </c>
    </row>
    <row r="142" spans="1:13" x14ac:dyDescent="0.25">
      <c r="A142" s="13" t="str">
        <f t="shared" si="4"/>
        <v>50714271010</v>
      </c>
      <c r="B142" s="10">
        <v>1004058763</v>
      </c>
      <c r="C142" s="10">
        <v>507142710</v>
      </c>
      <c r="D142" s="10">
        <v>10</v>
      </c>
      <c r="E142" s="10" t="s">
        <v>10</v>
      </c>
      <c r="F142" s="10">
        <v>1172346</v>
      </c>
      <c r="G142" s="10" t="s">
        <v>158</v>
      </c>
      <c r="H142" s="11">
        <v>34782</v>
      </c>
      <c r="I142" s="11">
        <v>3861</v>
      </c>
      <c r="J142" s="11">
        <f t="shared" si="5"/>
        <v>30921</v>
      </c>
      <c r="K142" s="12">
        <f>VLOOKUP(A142,[4]VA05!$A:$K,11,FALSE)</f>
        <v>45596</v>
      </c>
      <c r="L142" s="10" t="s">
        <v>18</v>
      </c>
      <c r="M142" s="10" t="s">
        <v>176</v>
      </c>
    </row>
    <row r="143" spans="1:13" x14ac:dyDescent="0.25">
      <c r="A143" s="13" t="str">
        <f t="shared" si="4"/>
        <v>50714239710</v>
      </c>
      <c r="B143" s="10">
        <v>1004054834</v>
      </c>
      <c r="C143" s="10">
        <v>507142397</v>
      </c>
      <c r="D143" s="10">
        <v>10</v>
      </c>
      <c r="E143" s="10" t="s">
        <v>10</v>
      </c>
      <c r="F143" s="10">
        <v>1195537</v>
      </c>
      <c r="G143" s="10" t="s">
        <v>220</v>
      </c>
      <c r="H143" s="11">
        <v>62346</v>
      </c>
      <c r="I143" s="11">
        <v>7600</v>
      </c>
      <c r="J143" s="11">
        <f t="shared" si="5"/>
        <v>54746</v>
      </c>
      <c r="K143" s="12">
        <f>VLOOKUP(A143,[4]VA05!$A:$K,11,FALSE)</f>
        <v>45579</v>
      </c>
      <c r="L143" s="10" t="s">
        <v>11</v>
      </c>
      <c r="M143" s="10" t="s">
        <v>162</v>
      </c>
    </row>
    <row r="144" spans="1:13" x14ac:dyDescent="0.25">
      <c r="A144" s="13" t="str">
        <f t="shared" si="4"/>
        <v>50714247910</v>
      </c>
      <c r="B144" s="10">
        <v>1004054835</v>
      </c>
      <c r="C144" s="10">
        <v>507142479</v>
      </c>
      <c r="D144" s="10">
        <v>10</v>
      </c>
      <c r="E144" s="10" t="s">
        <v>10</v>
      </c>
      <c r="F144" s="10">
        <v>1195537</v>
      </c>
      <c r="G144" s="10" t="s">
        <v>220</v>
      </c>
      <c r="H144" s="11">
        <v>52994</v>
      </c>
      <c r="I144" s="10">
        <v>0</v>
      </c>
      <c r="J144" s="11">
        <f t="shared" si="5"/>
        <v>52994</v>
      </c>
      <c r="K144" s="12">
        <f>VLOOKUP(A144,[4]VA05!$A:$K,11,FALSE)</f>
        <v>45587</v>
      </c>
      <c r="L144" s="10" t="s">
        <v>12</v>
      </c>
      <c r="M144" s="10" t="s">
        <v>155</v>
      </c>
    </row>
    <row r="145" spans="1:13" x14ac:dyDescent="0.25">
      <c r="A145" s="13" t="str">
        <f t="shared" si="4"/>
        <v>50714248010</v>
      </c>
      <c r="B145" s="10">
        <v>1004052386</v>
      </c>
      <c r="C145" s="10">
        <v>507142480</v>
      </c>
      <c r="D145" s="10">
        <v>10</v>
      </c>
      <c r="E145" s="10" t="s">
        <v>10</v>
      </c>
      <c r="F145" s="10">
        <v>1191883</v>
      </c>
      <c r="G145" s="10" t="s">
        <v>125</v>
      </c>
      <c r="H145" s="11">
        <v>57584</v>
      </c>
      <c r="I145" s="11">
        <v>42089</v>
      </c>
      <c r="J145" s="11">
        <f t="shared" si="5"/>
        <v>15495</v>
      </c>
      <c r="K145" s="12">
        <f>VLOOKUP(A145,[4]VA05!$A:$K,11,FALSE)</f>
        <v>45587</v>
      </c>
      <c r="L145" s="10" t="s">
        <v>18</v>
      </c>
      <c r="M145" s="10" t="s">
        <v>195</v>
      </c>
    </row>
    <row r="146" spans="1:13" x14ac:dyDescent="0.25">
      <c r="A146" s="13" t="str">
        <f t="shared" si="4"/>
        <v>50714248010</v>
      </c>
      <c r="B146" s="10">
        <v>1004042840</v>
      </c>
      <c r="C146" s="10">
        <v>507142480</v>
      </c>
      <c r="D146" s="10">
        <v>10</v>
      </c>
      <c r="E146" s="10" t="s">
        <v>10</v>
      </c>
      <c r="F146" s="10">
        <v>1191882</v>
      </c>
      <c r="G146" s="10" t="s">
        <v>137</v>
      </c>
      <c r="H146" s="11">
        <v>51677</v>
      </c>
      <c r="I146" s="11">
        <v>43905</v>
      </c>
      <c r="J146" s="11">
        <f t="shared" si="5"/>
        <v>7772</v>
      </c>
      <c r="K146" s="12">
        <f>VLOOKUP(A146,[4]VA05!$A:$K,11,FALSE)</f>
        <v>45587</v>
      </c>
      <c r="L146" s="10" t="s">
        <v>11</v>
      </c>
      <c r="M146" s="10" t="s">
        <v>178</v>
      </c>
    </row>
    <row r="147" spans="1:13" hidden="1" x14ac:dyDescent="0.25">
      <c r="A147" s="13" t="str">
        <f t="shared" si="4"/>
        <v>50714223250</v>
      </c>
      <c r="B147" s="10">
        <v>1004029422</v>
      </c>
      <c r="C147" s="10">
        <v>507142232</v>
      </c>
      <c r="D147" s="10">
        <v>50</v>
      </c>
      <c r="E147" s="10" t="s">
        <v>24</v>
      </c>
      <c r="F147" s="10">
        <v>1317217</v>
      </c>
      <c r="G147" s="10" t="s">
        <v>273</v>
      </c>
      <c r="H147" s="11">
        <v>12500</v>
      </c>
      <c r="I147" s="10">
        <v>0</v>
      </c>
      <c r="J147" s="11">
        <f t="shared" si="5"/>
        <v>12500</v>
      </c>
      <c r="K147" s="12" t="e">
        <f>VLOOKUP(A147,[4]VA05!$A:$K,11,FALSE)</f>
        <v>#N/A</v>
      </c>
      <c r="L147" s="10" t="s">
        <v>260</v>
      </c>
      <c r="M147" s="10" t="s">
        <v>274</v>
      </c>
    </row>
    <row r="148" spans="1:13" x14ac:dyDescent="0.25">
      <c r="A148" s="13" t="str">
        <f t="shared" si="4"/>
        <v>50714278320</v>
      </c>
      <c r="B148" s="10">
        <v>1004056039</v>
      </c>
      <c r="C148" s="10">
        <v>507142783</v>
      </c>
      <c r="D148" s="10">
        <v>20</v>
      </c>
      <c r="E148" s="10" t="s">
        <v>10</v>
      </c>
      <c r="F148" s="10">
        <v>1161035</v>
      </c>
      <c r="G148" s="10" t="s">
        <v>222</v>
      </c>
      <c r="H148" s="11">
        <v>25747</v>
      </c>
      <c r="I148" s="10">
        <v>0</v>
      </c>
      <c r="J148" s="11">
        <f t="shared" si="5"/>
        <v>25747</v>
      </c>
      <c r="K148" s="12">
        <f>VLOOKUP(A148,[4]VA05!$A:$K,11,FALSE)</f>
        <v>45582</v>
      </c>
      <c r="L148" s="10" t="s">
        <v>13</v>
      </c>
      <c r="M148" s="10" t="s">
        <v>202</v>
      </c>
    </row>
    <row r="149" spans="1:13" hidden="1" x14ac:dyDescent="0.25">
      <c r="A149" s="13" t="str">
        <f t="shared" si="4"/>
        <v>50714279710</v>
      </c>
      <c r="B149" s="10">
        <v>1004058006</v>
      </c>
      <c r="C149" s="10">
        <v>507142797</v>
      </c>
      <c r="D149" s="10">
        <v>10</v>
      </c>
      <c r="E149" s="10" t="s">
        <v>10</v>
      </c>
      <c r="F149" s="10">
        <v>1161417</v>
      </c>
      <c r="G149" s="10" t="s">
        <v>228</v>
      </c>
      <c r="H149" s="11">
        <v>25543</v>
      </c>
      <c r="I149" s="10">
        <v>0</v>
      </c>
      <c r="J149" s="11">
        <f t="shared" si="5"/>
        <v>25543</v>
      </c>
      <c r="K149" s="12">
        <f>VLOOKUP(A149,[4]VA05!$A:$K,11,FALSE)</f>
        <v>45588</v>
      </c>
      <c r="L149" s="10" t="s">
        <v>13</v>
      </c>
      <c r="M149" s="10" t="s">
        <v>177</v>
      </c>
    </row>
    <row r="150" spans="1:13" hidden="1" x14ac:dyDescent="0.25">
      <c r="A150" s="13" t="str">
        <f t="shared" si="4"/>
        <v>50714278110</v>
      </c>
      <c r="B150" s="10">
        <v>1004058007</v>
      </c>
      <c r="C150" s="10">
        <v>507142781</v>
      </c>
      <c r="D150" s="10">
        <v>10</v>
      </c>
      <c r="E150" s="10" t="s">
        <v>10</v>
      </c>
      <c r="F150" s="10">
        <v>1161417</v>
      </c>
      <c r="G150" s="10" t="s">
        <v>228</v>
      </c>
      <c r="H150" s="11">
        <v>5109</v>
      </c>
      <c r="I150" s="10">
        <v>0</v>
      </c>
      <c r="J150" s="11">
        <f t="shared" si="5"/>
        <v>5109</v>
      </c>
      <c r="K150" s="12">
        <f>VLOOKUP(A150,[4]VA05!$A:$K,11,FALSE)</f>
        <v>45595</v>
      </c>
      <c r="L150" s="10" t="s">
        <v>13</v>
      </c>
      <c r="M150" s="10" t="s">
        <v>196</v>
      </c>
    </row>
    <row r="151" spans="1:13" hidden="1" x14ac:dyDescent="0.25">
      <c r="A151" s="13" t="str">
        <f t="shared" si="4"/>
        <v>50714271120</v>
      </c>
      <c r="B151" s="10">
        <v>1004058008</v>
      </c>
      <c r="C151" s="10">
        <v>507142711</v>
      </c>
      <c r="D151" s="10">
        <v>20</v>
      </c>
      <c r="E151" s="10" t="s">
        <v>10</v>
      </c>
      <c r="F151" s="10">
        <v>1161417</v>
      </c>
      <c r="G151" s="10" t="s">
        <v>228</v>
      </c>
      <c r="H151" s="11">
        <v>6845</v>
      </c>
      <c r="I151" s="10">
        <v>0</v>
      </c>
      <c r="J151" s="11">
        <f t="shared" si="5"/>
        <v>6845</v>
      </c>
      <c r="K151" s="12">
        <f>VLOOKUP(A151,[4]VA05!$A:$K,11,FALSE)</f>
        <v>45565</v>
      </c>
      <c r="L151" s="10" t="s">
        <v>12</v>
      </c>
      <c r="M151" s="10" t="s">
        <v>155</v>
      </c>
    </row>
    <row r="152" spans="1:13" x14ac:dyDescent="0.25">
      <c r="A152" s="13" t="str">
        <f t="shared" si="4"/>
        <v>50714244520</v>
      </c>
      <c r="B152" s="10">
        <v>1004053208</v>
      </c>
      <c r="C152" s="10">
        <v>507142445</v>
      </c>
      <c r="D152" s="10">
        <v>20</v>
      </c>
      <c r="E152" s="10" t="s">
        <v>10</v>
      </c>
      <c r="F152" s="10">
        <v>1210955</v>
      </c>
      <c r="G152" s="10" t="s">
        <v>215</v>
      </c>
      <c r="H152" s="11">
        <v>53210</v>
      </c>
      <c r="I152" s="10">
        <v>0</v>
      </c>
      <c r="J152" s="11">
        <f t="shared" si="5"/>
        <v>53210</v>
      </c>
      <c r="K152" s="12">
        <f>VLOOKUP(A152,[4]VA05!$A:$K,11,FALSE)</f>
        <v>45595</v>
      </c>
      <c r="L152" s="10" t="s">
        <v>239</v>
      </c>
      <c r="M152" s="10" t="s">
        <v>216</v>
      </c>
    </row>
    <row r="153" spans="1:13" x14ac:dyDescent="0.25">
      <c r="A153" s="13" t="str">
        <f t="shared" si="4"/>
        <v>50714244520</v>
      </c>
      <c r="B153" s="10">
        <v>1004052416</v>
      </c>
      <c r="C153" s="10">
        <v>507142445</v>
      </c>
      <c r="D153" s="10">
        <v>20</v>
      </c>
      <c r="E153" s="10" t="s">
        <v>10</v>
      </c>
      <c r="F153" s="10">
        <v>1259266</v>
      </c>
      <c r="G153" s="10" t="s">
        <v>64</v>
      </c>
      <c r="H153" s="11">
        <v>51912</v>
      </c>
      <c r="I153" s="10">
        <v>0</v>
      </c>
      <c r="J153" s="11">
        <f t="shared" si="5"/>
        <v>51912</v>
      </c>
      <c r="K153" s="12">
        <f>VLOOKUP(A153,[4]VA05!$A:$K,11,FALSE)</f>
        <v>45595</v>
      </c>
      <c r="L153" s="10" t="s">
        <v>239</v>
      </c>
      <c r="M153" s="10" t="s">
        <v>199</v>
      </c>
    </row>
    <row r="154" spans="1:13" x14ac:dyDescent="0.25">
      <c r="A154" s="13" t="str">
        <f t="shared" si="4"/>
        <v>50714244520</v>
      </c>
      <c r="B154" s="10">
        <v>1004052417</v>
      </c>
      <c r="C154" s="10">
        <v>507142445</v>
      </c>
      <c r="D154" s="10">
        <v>20</v>
      </c>
      <c r="E154" s="10" t="s">
        <v>10</v>
      </c>
      <c r="F154" s="10">
        <v>1259265</v>
      </c>
      <c r="G154" s="10" t="s">
        <v>187</v>
      </c>
      <c r="H154" s="11">
        <v>53210</v>
      </c>
      <c r="I154" s="10">
        <v>0</v>
      </c>
      <c r="J154" s="11">
        <f t="shared" si="5"/>
        <v>53210</v>
      </c>
      <c r="K154" s="12">
        <f>VLOOKUP(A154,[4]VA05!$A:$K,11,FALSE)</f>
        <v>45595</v>
      </c>
      <c r="L154" s="10" t="s">
        <v>12</v>
      </c>
      <c r="M154" s="10" t="s">
        <v>202</v>
      </c>
    </row>
    <row r="155" spans="1:13" x14ac:dyDescent="0.25">
      <c r="A155" s="13" t="str">
        <f t="shared" si="4"/>
        <v>50714278810</v>
      </c>
      <c r="B155" s="10">
        <v>1004053488</v>
      </c>
      <c r="C155" s="10">
        <v>507142788</v>
      </c>
      <c r="D155" s="10">
        <v>10</v>
      </c>
      <c r="E155" s="10" t="s">
        <v>10</v>
      </c>
      <c r="F155" s="10">
        <v>1168128</v>
      </c>
      <c r="G155" s="10" t="s">
        <v>77</v>
      </c>
      <c r="H155" s="11">
        <v>56529</v>
      </c>
      <c r="I155" s="11">
        <v>5073</v>
      </c>
      <c r="J155" s="11">
        <f t="shared" si="5"/>
        <v>51456</v>
      </c>
      <c r="K155" s="12">
        <f>VLOOKUP(A155,[4]VA05!$A:$K,11,FALSE)</f>
        <v>45582</v>
      </c>
      <c r="L155" s="10" t="s">
        <v>18</v>
      </c>
      <c r="M155" s="10" t="s">
        <v>179</v>
      </c>
    </row>
    <row r="156" spans="1:13" x14ac:dyDescent="0.25">
      <c r="A156" s="13" t="str">
        <f t="shared" si="4"/>
        <v>50714264830</v>
      </c>
      <c r="B156" s="10">
        <v>1004062197</v>
      </c>
      <c r="C156" s="10">
        <v>507142648</v>
      </c>
      <c r="D156" s="10">
        <v>30</v>
      </c>
      <c r="E156" s="10" t="s">
        <v>10</v>
      </c>
      <c r="F156" s="10">
        <v>1168128</v>
      </c>
      <c r="G156" s="10" t="s">
        <v>77</v>
      </c>
      <c r="H156" s="11">
        <v>40343</v>
      </c>
      <c r="I156" s="10">
        <v>0</v>
      </c>
      <c r="J156" s="11">
        <f t="shared" si="5"/>
        <v>40343</v>
      </c>
      <c r="K156" s="12">
        <f>VLOOKUP(A156,[4]VA05!$A:$K,11,FALSE)</f>
        <v>45581</v>
      </c>
      <c r="L156" s="10" t="s">
        <v>12</v>
      </c>
      <c r="M156" s="10" t="s">
        <v>197</v>
      </c>
    </row>
    <row r="157" spans="1:13" hidden="1" x14ac:dyDescent="0.25">
      <c r="A157" s="13" t="str">
        <f t="shared" si="4"/>
        <v>50714268910</v>
      </c>
      <c r="B157" s="10">
        <v>1004062199</v>
      </c>
      <c r="C157" s="10">
        <v>507142689</v>
      </c>
      <c r="D157" s="10">
        <v>10</v>
      </c>
      <c r="E157" s="10" t="s">
        <v>10</v>
      </c>
      <c r="F157" s="10">
        <v>1168128</v>
      </c>
      <c r="G157" s="10" t="s">
        <v>77</v>
      </c>
      <c r="H157" s="11">
        <v>23177</v>
      </c>
      <c r="I157" s="11">
        <v>23177</v>
      </c>
      <c r="J157" s="11">
        <f t="shared" si="5"/>
        <v>0</v>
      </c>
      <c r="K157" s="12">
        <f>VLOOKUP(A157,[4]VA05!$A:$K,11,FALSE)</f>
        <v>45558</v>
      </c>
      <c r="L157" s="10" t="s">
        <v>28</v>
      </c>
      <c r="M157" s="10" t="s">
        <v>162</v>
      </c>
    </row>
    <row r="158" spans="1:13" x14ac:dyDescent="0.25">
      <c r="A158" s="13" t="str">
        <f t="shared" si="4"/>
        <v>50714282810</v>
      </c>
      <c r="B158" s="10">
        <v>1004062200</v>
      </c>
      <c r="C158" s="10">
        <v>507142828</v>
      </c>
      <c r="D158" s="10">
        <v>10</v>
      </c>
      <c r="E158" s="10" t="s">
        <v>10</v>
      </c>
      <c r="F158" s="10">
        <v>1168128</v>
      </c>
      <c r="G158" s="10" t="s">
        <v>77</v>
      </c>
      <c r="H158" s="11">
        <v>122842</v>
      </c>
      <c r="I158" s="10">
        <v>0</v>
      </c>
      <c r="J158" s="11">
        <f t="shared" si="5"/>
        <v>122842</v>
      </c>
      <c r="K158" s="12">
        <f>VLOOKUP(A158,[4]VA05!$A:$K,11,FALSE)</f>
        <v>45588</v>
      </c>
      <c r="L158" s="10" t="s">
        <v>12</v>
      </c>
      <c r="M158" s="10" t="s">
        <v>197</v>
      </c>
    </row>
    <row r="159" spans="1:13" x14ac:dyDescent="0.25">
      <c r="A159" s="13" t="str">
        <f t="shared" si="4"/>
        <v>50714264910</v>
      </c>
      <c r="B159" s="10">
        <v>1004038445</v>
      </c>
      <c r="C159" s="10">
        <v>507142649</v>
      </c>
      <c r="D159" s="10">
        <v>10</v>
      </c>
      <c r="E159" s="10" t="s">
        <v>10</v>
      </c>
      <c r="F159" s="10">
        <v>1168125</v>
      </c>
      <c r="G159" s="10" t="s">
        <v>32</v>
      </c>
      <c r="H159" s="11">
        <v>51094</v>
      </c>
      <c r="I159" s="11">
        <v>46617</v>
      </c>
      <c r="J159" s="11">
        <f t="shared" si="5"/>
        <v>4477</v>
      </c>
      <c r="K159" s="12" t="e">
        <f>VLOOKUP(A159,[4]VA05!$A:$K,11,FALSE)</f>
        <v>#N/A</v>
      </c>
      <c r="L159" s="10" t="s">
        <v>18</v>
      </c>
      <c r="M159" s="10" t="s">
        <v>154</v>
      </c>
    </row>
    <row r="160" spans="1:13" x14ac:dyDescent="0.25">
      <c r="A160" s="13" t="str">
        <f t="shared" si="4"/>
        <v>50714278810</v>
      </c>
      <c r="B160" s="10">
        <v>1004062042</v>
      </c>
      <c r="C160" s="10">
        <v>507142788</v>
      </c>
      <c r="D160" s="10">
        <v>10</v>
      </c>
      <c r="E160" s="10" t="s">
        <v>10</v>
      </c>
      <c r="F160" s="10">
        <v>1168125</v>
      </c>
      <c r="G160" s="10" t="s">
        <v>32</v>
      </c>
      <c r="H160" s="11">
        <v>56529</v>
      </c>
      <c r="I160" s="10">
        <v>0</v>
      </c>
      <c r="J160" s="11">
        <f t="shared" si="5"/>
        <v>56529</v>
      </c>
      <c r="K160" s="12">
        <f>VLOOKUP(A160,[4]VA05!$A:$K,11,FALSE)</f>
        <v>45582</v>
      </c>
      <c r="L160" s="10" t="s">
        <v>56</v>
      </c>
      <c r="M160" s="10" t="s">
        <v>162</v>
      </c>
    </row>
    <row r="161" spans="1:13" x14ac:dyDescent="0.25">
      <c r="A161" s="13" t="str">
        <f t="shared" si="4"/>
        <v>50714282810</v>
      </c>
      <c r="B161" s="10">
        <v>1004062043</v>
      </c>
      <c r="C161" s="10">
        <v>507142828</v>
      </c>
      <c r="D161" s="10">
        <v>10</v>
      </c>
      <c r="E161" s="10" t="s">
        <v>10</v>
      </c>
      <c r="F161" s="10">
        <v>1168125</v>
      </c>
      <c r="G161" s="10" t="s">
        <v>32</v>
      </c>
      <c r="H161" s="11">
        <v>122842</v>
      </c>
      <c r="I161" s="10">
        <v>0</v>
      </c>
      <c r="J161" s="11">
        <f t="shared" si="5"/>
        <v>122842</v>
      </c>
      <c r="K161" s="12">
        <f>VLOOKUP(A161,[4]VA05!$A:$K,11,FALSE)</f>
        <v>45588</v>
      </c>
      <c r="L161" s="10" t="s">
        <v>12</v>
      </c>
      <c r="M161" s="10" t="s">
        <v>197</v>
      </c>
    </row>
    <row r="162" spans="1:13" x14ac:dyDescent="0.25">
      <c r="A162" s="13" t="str">
        <f t="shared" si="4"/>
        <v>50714269110</v>
      </c>
      <c r="B162" s="10">
        <v>1004063849</v>
      </c>
      <c r="C162" s="10">
        <v>507142691</v>
      </c>
      <c r="D162" s="10">
        <v>10</v>
      </c>
      <c r="E162" s="10" t="s">
        <v>10</v>
      </c>
      <c r="F162" s="10">
        <v>1168125</v>
      </c>
      <c r="G162" s="10" t="s">
        <v>32</v>
      </c>
      <c r="H162" s="11">
        <v>51094</v>
      </c>
      <c r="I162" s="10">
        <v>0</v>
      </c>
      <c r="J162" s="11">
        <f t="shared" si="5"/>
        <v>51094</v>
      </c>
      <c r="K162" s="12">
        <f>VLOOKUP(A162,[4]VA05!$A:$K,11,FALSE)</f>
        <v>45569</v>
      </c>
      <c r="L162" s="10" t="s">
        <v>12</v>
      </c>
      <c r="M162" s="10" t="s">
        <v>202</v>
      </c>
    </row>
    <row r="163" spans="1:13" x14ac:dyDescent="0.25">
      <c r="A163" s="13" t="str">
        <f t="shared" si="4"/>
        <v>50714268810</v>
      </c>
      <c r="B163" s="10">
        <v>1004051400</v>
      </c>
      <c r="C163" s="10">
        <v>507142688</v>
      </c>
      <c r="D163" s="10">
        <v>10</v>
      </c>
      <c r="E163" s="10" t="s">
        <v>10</v>
      </c>
      <c r="F163" s="10">
        <v>1430111</v>
      </c>
      <c r="G163" s="10" t="s">
        <v>101</v>
      </c>
      <c r="H163" s="11">
        <v>122842</v>
      </c>
      <c r="I163" s="11">
        <v>86416</v>
      </c>
      <c r="J163" s="11">
        <f t="shared" si="5"/>
        <v>36426</v>
      </c>
      <c r="K163" s="12">
        <f>VLOOKUP(A163,[4]VA05!$A:$K,11,FALSE)</f>
        <v>45567</v>
      </c>
      <c r="L163" s="10" t="s">
        <v>18</v>
      </c>
      <c r="M163" s="10" t="s">
        <v>107</v>
      </c>
    </row>
    <row r="164" spans="1:13" x14ac:dyDescent="0.25">
      <c r="A164" s="13" t="str">
        <f t="shared" si="4"/>
        <v>50714281910</v>
      </c>
      <c r="B164" s="10">
        <v>1004062796</v>
      </c>
      <c r="C164" s="10">
        <v>507142819</v>
      </c>
      <c r="D164" s="10">
        <v>10</v>
      </c>
      <c r="E164" s="10" t="s">
        <v>10</v>
      </c>
      <c r="F164" s="10">
        <v>1402677</v>
      </c>
      <c r="G164" s="10" t="s">
        <v>296</v>
      </c>
      <c r="H164" s="11">
        <v>10871</v>
      </c>
      <c r="I164" s="10">
        <v>0</v>
      </c>
      <c r="J164" s="11">
        <f t="shared" si="5"/>
        <v>10871</v>
      </c>
      <c r="K164" s="12">
        <f>VLOOKUP(A164,[4]VA05!$A:$K,11,FALSE)</f>
        <v>45581</v>
      </c>
      <c r="L164" s="10" t="s">
        <v>12</v>
      </c>
      <c r="M164" s="10" t="s">
        <v>157</v>
      </c>
    </row>
    <row r="165" spans="1:13" x14ac:dyDescent="0.25">
      <c r="A165" s="13" t="str">
        <f t="shared" si="4"/>
        <v>50714239390</v>
      </c>
      <c r="B165" s="10">
        <v>1004032826</v>
      </c>
      <c r="C165" s="10">
        <v>507142393</v>
      </c>
      <c r="D165" s="10">
        <v>90</v>
      </c>
      <c r="E165" s="10" t="s">
        <v>10</v>
      </c>
      <c r="F165" s="10">
        <v>1416752</v>
      </c>
      <c r="G165" s="10" t="s">
        <v>52</v>
      </c>
      <c r="H165" s="11">
        <v>47012</v>
      </c>
      <c r="I165" s="11">
        <v>38740</v>
      </c>
      <c r="J165" s="11">
        <f t="shared" si="5"/>
        <v>8272</v>
      </c>
      <c r="K165" s="12" t="e">
        <f>VLOOKUP(A165,[4]VA05!$A:$K,11,FALSE)</f>
        <v>#N/A</v>
      </c>
      <c r="L165" s="10" t="s">
        <v>11</v>
      </c>
      <c r="M165" s="10" t="s">
        <v>73</v>
      </c>
    </row>
    <row r="166" spans="1:13" x14ac:dyDescent="0.25">
      <c r="A166" s="13" t="str">
        <f t="shared" si="4"/>
        <v>507142416150</v>
      </c>
      <c r="B166" s="10">
        <v>1004052419</v>
      </c>
      <c r="C166" s="10">
        <v>507142416</v>
      </c>
      <c r="D166" s="10">
        <v>150</v>
      </c>
      <c r="E166" s="10" t="s">
        <v>10</v>
      </c>
      <c r="F166" s="10">
        <v>1269350</v>
      </c>
      <c r="G166" s="10" t="s">
        <v>188</v>
      </c>
      <c r="H166" s="11">
        <v>10439</v>
      </c>
      <c r="I166" s="10">
        <v>0</v>
      </c>
      <c r="J166" s="11">
        <f t="shared" si="5"/>
        <v>10439</v>
      </c>
      <c r="K166" s="12">
        <f>VLOOKUP(A166,[4]VA05!$A:$K,11,FALSE)</f>
        <v>45576</v>
      </c>
      <c r="L166" s="10" t="s">
        <v>12</v>
      </c>
      <c r="M166" s="10" t="s">
        <v>156</v>
      </c>
    </row>
    <row r="167" spans="1:13" x14ac:dyDescent="0.25">
      <c r="A167" s="13" t="str">
        <f t="shared" si="4"/>
        <v>50714268820</v>
      </c>
      <c r="B167" s="10">
        <v>1004052420</v>
      </c>
      <c r="C167" s="10">
        <v>507142688</v>
      </c>
      <c r="D167" s="10">
        <v>20</v>
      </c>
      <c r="E167" s="10" t="s">
        <v>10</v>
      </c>
      <c r="F167" s="10">
        <v>1430096</v>
      </c>
      <c r="G167" s="10" t="s">
        <v>93</v>
      </c>
      <c r="H167" s="11">
        <v>134120</v>
      </c>
      <c r="I167" s="11">
        <v>94784</v>
      </c>
      <c r="J167" s="11">
        <f t="shared" si="5"/>
        <v>39336</v>
      </c>
      <c r="K167" s="12">
        <f>VLOOKUP(A167,[4]VA05!$A:$K,11,FALSE)</f>
        <v>45567</v>
      </c>
      <c r="L167" s="10" t="s">
        <v>18</v>
      </c>
      <c r="M167" s="10" t="s">
        <v>195</v>
      </c>
    </row>
    <row r="168" spans="1:13" x14ac:dyDescent="0.25">
      <c r="A168" s="13" t="str">
        <f t="shared" si="4"/>
        <v>50714282120</v>
      </c>
      <c r="B168" s="10">
        <v>1004062792</v>
      </c>
      <c r="C168" s="10">
        <v>507142821</v>
      </c>
      <c r="D168" s="10">
        <v>20</v>
      </c>
      <c r="E168" s="10" t="s">
        <v>10</v>
      </c>
      <c r="F168" s="10">
        <v>1153476</v>
      </c>
      <c r="G168" s="10" t="s">
        <v>297</v>
      </c>
      <c r="H168" s="11">
        <v>27862</v>
      </c>
      <c r="I168" s="10">
        <v>0</v>
      </c>
      <c r="J168" s="11">
        <f t="shared" si="5"/>
        <v>27862</v>
      </c>
      <c r="K168" s="12">
        <f>VLOOKUP(A168,[4]VA05!$A:$K,11,FALSE)</f>
        <v>45589</v>
      </c>
      <c r="L168" s="10" t="s">
        <v>12</v>
      </c>
      <c r="M168" s="10" t="s">
        <v>199</v>
      </c>
    </row>
    <row r="169" spans="1:13" x14ac:dyDescent="0.25">
      <c r="A169" s="13" t="str">
        <f t="shared" si="4"/>
        <v>50714282220</v>
      </c>
      <c r="B169" s="10">
        <v>1004062794</v>
      </c>
      <c r="C169" s="10">
        <v>507142822</v>
      </c>
      <c r="D169" s="10">
        <v>20</v>
      </c>
      <c r="E169" s="10" t="s">
        <v>10</v>
      </c>
      <c r="F169" s="10">
        <v>1153476</v>
      </c>
      <c r="G169" s="10" t="s">
        <v>297</v>
      </c>
      <c r="H169" s="11">
        <v>27862</v>
      </c>
      <c r="I169" s="10">
        <v>0</v>
      </c>
      <c r="J169" s="11">
        <f t="shared" si="5"/>
        <v>27862</v>
      </c>
      <c r="K169" s="12">
        <f>VLOOKUP(A169,[4]VA05!$A:$K,11,FALSE)</f>
        <v>45589</v>
      </c>
      <c r="L169" s="10" t="s">
        <v>12</v>
      </c>
      <c r="M169" s="10" t="s">
        <v>199</v>
      </c>
    </row>
    <row r="170" spans="1:13" x14ac:dyDescent="0.25">
      <c r="A170" s="13" t="str">
        <f t="shared" si="4"/>
        <v>50714268920</v>
      </c>
      <c r="B170" s="10">
        <v>1004041355</v>
      </c>
      <c r="C170" s="10">
        <v>507142689</v>
      </c>
      <c r="D170" s="10">
        <v>20</v>
      </c>
      <c r="E170" s="10" t="s">
        <v>10</v>
      </c>
      <c r="F170" s="10">
        <v>1187156</v>
      </c>
      <c r="G170" s="10" t="s">
        <v>80</v>
      </c>
      <c r="H170" s="11">
        <v>85860</v>
      </c>
      <c r="I170" s="11">
        <v>53234</v>
      </c>
      <c r="J170" s="11">
        <f t="shared" si="5"/>
        <v>32626</v>
      </c>
      <c r="K170" s="12">
        <f>VLOOKUP(A170,[4]VA05!$A:$K,11,FALSE)</f>
        <v>45558</v>
      </c>
      <c r="L170" s="10" t="s">
        <v>18</v>
      </c>
      <c r="M170" s="10" t="s">
        <v>131</v>
      </c>
    </row>
    <row r="171" spans="1:13" x14ac:dyDescent="0.25">
      <c r="A171" s="13" t="str">
        <f t="shared" si="4"/>
        <v>50714278820</v>
      </c>
      <c r="B171" s="10">
        <v>1004058947</v>
      </c>
      <c r="C171" s="10">
        <v>507142788</v>
      </c>
      <c r="D171" s="10">
        <v>20</v>
      </c>
      <c r="E171" s="10" t="s">
        <v>10</v>
      </c>
      <c r="F171" s="10">
        <v>1187156</v>
      </c>
      <c r="G171" s="10" t="s">
        <v>80</v>
      </c>
      <c r="H171" s="11">
        <v>62884</v>
      </c>
      <c r="I171" s="10">
        <v>0</v>
      </c>
      <c r="J171" s="11">
        <f t="shared" si="5"/>
        <v>62884</v>
      </c>
      <c r="K171" s="12">
        <f>VLOOKUP(A171,[4]VA05!$A:$K,11,FALSE)</f>
        <v>45582</v>
      </c>
      <c r="L171" s="10" t="s">
        <v>12</v>
      </c>
      <c r="M171" s="10" t="s">
        <v>156</v>
      </c>
    </row>
    <row r="172" spans="1:13" x14ac:dyDescent="0.25">
      <c r="A172" s="13" t="str">
        <f t="shared" si="4"/>
        <v>50714281920</v>
      </c>
      <c r="B172" s="10">
        <v>1004062795</v>
      </c>
      <c r="C172" s="10">
        <v>507142819</v>
      </c>
      <c r="D172" s="10">
        <v>20</v>
      </c>
      <c r="E172" s="10" t="s">
        <v>10</v>
      </c>
      <c r="F172" s="10">
        <v>1402742</v>
      </c>
      <c r="G172" s="10" t="s">
        <v>298</v>
      </c>
      <c r="H172" s="11">
        <v>11758</v>
      </c>
      <c r="I172" s="10">
        <v>0</v>
      </c>
      <c r="J172" s="11">
        <f t="shared" si="5"/>
        <v>11758</v>
      </c>
      <c r="K172" s="12">
        <f>VLOOKUP(A172,[4]VA05!$A:$K,11,FALSE)</f>
        <v>45581</v>
      </c>
      <c r="L172" s="10" t="s">
        <v>12</v>
      </c>
      <c r="M172" s="10" t="s">
        <v>179</v>
      </c>
    </row>
    <row r="173" spans="1:13" hidden="1" x14ac:dyDescent="0.25">
      <c r="A173" s="13" t="str">
        <f t="shared" si="4"/>
        <v>50714208240</v>
      </c>
      <c r="B173" s="10">
        <v>1003985006</v>
      </c>
      <c r="C173" s="10">
        <v>507142082</v>
      </c>
      <c r="D173" s="10">
        <v>40</v>
      </c>
      <c r="E173" s="10" t="s">
        <v>24</v>
      </c>
      <c r="F173" s="10">
        <v>1171152</v>
      </c>
      <c r="G173" s="10" t="s">
        <v>275</v>
      </c>
      <c r="H173" s="11">
        <v>27812</v>
      </c>
      <c r="I173" s="10">
        <v>0</v>
      </c>
      <c r="J173" s="11">
        <f t="shared" si="5"/>
        <v>27812</v>
      </c>
      <c r="K173" s="12" t="e">
        <f>VLOOKUP(A173,[4]VA05!$A:$K,11,FALSE)</f>
        <v>#N/A</v>
      </c>
      <c r="L173" s="10" t="s">
        <v>260</v>
      </c>
      <c r="M173" s="10" t="s">
        <v>276</v>
      </c>
    </row>
    <row r="174" spans="1:13" x14ac:dyDescent="0.25">
      <c r="A174" s="13" t="str">
        <f t="shared" si="4"/>
        <v>507142416140</v>
      </c>
      <c r="B174" s="10">
        <v>1004051396</v>
      </c>
      <c r="C174" s="10">
        <v>507142416</v>
      </c>
      <c r="D174" s="10">
        <v>140</v>
      </c>
      <c r="E174" s="10" t="s">
        <v>10</v>
      </c>
      <c r="F174" s="10">
        <v>1269354</v>
      </c>
      <c r="G174" s="10" t="s">
        <v>169</v>
      </c>
      <c r="H174" s="11">
        <v>10217</v>
      </c>
      <c r="I174" s="10">
        <v>0</v>
      </c>
      <c r="J174" s="11">
        <f t="shared" si="5"/>
        <v>10217</v>
      </c>
      <c r="K174" s="12">
        <f>VLOOKUP(A174,[4]VA05!$A:$K,11,FALSE)</f>
        <v>45576</v>
      </c>
      <c r="L174" s="10" t="s">
        <v>25</v>
      </c>
      <c r="M174" s="10" t="s">
        <v>162</v>
      </c>
    </row>
    <row r="175" spans="1:13" x14ac:dyDescent="0.25">
      <c r="A175" s="13" t="str">
        <f t="shared" si="4"/>
        <v>507142416120</v>
      </c>
      <c r="B175" s="10">
        <v>1004058990</v>
      </c>
      <c r="C175" s="10">
        <v>507142416</v>
      </c>
      <c r="D175" s="10">
        <v>120</v>
      </c>
      <c r="E175" s="10" t="s">
        <v>10</v>
      </c>
      <c r="F175" s="10">
        <v>1255973</v>
      </c>
      <c r="G175" s="10" t="s">
        <v>238</v>
      </c>
      <c r="H175" s="11">
        <v>10217</v>
      </c>
      <c r="I175" s="10">
        <v>0</v>
      </c>
      <c r="J175" s="11">
        <f t="shared" si="5"/>
        <v>10217</v>
      </c>
      <c r="K175" s="12">
        <f>VLOOKUP(A175,[4]VA05!$A:$K,11,FALSE)</f>
        <v>45573</v>
      </c>
      <c r="L175" s="10" t="s">
        <v>12</v>
      </c>
      <c r="M175" s="10" t="s">
        <v>194</v>
      </c>
    </row>
    <row r="176" spans="1:13" x14ac:dyDescent="0.25">
      <c r="A176" s="13" t="str">
        <f t="shared" si="4"/>
        <v>50714271370</v>
      </c>
      <c r="B176" s="10">
        <v>1004042923</v>
      </c>
      <c r="C176" s="10">
        <v>507142713</v>
      </c>
      <c r="D176" s="10">
        <v>70</v>
      </c>
      <c r="E176" s="10" t="s">
        <v>10</v>
      </c>
      <c r="F176" s="10">
        <v>1256197</v>
      </c>
      <c r="G176" s="10" t="s">
        <v>139</v>
      </c>
      <c r="H176" s="11">
        <v>10217</v>
      </c>
      <c r="I176" s="10">
        <v>0</v>
      </c>
      <c r="J176" s="11">
        <f t="shared" si="5"/>
        <v>10217</v>
      </c>
      <c r="K176" s="12">
        <f>VLOOKUP(A176,[4]VA05!$A:$K,11,FALSE)</f>
        <v>45591</v>
      </c>
      <c r="L176" s="10" t="s">
        <v>13</v>
      </c>
      <c r="M176" s="10" t="s">
        <v>142</v>
      </c>
    </row>
    <row r="177" spans="1:13" x14ac:dyDescent="0.25">
      <c r="A177" s="13" t="str">
        <f t="shared" si="4"/>
        <v>50714264830</v>
      </c>
      <c r="B177" s="10">
        <v>1004052621</v>
      </c>
      <c r="C177" s="10">
        <v>507142648</v>
      </c>
      <c r="D177" s="10">
        <v>30</v>
      </c>
      <c r="E177" s="10" t="s">
        <v>10</v>
      </c>
      <c r="F177" s="10">
        <v>1168127</v>
      </c>
      <c r="G177" s="10" t="s">
        <v>21</v>
      </c>
      <c r="H177" s="11">
        <v>71748</v>
      </c>
      <c r="I177" s="11">
        <v>69363</v>
      </c>
      <c r="J177" s="11">
        <f t="shared" si="5"/>
        <v>2385</v>
      </c>
      <c r="K177" s="12">
        <f>VLOOKUP(A177,[4]VA05!$A:$K,11,FALSE)</f>
        <v>45581</v>
      </c>
      <c r="L177" s="10" t="s">
        <v>18</v>
      </c>
      <c r="M177" s="10" t="s">
        <v>162</v>
      </c>
    </row>
    <row r="178" spans="1:13" x14ac:dyDescent="0.25">
      <c r="A178" s="13" t="str">
        <f t="shared" si="4"/>
        <v>507142416150</v>
      </c>
      <c r="B178" s="10">
        <v>1004052622</v>
      </c>
      <c r="C178" s="10">
        <v>507142416</v>
      </c>
      <c r="D178" s="10">
        <v>150</v>
      </c>
      <c r="E178" s="10" t="s">
        <v>10</v>
      </c>
      <c r="F178" s="10">
        <v>1168127</v>
      </c>
      <c r="G178" s="10" t="s">
        <v>21</v>
      </c>
      <c r="H178" s="11">
        <v>10217</v>
      </c>
      <c r="I178" s="10">
        <v>0</v>
      </c>
      <c r="J178" s="11">
        <f t="shared" si="5"/>
        <v>10217</v>
      </c>
      <c r="K178" s="12">
        <f>VLOOKUP(A178,[4]VA05!$A:$K,11,FALSE)</f>
        <v>45576</v>
      </c>
      <c r="L178" s="10" t="s">
        <v>56</v>
      </c>
      <c r="M178" s="10" t="s">
        <v>162</v>
      </c>
    </row>
    <row r="179" spans="1:13" x14ac:dyDescent="0.25">
      <c r="A179" s="13" t="str">
        <f t="shared" si="4"/>
        <v>50714278810</v>
      </c>
      <c r="B179" s="10">
        <v>1004052623</v>
      </c>
      <c r="C179" s="10">
        <v>507142788</v>
      </c>
      <c r="D179" s="10">
        <v>10</v>
      </c>
      <c r="E179" s="10" t="s">
        <v>10</v>
      </c>
      <c r="F179" s="10">
        <v>1168127</v>
      </c>
      <c r="G179" s="10" t="s">
        <v>21</v>
      </c>
      <c r="H179" s="11">
        <v>56529</v>
      </c>
      <c r="I179" s="10">
        <v>0</v>
      </c>
      <c r="J179" s="11">
        <f t="shared" si="5"/>
        <v>56529</v>
      </c>
      <c r="K179" s="12">
        <f>VLOOKUP(A179,[4]VA05!$A:$K,11,FALSE)</f>
        <v>45582</v>
      </c>
      <c r="L179" s="10" t="s">
        <v>12</v>
      </c>
      <c r="M179" s="10" t="s">
        <v>162</v>
      </c>
    </row>
    <row r="180" spans="1:13" x14ac:dyDescent="0.25">
      <c r="A180" s="13" t="str">
        <f t="shared" si="4"/>
        <v>50714271380</v>
      </c>
      <c r="B180" s="10">
        <v>1004052624</v>
      </c>
      <c r="C180" s="10">
        <v>507142713</v>
      </c>
      <c r="D180" s="10">
        <v>80</v>
      </c>
      <c r="E180" s="10" t="s">
        <v>10</v>
      </c>
      <c r="F180" s="10">
        <v>1168127</v>
      </c>
      <c r="G180" s="10" t="s">
        <v>21</v>
      </c>
      <c r="H180" s="11">
        <v>10217</v>
      </c>
      <c r="I180" s="10">
        <v>0</v>
      </c>
      <c r="J180" s="11">
        <f t="shared" si="5"/>
        <v>10217</v>
      </c>
      <c r="K180" s="12">
        <f>VLOOKUP(A180,[4]VA05!$A:$K,11,FALSE)</f>
        <v>45591</v>
      </c>
      <c r="L180" s="10" t="s">
        <v>12</v>
      </c>
      <c r="M180" s="10" t="s">
        <v>204</v>
      </c>
    </row>
    <row r="181" spans="1:13" x14ac:dyDescent="0.25">
      <c r="A181" s="13" t="str">
        <f t="shared" si="4"/>
        <v>50714281910</v>
      </c>
      <c r="B181" s="10">
        <v>1004062726</v>
      </c>
      <c r="C181" s="10">
        <v>507142819</v>
      </c>
      <c r="D181" s="10">
        <v>10</v>
      </c>
      <c r="E181" s="10" t="s">
        <v>10</v>
      </c>
      <c r="F181" s="10">
        <v>1168127</v>
      </c>
      <c r="G181" s="10" t="s">
        <v>21</v>
      </c>
      <c r="H181" s="11">
        <v>10871</v>
      </c>
      <c r="I181" s="10">
        <v>0</v>
      </c>
      <c r="J181" s="11">
        <f t="shared" si="5"/>
        <v>10871</v>
      </c>
      <c r="K181" s="12">
        <f>VLOOKUP(A181,[4]VA05!$A:$K,11,FALSE)</f>
        <v>45581</v>
      </c>
      <c r="L181" s="10" t="s">
        <v>12</v>
      </c>
      <c r="M181" s="10" t="s">
        <v>157</v>
      </c>
    </row>
    <row r="182" spans="1:13" x14ac:dyDescent="0.25">
      <c r="A182" s="13" t="str">
        <f t="shared" si="4"/>
        <v>50714282010</v>
      </c>
      <c r="B182" s="10">
        <v>1004062727</v>
      </c>
      <c r="C182" s="10">
        <v>507142820</v>
      </c>
      <c r="D182" s="10">
        <v>10</v>
      </c>
      <c r="E182" s="10" t="s">
        <v>10</v>
      </c>
      <c r="F182" s="10">
        <v>1168127</v>
      </c>
      <c r="G182" s="10" t="s">
        <v>21</v>
      </c>
      <c r="H182" s="11">
        <v>26091</v>
      </c>
      <c r="I182" s="10">
        <v>0</v>
      </c>
      <c r="J182" s="11">
        <f t="shared" si="5"/>
        <v>26091</v>
      </c>
      <c r="K182" s="12">
        <f>VLOOKUP(A182,[4]VA05!$A:$K,11,FALSE)</f>
        <v>45587</v>
      </c>
      <c r="L182" s="10" t="s">
        <v>12</v>
      </c>
      <c r="M182" s="10" t="s">
        <v>177</v>
      </c>
    </row>
    <row r="183" spans="1:13" x14ac:dyDescent="0.25">
      <c r="A183" s="13" t="str">
        <f t="shared" si="4"/>
        <v>50714282110</v>
      </c>
      <c r="B183" s="10">
        <v>1004062728</v>
      </c>
      <c r="C183" s="10">
        <v>507142821</v>
      </c>
      <c r="D183" s="10">
        <v>10</v>
      </c>
      <c r="E183" s="10" t="s">
        <v>10</v>
      </c>
      <c r="F183" s="10">
        <v>1168127</v>
      </c>
      <c r="G183" s="10" t="s">
        <v>21</v>
      </c>
      <c r="H183" s="11">
        <v>14571</v>
      </c>
      <c r="I183" s="10">
        <v>0</v>
      </c>
      <c r="J183" s="11">
        <f t="shared" si="5"/>
        <v>14571</v>
      </c>
      <c r="K183" s="12">
        <f>VLOOKUP(A183,[4]VA05!$A:$K,11,FALSE)</f>
        <v>45589</v>
      </c>
      <c r="L183" s="10" t="s">
        <v>12</v>
      </c>
      <c r="M183" s="10" t="s">
        <v>199</v>
      </c>
    </row>
    <row r="184" spans="1:13" x14ac:dyDescent="0.25">
      <c r="A184" s="13" t="str">
        <f t="shared" si="4"/>
        <v>50714282210</v>
      </c>
      <c r="B184" s="10">
        <v>1004062789</v>
      </c>
      <c r="C184" s="10">
        <v>507142822</v>
      </c>
      <c r="D184" s="10">
        <v>10</v>
      </c>
      <c r="E184" s="10" t="s">
        <v>10</v>
      </c>
      <c r="F184" s="10">
        <v>1168127</v>
      </c>
      <c r="G184" s="10" t="s">
        <v>21</v>
      </c>
      <c r="H184" s="11">
        <v>26091</v>
      </c>
      <c r="I184" s="10">
        <v>0</v>
      </c>
      <c r="J184" s="11">
        <f t="shared" si="5"/>
        <v>26091</v>
      </c>
      <c r="K184" s="12">
        <f>VLOOKUP(A184,[4]VA05!$A:$K,11,FALSE)</f>
        <v>45589</v>
      </c>
      <c r="L184" s="10" t="s">
        <v>12</v>
      </c>
      <c r="M184" s="10" t="s">
        <v>199</v>
      </c>
    </row>
    <row r="185" spans="1:13" x14ac:dyDescent="0.25">
      <c r="A185" s="13" t="str">
        <f t="shared" si="4"/>
        <v>50714282310</v>
      </c>
      <c r="B185" s="10">
        <v>1004062791</v>
      </c>
      <c r="C185" s="10">
        <v>507142823</v>
      </c>
      <c r="D185" s="10">
        <v>10</v>
      </c>
      <c r="E185" s="10" t="s">
        <v>10</v>
      </c>
      <c r="F185" s="10">
        <v>1168127</v>
      </c>
      <c r="G185" s="10" t="s">
        <v>21</v>
      </c>
      <c r="H185" s="11">
        <v>26091</v>
      </c>
      <c r="I185" s="10">
        <v>0</v>
      </c>
      <c r="J185" s="11">
        <f t="shared" si="5"/>
        <v>26091</v>
      </c>
      <c r="K185" s="12">
        <f>VLOOKUP(A185,[4]VA05!$A:$K,11,FALSE)</f>
        <v>45589</v>
      </c>
      <c r="L185" s="10" t="s">
        <v>12</v>
      </c>
      <c r="M185" s="10" t="s">
        <v>109</v>
      </c>
    </row>
    <row r="186" spans="1:13" x14ac:dyDescent="0.25">
      <c r="A186" s="13" t="str">
        <f t="shared" si="4"/>
        <v>507142416150</v>
      </c>
      <c r="B186" s="10">
        <v>1004051561</v>
      </c>
      <c r="C186" s="10">
        <v>507142416</v>
      </c>
      <c r="D186" s="10">
        <v>150</v>
      </c>
      <c r="E186" s="10" t="s">
        <v>10</v>
      </c>
      <c r="F186" s="10">
        <v>1269318</v>
      </c>
      <c r="G186" s="10" t="s">
        <v>170</v>
      </c>
      <c r="H186" s="11">
        <v>10217</v>
      </c>
      <c r="I186" s="10">
        <v>0</v>
      </c>
      <c r="J186" s="11">
        <f t="shared" si="5"/>
        <v>10217</v>
      </c>
      <c r="K186" s="12">
        <f>VLOOKUP(A186,[4]VA05!$A:$K,11,FALSE)</f>
        <v>45576</v>
      </c>
      <c r="L186" s="10" t="s">
        <v>56</v>
      </c>
      <c r="M186" s="10" t="s">
        <v>162</v>
      </c>
    </row>
    <row r="187" spans="1:13" x14ac:dyDescent="0.25">
      <c r="A187" s="13" t="str">
        <f t="shared" si="4"/>
        <v>507142416130</v>
      </c>
      <c r="B187" s="10">
        <v>1004058014</v>
      </c>
      <c r="C187" s="10">
        <v>507142416</v>
      </c>
      <c r="D187" s="10">
        <v>130</v>
      </c>
      <c r="E187" s="10" t="s">
        <v>10</v>
      </c>
      <c r="F187" s="10">
        <v>1255976</v>
      </c>
      <c r="G187" s="10" t="s">
        <v>229</v>
      </c>
      <c r="H187" s="11">
        <v>10217</v>
      </c>
      <c r="I187" s="10">
        <v>0</v>
      </c>
      <c r="J187" s="11">
        <f t="shared" si="5"/>
        <v>10217</v>
      </c>
      <c r="K187" s="12">
        <f>VLOOKUP(A187,[4]VA05!$A:$K,11,FALSE)</f>
        <v>45573</v>
      </c>
      <c r="L187" s="10" t="s">
        <v>56</v>
      </c>
      <c r="M187" s="10" t="s">
        <v>194</v>
      </c>
    </row>
    <row r="188" spans="1:13" x14ac:dyDescent="0.25">
      <c r="A188" s="13" t="str">
        <f t="shared" si="4"/>
        <v>50714271380</v>
      </c>
      <c r="B188" s="10">
        <v>1004058015</v>
      </c>
      <c r="C188" s="10">
        <v>507142713</v>
      </c>
      <c r="D188" s="10">
        <v>80</v>
      </c>
      <c r="E188" s="10" t="s">
        <v>10</v>
      </c>
      <c r="F188" s="10">
        <v>1256193</v>
      </c>
      <c r="G188" s="10" t="s">
        <v>230</v>
      </c>
      <c r="H188" s="11">
        <v>10217</v>
      </c>
      <c r="I188" s="10">
        <v>0</v>
      </c>
      <c r="J188" s="11">
        <f t="shared" si="5"/>
        <v>10217</v>
      </c>
      <c r="K188" s="12">
        <f>VLOOKUP(A188,[4]VA05!$A:$K,11,FALSE)</f>
        <v>45591</v>
      </c>
      <c r="L188" s="10" t="s">
        <v>12</v>
      </c>
      <c r="M188" s="10" t="s">
        <v>204</v>
      </c>
    </row>
    <row r="189" spans="1:13" x14ac:dyDescent="0.25">
      <c r="A189" s="13" t="str">
        <f t="shared" si="4"/>
        <v>50714282210</v>
      </c>
      <c r="B189" s="10">
        <v>1004062956</v>
      </c>
      <c r="C189" s="10">
        <v>507142822</v>
      </c>
      <c r="D189" s="10">
        <v>10</v>
      </c>
      <c r="E189" s="10" t="s">
        <v>10</v>
      </c>
      <c r="F189" s="10">
        <v>1153314</v>
      </c>
      <c r="G189" s="10" t="s">
        <v>60</v>
      </c>
      <c r="H189" s="11">
        <v>26091</v>
      </c>
      <c r="I189" s="10">
        <v>0</v>
      </c>
      <c r="J189" s="11">
        <f t="shared" si="5"/>
        <v>26091</v>
      </c>
      <c r="K189" s="12">
        <f>VLOOKUP(A189,[4]VA05!$A:$K,11,FALSE)</f>
        <v>45589</v>
      </c>
      <c r="L189" s="10" t="s">
        <v>12</v>
      </c>
      <c r="M189" s="10" t="s">
        <v>203</v>
      </c>
    </row>
    <row r="190" spans="1:13" x14ac:dyDescent="0.25">
      <c r="A190" s="13" t="str">
        <f t="shared" si="4"/>
        <v>50714282110</v>
      </c>
      <c r="B190" s="10">
        <v>1004062957</v>
      </c>
      <c r="C190" s="10">
        <v>507142821</v>
      </c>
      <c r="D190" s="10">
        <v>10</v>
      </c>
      <c r="E190" s="10" t="s">
        <v>10</v>
      </c>
      <c r="F190" s="10">
        <v>1153314</v>
      </c>
      <c r="G190" s="10" t="s">
        <v>60</v>
      </c>
      <c r="H190" s="11">
        <v>26091</v>
      </c>
      <c r="I190" s="10">
        <v>0</v>
      </c>
      <c r="J190" s="11">
        <f t="shared" si="5"/>
        <v>26091</v>
      </c>
      <c r="K190" s="12">
        <f>VLOOKUP(A190,[4]VA05!$A:$K,11,FALSE)</f>
        <v>45589</v>
      </c>
      <c r="L190" s="10" t="s">
        <v>12</v>
      </c>
      <c r="M190" s="10" t="s">
        <v>203</v>
      </c>
    </row>
    <row r="191" spans="1:13" x14ac:dyDescent="0.25">
      <c r="A191" s="13" t="str">
        <f t="shared" si="4"/>
        <v>50714239390</v>
      </c>
      <c r="B191" s="10">
        <v>1004032825</v>
      </c>
      <c r="C191" s="10">
        <v>507142393</v>
      </c>
      <c r="D191" s="10">
        <v>90</v>
      </c>
      <c r="E191" s="10" t="s">
        <v>10</v>
      </c>
      <c r="F191" s="10">
        <v>1416751</v>
      </c>
      <c r="G191" s="10" t="s">
        <v>57</v>
      </c>
      <c r="H191" s="11">
        <v>45642</v>
      </c>
      <c r="I191" s="10">
        <v>0</v>
      </c>
      <c r="J191" s="11">
        <f t="shared" si="5"/>
        <v>45642</v>
      </c>
      <c r="K191" s="12" t="e">
        <f>VLOOKUP(A191,[4]VA05!$A:$K,11,FALSE)</f>
        <v>#N/A</v>
      </c>
      <c r="L191" s="10" t="s">
        <v>12</v>
      </c>
      <c r="M191" s="10" t="s">
        <v>73</v>
      </c>
    </row>
    <row r="192" spans="1:13" hidden="1" x14ac:dyDescent="0.25">
      <c r="A192" s="13" t="str">
        <f t="shared" si="4"/>
        <v>50714256720</v>
      </c>
      <c r="B192" s="10">
        <v>1004044948</v>
      </c>
      <c r="C192" s="10">
        <v>507142567</v>
      </c>
      <c r="D192" s="10">
        <v>20</v>
      </c>
      <c r="E192" s="10" t="s">
        <v>10</v>
      </c>
      <c r="F192" s="10">
        <v>1169065</v>
      </c>
      <c r="G192" s="10" t="s">
        <v>83</v>
      </c>
      <c r="H192" s="11">
        <v>17711</v>
      </c>
      <c r="I192" s="11">
        <v>17711</v>
      </c>
      <c r="J192" s="11">
        <f t="shared" si="5"/>
        <v>0</v>
      </c>
      <c r="K192" s="12">
        <f>VLOOKUP(A192,[4]VA05!$A:$K,11,FALSE)</f>
        <v>45561</v>
      </c>
      <c r="L192" s="10" t="s">
        <v>28</v>
      </c>
      <c r="M192" s="10" t="s">
        <v>178</v>
      </c>
    </row>
    <row r="193" spans="1:13" x14ac:dyDescent="0.25">
      <c r="A193" s="13" t="str">
        <f t="shared" si="4"/>
        <v>50714256730</v>
      </c>
      <c r="B193" s="10">
        <v>1004052387</v>
      </c>
      <c r="C193" s="10">
        <v>507142567</v>
      </c>
      <c r="D193" s="10">
        <v>30</v>
      </c>
      <c r="E193" s="10" t="s">
        <v>10</v>
      </c>
      <c r="F193" s="10">
        <v>1171801</v>
      </c>
      <c r="G193" s="10" t="s">
        <v>71</v>
      </c>
      <c r="H193" s="11">
        <v>16066</v>
      </c>
      <c r="I193" s="11">
        <v>10410</v>
      </c>
      <c r="J193" s="11">
        <f t="shared" si="5"/>
        <v>5656</v>
      </c>
      <c r="K193" s="12">
        <f>VLOOKUP(A193,[4]VA05!$A:$K,11,FALSE)</f>
        <v>45561</v>
      </c>
      <c r="L193" s="10" t="s">
        <v>18</v>
      </c>
      <c r="M193" s="10" t="s">
        <v>155</v>
      </c>
    </row>
    <row r="194" spans="1:13" x14ac:dyDescent="0.25">
      <c r="A194" s="13" t="str">
        <f t="shared" si="4"/>
        <v>50714256520</v>
      </c>
      <c r="B194" s="10">
        <v>1004052388</v>
      </c>
      <c r="C194" s="10">
        <v>507142565</v>
      </c>
      <c r="D194" s="10">
        <v>20</v>
      </c>
      <c r="E194" s="10" t="s">
        <v>10</v>
      </c>
      <c r="F194" s="10">
        <v>1171801</v>
      </c>
      <c r="G194" s="10" t="s">
        <v>71</v>
      </c>
      <c r="H194" s="11">
        <v>79905</v>
      </c>
      <c r="I194" s="10">
        <v>0</v>
      </c>
      <c r="J194" s="11">
        <f t="shared" si="5"/>
        <v>79905</v>
      </c>
      <c r="K194" s="12">
        <f>VLOOKUP(A194,[4]VA05!$A:$K,11,FALSE)</f>
        <v>45580</v>
      </c>
      <c r="L194" s="10" t="s">
        <v>13</v>
      </c>
      <c r="M194" s="10" t="s">
        <v>180</v>
      </c>
    </row>
    <row r="195" spans="1:13" hidden="1" x14ac:dyDescent="0.25">
      <c r="A195" s="13" t="str">
        <f t="shared" si="4"/>
        <v>50714187310</v>
      </c>
      <c r="B195" s="10">
        <v>1003935029</v>
      </c>
      <c r="C195" s="10">
        <v>507141873</v>
      </c>
      <c r="D195" s="10">
        <v>10</v>
      </c>
      <c r="E195" s="10" t="s">
        <v>10</v>
      </c>
      <c r="F195" s="10">
        <v>1411092</v>
      </c>
      <c r="G195" s="10" t="s">
        <v>277</v>
      </c>
      <c r="H195" s="11">
        <v>30900</v>
      </c>
      <c r="I195" s="10">
        <v>0</v>
      </c>
      <c r="J195" s="11">
        <f t="shared" si="5"/>
        <v>30900</v>
      </c>
      <c r="K195" s="12" t="e">
        <f>VLOOKUP(A195,[4]VA05!$A:$K,11,FALSE)</f>
        <v>#N/A</v>
      </c>
      <c r="L195" s="10" t="s">
        <v>278</v>
      </c>
      <c r="M195" s="10" t="s">
        <v>279</v>
      </c>
    </row>
    <row r="196" spans="1:13" hidden="1" x14ac:dyDescent="0.25">
      <c r="A196" s="13" t="str">
        <f t="shared" ref="A196:A259" si="6">C196&amp;D196</f>
        <v>50714276210</v>
      </c>
      <c r="B196" s="10">
        <v>1004062062</v>
      </c>
      <c r="C196" s="10">
        <v>507142762</v>
      </c>
      <c r="D196" s="10">
        <v>10</v>
      </c>
      <c r="E196" s="10" t="s">
        <v>24</v>
      </c>
      <c r="F196" s="10">
        <v>1162016</v>
      </c>
      <c r="G196" s="10" t="s">
        <v>172</v>
      </c>
      <c r="H196" s="11">
        <v>10000</v>
      </c>
      <c r="I196" s="10">
        <v>0</v>
      </c>
      <c r="J196" s="11">
        <f t="shared" ref="J196:J259" si="7">H196-I196</f>
        <v>10000</v>
      </c>
      <c r="K196" s="12">
        <f>VLOOKUP(A196,[4]VA05!$A:$K,11,FALSE)</f>
        <v>45570</v>
      </c>
      <c r="L196" s="10" t="s">
        <v>29</v>
      </c>
      <c r="M196" s="10" t="s">
        <v>162</v>
      </c>
    </row>
    <row r="197" spans="1:13" x14ac:dyDescent="0.25">
      <c r="A197" s="13" t="str">
        <f t="shared" si="6"/>
        <v>50714263610</v>
      </c>
      <c r="B197" s="10">
        <v>1004040222</v>
      </c>
      <c r="C197" s="10">
        <v>507142636</v>
      </c>
      <c r="D197" s="10">
        <v>10</v>
      </c>
      <c r="E197" s="10" t="s">
        <v>10</v>
      </c>
      <c r="F197" s="10">
        <v>1437043</v>
      </c>
      <c r="G197" s="10" t="s">
        <v>115</v>
      </c>
      <c r="H197" s="11">
        <v>51125</v>
      </c>
      <c r="I197" s="11">
        <v>43670</v>
      </c>
      <c r="J197" s="11">
        <f t="shared" si="7"/>
        <v>7455</v>
      </c>
      <c r="K197" s="12">
        <f>VLOOKUP(A197,[4]VA05!$A:$K,11,FALSE)</f>
        <v>45566</v>
      </c>
      <c r="L197" s="10" t="s">
        <v>11</v>
      </c>
      <c r="M197" s="10" t="s">
        <v>116</v>
      </c>
    </row>
    <row r="198" spans="1:13" x14ac:dyDescent="0.25">
      <c r="A198" s="13" t="str">
        <f t="shared" si="6"/>
        <v>50714276210</v>
      </c>
      <c r="B198" s="10">
        <v>1004051398</v>
      </c>
      <c r="C198" s="10">
        <v>507142762</v>
      </c>
      <c r="D198" s="10">
        <v>10</v>
      </c>
      <c r="E198" s="10" t="s">
        <v>10</v>
      </c>
      <c r="F198" s="10">
        <v>1162012</v>
      </c>
      <c r="G198" s="10" t="s">
        <v>173</v>
      </c>
      <c r="H198" s="11">
        <v>40900</v>
      </c>
      <c r="I198" s="11">
        <v>28687</v>
      </c>
      <c r="J198" s="11">
        <f t="shared" si="7"/>
        <v>12213</v>
      </c>
      <c r="K198" s="12">
        <f>VLOOKUP(A198,[4]VA05!$A:$K,11,FALSE)</f>
        <v>45570</v>
      </c>
      <c r="L198" s="10" t="s">
        <v>11</v>
      </c>
      <c r="M198" s="10" t="s">
        <v>178</v>
      </c>
    </row>
    <row r="199" spans="1:13" x14ac:dyDescent="0.25">
      <c r="A199" s="13" t="str">
        <f t="shared" si="6"/>
        <v>50714276210</v>
      </c>
      <c r="B199" s="10">
        <v>1004051399</v>
      </c>
      <c r="C199" s="10">
        <v>507142762</v>
      </c>
      <c r="D199" s="10">
        <v>10</v>
      </c>
      <c r="E199" s="10" t="s">
        <v>10</v>
      </c>
      <c r="F199" s="10">
        <v>1163168</v>
      </c>
      <c r="G199" s="10" t="s">
        <v>174</v>
      </c>
      <c r="H199" s="11">
        <v>40900</v>
      </c>
      <c r="I199" s="11">
        <v>36951</v>
      </c>
      <c r="J199" s="11">
        <f t="shared" si="7"/>
        <v>3949</v>
      </c>
      <c r="K199" s="12">
        <f>VLOOKUP(A199,[4]VA05!$A:$K,11,FALSE)</f>
        <v>45570</v>
      </c>
      <c r="L199" s="10" t="s">
        <v>11</v>
      </c>
      <c r="M199" s="10" t="s">
        <v>197</v>
      </c>
    </row>
    <row r="200" spans="1:13" hidden="1" x14ac:dyDescent="0.25">
      <c r="A200" s="13" t="str">
        <f t="shared" si="6"/>
        <v>50714194510</v>
      </c>
      <c r="B200" s="10">
        <v>1003974005</v>
      </c>
      <c r="C200" s="10">
        <v>507141945</v>
      </c>
      <c r="D200" s="10">
        <v>10</v>
      </c>
      <c r="E200" s="10" t="s">
        <v>24</v>
      </c>
      <c r="F200" s="10">
        <v>1193564</v>
      </c>
      <c r="G200" s="10" t="s">
        <v>280</v>
      </c>
      <c r="H200" s="11">
        <v>5113</v>
      </c>
      <c r="I200" s="10">
        <v>0</v>
      </c>
      <c r="J200" s="11">
        <f t="shared" si="7"/>
        <v>5113</v>
      </c>
      <c r="K200" s="12" t="e">
        <f>VLOOKUP(A200,[4]VA05!$A:$K,11,FALSE)</f>
        <v>#N/A</v>
      </c>
      <c r="L200" s="10" t="s">
        <v>260</v>
      </c>
      <c r="M200" s="10" t="s">
        <v>281</v>
      </c>
    </row>
    <row r="201" spans="1:13" hidden="1" x14ac:dyDescent="0.25">
      <c r="A201" s="13" t="str">
        <f t="shared" si="6"/>
        <v>50714263850</v>
      </c>
      <c r="B201" s="10">
        <v>1004049841</v>
      </c>
      <c r="C201" s="10">
        <v>507142638</v>
      </c>
      <c r="D201" s="10">
        <v>50</v>
      </c>
      <c r="E201" s="10" t="s">
        <v>10</v>
      </c>
      <c r="F201" s="10">
        <v>1361170</v>
      </c>
      <c r="G201" s="10" t="s">
        <v>103</v>
      </c>
      <c r="H201" s="11">
        <v>27540</v>
      </c>
      <c r="I201" s="11">
        <v>27540</v>
      </c>
      <c r="J201" s="11">
        <f t="shared" si="7"/>
        <v>0</v>
      </c>
      <c r="K201" s="12">
        <f>VLOOKUP(A201,[4]VA05!$A:$K,11,FALSE)</f>
        <v>45560</v>
      </c>
      <c r="L201" s="10" t="s">
        <v>224</v>
      </c>
      <c r="M201" s="10" t="s">
        <v>143</v>
      </c>
    </row>
    <row r="202" spans="1:13" hidden="1" x14ac:dyDescent="0.25">
      <c r="A202" s="13" t="str">
        <f t="shared" si="6"/>
        <v>50714263850</v>
      </c>
      <c r="B202" s="10">
        <v>1004049842</v>
      </c>
      <c r="C202" s="10">
        <v>507142638</v>
      </c>
      <c r="D202" s="10">
        <v>50</v>
      </c>
      <c r="E202" s="10" t="s">
        <v>10</v>
      </c>
      <c r="F202" s="10">
        <v>1361170</v>
      </c>
      <c r="G202" s="10" t="s">
        <v>103</v>
      </c>
      <c r="H202" s="11">
        <v>27540</v>
      </c>
      <c r="I202" s="11">
        <v>27540</v>
      </c>
      <c r="J202" s="11">
        <f t="shared" si="7"/>
        <v>0</v>
      </c>
      <c r="K202" s="12">
        <f>VLOOKUP(A202,[4]VA05!$A:$K,11,FALSE)</f>
        <v>45560</v>
      </c>
      <c r="L202" s="10" t="s">
        <v>11</v>
      </c>
      <c r="M202" s="10" t="s">
        <v>195</v>
      </c>
    </row>
    <row r="203" spans="1:13" x14ac:dyDescent="0.25">
      <c r="A203" s="13" t="str">
        <f t="shared" si="6"/>
        <v>50714263850</v>
      </c>
      <c r="B203" s="10">
        <v>1004049843</v>
      </c>
      <c r="C203" s="10">
        <v>507142638</v>
      </c>
      <c r="D203" s="10">
        <v>50</v>
      </c>
      <c r="E203" s="10" t="s">
        <v>10</v>
      </c>
      <c r="F203" s="10">
        <v>1361170</v>
      </c>
      <c r="G203" s="10" t="s">
        <v>103</v>
      </c>
      <c r="H203" s="11">
        <v>27270</v>
      </c>
      <c r="I203" s="10">
        <v>0</v>
      </c>
      <c r="J203" s="11">
        <f t="shared" si="7"/>
        <v>27270</v>
      </c>
      <c r="K203" s="12">
        <f>VLOOKUP(A203,[4]VA05!$A:$K,11,FALSE)</f>
        <v>45560</v>
      </c>
      <c r="L203" s="10" t="s">
        <v>117</v>
      </c>
      <c r="M203" s="10" t="s">
        <v>143</v>
      </c>
    </row>
    <row r="204" spans="1:13" x14ac:dyDescent="0.25">
      <c r="A204" s="13" t="str">
        <f t="shared" si="6"/>
        <v>50714273810</v>
      </c>
      <c r="B204" s="10">
        <v>1004051551</v>
      </c>
      <c r="C204" s="10">
        <v>507142738</v>
      </c>
      <c r="D204" s="10">
        <v>10</v>
      </c>
      <c r="E204" s="10" t="s">
        <v>10</v>
      </c>
      <c r="F204" s="10">
        <v>1361170</v>
      </c>
      <c r="G204" s="10" t="s">
        <v>103</v>
      </c>
      <c r="H204" s="11">
        <v>27540</v>
      </c>
      <c r="I204" s="10">
        <v>0</v>
      </c>
      <c r="J204" s="11">
        <f t="shared" si="7"/>
        <v>27540</v>
      </c>
      <c r="K204" s="12">
        <f>VLOOKUP(A204,[4]VA05!$A:$K,11,FALSE)</f>
        <v>45567</v>
      </c>
      <c r="L204" s="10" t="s">
        <v>12</v>
      </c>
      <c r="M204" s="10" t="s">
        <v>180</v>
      </c>
    </row>
    <row r="205" spans="1:13" x14ac:dyDescent="0.25">
      <c r="A205" s="13" t="str">
        <f t="shared" si="6"/>
        <v>50714273810</v>
      </c>
      <c r="B205" s="10">
        <v>1004051552</v>
      </c>
      <c r="C205" s="10">
        <v>507142738</v>
      </c>
      <c r="D205" s="10">
        <v>10</v>
      </c>
      <c r="E205" s="10" t="s">
        <v>10</v>
      </c>
      <c r="F205" s="10">
        <v>1361170</v>
      </c>
      <c r="G205" s="10" t="s">
        <v>103</v>
      </c>
      <c r="H205" s="11">
        <v>27540</v>
      </c>
      <c r="I205" s="10">
        <v>0</v>
      </c>
      <c r="J205" s="11">
        <f t="shared" si="7"/>
        <v>27540</v>
      </c>
      <c r="K205" s="12">
        <f>VLOOKUP(A205,[4]VA05!$A:$K,11,FALSE)</f>
        <v>45567</v>
      </c>
      <c r="L205" s="10" t="s">
        <v>12</v>
      </c>
      <c r="M205" s="10" t="s">
        <v>180</v>
      </c>
    </row>
    <row r="206" spans="1:13" x14ac:dyDescent="0.25">
      <c r="A206" s="13" t="str">
        <f t="shared" si="6"/>
        <v>50714273810</v>
      </c>
      <c r="B206" s="10">
        <v>1004051553</v>
      </c>
      <c r="C206" s="10">
        <v>507142738</v>
      </c>
      <c r="D206" s="10">
        <v>10</v>
      </c>
      <c r="E206" s="10" t="s">
        <v>10</v>
      </c>
      <c r="F206" s="10">
        <v>1361170</v>
      </c>
      <c r="G206" s="10" t="s">
        <v>103</v>
      </c>
      <c r="H206" s="11">
        <v>27540</v>
      </c>
      <c r="I206" s="10">
        <v>0</v>
      </c>
      <c r="J206" s="11">
        <f t="shared" si="7"/>
        <v>27540</v>
      </c>
      <c r="K206" s="12">
        <f>VLOOKUP(A206,[4]VA05!$A:$K,11,FALSE)</f>
        <v>45567</v>
      </c>
      <c r="L206" s="10" t="s">
        <v>12</v>
      </c>
      <c r="M206" s="10" t="s">
        <v>180</v>
      </c>
    </row>
    <row r="207" spans="1:13" x14ac:dyDescent="0.25">
      <c r="A207" s="13" t="str">
        <f t="shared" si="6"/>
        <v>50714273810</v>
      </c>
      <c r="B207" s="10">
        <v>1004051554</v>
      </c>
      <c r="C207" s="10">
        <v>507142738</v>
      </c>
      <c r="D207" s="10">
        <v>10</v>
      </c>
      <c r="E207" s="10" t="s">
        <v>10</v>
      </c>
      <c r="F207" s="10">
        <v>1361170</v>
      </c>
      <c r="G207" s="10" t="s">
        <v>103</v>
      </c>
      <c r="H207" s="11">
        <v>27540</v>
      </c>
      <c r="I207" s="10">
        <v>0</v>
      </c>
      <c r="J207" s="11">
        <f t="shared" si="7"/>
        <v>27540</v>
      </c>
      <c r="K207" s="12">
        <f>VLOOKUP(A207,[4]VA05!$A:$K,11,FALSE)</f>
        <v>45567</v>
      </c>
      <c r="L207" s="10" t="s">
        <v>12</v>
      </c>
      <c r="M207" s="10" t="s">
        <v>180</v>
      </c>
    </row>
    <row r="208" spans="1:13" x14ac:dyDescent="0.25">
      <c r="A208" s="13" t="str">
        <f t="shared" si="6"/>
        <v>50714269230</v>
      </c>
      <c r="B208" s="10">
        <v>1004059598</v>
      </c>
      <c r="C208" s="10">
        <v>507142692</v>
      </c>
      <c r="D208" s="10">
        <v>30</v>
      </c>
      <c r="E208" s="10" t="s">
        <v>10</v>
      </c>
      <c r="F208" s="10">
        <v>1367372</v>
      </c>
      <c r="G208" s="10" t="s">
        <v>62</v>
      </c>
      <c r="H208" s="11">
        <v>25110</v>
      </c>
      <c r="I208" s="11">
        <v>13396</v>
      </c>
      <c r="J208" s="11">
        <f t="shared" si="7"/>
        <v>11714</v>
      </c>
      <c r="K208" s="12">
        <f>VLOOKUP(A208,[4]VA05!$A:$K,11,FALSE)</f>
        <v>45567</v>
      </c>
      <c r="L208" s="10" t="s">
        <v>34</v>
      </c>
      <c r="M208" s="10" t="s">
        <v>197</v>
      </c>
    </row>
    <row r="209" spans="1:13" x14ac:dyDescent="0.25">
      <c r="A209" s="13" t="str">
        <f t="shared" si="6"/>
        <v>50714269230</v>
      </c>
      <c r="B209" s="10">
        <v>1004059599</v>
      </c>
      <c r="C209" s="10">
        <v>507142692</v>
      </c>
      <c r="D209" s="10">
        <v>30</v>
      </c>
      <c r="E209" s="10" t="s">
        <v>10</v>
      </c>
      <c r="F209" s="10">
        <v>1367372</v>
      </c>
      <c r="G209" s="10" t="s">
        <v>62</v>
      </c>
      <c r="H209" s="11">
        <v>25110</v>
      </c>
      <c r="I209" s="11"/>
      <c r="J209" s="11">
        <f t="shared" si="7"/>
        <v>25110</v>
      </c>
      <c r="K209" s="12">
        <f>VLOOKUP(A209,[4]VA05!$A:$K,11,FALSE)</f>
        <v>45567</v>
      </c>
      <c r="L209" s="10" t="s">
        <v>234</v>
      </c>
      <c r="M209" s="10" t="s">
        <v>178</v>
      </c>
    </row>
    <row r="210" spans="1:13" x14ac:dyDescent="0.25">
      <c r="A210" s="13" t="str">
        <f t="shared" si="6"/>
        <v>50714269230</v>
      </c>
      <c r="B210" s="10">
        <v>1004059600</v>
      </c>
      <c r="C210" s="10">
        <v>507142692</v>
      </c>
      <c r="D210" s="10">
        <v>30</v>
      </c>
      <c r="E210" s="10" t="s">
        <v>10</v>
      </c>
      <c r="F210" s="10">
        <v>1367372</v>
      </c>
      <c r="G210" s="10" t="s">
        <v>62</v>
      </c>
      <c r="H210" s="11">
        <v>25110</v>
      </c>
      <c r="I210" s="11"/>
      <c r="J210" s="11">
        <f t="shared" si="7"/>
        <v>25110</v>
      </c>
      <c r="K210" s="12">
        <f>VLOOKUP(A210,[4]VA05!$A:$K,11,FALSE)</f>
        <v>45567</v>
      </c>
      <c r="L210" s="10" t="s">
        <v>234</v>
      </c>
      <c r="M210" s="10" t="s">
        <v>178</v>
      </c>
    </row>
    <row r="211" spans="1:13" x14ac:dyDescent="0.25">
      <c r="A211" s="13" t="str">
        <f t="shared" si="6"/>
        <v>50714269230</v>
      </c>
      <c r="B211" s="10">
        <v>1004059601</v>
      </c>
      <c r="C211" s="10">
        <v>507142692</v>
      </c>
      <c r="D211" s="10">
        <v>30</v>
      </c>
      <c r="E211" s="10" t="s">
        <v>10</v>
      </c>
      <c r="F211" s="10">
        <v>1367372</v>
      </c>
      <c r="G211" s="10" t="s">
        <v>62</v>
      </c>
      <c r="H211" s="11">
        <v>24570</v>
      </c>
      <c r="I211" s="11"/>
      <c r="J211" s="11">
        <f t="shared" si="7"/>
        <v>24570</v>
      </c>
      <c r="K211" s="12">
        <f>VLOOKUP(A211,[4]VA05!$A:$K,11,FALSE)</f>
        <v>45567</v>
      </c>
      <c r="L211" s="10" t="s">
        <v>235</v>
      </c>
      <c r="M211" s="10" t="s">
        <v>178</v>
      </c>
    </row>
    <row r="212" spans="1:13" hidden="1" x14ac:dyDescent="0.25">
      <c r="A212" s="13" t="str">
        <f t="shared" si="6"/>
        <v>50714208620</v>
      </c>
      <c r="B212" s="10">
        <v>1003976459</v>
      </c>
      <c r="C212" s="10">
        <v>507142086</v>
      </c>
      <c r="D212" s="10">
        <v>20</v>
      </c>
      <c r="E212" s="10" t="s">
        <v>10</v>
      </c>
      <c r="F212" s="10">
        <v>1361175</v>
      </c>
      <c r="G212" s="10" t="s">
        <v>22</v>
      </c>
      <c r="H212" s="11">
        <v>28350</v>
      </c>
      <c r="I212" s="10">
        <v>0</v>
      </c>
      <c r="J212" s="11">
        <f t="shared" si="7"/>
        <v>28350</v>
      </c>
      <c r="K212" s="12" t="e">
        <f>VLOOKUP(A212,[4]VA05!$A:$K,11,FALSE)</f>
        <v>#N/A</v>
      </c>
      <c r="L212" s="10" t="s">
        <v>260</v>
      </c>
      <c r="M212" s="10" t="s">
        <v>282</v>
      </c>
    </row>
    <row r="213" spans="1:13" hidden="1" x14ac:dyDescent="0.25">
      <c r="A213" s="13" t="str">
        <f t="shared" si="6"/>
        <v>50714208620</v>
      </c>
      <c r="B213" s="10">
        <v>1003976460</v>
      </c>
      <c r="C213" s="10">
        <v>507142086</v>
      </c>
      <c r="D213" s="10">
        <v>20</v>
      </c>
      <c r="E213" s="10" t="s">
        <v>10</v>
      </c>
      <c r="F213" s="10">
        <v>1361175</v>
      </c>
      <c r="G213" s="10" t="s">
        <v>22</v>
      </c>
      <c r="H213" s="11">
        <v>28350</v>
      </c>
      <c r="I213" s="10">
        <v>0</v>
      </c>
      <c r="J213" s="11">
        <f t="shared" si="7"/>
        <v>28350</v>
      </c>
      <c r="K213" s="12" t="e">
        <f>VLOOKUP(A213,[4]VA05!$A:$K,11,FALSE)</f>
        <v>#N/A</v>
      </c>
      <c r="L213" s="10" t="s">
        <v>260</v>
      </c>
      <c r="M213" s="10" t="s">
        <v>282</v>
      </c>
    </row>
    <row r="214" spans="1:13" hidden="1" x14ac:dyDescent="0.25">
      <c r="A214" s="13" t="str">
        <f t="shared" si="6"/>
        <v>50714208640</v>
      </c>
      <c r="B214" s="10">
        <v>1003976464</v>
      </c>
      <c r="C214" s="10">
        <v>507142086</v>
      </c>
      <c r="D214" s="10">
        <v>40</v>
      </c>
      <c r="E214" s="10" t="s">
        <v>10</v>
      </c>
      <c r="F214" s="10">
        <v>1361175</v>
      </c>
      <c r="G214" s="10" t="s">
        <v>22</v>
      </c>
      <c r="H214" s="11">
        <v>28350</v>
      </c>
      <c r="I214" s="10">
        <v>0</v>
      </c>
      <c r="J214" s="11">
        <f t="shared" si="7"/>
        <v>28350</v>
      </c>
      <c r="K214" s="12" t="e">
        <f>VLOOKUP(A214,[4]VA05!$A:$K,11,FALSE)</f>
        <v>#N/A</v>
      </c>
      <c r="L214" s="10" t="s">
        <v>260</v>
      </c>
      <c r="M214" s="10" t="s">
        <v>269</v>
      </c>
    </row>
    <row r="215" spans="1:13" hidden="1" x14ac:dyDescent="0.25">
      <c r="A215" s="13" t="str">
        <f t="shared" si="6"/>
        <v>50714208640</v>
      </c>
      <c r="B215" s="10">
        <v>1003976465</v>
      </c>
      <c r="C215" s="10">
        <v>507142086</v>
      </c>
      <c r="D215" s="10">
        <v>40</v>
      </c>
      <c r="E215" s="10" t="s">
        <v>10</v>
      </c>
      <c r="F215" s="10">
        <v>1361175</v>
      </c>
      <c r="G215" s="10" t="s">
        <v>22</v>
      </c>
      <c r="H215" s="11">
        <v>28350</v>
      </c>
      <c r="I215" s="10">
        <v>0</v>
      </c>
      <c r="J215" s="11">
        <f t="shared" si="7"/>
        <v>28350</v>
      </c>
      <c r="K215" s="12" t="e">
        <f>VLOOKUP(A215,[4]VA05!$A:$K,11,FALSE)</f>
        <v>#N/A</v>
      </c>
      <c r="L215" s="10" t="s">
        <v>260</v>
      </c>
      <c r="M215" s="10" t="s">
        <v>269</v>
      </c>
    </row>
    <row r="216" spans="1:13" hidden="1" x14ac:dyDescent="0.25">
      <c r="A216" s="13" t="str">
        <f t="shared" si="6"/>
        <v>50714208640</v>
      </c>
      <c r="B216" s="10">
        <v>1003976466</v>
      </c>
      <c r="C216" s="10">
        <v>507142086</v>
      </c>
      <c r="D216" s="10">
        <v>40</v>
      </c>
      <c r="E216" s="10" t="s">
        <v>10</v>
      </c>
      <c r="F216" s="10">
        <v>1361175</v>
      </c>
      <c r="G216" s="10" t="s">
        <v>22</v>
      </c>
      <c r="H216" s="11">
        <v>28350</v>
      </c>
      <c r="I216" s="10">
        <v>0</v>
      </c>
      <c r="J216" s="11">
        <f t="shared" si="7"/>
        <v>28350</v>
      </c>
      <c r="K216" s="12" t="e">
        <f>VLOOKUP(A216,[4]VA05!$A:$K,11,FALSE)</f>
        <v>#N/A</v>
      </c>
      <c r="L216" s="10" t="s">
        <v>260</v>
      </c>
      <c r="M216" s="10" t="s">
        <v>269</v>
      </c>
    </row>
    <row r="217" spans="1:13" hidden="1" x14ac:dyDescent="0.25">
      <c r="A217" s="13" t="str">
        <f t="shared" si="6"/>
        <v>50714208640</v>
      </c>
      <c r="B217" s="10">
        <v>1003976467</v>
      </c>
      <c r="C217" s="10">
        <v>507142086</v>
      </c>
      <c r="D217" s="10">
        <v>40</v>
      </c>
      <c r="E217" s="10" t="s">
        <v>10</v>
      </c>
      <c r="F217" s="10">
        <v>1361175</v>
      </c>
      <c r="G217" s="10" t="s">
        <v>22</v>
      </c>
      <c r="H217" s="11">
        <v>31590</v>
      </c>
      <c r="I217" s="10">
        <v>0</v>
      </c>
      <c r="J217" s="11">
        <f t="shared" si="7"/>
        <v>31590</v>
      </c>
      <c r="K217" s="12" t="e">
        <f>VLOOKUP(A217,[4]VA05!$A:$K,11,FALSE)</f>
        <v>#N/A</v>
      </c>
      <c r="L217" s="10" t="s">
        <v>260</v>
      </c>
      <c r="M217" s="10" t="s">
        <v>269</v>
      </c>
    </row>
    <row r="218" spans="1:13" hidden="1" x14ac:dyDescent="0.25">
      <c r="A218" s="13" t="str">
        <f t="shared" si="6"/>
        <v>50714208660</v>
      </c>
      <c r="B218" s="10">
        <v>1003976468</v>
      </c>
      <c r="C218" s="10">
        <v>507142086</v>
      </c>
      <c r="D218" s="10">
        <v>60</v>
      </c>
      <c r="E218" s="10" t="s">
        <v>10</v>
      </c>
      <c r="F218" s="10">
        <v>1361175</v>
      </c>
      <c r="G218" s="10" t="s">
        <v>22</v>
      </c>
      <c r="H218" s="11">
        <v>28350</v>
      </c>
      <c r="I218" s="10">
        <v>0</v>
      </c>
      <c r="J218" s="11">
        <f t="shared" si="7"/>
        <v>28350</v>
      </c>
      <c r="K218" s="12" t="e">
        <f>VLOOKUP(A218,[4]VA05!$A:$K,11,FALSE)</f>
        <v>#N/A</v>
      </c>
      <c r="L218" s="10" t="s">
        <v>260</v>
      </c>
      <c r="M218" s="10" t="s">
        <v>283</v>
      </c>
    </row>
    <row r="219" spans="1:13" hidden="1" x14ac:dyDescent="0.25">
      <c r="A219" s="13" t="str">
        <f t="shared" si="6"/>
        <v>50714208660</v>
      </c>
      <c r="B219" s="10">
        <v>1003976469</v>
      </c>
      <c r="C219" s="10">
        <v>507142086</v>
      </c>
      <c r="D219" s="10">
        <v>60</v>
      </c>
      <c r="E219" s="10" t="s">
        <v>10</v>
      </c>
      <c r="F219" s="10">
        <v>1361175</v>
      </c>
      <c r="G219" s="10" t="s">
        <v>22</v>
      </c>
      <c r="H219" s="11">
        <v>28350</v>
      </c>
      <c r="I219" s="10">
        <v>0</v>
      </c>
      <c r="J219" s="11">
        <f t="shared" si="7"/>
        <v>28350</v>
      </c>
      <c r="K219" s="12" t="e">
        <f>VLOOKUP(A219,[4]VA05!$A:$K,11,FALSE)</f>
        <v>#N/A</v>
      </c>
      <c r="L219" s="10" t="s">
        <v>260</v>
      </c>
      <c r="M219" s="10" t="s">
        <v>283</v>
      </c>
    </row>
    <row r="220" spans="1:13" hidden="1" x14ac:dyDescent="0.25">
      <c r="A220" s="13" t="str">
        <f t="shared" si="6"/>
        <v>50714208660</v>
      </c>
      <c r="B220" s="10">
        <v>1003976470</v>
      </c>
      <c r="C220" s="10">
        <v>507142086</v>
      </c>
      <c r="D220" s="10">
        <v>60</v>
      </c>
      <c r="E220" s="10" t="s">
        <v>10</v>
      </c>
      <c r="F220" s="10">
        <v>1361175</v>
      </c>
      <c r="G220" s="10" t="s">
        <v>22</v>
      </c>
      <c r="H220" s="11">
        <v>28350</v>
      </c>
      <c r="I220" s="10">
        <v>0</v>
      </c>
      <c r="J220" s="11">
        <f t="shared" si="7"/>
        <v>28350</v>
      </c>
      <c r="K220" s="12" t="e">
        <f>VLOOKUP(A220,[4]VA05!$A:$K,11,FALSE)</f>
        <v>#N/A</v>
      </c>
      <c r="L220" s="10" t="s">
        <v>260</v>
      </c>
      <c r="M220" s="10" t="s">
        <v>283</v>
      </c>
    </row>
    <row r="221" spans="1:13" hidden="1" x14ac:dyDescent="0.25">
      <c r="A221" s="13" t="str">
        <f t="shared" si="6"/>
        <v>50714208660</v>
      </c>
      <c r="B221" s="10">
        <v>1003976471</v>
      </c>
      <c r="C221" s="10">
        <v>507142086</v>
      </c>
      <c r="D221" s="10">
        <v>60</v>
      </c>
      <c r="E221" s="10" t="s">
        <v>10</v>
      </c>
      <c r="F221" s="10">
        <v>1361175</v>
      </c>
      <c r="G221" s="10" t="s">
        <v>22</v>
      </c>
      <c r="H221" s="11">
        <v>25110</v>
      </c>
      <c r="I221" s="10">
        <v>0</v>
      </c>
      <c r="J221" s="11">
        <f t="shared" si="7"/>
        <v>25110</v>
      </c>
      <c r="K221" s="12" t="e">
        <f>VLOOKUP(A221,[4]VA05!$A:$K,11,FALSE)</f>
        <v>#N/A</v>
      </c>
      <c r="L221" s="10" t="s">
        <v>260</v>
      </c>
      <c r="M221" s="10" t="s">
        <v>283</v>
      </c>
    </row>
    <row r="222" spans="1:13" x14ac:dyDescent="0.25">
      <c r="A222" s="13" t="str">
        <f t="shared" si="6"/>
        <v>50714263860</v>
      </c>
      <c r="B222" s="10">
        <v>1004049845</v>
      </c>
      <c r="C222" s="10">
        <v>507142638</v>
      </c>
      <c r="D222" s="10">
        <v>60</v>
      </c>
      <c r="E222" s="10" t="s">
        <v>10</v>
      </c>
      <c r="F222" s="10">
        <v>1361175</v>
      </c>
      <c r="G222" s="10" t="s">
        <v>22</v>
      </c>
      <c r="H222" s="11">
        <v>36850</v>
      </c>
      <c r="I222" s="11">
        <v>4576</v>
      </c>
      <c r="J222" s="11">
        <f t="shared" si="7"/>
        <v>32274</v>
      </c>
      <c r="K222" s="12">
        <f>VLOOKUP(A222,[4]VA05!$A:$K,11,FALSE)</f>
        <v>45560</v>
      </c>
      <c r="L222" s="10" t="s">
        <v>132</v>
      </c>
      <c r="M222" s="10" t="s">
        <v>143</v>
      </c>
    </row>
    <row r="223" spans="1:13" x14ac:dyDescent="0.25">
      <c r="A223" s="13" t="str">
        <f t="shared" si="6"/>
        <v>50714263860</v>
      </c>
      <c r="B223" s="10">
        <v>1004049846</v>
      </c>
      <c r="C223" s="10">
        <v>507142638</v>
      </c>
      <c r="D223" s="10">
        <v>60</v>
      </c>
      <c r="E223" s="10" t="s">
        <v>10</v>
      </c>
      <c r="F223" s="10">
        <v>1361175</v>
      </c>
      <c r="G223" s="10" t="s">
        <v>22</v>
      </c>
      <c r="H223" s="11">
        <v>36190</v>
      </c>
      <c r="I223" s="10">
        <v>0</v>
      </c>
      <c r="J223" s="11">
        <f t="shared" si="7"/>
        <v>36190</v>
      </c>
      <c r="K223" s="12">
        <f>VLOOKUP(A223,[4]VA05!$A:$K,11,FALSE)</f>
        <v>45560</v>
      </c>
      <c r="L223" s="10" t="s">
        <v>241</v>
      </c>
      <c r="M223" s="10" t="s">
        <v>97</v>
      </c>
    </row>
    <row r="224" spans="1:13" hidden="1" x14ac:dyDescent="0.25">
      <c r="A224" s="13" t="str">
        <f t="shared" si="6"/>
        <v>50714269240</v>
      </c>
      <c r="B224" s="10">
        <v>1004060927</v>
      </c>
      <c r="C224" s="10">
        <v>507142692</v>
      </c>
      <c r="D224" s="10">
        <v>40</v>
      </c>
      <c r="E224" s="10" t="s">
        <v>10</v>
      </c>
      <c r="F224" s="10">
        <v>1367370</v>
      </c>
      <c r="G224" s="10" t="s">
        <v>63</v>
      </c>
      <c r="H224" s="11">
        <v>32400</v>
      </c>
      <c r="I224" s="11">
        <v>32400</v>
      </c>
      <c r="J224" s="11">
        <f t="shared" si="7"/>
        <v>0</v>
      </c>
      <c r="K224" s="12">
        <f>VLOOKUP(A224,[4]VA05!$A:$K,11,FALSE)</f>
        <v>45567</v>
      </c>
      <c r="L224" s="10" t="s">
        <v>34</v>
      </c>
      <c r="M224" s="10" t="s">
        <v>178</v>
      </c>
    </row>
    <row r="225" spans="1:13" x14ac:dyDescent="0.25">
      <c r="A225" s="13" t="str">
        <f t="shared" si="6"/>
        <v>50714269240</v>
      </c>
      <c r="B225" s="10">
        <v>1004060928</v>
      </c>
      <c r="C225" s="10">
        <v>507142692</v>
      </c>
      <c r="D225" s="10">
        <v>40</v>
      </c>
      <c r="E225" s="10" t="s">
        <v>10</v>
      </c>
      <c r="F225" s="10">
        <v>1367370</v>
      </c>
      <c r="G225" s="10" t="s">
        <v>63</v>
      </c>
      <c r="H225" s="11">
        <v>32400</v>
      </c>
      <c r="I225" s="11">
        <v>4408</v>
      </c>
      <c r="J225" s="11">
        <f t="shared" si="7"/>
        <v>27992</v>
      </c>
      <c r="K225" s="12">
        <f>VLOOKUP(A225,[4]VA05!$A:$K,11,FALSE)</f>
        <v>45567</v>
      </c>
      <c r="L225" s="10" t="s">
        <v>28</v>
      </c>
      <c r="M225" s="10" t="s">
        <v>178</v>
      </c>
    </row>
    <row r="226" spans="1:13" x14ac:dyDescent="0.25">
      <c r="A226" s="13" t="str">
        <f t="shared" si="6"/>
        <v>50714269240</v>
      </c>
      <c r="B226" s="10">
        <v>1004061129</v>
      </c>
      <c r="C226" s="10">
        <v>507142692</v>
      </c>
      <c r="D226" s="10">
        <v>40</v>
      </c>
      <c r="E226" s="10" t="s">
        <v>10</v>
      </c>
      <c r="F226" s="10">
        <v>1367370</v>
      </c>
      <c r="G226" s="10" t="s">
        <v>63</v>
      </c>
      <c r="H226" s="11">
        <v>34400</v>
      </c>
      <c r="I226" s="11"/>
      <c r="J226" s="11">
        <f t="shared" si="7"/>
        <v>34400</v>
      </c>
      <c r="K226" s="12">
        <f>VLOOKUP(A226,[4]VA05!$A:$K,11,FALSE)</f>
        <v>45567</v>
      </c>
      <c r="L226" s="10" t="s">
        <v>235</v>
      </c>
      <c r="M226" s="10" t="s">
        <v>178</v>
      </c>
    </row>
    <row r="227" spans="1:13" hidden="1" x14ac:dyDescent="0.25">
      <c r="A227" s="13" t="str">
        <f t="shared" si="6"/>
        <v>50714200350</v>
      </c>
      <c r="B227" s="10">
        <v>1003967868</v>
      </c>
      <c r="C227" s="10">
        <v>507142003</v>
      </c>
      <c r="D227" s="10">
        <v>50</v>
      </c>
      <c r="E227" s="10" t="s">
        <v>10</v>
      </c>
      <c r="F227" s="10">
        <v>1361213</v>
      </c>
      <c r="G227" s="10" t="s">
        <v>23</v>
      </c>
      <c r="H227" s="11">
        <v>74809</v>
      </c>
      <c r="I227" s="10">
        <v>0</v>
      </c>
      <c r="J227" s="11">
        <f t="shared" si="7"/>
        <v>74809</v>
      </c>
      <c r="K227" s="12" t="e">
        <f>VLOOKUP(A227,[4]VA05!$A:$K,11,FALSE)</f>
        <v>#N/A</v>
      </c>
      <c r="L227" s="10" t="s">
        <v>260</v>
      </c>
      <c r="M227" s="10" t="s">
        <v>284</v>
      </c>
    </row>
    <row r="228" spans="1:13" x14ac:dyDescent="0.25">
      <c r="A228" s="13" t="str">
        <f t="shared" si="6"/>
        <v>50714263850</v>
      </c>
      <c r="B228" s="10">
        <v>1004043126</v>
      </c>
      <c r="C228" s="10">
        <v>507142638</v>
      </c>
      <c r="D228" s="10">
        <v>50</v>
      </c>
      <c r="E228" s="10" t="s">
        <v>10</v>
      </c>
      <c r="F228" s="10">
        <v>1361213</v>
      </c>
      <c r="G228" s="10" t="s">
        <v>23</v>
      </c>
      <c r="H228" s="11">
        <v>113187</v>
      </c>
      <c r="I228" s="11">
        <v>32228</v>
      </c>
      <c r="J228" s="11">
        <f t="shared" si="7"/>
        <v>80959</v>
      </c>
      <c r="K228" s="12">
        <f>VLOOKUP(A228,[4]VA05!$A:$K,11,FALSE)</f>
        <v>45560</v>
      </c>
      <c r="L228" s="10" t="s">
        <v>18</v>
      </c>
      <c r="M228" s="10" t="s">
        <v>178</v>
      </c>
    </row>
    <row r="229" spans="1:13" x14ac:dyDescent="0.25">
      <c r="A229" s="13" t="str">
        <f t="shared" si="6"/>
        <v>50714273810</v>
      </c>
      <c r="B229" s="10">
        <v>1004053617</v>
      </c>
      <c r="C229" s="10">
        <v>507142738</v>
      </c>
      <c r="D229" s="10">
        <v>10</v>
      </c>
      <c r="E229" s="10" t="s">
        <v>10</v>
      </c>
      <c r="F229" s="10">
        <v>1361213</v>
      </c>
      <c r="G229" s="10" t="s">
        <v>23</v>
      </c>
      <c r="H229" s="11">
        <v>113468</v>
      </c>
      <c r="I229" s="10">
        <v>0</v>
      </c>
      <c r="J229" s="11">
        <f t="shared" si="7"/>
        <v>113468</v>
      </c>
      <c r="K229" s="12">
        <f>VLOOKUP(A229,[4]VA05!$A:$K,11,FALSE)</f>
        <v>45567</v>
      </c>
      <c r="L229" s="10" t="s">
        <v>12</v>
      </c>
      <c r="M229" s="10" t="s">
        <v>130</v>
      </c>
    </row>
    <row r="230" spans="1:13" x14ac:dyDescent="0.25">
      <c r="A230" s="13" t="str">
        <f t="shared" si="6"/>
        <v>50714279010</v>
      </c>
      <c r="B230" s="10">
        <v>1004053618</v>
      </c>
      <c r="C230" s="10">
        <v>507142790</v>
      </c>
      <c r="D230" s="10">
        <v>10</v>
      </c>
      <c r="E230" s="10" t="s">
        <v>10</v>
      </c>
      <c r="F230" s="10">
        <v>1361213</v>
      </c>
      <c r="G230" s="10" t="s">
        <v>23</v>
      </c>
      <c r="H230" s="11">
        <v>113465</v>
      </c>
      <c r="I230" s="10">
        <v>0</v>
      </c>
      <c r="J230" s="11">
        <f t="shared" si="7"/>
        <v>113465</v>
      </c>
      <c r="K230" s="12">
        <f>VLOOKUP(A230,[4]VA05!$A:$K,11,FALSE)</f>
        <v>45583</v>
      </c>
      <c r="L230" s="10" t="s">
        <v>12</v>
      </c>
      <c r="M230" s="10" t="s">
        <v>180</v>
      </c>
    </row>
    <row r="231" spans="1:13" x14ac:dyDescent="0.25">
      <c r="A231" s="13" t="str">
        <f t="shared" si="6"/>
        <v>50714269230</v>
      </c>
      <c r="B231" s="10">
        <v>1004062502</v>
      </c>
      <c r="C231" s="10">
        <v>507142692</v>
      </c>
      <c r="D231" s="10">
        <v>30</v>
      </c>
      <c r="E231" s="10" t="s">
        <v>10</v>
      </c>
      <c r="F231" s="10">
        <v>1361213</v>
      </c>
      <c r="G231" s="10" t="s">
        <v>23</v>
      </c>
      <c r="H231" s="11">
        <v>102900</v>
      </c>
      <c r="I231" s="10">
        <v>0</v>
      </c>
      <c r="J231" s="11">
        <f t="shared" si="7"/>
        <v>102900</v>
      </c>
      <c r="K231" s="12">
        <f>VLOOKUP(A231,[4]VA05!$A:$K,11,FALSE)</f>
        <v>45567</v>
      </c>
      <c r="L231" s="10" t="s">
        <v>12</v>
      </c>
      <c r="M231" s="10" t="s">
        <v>162</v>
      </c>
    </row>
    <row r="232" spans="1:13" x14ac:dyDescent="0.25">
      <c r="A232" s="13" t="str">
        <f t="shared" si="6"/>
        <v>50714269210</v>
      </c>
      <c r="B232" s="10">
        <v>1004062503</v>
      </c>
      <c r="C232" s="10">
        <v>507142692</v>
      </c>
      <c r="D232" s="10">
        <v>10</v>
      </c>
      <c r="E232" s="10" t="s">
        <v>10</v>
      </c>
      <c r="F232" s="10">
        <v>1361213</v>
      </c>
      <c r="G232" s="10" t="s">
        <v>23</v>
      </c>
      <c r="H232" s="11">
        <v>39734</v>
      </c>
      <c r="I232" s="10">
        <v>0</v>
      </c>
      <c r="J232" s="11">
        <f t="shared" si="7"/>
        <v>39734</v>
      </c>
      <c r="K232" s="12" t="e">
        <f>VLOOKUP(A232,[4]VA05!$A:$K,11,FALSE)</f>
        <v>#N/A</v>
      </c>
      <c r="L232" s="10" t="s">
        <v>12</v>
      </c>
      <c r="M232" s="10" t="s">
        <v>162</v>
      </c>
    </row>
    <row r="233" spans="1:13" x14ac:dyDescent="0.25">
      <c r="A233" s="13" t="str">
        <f t="shared" si="6"/>
        <v>50714283110</v>
      </c>
      <c r="B233" s="10">
        <v>1004062504</v>
      </c>
      <c r="C233" s="10">
        <v>507142831</v>
      </c>
      <c r="D233" s="10">
        <v>10</v>
      </c>
      <c r="E233" s="10" t="s">
        <v>10</v>
      </c>
      <c r="F233" s="10">
        <v>1361213</v>
      </c>
      <c r="G233" s="10" t="s">
        <v>23</v>
      </c>
      <c r="H233" s="11">
        <v>51727</v>
      </c>
      <c r="I233" s="10">
        <v>0</v>
      </c>
      <c r="J233" s="11">
        <f t="shared" si="7"/>
        <v>51727</v>
      </c>
      <c r="K233" s="12">
        <f>VLOOKUP(A233,[4]VA05!$A:$K,11,FALSE)</f>
        <v>45587</v>
      </c>
      <c r="L233" s="10" t="s">
        <v>12</v>
      </c>
      <c r="M233" s="10" t="s">
        <v>179</v>
      </c>
    </row>
    <row r="234" spans="1:13" hidden="1" x14ac:dyDescent="0.25">
      <c r="A234" s="13" t="str">
        <f t="shared" si="6"/>
        <v>50714263750</v>
      </c>
      <c r="B234" s="10">
        <v>1004053626</v>
      </c>
      <c r="C234" s="10">
        <v>507142637</v>
      </c>
      <c r="D234" s="10">
        <v>50</v>
      </c>
      <c r="E234" s="10" t="s">
        <v>10</v>
      </c>
      <c r="F234" s="10">
        <v>1408740</v>
      </c>
      <c r="G234" s="10" t="s">
        <v>104</v>
      </c>
      <c r="H234" s="11">
        <v>27540</v>
      </c>
      <c r="I234" s="11">
        <v>27540</v>
      </c>
      <c r="J234" s="11">
        <f t="shared" si="7"/>
        <v>0</v>
      </c>
      <c r="K234" s="12">
        <f>VLOOKUP(A234,[4]VA05!$A:$K,11,FALSE)</f>
        <v>45572</v>
      </c>
      <c r="L234" s="10" t="s">
        <v>233</v>
      </c>
      <c r="M234" s="10" t="s">
        <v>154</v>
      </c>
    </row>
    <row r="235" spans="1:13" hidden="1" x14ac:dyDescent="0.25">
      <c r="A235" s="13" t="str">
        <f t="shared" si="6"/>
        <v>50714263750</v>
      </c>
      <c r="B235" s="10">
        <v>1004053627</v>
      </c>
      <c r="C235" s="10">
        <v>507142637</v>
      </c>
      <c r="D235" s="10">
        <v>50</v>
      </c>
      <c r="E235" s="10" t="s">
        <v>10</v>
      </c>
      <c r="F235" s="10">
        <v>1408740</v>
      </c>
      <c r="G235" s="10" t="s">
        <v>104</v>
      </c>
      <c r="H235" s="11">
        <v>27540</v>
      </c>
      <c r="I235" s="11">
        <v>27540</v>
      </c>
      <c r="J235" s="11">
        <f t="shared" si="7"/>
        <v>0</v>
      </c>
      <c r="K235" s="12">
        <f>VLOOKUP(A235,[4]VA05!$A:$K,11,FALSE)</f>
        <v>45572</v>
      </c>
      <c r="L235" s="10" t="s">
        <v>233</v>
      </c>
      <c r="M235" s="10" t="s">
        <v>194</v>
      </c>
    </row>
    <row r="236" spans="1:13" hidden="1" x14ac:dyDescent="0.25">
      <c r="A236" s="13" t="str">
        <f t="shared" si="6"/>
        <v>50714263750</v>
      </c>
      <c r="B236" s="10">
        <v>1004053628</v>
      </c>
      <c r="C236" s="10">
        <v>507142637</v>
      </c>
      <c r="D236" s="10">
        <v>50</v>
      </c>
      <c r="E236" s="10" t="s">
        <v>10</v>
      </c>
      <c r="F236" s="10">
        <v>1408740</v>
      </c>
      <c r="G236" s="10" t="s">
        <v>104</v>
      </c>
      <c r="H236" s="11">
        <v>27540</v>
      </c>
      <c r="I236" s="11">
        <v>27540</v>
      </c>
      <c r="J236" s="11">
        <f t="shared" si="7"/>
        <v>0</v>
      </c>
      <c r="K236" s="12">
        <f>VLOOKUP(A236,[4]VA05!$A:$K,11,FALSE)</f>
        <v>45572</v>
      </c>
      <c r="L236" s="10" t="s">
        <v>34</v>
      </c>
      <c r="M236" s="10" t="s">
        <v>178</v>
      </c>
    </row>
    <row r="237" spans="1:13" hidden="1" x14ac:dyDescent="0.25">
      <c r="A237" s="13" t="str">
        <f t="shared" si="6"/>
        <v>50714263750</v>
      </c>
      <c r="B237" s="10">
        <v>1004053629</v>
      </c>
      <c r="C237" s="10">
        <v>507142637</v>
      </c>
      <c r="D237" s="10">
        <v>50</v>
      </c>
      <c r="E237" s="10" t="s">
        <v>10</v>
      </c>
      <c r="F237" s="10">
        <v>1408740</v>
      </c>
      <c r="G237" s="10" t="s">
        <v>104</v>
      </c>
      <c r="H237" s="11">
        <v>27270</v>
      </c>
      <c r="I237" s="11">
        <v>27270</v>
      </c>
      <c r="J237" s="11">
        <f t="shared" si="7"/>
        <v>0</v>
      </c>
      <c r="K237" s="12">
        <f>VLOOKUP(A237,[4]VA05!$A:$K,11,FALSE)</f>
        <v>45572</v>
      </c>
      <c r="L237" s="10" t="s">
        <v>118</v>
      </c>
      <c r="M237" s="10" t="s">
        <v>154</v>
      </c>
    </row>
    <row r="238" spans="1:13" hidden="1" x14ac:dyDescent="0.25">
      <c r="A238" s="13" t="str">
        <f t="shared" si="6"/>
        <v>50714269810</v>
      </c>
      <c r="B238" s="10">
        <v>1004061887</v>
      </c>
      <c r="C238" s="10">
        <v>507142698</v>
      </c>
      <c r="D238" s="10">
        <v>10</v>
      </c>
      <c r="E238" s="10" t="s">
        <v>10</v>
      </c>
      <c r="F238" s="10">
        <v>1408740</v>
      </c>
      <c r="G238" s="10" t="s">
        <v>104</v>
      </c>
      <c r="H238" s="11">
        <v>27540</v>
      </c>
      <c r="I238" s="11">
        <v>27540</v>
      </c>
      <c r="J238" s="11">
        <f t="shared" si="7"/>
        <v>0</v>
      </c>
      <c r="K238" s="12">
        <f>VLOOKUP(A238,[4]VA05!$A:$K,11,FALSE)</f>
        <v>45553</v>
      </c>
      <c r="L238" s="10" t="s">
        <v>18</v>
      </c>
      <c r="M238" s="10" t="s">
        <v>197</v>
      </c>
    </row>
    <row r="239" spans="1:13" hidden="1" x14ac:dyDescent="0.25">
      <c r="A239" s="13" t="str">
        <f t="shared" si="6"/>
        <v>50714269810</v>
      </c>
      <c r="B239" s="10">
        <v>1004061888</v>
      </c>
      <c r="C239" s="10">
        <v>507142698</v>
      </c>
      <c r="D239" s="10">
        <v>10</v>
      </c>
      <c r="E239" s="10" t="s">
        <v>10</v>
      </c>
      <c r="F239" s="10">
        <v>1408740</v>
      </c>
      <c r="G239" s="10" t="s">
        <v>104</v>
      </c>
      <c r="H239" s="11">
        <v>27540</v>
      </c>
      <c r="I239" s="10">
        <v>27540</v>
      </c>
      <c r="J239" s="11">
        <f t="shared" si="7"/>
        <v>0</v>
      </c>
      <c r="K239" s="12">
        <f>VLOOKUP(A239,[4]VA05!$A:$K,11,FALSE)</f>
        <v>45553</v>
      </c>
      <c r="L239" s="10" t="s">
        <v>89</v>
      </c>
      <c r="M239" s="10" t="s">
        <v>202</v>
      </c>
    </row>
    <row r="240" spans="1:13" x14ac:dyDescent="0.25">
      <c r="A240" s="13" t="str">
        <f t="shared" si="6"/>
        <v>50714269810</v>
      </c>
      <c r="B240" s="10">
        <v>1004062029</v>
      </c>
      <c r="C240" s="10">
        <v>507142698</v>
      </c>
      <c r="D240" s="10">
        <v>10</v>
      </c>
      <c r="E240" s="10" t="s">
        <v>10</v>
      </c>
      <c r="F240" s="10">
        <v>1408740</v>
      </c>
      <c r="G240" s="10" t="s">
        <v>104</v>
      </c>
      <c r="H240" s="11">
        <v>27540</v>
      </c>
      <c r="I240" s="10">
        <v>0</v>
      </c>
      <c r="J240" s="11">
        <f t="shared" si="7"/>
        <v>27540</v>
      </c>
      <c r="K240" s="12">
        <f>VLOOKUP(A240,[4]VA05!$A:$K,11,FALSE)</f>
        <v>45553</v>
      </c>
      <c r="L240" s="10" t="s">
        <v>25</v>
      </c>
      <c r="M240" s="10" t="s">
        <v>202</v>
      </c>
    </row>
    <row r="241" spans="1:13" x14ac:dyDescent="0.25">
      <c r="A241" s="13" t="str">
        <f t="shared" si="6"/>
        <v>50714269810</v>
      </c>
      <c r="B241" s="10">
        <v>1004062030</v>
      </c>
      <c r="C241" s="10">
        <v>507142698</v>
      </c>
      <c r="D241" s="10">
        <v>10</v>
      </c>
      <c r="E241" s="10" t="s">
        <v>10</v>
      </c>
      <c r="F241" s="10">
        <v>1408740</v>
      </c>
      <c r="G241" s="10" t="s">
        <v>104</v>
      </c>
      <c r="H241" s="11">
        <v>27540</v>
      </c>
      <c r="I241" s="10">
        <v>0</v>
      </c>
      <c r="J241" s="11">
        <f t="shared" si="7"/>
        <v>27540</v>
      </c>
      <c r="K241" s="12">
        <f>VLOOKUP(A241,[4]VA05!$A:$K,11,FALSE)</f>
        <v>45553</v>
      </c>
      <c r="L241" s="10" t="s">
        <v>25</v>
      </c>
      <c r="M241" s="10" t="s">
        <v>202</v>
      </c>
    </row>
    <row r="242" spans="1:13" x14ac:dyDescent="0.25">
      <c r="A242" s="13" t="str">
        <f t="shared" si="6"/>
        <v>50714269830</v>
      </c>
      <c r="B242" s="10">
        <v>1004062031</v>
      </c>
      <c r="C242" s="10">
        <v>507142698</v>
      </c>
      <c r="D242" s="10">
        <v>30</v>
      </c>
      <c r="E242" s="10" t="s">
        <v>10</v>
      </c>
      <c r="F242" s="10">
        <v>1408740</v>
      </c>
      <c r="G242" s="10" t="s">
        <v>104</v>
      </c>
      <c r="H242" s="11">
        <v>27540</v>
      </c>
      <c r="I242" s="10">
        <v>0</v>
      </c>
      <c r="J242" s="11">
        <f t="shared" si="7"/>
        <v>27540</v>
      </c>
      <c r="K242" s="12">
        <f>VLOOKUP(A242,[4]VA05!$A:$K,11,FALSE)</f>
        <v>45567</v>
      </c>
      <c r="L242" s="10" t="s">
        <v>12</v>
      </c>
      <c r="M242" s="10" t="s">
        <v>197</v>
      </c>
    </row>
    <row r="243" spans="1:13" x14ac:dyDescent="0.25">
      <c r="A243" s="13" t="str">
        <f t="shared" si="6"/>
        <v>50714269830</v>
      </c>
      <c r="B243" s="10">
        <v>1004062032</v>
      </c>
      <c r="C243" s="10">
        <v>507142698</v>
      </c>
      <c r="D243" s="10">
        <v>30</v>
      </c>
      <c r="E243" s="10" t="s">
        <v>10</v>
      </c>
      <c r="F243" s="10">
        <v>1408740</v>
      </c>
      <c r="G243" s="10" t="s">
        <v>104</v>
      </c>
      <c r="H243" s="11">
        <v>27540</v>
      </c>
      <c r="I243" s="10">
        <v>0</v>
      </c>
      <c r="J243" s="11">
        <f t="shared" si="7"/>
        <v>27540</v>
      </c>
      <c r="K243" s="12">
        <f>VLOOKUP(A243,[4]VA05!$A:$K,11,FALSE)</f>
        <v>45567</v>
      </c>
      <c r="L243" s="10" t="s">
        <v>12</v>
      </c>
      <c r="M243" s="10" t="s">
        <v>197</v>
      </c>
    </row>
    <row r="244" spans="1:13" x14ac:dyDescent="0.25">
      <c r="A244" s="13" t="str">
        <f t="shared" si="6"/>
        <v>50714269830</v>
      </c>
      <c r="B244" s="10">
        <v>1004062033</v>
      </c>
      <c r="C244" s="10">
        <v>507142698</v>
      </c>
      <c r="D244" s="10">
        <v>30</v>
      </c>
      <c r="E244" s="10" t="s">
        <v>10</v>
      </c>
      <c r="F244" s="10">
        <v>1408740</v>
      </c>
      <c r="G244" s="10" t="s">
        <v>104</v>
      </c>
      <c r="H244" s="11">
        <v>27540</v>
      </c>
      <c r="I244" s="10">
        <v>0</v>
      </c>
      <c r="J244" s="11">
        <f t="shared" si="7"/>
        <v>27540</v>
      </c>
      <c r="K244" s="12">
        <f>VLOOKUP(A244,[4]VA05!$A:$K,11,FALSE)</f>
        <v>45567</v>
      </c>
      <c r="L244" s="10" t="s">
        <v>12</v>
      </c>
      <c r="M244" s="10" t="s">
        <v>197</v>
      </c>
    </row>
    <row r="245" spans="1:13" x14ac:dyDescent="0.25">
      <c r="A245" s="13" t="str">
        <f t="shared" si="6"/>
        <v>50714269830</v>
      </c>
      <c r="B245" s="10">
        <v>1004062034</v>
      </c>
      <c r="C245" s="10">
        <v>507142698</v>
      </c>
      <c r="D245" s="10">
        <v>30</v>
      </c>
      <c r="E245" s="10" t="s">
        <v>10</v>
      </c>
      <c r="F245" s="10">
        <v>1408740</v>
      </c>
      <c r="G245" s="10" t="s">
        <v>104</v>
      </c>
      <c r="H245" s="11">
        <v>27270</v>
      </c>
      <c r="I245" s="10">
        <v>0</v>
      </c>
      <c r="J245" s="11">
        <f t="shared" si="7"/>
        <v>27270</v>
      </c>
      <c r="K245" s="12">
        <f>VLOOKUP(A245,[4]VA05!$A:$K,11,FALSE)</f>
        <v>45567</v>
      </c>
      <c r="L245" s="10" t="s">
        <v>12</v>
      </c>
      <c r="M245" s="10" t="s">
        <v>197</v>
      </c>
    </row>
    <row r="246" spans="1:13" x14ac:dyDescent="0.25">
      <c r="A246" s="13" t="str">
        <f t="shared" si="6"/>
        <v>50714208810</v>
      </c>
      <c r="B246" s="10">
        <v>1003976472</v>
      </c>
      <c r="C246" s="10">
        <v>507142088</v>
      </c>
      <c r="D246" s="10">
        <v>10</v>
      </c>
      <c r="E246" s="10" t="s">
        <v>10</v>
      </c>
      <c r="F246" s="10">
        <v>1408739</v>
      </c>
      <c r="G246" s="10" t="s">
        <v>37</v>
      </c>
      <c r="H246" s="11">
        <v>28350</v>
      </c>
      <c r="I246" s="10">
        <v>0</v>
      </c>
      <c r="J246" s="11">
        <f t="shared" si="7"/>
        <v>28350</v>
      </c>
      <c r="K246" s="12" t="e">
        <f>VLOOKUP(A246,[4]VA05!$A:$K,11,FALSE)</f>
        <v>#N/A</v>
      </c>
      <c r="L246" s="10" t="s">
        <v>285</v>
      </c>
      <c r="M246" s="10" t="s">
        <v>282</v>
      </c>
    </row>
    <row r="247" spans="1:13" x14ac:dyDescent="0.25">
      <c r="A247" s="13" t="str">
        <f t="shared" si="6"/>
        <v>50714208810</v>
      </c>
      <c r="B247" s="10">
        <v>1003976473</v>
      </c>
      <c r="C247" s="10">
        <v>507142088</v>
      </c>
      <c r="D247" s="10">
        <v>10</v>
      </c>
      <c r="E247" s="10" t="s">
        <v>10</v>
      </c>
      <c r="F247" s="10">
        <v>1408739</v>
      </c>
      <c r="G247" s="10" t="s">
        <v>37</v>
      </c>
      <c r="H247" s="11">
        <v>28350</v>
      </c>
      <c r="I247" s="10">
        <v>0</v>
      </c>
      <c r="J247" s="11">
        <f t="shared" si="7"/>
        <v>28350</v>
      </c>
      <c r="K247" s="12" t="e">
        <f>VLOOKUP(A247,[4]VA05!$A:$K,11,FALSE)</f>
        <v>#N/A</v>
      </c>
      <c r="L247" s="10" t="s">
        <v>285</v>
      </c>
      <c r="M247" s="10" t="s">
        <v>282</v>
      </c>
    </row>
    <row r="248" spans="1:13" hidden="1" x14ac:dyDescent="0.25">
      <c r="A248" s="13" t="str">
        <f t="shared" si="6"/>
        <v>50714208810</v>
      </c>
      <c r="B248" s="10">
        <v>1003976474</v>
      </c>
      <c r="C248" s="10">
        <v>507142088</v>
      </c>
      <c r="D248" s="10">
        <v>10</v>
      </c>
      <c r="E248" s="10" t="s">
        <v>10</v>
      </c>
      <c r="F248" s="10">
        <v>1408739</v>
      </c>
      <c r="G248" s="10" t="s">
        <v>37</v>
      </c>
      <c r="H248" s="11">
        <v>28350</v>
      </c>
      <c r="I248" s="10">
        <v>0</v>
      </c>
      <c r="J248" s="11">
        <f t="shared" si="7"/>
        <v>28350</v>
      </c>
      <c r="K248" s="12" t="e">
        <f>VLOOKUP(A248,[4]VA05!$A:$K,11,FALSE)</f>
        <v>#N/A</v>
      </c>
      <c r="L248" s="10" t="s">
        <v>260</v>
      </c>
      <c r="M248" s="10" t="s">
        <v>282</v>
      </c>
    </row>
    <row r="249" spans="1:13" hidden="1" x14ac:dyDescent="0.25">
      <c r="A249" s="13" t="str">
        <f t="shared" si="6"/>
        <v>50714208810</v>
      </c>
      <c r="B249" s="10">
        <v>1003976475</v>
      </c>
      <c r="C249" s="10">
        <v>507142088</v>
      </c>
      <c r="D249" s="10">
        <v>10</v>
      </c>
      <c r="E249" s="10" t="s">
        <v>10</v>
      </c>
      <c r="F249" s="10">
        <v>1408739</v>
      </c>
      <c r="G249" s="10" t="s">
        <v>37</v>
      </c>
      <c r="H249" s="11">
        <v>28350</v>
      </c>
      <c r="I249" s="10">
        <v>0</v>
      </c>
      <c r="J249" s="11">
        <f t="shared" si="7"/>
        <v>28350</v>
      </c>
      <c r="K249" s="12" t="e">
        <f>VLOOKUP(A249,[4]VA05!$A:$K,11,FALSE)</f>
        <v>#N/A</v>
      </c>
      <c r="L249" s="10" t="s">
        <v>260</v>
      </c>
      <c r="M249" s="10" t="s">
        <v>282</v>
      </c>
    </row>
    <row r="250" spans="1:13" hidden="1" x14ac:dyDescent="0.25">
      <c r="A250" s="13" t="str">
        <f t="shared" si="6"/>
        <v>50714208810</v>
      </c>
      <c r="B250" s="10">
        <v>1003976476</v>
      </c>
      <c r="C250" s="10">
        <v>507142088</v>
      </c>
      <c r="D250" s="10">
        <v>10</v>
      </c>
      <c r="E250" s="10" t="s">
        <v>10</v>
      </c>
      <c r="F250" s="10">
        <v>1408739</v>
      </c>
      <c r="G250" s="10" t="s">
        <v>37</v>
      </c>
      <c r="H250" s="11">
        <v>28350</v>
      </c>
      <c r="I250" s="10">
        <v>0</v>
      </c>
      <c r="J250" s="11">
        <f t="shared" si="7"/>
        <v>28350</v>
      </c>
      <c r="K250" s="12" t="e">
        <f>VLOOKUP(A250,[4]VA05!$A:$K,11,FALSE)</f>
        <v>#N/A</v>
      </c>
      <c r="L250" s="10" t="s">
        <v>260</v>
      </c>
      <c r="M250" s="10" t="s">
        <v>282</v>
      </c>
    </row>
    <row r="251" spans="1:13" hidden="1" x14ac:dyDescent="0.25">
      <c r="A251" s="13" t="str">
        <f t="shared" si="6"/>
        <v>50714208810</v>
      </c>
      <c r="B251" s="10">
        <v>1003976477</v>
      </c>
      <c r="C251" s="10">
        <v>507142088</v>
      </c>
      <c r="D251" s="10">
        <v>10</v>
      </c>
      <c r="E251" s="10" t="s">
        <v>10</v>
      </c>
      <c r="F251" s="10">
        <v>1408739</v>
      </c>
      <c r="G251" s="10" t="s">
        <v>37</v>
      </c>
      <c r="H251" s="11">
        <v>22410</v>
      </c>
      <c r="I251" s="10">
        <v>0</v>
      </c>
      <c r="J251" s="11">
        <f t="shared" si="7"/>
        <v>22410</v>
      </c>
      <c r="K251" s="12" t="e">
        <f>VLOOKUP(A251,[4]VA05!$A:$K,11,FALSE)</f>
        <v>#N/A</v>
      </c>
      <c r="L251" s="10" t="s">
        <v>260</v>
      </c>
      <c r="M251" s="10" t="s">
        <v>282</v>
      </c>
    </row>
    <row r="252" spans="1:13" hidden="1" x14ac:dyDescent="0.25">
      <c r="A252" s="13" t="str">
        <f t="shared" si="6"/>
        <v>50714208830</v>
      </c>
      <c r="B252" s="10">
        <v>1003976478</v>
      </c>
      <c r="C252" s="10">
        <v>507142088</v>
      </c>
      <c r="D252" s="10">
        <v>30</v>
      </c>
      <c r="E252" s="10" t="s">
        <v>10</v>
      </c>
      <c r="F252" s="10">
        <v>1408739</v>
      </c>
      <c r="G252" s="10" t="s">
        <v>37</v>
      </c>
      <c r="H252" s="11">
        <v>28350</v>
      </c>
      <c r="I252" s="10">
        <v>0</v>
      </c>
      <c r="J252" s="11">
        <f t="shared" si="7"/>
        <v>28350</v>
      </c>
      <c r="K252" s="12" t="e">
        <f>VLOOKUP(A252,[4]VA05!$A:$K,11,FALSE)</f>
        <v>#N/A</v>
      </c>
      <c r="L252" s="10" t="s">
        <v>260</v>
      </c>
      <c r="M252" s="10" t="s">
        <v>286</v>
      </c>
    </row>
    <row r="253" spans="1:13" hidden="1" x14ac:dyDescent="0.25">
      <c r="A253" s="13" t="str">
        <f t="shared" si="6"/>
        <v>50714208830</v>
      </c>
      <c r="B253" s="10">
        <v>1003976479</v>
      </c>
      <c r="C253" s="10">
        <v>507142088</v>
      </c>
      <c r="D253" s="10">
        <v>30</v>
      </c>
      <c r="E253" s="10" t="s">
        <v>10</v>
      </c>
      <c r="F253" s="10">
        <v>1408739</v>
      </c>
      <c r="G253" s="10" t="s">
        <v>37</v>
      </c>
      <c r="H253" s="11">
        <v>28350</v>
      </c>
      <c r="I253" s="10">
        <v>0</v>
      </c>
      <c r="J253" s="11">
        <f t="shared" si="7"/>
        <v>28350</v>
      </c>
      <c r="K253" s="12" t="e">
        <f>VLOOKUP(A253,[4]VA05!$A:$K,11,FALSE)</f>
        <v>#N/A</v>
      </c>
      <c r="L253" s="10" t="s">
        <v>260</v>
      </c>
      <c r="M253" s="10" t="s">
        <v>286</v>
      </c>
    </row>
    <row r="254" spans="1:13" hidden="1" x14ac:dyDescent="0.25">
      <c r="A254" s="13" t="str">
        <f t="shared" si="6"/>
        <v>50714208830</v>
      </c>
      <c r="B254" s="10">
        <v>1003976480</v>
      </c>
      <c r="C254" s="10">
        <v>507142088</v>
      </c>
      <c r="D254" s="10">
        <v>30</v>
      </c>
      <c r="E254" s="10" t="s">
        <v>10</v>
      </c>
      <c r="F254" s="10">
        <v>1408739</v>
      </c>
      <c r="G254" s="10" t="s">
        <v>37</v>
      </c>
      <c r="H254" s="11">
        <v>28350</v>
      </c>
      <c r="I254" s="10">
        <v>0</v>
      </c>
      <c r="J254" s="11">
        <f t="shared" si="7"/>
        <v>28350</v>
      </c>
      <c r="K254" s="12" t="e">
        <f>VLOOKUP(A254,[4]VA05!$A:$K,11,FALSE)</f>
        <v>#N/A</v>
      </c>
      <c r="L254" s="10" t="s">
        <v>260</v>
      </c>
      <c r="M254" s="10" t="s">
        <v>286</v>
      </c>
    </row>
    <row r="255" spans="1:13" hidden="1" x14ac:dyDescent="0.25">
      <c r="A255" s="13" t="str">
        <f t="shared" si="6"/>
        <v>50714208830</v>
      </c>
      <c r="B255" s="10">
        <v>1003976481</v>
      </c>
      <c r="C255" s="10">
        <v>507142088</v>
      </c>
      <c r="D255" s="10">
        <v>30</v>
      </c>
      <c r="E255" s="10" t="s">
        <v>10</v>
      </c>
      <c r="F255" s="10">
        <v>1408739</v>
      </c>
      <c r="G255" s="10" t="s">
        <v>37</v>
      </c>
      <c r="H255" s="11">
        <v>25110</v>
      </c>
      <c r="I255" s="10">
        <v>0</v>
      </c>
      <c r="J255" s="11">
        <f t="shared" si="7"/>
        <v>25110</v>
      </c>
      <c r="K255" s="12" t="e">
        <f>VLOOKUP(A255,[4]VA05!$A:$K,11,FALSE)</f>
        <v>#N/A</v>
      </c>
      <c r="L255" s="10" t="s">
        <v>260</v>
      </c>
      <c r="M255" s="10" t="s">
        <v>286</v>
      </c>
    </row>
    <row r="256" spans="1:13" hidden="1" x14ac:dyDescent="0.25">
      <c r="A256" s="13" t="str">
        <f t="shared" si="6"/>
        <v>50714238420</v>
      </c>
      <c r="B256" s="10">
        <v>1004037415</v>
      </c>
      <c r="C256" s="10">
        <v>507142384</v>
      </c>
      <c r="D256" s="10">
        <v>20</v>
      </c>
      <c r="E256" s="10" t="s">
        <v>10</v>
      </c>
      <c r="F256" s="10">
        <v>1408739</v>
      </c>
      <c r="G256" s="10" t="s">
        <v>37</v>
      </c>
      <c r="H256" s="11">
        <v>25640</v>
      </c>
      <c r="I256" s="10">
        <v>0</v>
      </c>
      <c r="J256" s="11">
        <f t="shared" si="7"/>
        <v>25640</v>
      </c>
      <c r="K256" s="12" t="e">
        <f>VLOOKUP(A256,[4]VA05!$A:$K,11,FALSE)</f>
        <v>#N/A</v>
      </c>
      <c r="L256" s="10" t="s">
        <v>260</v>
      </c>
      <c r="M256" s="10" t="s">
        <v>287</v>
      </c>
    </row>
    <row r="257" spans="1:13" hidden="1" x14ac:dyDescent="0.25">
      <c r="A257" s="13" t="str">
        <f t="shared" si="6"/>
        <v>50714238420</v>
      </c>
      <c r="B257" s="10">
        <v>1004037416</v>
      </c>
      <c r="C257" s="10">
        <v>507142384</v>
      </c>
      <c r="D257" s="10">
        <v>20</v>
      </c>
      <c r="E257" s="10" t="s">
        <v>10</v>
      </c>
      <c r="F257" s="10">
        <v>1408739</v>
      </c>
      <c r="G257" s="10" t="s">
        <v>37</v>
      </c>
      <c r="H257" s="11">
        <v>26200</v>
      </c>
      <c r="I257" s="10">
        <v>0</v>
      </c>
      <c r="J257" s="11">
        <f t="shared" si="7"/>
        <v>26200</v>
      </c>
      <c r="K257" s="12" t="e">
        <f>VLOOKUP(A257,[4]VA05!$A:$K,11,FALSE)</f>
        <v>#N/A</v>
      </c>
      <c r="L257" s="10" t="s">
        <v>260</v>
      </c>
      <c r="M257" s="10" t="s">
        <v>287</v>
      </c>
    </row>
    <row r="258" spans="1:13" x14ac:dyDescent="0.25">
      <c r="A258" s="13" t="str">
        <f t="shared" si="6"/>
        <v>50714269820</v>
      </c>
      <c r="B258" s="10">
        <v>1004059594</v>
      </c>
      <c r="C258" s="10">
        <v>507142698</v>
      </c>
      <c r="D258" s="10">
        <v>20</v>
      </c>
      <c r="E258" s="10" t="s">
        <v>10</v>
      </c>
      <c r="F258" s="10">
        <v>1408739</v>
      </c>
      <c r="G258" s="10" t="s">
        <v>37</v>
      </c>
      <c r="H258" s="11">
        <v>27864</v>
      </c>
      <c r="I258" s="11">
        <v>22658</v>
      </c>
      <c r="J258" s="11">
        <f t="shared" si="7"/>
        <v>5206</v>
      </c>
      <c r="K258" s="12">
        <f>VLOOKUP(A258,[4]VA05!$A:$K,11,FALSE)</f>
        <v>45553</v>
      </c>
      <c r="L258" s="10" t="s">
        <v>118</v>
      </c>
      <c r="M258" s="10" t="s">
        <v>194</v>
      </c>
    </row>
    <row r="259" spans="1:13" x14ac:dyDescent="0.25">
      <c r="A259" s="13" t="str">
        <f t="shared" si="6"/>
        <v>50714269820</v>
      </c>
      <c r="B259" s="10">
        <v>1004059595</v>
      </c>
      <c r="C259" s="10">
        <v>507142698</v>
      </c>
      <c r="D259" s="10">
        <v>20</v>
      </c>
      <c r="E259" s="10" t="s">
        <v>10</v>
      </c>
      <c r="F259" s="10">
        <v>1408739</v>
      </c>
      <c r="G259" s="10" t="s">
        <v>37</v>
      </c>
      <c r="H259" s="11">
        <v>27864</v>
      </c>
      <c r="I259" s="11"/>
      <c r="J259" s="11">
        <f t="shared" si="7"/>
        <v>27864</v>
      </c>
      <c r="K259" s="12">
        <f>VLOOKUP(A259,[4]VA05!$A:$K,11,FALSE)</f>
        <v>45553</v>
      </c>
      <c r="L259" s="10" t="s">
        <v>299</v>
      </c>
      <c r="M259" s="10" t="s">
        <v>156</v>
      </c>
    </row>
    <row r="260" spans="1:13" x14ac:dyDescent="0.25">
      <c r="A260" s="13" t="str">
        <f t="shared" ref="A260:A296" si="8">C260&amp;D260</f>
        <v>50714269820</v>
      </c>
      <c r="B260" s="10">
        <v>1004059596</v>
      </c>
      <c r="C260" s="10">
        <v>507142698</v>
      </c>
      <c r="D260" s="10">
        <v>20</v>
      </c>
      <c r="E260" s="10" t="s">
        <v>10</v>
      </c>
      <c r="F260" s="10">
        <v>1408739</v>
      </c>
      <c r="G260" s="10" t="s">
        <v>37</v>
      </c>
      <c r="H260" s="11">
        <v>27864</v>
      </c>
      <c r="I260" s="10">
        <v>0</v>
      </c>
      <c r="J260" s="11">
        <f t="shared" ref="J260:J296" si="9">H260-I260</f>
        <v>27864</v>
      </c>
      <c r="K260" s="12">
        <f>VLOOKUP(A260,[4]VA05!$A:$K,11,FALSE)</f>
        <v>45553</v>
      </c>
      <c r="L260" s="10" t="s">
        <v>254</v>
      </c>
      <c r="M260" s="10" t="s">
        <v>156</v>
      </c>
    </row>
    <row r="261" spans="1:13" x14ac:dyDescent="0.25">
      <c r="A261" s="13" t="str">
        <f t="shared" si="8"/>
        <v>50714269820</v>
      </c>
      <c r="B261" s="10">
        <v>1004059597</v>
      </c>
      <c r="C261" s="10">
        <v>507142698</v>
      </c>
      <c r="D261" s="10">
        <v>20</v>
      </c>
      <c r="E261" s="10" t="s">
        <v>10</v>
      </c>
      <c r="F261" s="10">
        <v>1408739</v>
      </c>
      <c r="G261" s="10" t="s">
        <v>37</v>
      </c>
      <c r="H261" s="11">
        <v>26568</v>
      </c>
      <c r="I261" s="10">
        <v>0</v>
      </c>
      <c r="J261" s="11">
        <f t="shared" si="9"/>
        <v>26568</v>
      </c>
      <c r="K261" s="12">
        <f>VLOOKUP(A261,[4]VA05!$A:$K,11,FALSE)</f>
        <v>45553</v>
      </c>
      <c r="L261" s="10" t="s">
        <v>254</v>
      </c>
      <c r="M261" s="10" t="s">
        <v>156</v>
      </c>
    </row>
    <row r="262" spans="1:13" x14ac:dyDescent="0.25">
      <c r="A262" s="13" t="str">
        <f t="shared" si="8"/>
        <v>50714269840</v>
      </c>
      <c r="B262" s="10">
        <v>1004062035</v>
      </c>
      <c r="C262" s="10">
        <v>507142698</v>
      </c>
      <c r="D262" s="10">
        <v>40</v>
      </c>
      <c r="E262" s="10" t="s">
        <v>10</v>
      </c>
      <c r="F262" s="10">
        <v>1408739</v>
      </c>
      <c r="G262" s="10" t="s">
        <v>37</v>
      </c>
      <c r="H262" s="11">
        <v>27864</v>
      </c>
      <c r="I262" s="10">
        <v>0</v>
      </c>
      <c r="J262" s="11">
        <f t="shared" si="9"/>
        <v>27864</v>
      </c>
      <c r="K262" s="12">
        <f>VLOOKUP(A262,[4]VA05!$A:$K,11,FALSE)</f>
        <v>45567</v>
      </c>
      <c r="L262" s="10" t="s">
        <v>12</v>
      </c>
      <c r="M262" s="10" t="s">
        <v>197</v>
      </c>
    </row>
    <row r="263" spans="1:13" x14ac:dyDescent="0.25">
      <c r="A263" s="13" t="str">
        <f t="shared" si="8"/>
        <v>50714269840</v>
      </c>
      <c r="B263" s="10">
        <v>1004062036</v>
      </c>
      <c r="C263" s="10">
        <v>507142698</v>
      </c>
      <c r="D263" s="10">
        <v>40</v>
      </c>
      <c r="E263" s="10" t="s">
        <v>10</v>
      </c>
      <c r="F263" s="10">
        <v>1408739</v>
      </c>
      <c r="G263" s="10" t="s">
        <v>37</v>
      </c>
      <c r="H263" s="11">
        <v>27864</v>
      </c>
      <c r="I263" s="10">
        <v>0</v>
      </c>
      <c r="J263" s="11">
        <f t="shared" si="9"/>
        <v>27864</v>
      </c>
      <c r="K263" s="12">
        <f>VLOOKUP(A263,[4]VA05!$A:$K,11,FALSE)</f>
        <v>45567</v>
      </c>
      <c r="L263" s="10" t="s">
        <v>12</v>
      </c>
      <c r="M263" s="10" t="s">
        <v>197</v>
      </c>
    </row>
    <row r="264" spans="1:13" x14ac:dyDescent="0.25">
      <c r="A264" s="13" t="str">
        <f t="shared" si="8"/>
        <v>50714269840</v>
      </c>
      <c r="B264" s="10">
        <v>1004062037</v>
      </c>
      <c r="C264" s="10">
        <v>507142698</v>
      </c>
      <c r="D264" s="10">
        <v>40</v>
      </c>
      <c r="E264" s="10" t="s">
        <v>10</v>
      </c>
      <c r="F264" s="10">
        <v>1408739</v>
      </c>
      <c r="G264" s="10" t="s">
        <v>37</v>
      </c>
      <c r="H264" s="11">
        <v>27864</v>
      </c>
      <c r="I264" s="10">
        <v>0</v>
      </c>
      <c r="J264" s="11">
        <f t="shared" si="9"/>
        <v>27864</v>
      </c>
      <c r="K264" s="12">
        <f>VLOOKUP(A264,[4]VA05!$A:$K,11,FALSE)</f>
        <v>45567</v>
      </c>
      <c r="L264" s="10" t="s">
        <v>12</v>
      </c>
      <c r="M264" s="10" t="s">
        <v>197</v>
      </c>
    </row>
    <row r="265" spans="1:13" x14ac:dyDescent="0.25">
      <c r="A265" s="13" t="str">
        <f t="shared" si="8"/>
        <v>50714269840</v>
      </c>
      <c r="B265" s="10">
        <v>1004062038</v>
      </c>
      <c r="C265" s="10">
        <v>507142698</v>
      </c>
      <c r="D265" s="10">
        <v>40</v>
      </c>
      <c r="E265" s="10" t="s">
        <v>10</v>
      </c>
      <c r="F265" s="10">
        <v>1408739</v>
      </c>
      <c r="G265" s="10" t="s">
        <v>37</v>
      </c>
      <c r="H265" s="11">
        <v>26298</v>
      </c>
      <c r="I265" s="10">
        <v>0</v>
      </c>
      <c r="J265" s="11">
        <f t="shared" si="9"/>
        <v>26298</v>
      </c>
      <c r="K265" s="12">
        <f>VLOOKUP(A265,[4]VA05!$A:$K,11,FALSE)</f>
        <v>45567</v>
      </c>
      <c r="L265" s="10" t="s">
        <v>12</v>
      </c>
      <c r="M265" s="10" t="s">
        <v>197</v>
      </c>
    </row>
    <row r="266" spans="1:13" x14ac:dyDescent="0.25">
      <c r="A266" s="13" t="str">
        <f t="shared" si="8"/>
        <v>50714222020</v>
      </c>
      <c r="B266" s="10">
        <v>1003984115</v>
      </c>
      <c r="C266" s="10">
        <v>507142220</v>
      </c>
      <c r="D266" s="10">
        <v>20</v>
      </c>
      <c r="E266" s="10" t="s">
        <v>10</v>
      </c>
      <c r="F266" s="10">
        <v>1420373</v>
      </c>
      <c r="G266" s="10" t="s">
        <v>288</v>
      </c>
      <c r="H266" s="11">
        <v>25272</v>
      </c>
      <c r="I266" s="10">
        <v>0</v>
      </c>
      <c r="J266" s="11">
        <f t="shared" si="9"/>
        <v>25272</v>
      </c>
      <c r="K266" s="12" t="e">
        <f>VLOOKUP(A266,[4]VA05!$A:$K,11,FALSE)</f>
        <v>#N/A</v>
      </c>
      <c r="L266" s="10" t="s">
        <v>285</v>
      </c>
      <c r="M266" s="10" t="s">
        <v>283</v>
      </c>
    </row>
    <row r="267" spans="1:13" x14ac:dyDescent="0.25">
      <c r="A267" s="13" t="str">
        <f t="shared" si="8"/>
        <v>50714269810</v>
      </c>
      <c r="B267" s="10">
        <v>1004062505</v>
      </c>
      <c r="C267" s="10">
        <v>507142698</v>
      </c>
      <c r="D267" s="10">
        <v>10</v>
      </c>
      <c r="E267" s="10" t="s">
        <v>10</v>
      </c>
      <c r="F267" s="10">
        <v>1408742</v>
      </c>
      <c r="G267" s="10" t="s">
        <v>38</v>
      </c>
      <c r="H267" s="11">
        <v>70103</v>
      </c>
      <c r="I267" s="10">
        <v>0</v>
      </c>
      <c r="J267" s="11">
        <f t="shared" si="9"/>
        <v>70103</v>
      </c>
      <c r="K267" s="12">
        <f>VLOOKUP(A267,[4]VA05!$A:$K,11,FALSE)</f>
        <v>45553</v>
      </c>
      <c r="L267" s="10" t="s">
        <v>27</v>
      </c>
      <c r="M267" s="10" t="s">
        <v>162</v>
      </c>
    </row>
    <row r="268" spans="1:13" x14ac:dyDescent="0.25">
      <c r="A268" s="13" t="str">
        <f t="shared" si="8"/>
        <v>50714269830</v>
      </c>
      <c r="B268" s="10">
        <v>1004062506</v>
      </c>
      <c r="C268" s="10">
        <v>507142698</v>
      </c>
      <c r="D268" s="10">
        <v>30</v>
      </c>
      <c r="E268" s="10" t="s">
        <v>10</v>
      </c>
      <c r="F268" s="10">
        <v>1408742</v>
      </c>
      <c r="G268" s="10" t="s">
        <v>38</v>
      </c>
      <c r="H268" s="11">
        <v>113190</v>
      </c>
      <c r="I268" s="11">
        <v>33980</v>
      </c>
      <c r="J268" s="11">
        <f t="shared" si="9"/>
        <v>79210</v>
      </c>
      <c r="K268" s="12">
        <f>VLOOKUP(A268,[4]VA05!$A:$K,11,FALSE)</f>
        <v>45567</v>
      </c>
      <c r="L268" s="10" t="s">
        <v>18</v>
      </c>
      <c r="M268" s="10" t="s">
        <v>202</v>
      </c>
    </row>
    <row r="269" spans="1:13" x14ac:dyDescent="0.25">
      <c r="A269" s="13" t="str">
        <f t="shared" si="8"/>
        <v>50714283710</v>
      </c>
      <c r="B269" s="10">
        <v>1004062507</v>
      </c>
      <c r="C269" s="10">
        <v>507142837</v>
      </c>
      <c r="D269" s="10">
        <v>10</v>
      </c>
      <c r="E269" s="10" t="s">
        <v>10</v>
      </c>
      <c r="F269" s="10">
        <v>1408742</v>
      </c>
      <c r="G269" s="10" t="s">
        <v>38</v>
      </c>
      <c r="H269" s="11">
        <v>113465</v>
      </c>
      <c r="I269" s="10">
        <v>0</v>
      </c>
      <c r="J269" s="11">
        <f t="shared" si="9"/>
        <v>113465</v>
      </c>
      <c r="K269" s="12">
        <f>VLOOKUP(A269,[4]VA05!$A:$K,11,FALSE)</f>
        <v>45587</v>
      </c>
      <c r="L269" s="10" t="s">
        <v>12</v>
      </c>
      <c r="M269" s="10" t="s">
        <v>162</v>
      </c>
    </row>
    <row r="270" spans="1:13" x14ac:dyDescent="0.25">
      <c r="A270" s="13" t="str">
        <f t="shared" si="8"/>
        <v>50714275730</v>
      </c>
      <c r="B270" s="10">
        <v>1004054926</v>
      </c>
      <c r="C270" s="10">
        <v>507142757</v>
      </c>
      <c r="D270" s="10">
        <v>30</v>
      </c>
      <c r="E270" s="10" t="s">
        <v>10</v>
      </c>
      <c r="F270" s="10">
        <v>1411702</v>
      </c>
      <c r="G270" s="10" t="s">
        <v>221</v>
      </c>
      <c r="H270" s="11">
        <v>126758</v>
      </c>
      <c r="I270" s="11">
        <v>88290</v>
      </c>
      <c r="J270" s="11">
        <f t="shared" si="9"/>
        <v>38468</v>
      </c>
      <c r="K270" s="12">
        <f>VLOOKUP(A270,[4]VA05!$A:$K,11,FALSE)</f>
        <v>45574</v>
      </c>
      <c r="L270" s="10" t="s">
        <v>18</v>
      </c>
      <c r="M270" s="10" t="s">
        <v>178</v>
      </c>
    </row>
    <row r="271" spans="1:13" x14ac:dyDescent="0.25">
      <c r="A271" s="13" t="str">
        <f t="shared" si="8"/>
        <v>50714275750</v>
      </c>
      <c r="B271" s="10">
        <v>1004054927</v>
      </c>
      <c r="C271" s="10">
        <v>507142757</v>
      </c>
      <c r="D271" s="10">
        <v>50</v>
      </c>
      <c r="E271" s="10" t="s">
        <v>10</v>
      </c>
      <c r="F271" s="10">
        <v>1411702</v>
      </c>
      <c r="G271" s="10" t="s">
        <v>221</v>
      </c>
      <c r="H271" s="11">
        <v>63514</v>
      </c>
      <c r="I271" s="10">
        <v>0</v>
      </c>
      <c r="J271" s="11">
        <f t="shared" si="9"/>
        <v>63514</v>
      </c>
      <c r="K271" s="12">
        <f>VLOOKUP(A271,[4]VA05!$A:$K,11,FALSE)</f>
        <v>45587</v>
      </c>
      <c r="L271" s="10" t="s">
        <v>12</v>
      </c>
      <c r="M271" s="10" t="s">
        <v>156</v>
      </c>
    </row>
    <row r="272" spans="1:13" x14ac:dyDescent="0.25">
      <c r="A272" s="13" t="str">
        <f t="shared" si="8"/>
        <v>50714275670</v>
      </c>
      <c r="B272" s="10">
        <v>1004052383</v>
      </c>
      <c r="C272" s="10">
        <v>507142756</v>
      </c>
      <c r="D272" s="10">
        <v>70</v>
      </c>
      <c r="E272" s="10" t="s">
        <v>10</v>
      </c>
      <c r="F272" s="10">
        <v>1411902</v>
      </c>
      <c r="G272" s="10" t="s">
        <v>151</v>
      </c>
      <c r="H272" s="11">
        <v>126758</v>
      </c>
      <c r="I272" s="11">
        <v>51462</v>
      </c>
      <c r="J272" s="11">
        <f t="shared" si="9"/>
        <v>75296</v>
      </c>
      <c r="K272" s="12">
        <f>VLOOKUP(A272,[4]VA05!$A:$K,11,FALSE)</f>
        <v>45582</v>
      </c>
      <c r="L272" s="10" t="s">
        <v>18</v>
      </c>
      <c r="M272" s="10" t="s">
        <v>201</v>
      </c>
    </row>
    <row r="273" spans="1:13" x14ac:dyDescent="0.25">
      <c r="A273" s="13" t="str">
        <f t="shared" si="8"/>
        <v>50714275690</v>
      </c>
      <c r="B273" s="10">
        <v>1004052384</v>
      </c>
      <c r="C273" s="10">
        <v>507142756</v>
      </c>
      <c r="D273" s="10">
        <v>90</v>
      </c>
      <c r="E273" s="10" t="s">
        <v>10</v>
      </c>
      <c r="F273" s="10">
        <v>1411902</v>
      </c>
      <c r="G273" s="10" t="s">
        <v>151</v>
      </c>
      <c r="H273" s="11">
        <v>68920</v>
      </c>
      <c r="I273" s="10">
        <v>0</v>
      </c>
      <c r="J273" s="11">
        <f t="shared" si="9"/>
        <v>68920</v>
      </c>
      <c r="K273" s="12">
        <f>VLOOKUP(A273,[4]VA05!$A:$K,11,FALSE)</f>
        <v>45588</v>
      </c>
      <c r="L273" s="10" t="s">
        <v>12</v>
      </c>
      <c r="M273" s="10" t="s">
        <v>194</v>
      </c>
    </row>
    <row r="274" spans="1:13" x14ac:dyDescent="0.25">
      <c r="A274" s="13" t="str">
        <f t="shared" si="8"/>
        <v>50714275740</v>
      </c>
      <c r="B274" s="10">
        <v>1004052374</v>
      </c>
      <c r="C274" s="10">
        <v>507142757</v>
      </c>
      <c r="D274" s="10">
        <v>40</v>
      </c>
      <c r="E274" s="10" t="s">
        <v>10</v>
      </c>
      <c r="F274" s="10">
        <v>1411705</v>
      </c>
      <c r="G274" s="10" t="s">
        <v>189</v>
      </c>
      <c r="H274" s="11">
        <v>129220</v>
      </c>
      <c r="I274" s="11">
        <v>100025</v>
      </c>
      <c r="J274" s="11">
        <f t="shared" si="9"/>
        <v>29195</v>
      </c>
      <c r="K274" s="12">
        <f>VLOOKUP(A274,[4]VA05!$A:$K,11,FALSE)</f>
        <v>45574</v>
      </c>
      <c r="L274" s="10" t="s">
        <v>18</v>
      </c>
      <c r="M274" s="10" t="s">
        <v>197</v>
      </c>
    </row>
    <row r="275" spans="1:13" x14ac:dyDescent="0.25">
      <c r="A275" s="13" t="str">
        <f t="shared" si="8"/>
        <v>50714275760</v>
      </c>
      <c r="B275" s="10">
        <v>1004052375</v>
      </c>
      <c r="C275" s="10">
        <v>507142757</v>
      </c>
      <c r="D275" s="10">
        <v>60</v>
      </c>
      <c r="E275" s="10" t="s">
        <v>10</v>
      </c>
      <c r="F275" s="10">
        <v>1411705</v>
      </c>
      <c r="G275" s="10" t="s">
        <v>189</v>
      </c>
      <c r="H275" s="11">
        <v>64748</v>
      </c>
      <c r="I275" s="10">
        <v>0</v>
      </c>
      <c r="J275" s="11">
        <f t="shared" si="9"/>
        <v>64748</v>
      </c>
      <c r="K275" s="12">
        <f>VLOOKUP(A275,[4]VA05!$A:$K,11,FALSE)</f>
        <v>45587</v>
      </c>
      <c r="L275" s="10" t="s">
        <v>12</v>
      </c>
      <c r="M275" s="10" t="s">
        <v>156</v>
      </c>
    </row>
    <row r="276" spans="1:13" x14ac:dyDescent="0.25">
      <c r="A276" s="13" t="str">
        <f t="shared" si="8"/>
        <v>50714275780</v>
      </c>
      <c r="B276" s="10">
        <v>1004052376</v>
      </c>
      <c r="C276" s="10">
        <v>507142757</v>
      </c>
      <c r="D276" s="10">
        <v>80</v>
      </c>
      <c r="E276" s="10" t="s">
        <v>10</v>
      </c>
      <c r="F276" s="10">
        <v>1411705</v>
      </c>
      <c r="G276" s="10" t="s">
        <v>189</v>
      </c>
      <c r="H276" s="11">
        <v>23145</v>
      </c>
      <c r="I276" s="10">
        <v>0</v>
      </c>
      <c r="J276" s="11">
        <f t="shared" si="9"/>
        <v>23145</v>
      </c>
      <c r="K276" s="12">
        <f>VLOOKUP(A276,[4]VA05!$A:$K,11,FALSE)</f>
        <v>45594</v>
      </c>
      <c r="L276" s="10" t="s">
        <v>12</v>
      </c>
      <c r="M276" s="10" t="s">
        <v>176</v>
      </c>
    </row>
    <row r="277" spans="1:13" x14ac:dyDescent="0.25">
      <c r="A277" s="13" t="str">
        <f t="shared" si="8"/>
        <v>50714275680</v>
      </c>
      <c r="B277" s="10">
        <v>1004052371</v>
      </c>
      <c r="C277" s="10">
        <v>507142756</v>
      </c>
      <c r="D277" s="10">
        <v>80</v>
      </c>
      <c r="E277" s="10" t="s">
        <v>10</v>
      </c>
      <c r="F277" s="10">
        <v>1411900</v>
      </c>
      <c r="G277" s="10" t="s">
        <v>152</v>
      </c>
      <c r="H277" s="11">
        <v>129220</v>
      </c>
      <c r="I277" s="11">
        <v>40422</v>
      </c>
      <c r="J277" s="11">
        <f t="shared" si="9"/>
        <v>88798</v>
      </c>
      <c r="K277" s="12">
        <f>VLOOKUP(A277,[4]VA05!$A:$K,11,FALSE)</f>
        <v>45582</v>
      </c>
      <c r="L277" s="10" t="s">
        <v>11</v>
      </c>
      <c r="M277" s="10" t="s">
        <v>180</v>
      </c>
    </row>
    <row r="278" spans="1:13" x14ac:dyDescent="0.25">
      <c r="A278" s="13" t="str">
        <f t="shared" si="8"/>
        <v>507142756100</v>
      </c>
      <c r="B278" s="10">
        <v>1004052372</v>
      </c>
      <c r="C278" s="10">
        <v>507142756</v>
      </c>
      <c r="D278" s="10">
        <v>100</v>
      </c>
      <c r="E278" s="10" t="s">
        <v>10</v>
      </c>
      <c r="F278" s="10">
        <v>1411900</v>
      </c>
      <c r="G278" s="10" t="s">
        <v>152</v>
      </c>
      <c r="H278" s="11">
        <v>70258</v>
      </c>
      <c r="I278" s="10">
        <v>0</v>
      </c>
      <c r="J278" s="11">
        <f t="shared" si="9"/>
        <v>70258</v>
      </c>
      <c r="K278" s="12">
        <f>VLOOKUP(A278,[4]VA05!$A:$K,11,FALSE)</f>
        <v>45588</v>
      </c>
      <c r="L278" s="10" t="s">
        <v>12</v>
      </c>
      <c r="M278" s="10" t="s">
        <v>178</v>
      </c>
    </row>
    <row r="279" spans="1:13" hidden="1" x14ac:dyDescent="0.25">
      <c r="A279" s="13" t="str">
        <f t="shared" si="8"/>
        <v>50714275710</v>
      </c>
      <c r="B279" s="10">
        <v>1004052377</v>
      </c>
      <c r="C279" s="10">
        <v>507142757</v>
      </c>
      <c r="D279" s="10">
        <v>10</v>
      </c>
      <c r="E279" s="10" t="s">
        <v>10</v>
      </c>
      <c r="F279" s="10">
        <v>1411703</v>
      </c>
      <c r="G279" s="10" t="s">
        <v>190</v>
      </c>
      <c r="H279" s="11">
        <v>71898</v>
      </c>
      <c r="I279" s="11">
        <v>71898</v>
      </c>
      <c r="J279" s="11">
        <f t="shared" si="9"/>
        <v>0</v>
      </c>
      <c r="K279" s="12">
        <f>VLOOKUP(A279,[4]VA05!$A:$K,11,FALSE)</f>
        <v>45572</v>
      </c>
      <c r="L279" s="10" t="s">
        <v>232</v>
      </c>
      <c r="M279" s="10" t="s">
        <v>143</v>
      </c>
    </row>
    <row r="280" spans="1:13" x14ac:dyDescent="0.25">
      <c r="A280" s="13" t="str">
        <f t="shared" si="8"/>
        <v>50714275730</v>
      </c>
      <c r="B280" s="10">
        <v>1004052378</v>
      </c>
      <c r="C280" s="10">
        <v>507142757</v>
      </c>
      <c r="D280" s="10">
        <v>30</v>
      </c>
      <c r="E280" s="10" t="s">
        <v>10</v>
      </c>
      <c r="F280" s="10">
        <v>1411703</v>
      </c>
      <c r="G280" s="10" t="s">
        <v>190</v>
      </c>
      <c r="H280" s="11">
        <v>123066</v>
      </c>
      <c r="I280" s="11">
        <v>14870</v>
      </c>
      <c r="J280" s="11">
        <f t="shared" si="9"/>
        <v>108196</v>
      </c>
      <c r="K280" s="12">
        <f>VLOOKUP(A280,[4]VA05!$A:$K,11,FALSE)</f>
        <v>45574</v>
      </c>
      <c r="L280" s="10" t="s">
        <v>18</v>
      </c>
      <c r="M280" s="10" t="s">
        <v>202</v>
      </c>
    </row>
    <row r="281" spans="1:13" x14ac:dyDescent="0.25">
      <c r="A281" s="13" t="str">
        <f t="shared" si="8"/>
        <v>50714275750</v>
      </c>
      <c r="B281" s="10">
        <v>1004052379</v>
      </c>
      <c r="C281" s="10">
        <v>507142757</v>
      </c>
      <c r="D281" s="10">
        <v>50</v>
      </c>
      <c r="E281" s="10" t="s">
        <v>10</v>
      </c>
      <c r="F281" s="10">
        <v>1411703</v>
      </c>
      <c r="G281" s="10" t="s">
        <v>190</v>
      </c>
      <c r="H281" s="11">
        <v>61664</v>
      </c>
      <c r="I281" s="10">
        <v>0</v>
      </c>
      <c r="J281" s="11">
        <f t="shared" si="9"/>
        <v>61664</v>
      </c>
      <c r="K281" s="12">
        <f>VLOOKUP(A281,[4]VA05!$A:$K,11,FALSE)</f>
        <v>45587</v>
      </c>
      <c r="L281" s="10" t="s">
        <v>12</v>
      </c>
      <c r="M281" s="10" t="s">
        <v>156</v>
      </c>
    </row>
    <row r="282" spans="1:13" x14ac:dyDescent="0.25">
      <c r="A282" s="13" t="str">
        <f t="shared" si="8"/>
        <v>50714275770</v>
      </c>
      <c r="B282" s="10">
        <v>1004052380</v>
      </c>
      <c r="C282" s="10">
        <v>507142757</v>
      </c>
      <c r="D282" s="10">
        <v>70</v>
      </c>
      <c r="E282" s="10" t="s">
        <v>10</v>
      </c>
      <c r="F282" s="10">
        <v>1411703</v>
      </c>
      <c r="G282" s="10" t="s">
        <v>190</v>
      </c>
      <c r="H282" s="11">
        <v>22042</v>
      </c>
      <c r="I282" s="10">
        <v>0</v>
      </c>
      <c r="J282" s="11">
        <f t="shared" si="9"/>
        <v>22042</v>
      </c>
      <c r="K282" s="12">
        <f>VLOOKUP(A282,[4]VA05!$A:$K,11,FALSE)</f>
        <v>45594</v>
      </c>
      <c r="L282" s="10" t="s">
        <v>12</v>
      </c>
      <c r="M282" s="10" t="s">
        <v>176</v>
      </c>
    </row>
    <row r="283" spans="1:13" x14ac:dyDescent="0.25">
      <c r="A283" s="13" t="str">
        <f t="shared" si="8"/>
        <v>50714275670</v>
      </c>
      <c r="B283" s="10">
        <v>1004052381</v>
      </c>
      <c r="C283" s="10">
        <v>507142756</v>
      </c>
      <c r="D283" s="10">
        <v>70</v>
      </c>
      <c r="E283" s="10" t="s">
        <v>10</v>
      </c>
      <c r="F283" s="10">
        <v>1411901</v>
      </c>
      <c r="G283" s="10" t="s">
        <v>153</v>
      </c>
      <c r="H283" s="11">
        <v>123066</v>
      </c>
      <c r="I283" s="11">
        <v>1660</v>
      </c>
      <c r="J283" s="11">
        <f t="shared" si="9"/>
        <v>121406</v>
      </c>
      <c r="K283" s="12">
        <f>VLOOKUP(A283,[4]VA05!$A:$K,11,FALSE)</f>
        <v>45582</v>
      </c>
      <c r="L283" s="10" t="s">
        <v>18</v>
      </c>
      <c r="M283" s="10" t="s">
        <v>154</v>
      </c>
    </row>
    <row r="284" spans="1:13" x14ac:dyDescent="0.25">
      <c r="A284" s="13" t="str">
        <f t="shared" si="8"/>
        <v>50714275690</v>
      </c>
      <c r="B284" s="10">
        <v>1004052382</v>
      </c>
      <c r="C284" s="10">
        <v>507142756</v>
      </c>
      <c r="D284" s="10">
        <v>90</v>
      </c>
      <c r="E284" s="10" t="s">
        <v>10</v>
      </c>
      <c r="F284" s="10">
        <v>1411901</v>
      </c>
      <c r="G284" s="10" t="s">
        <v>153</v>
      </c>
      <c r="H284" s="11">
        <v>66912</v>
      </c>
      <c r="I284" s="10">
        <v>0</v>
      </c>
      <c r="J284" s="11">
        <f t="shared" si="9"/>
        <v>66912</v>
      </c>
      <c r="K284" s="12">
        <f>VLOOKUP(A284,[4]VA05!$A:$K,11,FALSE)</f>
        <v>45588</v>
      </c>
      <c r="L284" s="10" t="s">
        <v>12</v>
      </c>
      <c r="M284" s="10" t="s">
        <v>156</v>
      </c>
    </row>
    <row r="285" spans="1:13" x14ac:dyDescent="0.25">
      <c r="A285" s="13" t="str">
        <f t="shared" si="8"/>
        <v>507142416200</v>
      </c>
      <c r="B285" s="10">
        <v>1004053568</v>
      </c>
      <c r="C285" s="10">
        <v>507142416</v>
      </c>
      <c r="D285" s="10">
        <v>200</v>
      </c>
      <c r="E285" s="10" t="s">
        <v>10</v>
      </c>
      <c r="F285" s="10">
        <v>1172059</v>
      </c>
      <c r="G285" s="10" t="s">
        <v>59</v>
      </c>
      <c r="H285" s="11">
        <v>10195</v>
      </c>
      <c r="I285" s="11">
        <v>9671</v>
      </c>
      <c r="J285" s="11">
        <f t="shared" si="9"/>
        <v>524</v>
      </c>
      <c r="K285" s="12">
        <f>VLOOKUP(A285,[4]VA05!$A:$K,11,FALSE)</f>
        <v>45582</v>
      </c>
      <c r="L285" s="10" t="s">
        <v>18</v>
      </c>
      <c r="M285" s="10" t="s">
        <v>179</v>
      </c>
    </row>
    <row r="286" spans="1:13" x14ac:dyDescent="0.25">
      <c r="A286" s="13" t="str">
        <f t="shared" si="8"/>
        <v>507142416230</v>
      </c>
      <c r="B286" s="10">
        <v>1004053609</v>
      </c>
      <c r="C286" s="10">
        <v>507142416</v>
      </c>
      <c r="D286" s="10">
        <v>230</v>
      </c>
      <c r="E286" s="10" t="s">
        <v>10</v>
      </c>
      <c r="F286" s="10">
        <v>1172059</v>
      </c>
      <c r="G286" s="10" t="s">
        <v>59</v>
      </c>
      <c r="H286" s="11">
        <v>10195</v>
      </c>
      <c r="I286" s="10">
        <v>0</v>
      </c>
      <c r="J286" s="11">
        <f t="shared" si="9"/>
        <v>10195</v>
      </c>
      <c r="K286" s="12">
        <f>VLOOKUP(A286,[4]VA05!$A:$K,11,FALSE)</f>
        <v>45587</v>
      </c>
      <c r="L286" s="10" t="s">
        <v>13</v>
      </c>
      <c r="M286" s="10" t="s">
        <v>191</v>
      </c>
    </row>
    <row r="287" spans="1:13" x14ac:dyDescent="0.25">
      <c r="A287" s="13" t="str">
        <f t="shared" si="8"/>
        <v>50714271330</v>
      </c>
      <c r="B287" s="10">
        <v>1004063620</v>
      </c>
      <c r="C287" s="10">
        <v>507142713</v>
      </c>
      <c r="D287" s="10">
        <v>30</v>
      </c>
      <c r="E287" s="10" t="s">
        <v>10</v>
      </c>
      <c r="F287" s="10">
        <v>1172059</v>
      </c>
      <c r="G287" s="10" t="s">
        <v>59</v>
      </c>
      <c r="H287" s="11">
        <v>10195</v>
      </c>
      <c r="I287" s="10">
        <v>0</v>
      </c>
      <c r="J287" s="11">
        <f t="shared" si="9"/>
        <v>10195</v>
      </c>
      <c r="K287" s="12">
        <f>VLOOKUP(A287,[4]VA05!$A:$K,11,FALSE)</f>
        <v>45591</v>
      </c>
      <c r="L287" s="10" t="s">
        <v>12</v>
      </c>
      <c r="M287" s="10" t="s">
        <v>207</v>
      </c>
    </row>
    <row r="288" spans="1:13" x14ac:dyDescent="0.25">
      <c r="A288" s="13" t="str">
        <f t="shared" si="8"/>
        <v>50714271360</v>
      </c>
      <c r="B288" s="10">
        <v>1004063621</v>
      </c>
      <c r="C288" s="10">
        <v>507142713</v>
      </c>
      <c r="D288" s="10">
        <v>60</v>
      </c>
      <c r="E288" s="10" t="s">
        <v>10</v>
      </c>
      <c r="F288" s="10">
        <v>1172059</v>
      </c>
      <c r="G288" s="10" t="s">
        <v>59</v>
      </c>
      <c r="H288" s="11">
        <v>10195</v>
      </c>
      <c r="I288" s="10">
        <v>0</v>
      </c>
      <c r="J288" s="11">
        <f t="shared" si="9"/>
        <v>10195</v>
      </c>
      <c r="K288" s="12">
        <f>VLOOKUP(A288,[4]VA05!$A:$K,11,FALSE)</f>
        <v>45591</v>
      </c>
      <c r="L288" s="10" t="s">
        <v>12</v>
      </c>
      <c r="M288" s="10" t="s">
        <v>207</v>
      </c>
    </row>
    <row r="289" spans="1:13" x14ac:dyDescent="0.25">
      <c r="A289" s="13" t="str">
        <f t="shared" si="8"/>
        <v>50714268040</v>
      </c>
      <c r="B289" s="10">
        <v>1004053551</v>
      </c>
      <c r="C289" s="10">
        <v>507142680</v>
      </c>
      <c r="D289" s="10">
        <v>40</v>
      </c>
      <c r="E289" s="10" t="s">
        <v>10</v>
      </c>
      <c r="F289" s="10">
        <v>1167435</v>
      </c>
      <c r="G289" s="10" t="s">
        <v>26</v>
      </c>
      <c r="H289" s="11">
        <v>25287</v>
      </c>
      <c r="I289" s="11">
        <v>9258</v>
      </c>
      <c r="J289" s="11">
        <f t="shared" si="9"/>
        <v>16029</v>
      </c>
      <c r="K289" s="12">
        <f>VLOOKUP(A289,[4]VA05!$A:$K,11,FALSE)</f>
        <v>45572</v>
      </c>
      <c r="L289" s="10" t="s">
        <v>18</v>
      </c>
      <c r="M289" s="10" t="s">
        <v>156</v>
      </c>
    </row>
    <row r="290" spans="1:13" x14ac:dyDescent="0.25">
      <c r="A290" s="13" t="str">
        <f t="shared" si="8"/>
        <v>50714275420</v>
      </c>
      <c r="B290" s="10">
        <v>1004053562</v>
      </c>
      <c r="C290" s="10">
        <v>507142754</v>
      </c>
      <c r="D290" s="10">
        <v>20</v>
      </c>
      <c r="E290" s="10" t="s">
        <v>10</v>
      </c>
      <c r="F290" s="10">
        <v>1167435</v>
      </c>
      <c r="G290" s="10" t="s">
        <v>26</v>
      </c>
      <c r="H290" s="11">
        <v>20390</v>
      </c>
      <c r="I290" s="10">
        <v>0</v>
      </c>
      <c r="J290" s="11">
        <f t="shared" si="9"/>
        <v>20390</v>
      </c>
      <c r="K290" s="12">
        <f>VLOOKUP(A290,[4]VA05!$A:$K,11,FALSE)</f>
        <v>45611</v>
      </c>
      <c r="L290" s="10" t="s">
        <v>12</v>
      </c>
      <c r="M290" s="10" t="s">
        <v>217</v>
      </c>
    </row>
    <row r="291" spans="1:13" x14ac:dyDescent="0.25">
      <c r="A291" s="13" t="str">
        <f t="shared" si="8"/>
        <v>50714276930</v>
      </c>
      <c r="B291" s="10">
        <v>1004053564</v>
      </c>
      <c r="C291" s="10">
        <v>507142769</v>
      </c>
      <c r="D291" s="10">
        <v>30</v>
      </c>
      <c r="E291" s="10" t="s">
        <v>10</v>
      </c>
      <c r="F291" s="10">
        <v>1167435</v>
      </c>
      <c r="G291" s="10" t="s">
        <v>26</v>
      </c>
      <c r="H291" s="11">
        <v>30683</v>
      </c>
      <c r="I291" s="10">
        <v>0</v>
      </c>
      <c r="J291" s="11">
        <f t="shared" si="9"/>
        <v>30683</v>
      </c>
      <c r="K291" s="12">
        <f>VLOOKUP(A291,[4]VA05!$A:$K,11,FALSE)</f>
        <v>45575</v>
      </c>
      <c r="L291" s="10" t="s">
        <v>25</v>
      </c>
      <c r="M291" s="10" t="s">
        <v>202</v>
      </c>
    </row>
    <row r="292" spans="1:13" x14ac:dyDescent="0.25">
      <c r="A292" s="13" t="str">
        <f t="shared" si="8"/>
        <v>50714283530</v>
      </c>
      <c r="B292" s="10">
        <v>1004060455</v>
      </c>
      <c r="C292" s="10">
        <v>507142835</v>
      </c>
      <c r="D292" s="10">
        <v>30</v>
      </c>
      <c r="E292" s="10" t="s">
        <v>10</v>
      </c>
      <c r="F292" s="10">
        <v>1167435</v>
      </c>
      <c r="G292" s="10" t="s">
        <v>26</v>
      </c>
      <c r="H292" s="11">
        <v>10277</v>
      </c>
      <c r="I292" s="10">
        <v>0</v>
      </c>
      <c r="J292" s="11">
        <f t="shared" si="9"/>
        <v>10277</v>
      </c>
      <c r="K292" s="12">
        <f>VLOOKUP(A292,[4]VA05!$A:$K,11,FALSE)</f>
        <v>45587</v>
      </c>
      <c r="L292" s="10" t="s">
        <v>12</v>
      </c>
      <c r="M292" s="10" t="s">
        <v>109</v>
      </c>
    </row>
    <row r="293" spans="1:13" x14ac:dyDescent="0.25">
      <c r="A293" s="13" t="str">
        <f t="shared" si="8"/>
        <v>50714226530</v>
      </c>
      <c r="B293" s="10">
        <v>1004060456</v>
      </c>
      <c r="C293" s="10">
        <v>507142265</v>
      </c>
      <c r="D293" s="10">
        <v>30</v>
      </c>
      <c r="E293" s="10" t="s">
        <v>10</v>
      </c>
      <c r="F293" s="10">
        <v>1170825</v>
      </c>
      <c r="G293" s="10" t="s">
        <v>252</v>
      </c>
      <c r="H293" s="11">
        <v>40524</v>
      </c>
      <c r="I293" s="10">
        <v>0</v>
      </c>
      <c r="J293" s="11">
        <f t="shared" si="9"/>
        <v>40524</v>
      </c>
      <c r="K293" s="12">
        <f>VLOOKUP(A293,[4]VA05!$A:$K,11,FALSE)</f>
        <v>45576</v>
      </c>
      <c r="L293" s="10" t="s">
        <v>12</v>
      </c>
      <c r="M293" s="10" t="s">
        <v>194</v>
      </c>
    </row>
    <row r="294" spans="1:13" x14ac:dyDescent="0.25">
      <c r="A294" s="13" t="str">
        <f t="shared" si="8"/>
        <v>50714262620</v>
      </c>
      <c r="B294" s="10">
        <v>1004060457</v>
      </c>
      <c r="C294" s="10">
        <v>507142626</v>
      </c>
      <c r="D294" s="10">
        <v>20</v>
      </c>
      <c r="E294" s="10" t="s">
        <v>10</v>
      </c>
      <c r="F294" s="10">
        <v>1170825</v>
      </c>
      <c r="G294" s="10" t="s">
        <v>252</v>
      </c>
      <c r="H294" s="11">
        <v>25425</v>
      </c>
      <c r="I294" s="10">
        <v>0</v>
      </c>
      <c r="J294" s="11">
        <f t="shared" si="9"/>
        <v>25425</v>
      </c>
      <c r="K294" s="12">
        <f>VLOOKUP(A294,[4]VA05!$A:$K,11,FALSE)</f>
        <v>45590</v>
      </c>
      <c r="L294" s="10" t="s">
        <v>12</v>
      </c>
      <c r="M294" s="10" t="s">
        <v>199</v>
      </c>
    </row>
    <row r="295" spans="1:13" x14ac:dyDescent="0.25">
      <c r="A295" s="13" t="str">
        <f t="shared" si="8"/>
        <v>50714270930</v>
      </c>
      <c r="B295" s="10">
        <v>1004060458</v>
      </c>
      <c r="C295" s="10">
        <v>507142709</v>
      </c>
      <c r="D295" s="10">
        <v>30</v>
      </c>
      <c r="E295" s="10" t="s">
        <v>10</v>
      </c>
      <c r="F295" s="10">
        <v>1170825</v>
      </c>
      <c r="G295" s="10" t="s">
        <v>252</v>
      </c>
      <c r="H295" s="11">
        <v>30393</v>
      </c>
      <c r="I295" s="10">
        <v>0</v>
      </c>
      <c r="J295" s="11">
        <f t="shared" si="9"/>
        <v>30393</v>
      </c>
      <c r="K295" s="12">
        <f>VLOOKUP(A295,[4]VA05!$A:$K,11,FALSE)</f>
        <v>45583</v>
      </c>
      <c r="L295" s="10" t="s">
        <v>12</v>
      </c>
      <c r="M295" s="10" t="s">
        <v>179</v>
      </c>
    </row>
    <row r="296" spans="1:13" x14ac:dyDescent="0.25">
      <c r="A296" s="13" t="str">
        <f t="shared" si="8"/>
        <v>50714271030</v>
      </c>
      <c r="B296" s="10">
        <v>1004060459</v>
      </c>
      <c r="C296" s="10">
        <v>507142710</v>
      </c>
      <c r="D296" s="10">
        <v>30</v>
      </c>
      <c r="E296" s="10" t="s">
        <v>10</v>
      </c>
      <c r="F296" s="10">
        <v>1170825</v>
      </c>
      <c r="G296" s="10" t="s">
        <v>252</v>
      </c>
      <c r="H296" s="11">
        <v>30393</v>
      </c>
      <c r="I296" s="10">
        <v>0</v>
      </c>
      <c r="J296" s="11">
        <f t="shared" si="9"/>
        <v>30393</v>
      </c>
      <c r="K296" s="12">
        <f>VLOOKUP(A296,[4]VA05!$A:$K,11,FALSE)</f>
        <v>45596</v>
      </c>
      <c r="L296" s="10" t="s">
        <v>12</v>
      </c>
      <c r="M296" s="10" t="s">
        <v>207</v>
      </c>
    </row>
  </sheetData>
  <autoFilter ref="A2:M296" xr:uid="{74AC2D90-7378-4672-B9CE-F01B46F05AFD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DLV  PRC  BASC BCRQ GMPS SETC"/>
        <filter val="REL  MSPT PCNF DLV  PRC  BASC BCRQ GMPS*"/>
        <filter val="REL  MSPT PCNF PRC  BASC BCRQ GMPS PDLV*"/>
        <filter val="REL  MSPT PCNF PRC  BASC BCRQ GMPS SETC"/>
        <filter val="REL  MSPT PPRT PCNF PRC  BASC BCRQ GMPS*"/>
        <filter val="REL  MSPT PRC  BASC BCRQ GMPS PDLV SETC"/>
        <filter val="REL  MSPT PRC  BASC BCRQ GMPS RESA SETC"/>
        <filter val="REL  MSPT PRC  BASC BCRQ GMPS SETC"/>
        <filter val="REL  MSPT PRC  BASC BCRQ SETC"/>
        <filter val="REL  MSPT PRT  CNF  DLV  PRC  BASC BCRQ*"/>
        <filter val="REL  MSPT PRT  PCNF DLV  PRC  BASC BCRQ*"/>
        <filter val="REL  MSPT PRT  PCNF PRC  BASC BCRQ GMPS*"/>
        <filter val="REL  MSPT PRT  PRC  BASC BCRQ GMPS RESA*"/>
        <filter val="REL  MSPT PRT  PRC  BASC BCRQ GMPS SETC"/>
        <filter val="REL  MSPT PRT  PRC  BASC BCRQ SETC"/>
        <filter val="REL  MSPT PRT  PRC  DLFL BASC BCRQ SETC"/>
        <filter val="REL  PCNF DLV  PRC  BASC BCRQ GMPS MACM*"/>
        <filter val="REL  PRC  BASC BCRQ GMPS MACM PDLV SETC"/>
        <filter val="REL  PRC  BASC BCRQ MACM SETC"/>
        <filter val="REL  PRT  PCNF DLV  PRC  BASC BCRQ GMPS*"/>
        <filter val="REL  PRT  PCNF PRC  BASC BCRQ GMPS MACM*"/>
        <filter val="REL  PRT  PRC  BASC BCRQ GMPS MACM RESA*"/>
      </filters>
    </filterColumn>
  </autoFilter>
  <pageMargins left="0.2" right="0.2" top="0.25" bottom="0.25" header="0.05" footer="0.05"/>
  <pageSetup scale="106" orientation="landscape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55D3-FA50-4E04-ABC1-F6EB31477D6B}">
  <sheetPr filterMode="1"/>
  <dimension ref="A1:M305"/>
  <sheetViews>
    <sheetView workbookViewId="0">
      <selection activeCell="K3" sqref="K3"/>
    </sheetView>
  </sheetViews>
  <sheetFormatPr defaultRowHeight="15" x14ac:dyDescent="0.25"/>
  <cols>
    <col min="2" max="2" width="12.42578125" bestFit="1" customWidth="1"/>
    <col min="3" max="3" width="12.28515625" customWidth="1"/>
    <col min="4" max="4" width="5.28515625" customWidth="1"/>
    <col min="5" max="5" width="7.42578125" customWidth="1"/>
    <col min="6" max="6" width="10.5703125" customWidth="1"/>
    <col min="7" max="7" width="34.5703125" customWidth="1"/>
    <col min="8" max="10" width="9.28515625" bestFit="1" customWidth="1"/>
    <col min="12" max="12" width="4.7109375" customWidth="1"/>
  </cols>
  <sheetData>
    <row r="1" spans="1:13" s="13" customFormat="1" ht="23.25" x14ac:dyDescent="0.35">
      <c r="B1" s="1" t="s">
        <v>301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VLOOKUP(A3,[4]VA05!$A:$K,11,FALSE)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VLOOKUP(A4,[4]VA05!$A:$K,11,FALSE)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VLOOKUP(A5,[4]VA05!$A:$K,11,FALSE)</f>
        <v>45593</v>
      </c>
      <c r="L5" s="10" t="s">
        <v>12</v>
      </c>
      <c r="M5" s="10" t="s">
        <v>175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VLOOKUP(A6,[4]VA05!$A:$K,11,FALSE)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VLOOKUP(A7,[4]VA05!$A:$K,11,FALSE)</f>
        <v>45593</v>
      </c>
      <c r="L7" s="10" t="s">
        <v>12</v>
      </c>
      <c r="M7" s="10" t="s">
        <v>140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VLOOKUP(A8,[4]VA05!$A:$K,11,FALSE)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50714156910</v>
      </c>
      <c r="B9" s="10">
        <v>1004003998</v>
      </c>
      <c r="C9" s="10">
        <v>507141569</v>
      </c>
      <c r="D9" s="10">
        <v>10</v>
      </c>
      <c r="E9" s="10" t="s">
        <v>10</v>
      </c>
      <c r="F9" s="10">
        <v>1175312</v>
      </c>
      <c r="G9" s="10" t="s">
        <v>51</v>
      </c>
      <c r="H9" s="11">
        <v>25845</v>
      </c>
      <c r="I9" s="10">
        <v>0</v>
      </c>
      <c r="J9" s="11">
        <f t="shared" si="1"/>
        <v>25845</v>
      </c>
      <c r="K9" s="12">
        <f>VLOOKUP(A9,[4]VA05!$A:$K,11,FALSE)</f>
        <v>45611</v>
      </c>
      <c r="L9" s="10" t="s">
        <v>117</v>
      </c>
      <c r="M9" s="10" t="s">
        <v>78</v>
      </c>
    </row>
    <row r="10" spans="1:13" x14ac:dyDescent="0.25">
      <c r="A10" s="13" t="str">
        <f t="shared" si="0"/>
        <v>50714156910</v>
      </c>
      <c r="B10" s="10">
        <v>1004017074</v>
      </c>
      <c r="C10" s="10">
        <v>507141569</v>
      </c>
      <c r="D10" s="10">
        <v>10</v>
      </c>
      <c r="E10" s="10" t="s">
        <v>10</v>
      </c>
      <c r="F10" s="10">
        <v>1175311</v>
      </c>
      <c r="G10" s="10" t="s">
        <v>67</v>
      </c>
      <c r="H10" s="11">
        <v>25845</v>
      </c>
      <c r="I10" s="10">
        <v>0</v>
      </c>
      <c r="J10" s="11">
        <f t="shared" si="1"/>
        <v>25845</v>
      </c>
      <c r="K10" s="12">
        <f>VLOOKUP(A10,[4]VA05!$A:$K,11,FALSE)</f>
        <v>45611</v>
      </c>
      <c r="L10" s="10" t="s">
        <v>12</v>
      </c>
      <c r="M10" s="10" t="s">
        <v>50</v>
      </c>
    </row>
    <row r="11" spans="1:13" x14ac:dyDescent="0.25">
      <c r="A11" s="13" t="str">
        <f t="shared" si="0"/>
        <v>50714270810</v>
      </c>
      <c r="B11" s="10">
        <v>1004052045</v>
      </c>
      <c r="C11" s="10">
        <v>507142708</v>
      </c>
      <c r="D11" s="10">
        <v>10</v>
      </c>
      <c r="E11" s="10" t="s">
        <v>10</v>
      </c>
      <c r="F11" s="10">
        <v>1215664</v>
      </c>
      <c r="G11" s="10" t="s">
        <v>90</v>
      </c>
      <c r="H11" s="11">
        <v>11159</v>
      </c>
      <c r="I11" s="10">
        <v>0</v>
      </c>
      <c r="J11" s="11">
        <f t="shared" si="1"/>
        <v>11159</v>
      </c>
      <c r="K11" s="12">
        <f>VLOOKUP(A11,[4]VA05!$A:$K,11,FALSE)</f>
        <v>45588</v>
      </c>
      <c r="L11" s="10" t="s">
        <v>13</v>
      </c>
      <c r="M11" s="10" t="s">
        <v>191</v>
      </c>
    </row>
    <row r="12" spans="1:13" x14ac:dyDescent="0.25">
      <c r="A12" s="13" t="str">
        <f t="shared" si="0"/>
        <v>50714278910</v>
      </c>
      <c r="B12" s="10">
        <v>1004052165</v>
      </c>
      <c r="C12" s="10">
        <v>507142789</v>
      </c>
      <c r="D12" s="10">
        <v>10</v>
      </c>
      <c r="E12" s="10" t="s">
        <v>10</v>
      </c>
      <c r="F12" s="10">
        <v>1411198</v>
      </c>
      <c r="G12" s="10" t="s">
        <v>41</v>
      </c>
      <c r="H12" s="11">
        <v>14201</v>
      </c>
      <c r="I12" s="11">
        <v>9898</v>
      </c>
      <c r="J12" s="11">
        <f t="shared" si="1"/>
        <v>4303</v>
      </c>
      <c r="K12" s="12">
        <f>VLOOKUP(A12,[4]VA05!$A:$K,11,FALSE)</f>
        <v>45583</v>
      </c>
      <c r="L12" s="10" t="s">
        <v>18</v>
      </c>
      <c r="M12" s="10" t="s">
        <v>162</v>
      </c>
    </row>
    <row r="13" spans="1:13" x14ac:dyDescent="0.25">
      <c r="A13" s="13" t="str">
        <f t="shared" si="0"/>
        <v>50714282710</v>
      </c>
      <c r="B13" s="10">
        <v>1004061191</v>
      </c>
      <c r="C13" s="10">
        <v>507142827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28402</v>
      </c>
      <c r="I13" s="10">
        <v>0</v>
      </c>
      <c r="J13" s="11">
        <f t="shared" si="1"/>
        <v>28402</v>
      </c>
      <c r="K13" s="12">
        <f>VLOOKUP(A13,[4]VA05!$A:$K,11,FALSE)</f>
        <v>45588</v>
      </c>
      <c r="L13" s="10" t="s">
        <v>12</v>
      </c>
      <c r="M13" s="10" t="s">
        <v>178</v>
      </c>
    </row>
    <row r="14" spans="1:13" x14ac:dyDescent="0.25">
      <c r="A14" s="13" t="str">
        <f t="shared" si="0"/>
        <v>50714270810</v>
      </c>
      <c r="B14" s="10">
        <v>1004052046</v>
      </c>
      <c r="C14" s="10">
        <v>507142708</v>
      </c>
      <c r="D14" s="10">
        <v>10</v>
      </c>
      <c r="E14" s="10" t="s">
        <v>10</v>
      </c>
      <c r="F14" s="10">
        <v>1215668</v>
      </c>
      <c r="G14" s="10" t="s">
        <v>108</v>
      </c>
      <c r="H14" s="11">
        <v>11349</v>
      </c>
      <c r="I14" s="10">
        <v>0</v>
      </c>
      <c r="J14" s="11">
        <f t="shared" si="1"/>
        <v>11349</v>
      </c>
      <c r="K14" s="12">
        <f>VLOOKUP(A14,[4]VA05!$A:$K,11,FALSE)</f>
        <v>45588</v>
      </c>
      <c r="L14" s="10" t="s">
        <v>13</v>
      </c>
      <c r="M14" s="10" t="s">
        <v>192</v>
      </c>
    </row>
    <row r="15" spans="1:13" x14ac:dyDescent="0.25">
      <c r="A15" s="13" t="str">
        <f t="shared" si="0"/>
        <v>50714283810</v>
      </c>
      <c r="B15" s="10">
        <v>1004061192</v>
      </c>
      <c r="C15" s="10">
        <v>507142838</v>
      </c>
      <c r="D15" s="10">
        <v>10</v>
      </c>
      <c r="E15" s="10" t="s">
        <v>10</v>
      </c>
      <c r="F15" s="10">
        <v>1171797</v>
      </c>
      <c r="G15" s="10" t="s">
        <v>255</v>
      </c>
      <c r="H15" s="11">
        <v>31141</v>
      </c>
      <c r="I15" s="10">
        <v>0</v>
      </c>
      <c r="J15" s="11">
        <f t="shared" si="1"/>
        <v>31141</v>
      </c>
      <c r="K15" s="12">
        <f>VLOOKUP(A15,[4]VA05!$A:$K,11,FALSE)</f>
        <v>45593</v>
      </c>
      <c r="L15" s="10" t="s">
        <v>12</v>
      </c>
      <c r="M15" s="10" t="s">
        <v>162</v>
      </c>
    </row>
    <row r="16" spans="1:13" x14ac:dyDescent="0.25">
      <c r="A16" s="13" t="str">
        <f t="shared" si="0"/>
        <v>50714270810</v>
      </c>
      <c r="B16" s="10">
        <v>1004052048</v>
      </c>
      <c r="C16" s="10">
        <v>507142708</v>
      </c>
      <c r="D16" s="10">
        <v>10</v>
      </c>
      <c r="E16" s="10" t="s">
        <v>10</v>
      </c>
      <c r="F16" s="10">
        <v>1215666</v>
      </c>
      <c r="G16" s="10" t="s">
        <v>182</v>
      </c>
      <c r="H16" s="11">
        <v>11159</v>
      </c>
      <c r="I16" s="10">
        <v>0</v>
      </c>
      <c r="J16" s="11">
        <f t="shared" si="1"/>
        <v>11159</v>
      </c>
      <c r="K16" s="12">
        <f>VLOOKUP(A16,[4]VA05!$A:$K,11,FALSE)</f>
        <v>45588</v>
      </c>
      <c r="L16" s="10" t="s">
        <v>13</v>
      </c>
      <c r="M16" s="10" t="s">
        <v>191</v>
      </c>
    </row>
    <row r="17" spans="1:13" hidden="1" x14ac:dyDescent="0.25">
      <c r="A17" s="13" t="str">
        <f t="shared" si="0"/>
        <v>50800482020</v>
      </c>
      <c r="B17" s="10">
        <v>1003970409</v>
      </c>
      <c r="C17" s="10">
        <v>508004820</v>
      </c>
      <c r="D17" s="10">
        <v>20</v>
      </c>
      <c r="E17" s="10" t="s">
        <v>10</v>
      </c>
      <c r="F17" s="10">
        <v>1174032</v>
      </c>
      <c r="G17" s="10" t="s">
        <v>261</v>
      </c>
      <c r="H17" s="11">
        <v>10948</v>
      </c>
      <c r="I17" s="10">
        <v>0</v>
      </c>
      <c r="J17" s="11">
        <f t="shared" si="1"/>
        <v>10948</v>
      </c>
      <c r="K17" s="12" t="e">
        <f>VLOOKUP(A17,[4]VA05!$A:$K,11,FALSE)</f>
        <v>#N/A</v>
      </c>
      <c r="L17" s="10" t="s">
        <v>260</v>
      </c>
      <c r="M17" s="10" t="s">
        <v>262</v>
      </c>
    </row>
    <row r="18" spans="1:13" x14ac:dyDescent="0.25">
      <c r="A18" s="13" t="str">
        <f t="shared" si="0"/>
        <v>50714282710</v>
      </c>
      <c r="B18" s="10">
        <v>1004063656</v>
      </c>
      <c r="C18" s="10">
        <v>507142827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20598</v>
      </c>
      <c r="I18" s="10">
        <v>0</v>
      </c>
      <c r="J18" s="11">
        <f t="shared" si="1"/>
        <v>20598</v>
      </c>
      <c r="K18" s="12">
        <f>VLOOKUP(A18,[4]VA05!$A:$K,11,FALSE)</f>
        <v>45588</v>
      </c>
      <c r="L18" s="10" t="s">
        <v>12</v>
      </c>
      <c r="M18" s="10" t="s">
        <v>177</v>
      </c>
    </row>
    <row r="19" spans="1:13" x14ac:dyDescent="0.25">
      <c r="A19" s="13" t="str">
        <f t="shared" si="0"/>
        <v>50714282720</v>
      </c>
      <c r="B19" s="10">
        <v>1004063657</v>
      </c>
      <c r="C19" s="10">
        <v>507142827</v>
      </c>
      <c r="D19" s="10">
        <v>20</v>
      </c>
      <c r="E19" s="10" t="s">
        <v>10</v>
      </c>
      <c r="F19" s="10">
        <v>1411194</v>
      </c>
      <c r="G19" s="10" t="s">
        <v>46</v>
      </c>
      <c r="H19" s="11">
        <v>10054</v>
      </c>
      <c r="I19" s="10">
        <v>0</v>
      </c>
      <c r="J19" s="11">
        <f t="shared" si="1"/>
        <v>10054</v>
      </c>
      <c r="K19" s="12">
        <f>VLOOKUP(A19,[4]VA05!$A:$K,11,FALSE)</f>
        <v>45594</v>
      </c>
      <c r="L19" s="10" t="s">
        <v>12</v>
      </c>
      <c r="M19" s="10" t="s">
        <v>204</v>
      </c>
    </row>
    <row r="20" spans="1:13" hidden="1" x14ac:dyDescent="0.25">
      <c r="A20" s="13" t="str">
        <f t="shared" si="0"/>
        <v>50714251220</v>
      </c>
      <c r="B20" s="10">
        <v>1004061391</v>
      </c>
      <c r="C20" s="10">
        <v>507142512</v>
      </c>
      <c r="D20" s="10">
        <v>20</v>
      </c>
      <c r="E20" s="10" t="s">
        <v>10</v>
      </c>
      <c r="F20" s="10">
        <v>1173944</v>
      </c>
      <c r="G20" s="10" t="s">
        <v>91</v>
      </c>
      <c r="H20" s="11">
        <v>11020</v>
      </c>
      <c r="I20" s="11">
        <v>11020</v>
      </c>
      <c r="J20" s="11">
        <f t="shared" si="1"/>
        <v>0</v>
      </c>
      <c r="K20" s="12" t="e">
        <f>VLOOKUP(A20,[4]VA05!$A:$K,11,FALSE)</f>
        <v>#N/A</v>
      </c>
      <c r="L20" s="10" t="s">
        <v>28</v>
      </c>
      <c r="M20" s="10" t="s">
        <v>202</v>
      </c>
    </row>
    <row r="21" spans="1:13" hidden="1" x14ac:dyDescent="0.25">
      <c r="A21" s="13" t="str">
        <f t="shared" si="0"/>
        <v>50714269620</v>
      </c>
      <c r="B21" s="10">
        <v>1004061392</v>
      </c>
      <c r="C21" s="10">
        <v>507142696</v>
      </c>
      <c r="D21" s="10">
        <v>20</v>
      </c>
      <c r="E21" s="10" t="s">
        <v>10</v>
      </c>
      <c r="F21" s="10">
        <v>1173944</v>
      </c>
      <c r="G21" s="10" t="s">
        <v>91</v>
      </c>
      <c r="H21" s="11">
        <v>5603</v>
      </c>
      <c r="I21" s="11">
        <v>5603</v>
      </c>
      <c r="J21" s="11">
        <f t="shared" si="1"/>
        <v>0</v>
      </c>
      <c r="K21" s="12">
        <f>VLOOKUP(A21,[4]VA05!$A:$K,11,FALSE)</f>
        <v>45566</v>
      </c>
      <c r="L21" s="10" t="s">
        <v>28</v>
      </c>
      <c r="M21" s="10" t="s">
        <v>202</v>
      </c>
    </row>
    <row r="22" spans="1:13" x14ac:dyDescent="0.25">
      <c r="A22" s="13" t="str">
        <f t="shared" si="0"/>
        <v>50714282510</v>
      </c>
      <c r="B22" s="10">
        <v>1004061393</v>
      </c>
      <c r="C22" s="10">
        <v>507142825</v>
      </c>
      <c r="D22" s="10">
        <v>10</v>
      </c>
      <c r="E22" s="10" t="s">
        <v>10</v>
      </c>
      <c r="F22" s="10">
        <v>1173944</v>
      </c>
      <c r="G22" s="10" t="s">
        <v>91</v>
      </c>
      <c r="H22" s="11">
        <v>21855</v>
      </c>
      <c r="I22" s="10">
        <v>0</v>
      </c>
      <c r="J22" s="11">
        <f t="shared" si="1"/>
        <v>21855</v>
      </c>
      <c r="K22" s="12">
        <f>VLOOKUP(A22,[4]VA05!$A:$K,11,FALSE)</f>
        <v>45589</v>
      </c>
      <c r="L22" s="10" t="s">
        <v>56</v>
      </c>
      <c r="M22" s="10" t="s">
        <v>191</v>
      </c>
    </row>
    <row r="23" spans="1:13" x14ac:dyDescent="0.25">
      <c r="A23" s="13" t="str">
        <f t="shared" si="0"/>
        <v>50714282910</v>
      </c>
      <c r="B23" s="10">
        <v>1004061394</v>
      </c>
      <c r="C23" s="10">
        <v>507142829</v>
      </c>
      <c r="D23" s="10">
        <v>10</v>
      </c>
      <c r="E23" s="10" t="s">
        <v>10</v>
      </c>
      <c r="F23" s="10">
        <v>1173944</v>
      </c>
      <c r="G23" s="10" t="s">
        <v>91</v>
      </c>
      <c r="H23" s="11">
        <v>11020</v>
      </c>
      <c r="I23" s="10">
        <v>0</v>
      </c>
      <c r="J23" s="11">
        <f t="shared" si="1"/>
        <v>11020</v>
      </c>
      <c r="K23" s="12">
        <f>VLOOKUP(A23,[4]VA05!$A:$K,11,FALSE)</f>
        <v>45582</v>
      </c>
      <c r="L23" s="10" t="s">
        <v>12</v>
      </c>
      <c r="M23" s="10" t="s">
        <v>179</v>
      </c>
    </row>
    <row r="24" spans="1:13" x14ac:dyDescent="0.25">
      <c r="A24" s="13" t="str">
        <f t="shared" si="0"/>
        <v>50714283810</v>
      </c>
      <c r="B24" s="10">
        <v>1004061390</v>
      </c>
      <c r="C24" s="10">
        <v>507142838</v>
      </c>
      <c r="D24" s="10">
        <v>10</v>
      </c>
      <c r="E24" s="10" t="s">
        <v>10</v>
      </c>
      <c r="F24" s="10">
        <v>1276494</v>
      </c>
      <c r="G24" s="10" t="s">
        <v>256</v>
      </c>
      <c r="H24" s="11">
        <v>27035</v>
      </c>
      <c r="I24" s="10">
        <v>0</v>
      </c>
      <c r="J24" s="11">
        <f t="shared" si="1"/>
        <v>27035</v>
      </c>
      <c r="K24" s="12">
        <f>VLOOKUP(A24,[4]VA05!$A:$K,11,FALSE)</f>
        <v>45593</v>
      </c>
      <c r="L24" s="10" t="s">
        <v>12</v>
      </c>
      <c r="M24" s="10" t="s">
        <v>191</v>
      </c>
    </row>
    <row r="25" spans="1:13" hidden="1" x14ac:dyDescent="0.25">
      <c r="A25" s="13" t="str">
        <f t="shared" si="0"/>
        <v>50714166710</v>
      </c>
      <c r="B25" s="10">
        <v>1003920458</v>
      </c>
      <c r="C25" s="10">
        <v>507141667</v>
      </c>
      <c r="D25" s="10">
        <v>10</v>
      </c>
      <c r="E25" s="10" t="s">
        <v>10</v>
      </c>
      <c r="F25" s="10">
        <v>1173947</v>
      </c>
      <c r="G25" s="10" t="s">
        <v>36</v>
      </c>
      <c r="H25" s="11">
        <v>23842</v>
      </c>
      <c r="I25" s="10">
        <v>0</v>
      </c>
      <c r="J25" s="11">
        <f t="shared" si="1"/>
        <v>23842</v>
      </c>
      <c r="K25" s="12" t="e">
        <f>VLOOKUP(A25,[4]VA05!$A:$K,11,FALSE)</f>
        <v>#N/A</v>
      </c>
      <c r="L25" s="10" t="s">
        <v>260</v>
      </c>
      <c r="M25" s="10" t="s">
        <v>263</v>
      </c>
    </row>
    <row r="26" spans="1:13" x14ac:dyDescent="0.25">
      <c r="A26" s="13" t="str">
        <f t="shared" si="0"/>
        <v>50714269620</v>
      </c>
      <c r="B26" s="10">
        <v>1004042037</v>
      </c>
      <c r="C26" s="10">
        <v>507142696</v>
      </c>
      <c r="D26" s="10">
        <v>20</v>
      </c>
      <c r="E26" s="10" t="s">
        <v>10</v>
      </c>
      <c r="F26" s="10">
        <v>1173947</v>
      </c>
      <c r="G26" s="10" t="s">
        <v>36</v>
      </c>
      <c r="H26" s="11">
        <v>12384</v>
      </c>
      <c r="I26" s="11">
        <v>3839</v>
      </c>
      <c r="J26" s="11">
        <f t="shared" si="1"/>
        <v>8545</v>
      </c>
      <c r="K26" s="12">
        <f>VLOOKUP(A26,[4]VA05!$A:$K,11,FALSE)</f>
        <v>45566</v>
      </c>
      <c r="L26" s="10" t="s">
        <v>18</v>
      </c>
      <c r="M26" s="10" t="s">
        <v>84</v>
      </c>
    </row>
    <row r="27" spans="1:13" x14ac:dyDescent="0.25">
      <c r="A27" s="13" t="str">
        <f t="shared" si="0"/>
        <v>50714274010</v>
      </c>
      <c r="B27" s="10">
        <v>1004052269</v>
      </c>
      <c r="C27" s="10">
        <v>507142740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12384</v>
      </c>
      <c r="I27" s="10">
        <v>0</v>
      </c>
      <c r="J27" s="11">
        <f t="shared" si="1"/>
        <v>12384</v>
      </c>
      <c r="K27" s="12">
        <f>VLOOKUP(A27,[4]VA05!$A:$K,11,FALSE)</f>
        <v>45573</v>
      </c>
      <c r="L27" s="10" t="s">
        <v>12</v>
      </c>
      <c r="M27" s="10" t="s">
        <v>97</v>
      </c>
    </row>
    <row r="28" spans="1:13" x14ac:dyDescent="0.25">
      <c r="A28" s="13" t="str">
        <f t="shared" si="0"/>
        <v>50714277910</v>
      </c>
      <c r="B28" s="10">
        <v>1004052270</v>
      </c>
      <c r="C28" s="10">
        <v>507142779</v>
      </c>
      <c r="D28" s="10">
        <v>10</v>
      </c>
      <c r="E28" s="10" t="s">
        <v>10</v>
      </c>
      <c r="F28" s="10">
        <v>1173947</v>
      </c>
      <c r="G28" s="10" t="s">
        <v>36</v>
      </c>
      <c r="H28" s="11">
        <v>11922</v>
      </c>
      <c r="I28" s="10">
        <v>0</v>
      </c>
      <c r="J28" s="11">
        <f t="shared" si="1"/>
        <v>11922</v>
      </c>
      <c r="K28" s="12">
        <f>VLOOKUP(A28,[4]VA05!$A:$K,11,FALSE)</f>
        <v>45580</v>
      </c>
      <c r="L28" s="10" t="s">
        <v>12</v>
      </c>
      <c r="M28" s="10" t="s">
        <v>194</v>
      </c>
    </row>
    <row r="29" spans="1:13" x14ac:dyDescent="0.25">
      <c r="A29" s="13" t="str">
        <f t="shared" si="0"/>
        <v>50714278410</v>
      </c>
      <c r="B29" s="10">
        <v>1004052271</v>
      </c>
      <c r="C29" s="10">
        <v>507142784</v>
      </c>
      <c r="D29" s="10">
        <v>10</v>
      </c>
      <c r="E29" s="10" t="s">
        <v>10</v>
      </c>
      <c r="F29" s="10">
        <v>1173947</v>
      </c>
      <c r="G29" s="10" t="s">
        <v>36</v>
      </c>
      <c r="H29" s="11">
        <v>12384</v>
      </c>
      <c r="I29" s="10">
        <v>0</v>
      </c>
      <c r="J29" s="11">
        <f t="shared" si="1"/>
        <v>12384</v>
      </c>
      <c r="K29" s="12">
        <f>VLOOKUP(A29,[4]VA05!$A:$K,11,FALSE)</f>
        <v>45580</v>
      </c>
      <c r="L29" s="10" t="s">
        <v>12</v>
      </c>
      <c r="M29" s="10" t="s">
        <v>97</v>
      </c>
    </row>
    <row r="30" spans="1:13" x14ac:dyDescent="0.25">
      <c r="A30" s="13" t="str">
        <f t="shared" si="0"/>
        <v>50714282510</v>
      </c>
      <c r="B30" s="10">
        <v>1004061395</v>
      </c>
      <c r="C30" s="10">
        <v>507142825</v>
      </c>
      <c r="D30" s="10">
        <v>10</v>
      </c>
      <c r="E30" s="10" t="s">
        <v>10</v>
      </c>
      <c r="F30" s="10">
        <v>1173947</v>
      </c>
      <c r="G30" s="10" t="s">
        <v>36</v>
      </c>
      <c r="H30" s="11">
        <v>23842</v>
      </c>
      <c r="I30" s="10">
        <v>0</v>
      </c>
      <c r="J30" s="11">
        <f t="shared" si="1"/>
        <v>23842</v>
      </c>
      <c r="K30" s="12">
        <f>VLOOKUP(A30,[4]VA05!$A:$K,11,FALSE)</f>
        <v>45589</v>
      </c>
      <c r="L30" s="10" t="s">
        <v>12</v>
      </c>
      <c r="M30" s="10" t="s">
        <v>179</v>
      </c>
    </row>
    <row r="31" spans="1:13" x14ac:dyDescent="0.25">
      <c r="A31" s="13" t="str">
        <f t="shared" si="0"/>
        <v>50714282710</v>
      </c>
      <c r="B31" s="10">
        <v>1004061284</v>
      </c>
      <c r="C31" s="10">
        <v>507142827</v>
      </c>
      <c r="D31" s="10">
        <v>10</v>
      </c>
      <c r="E31" s="10" t="s">
        <v>10</v>
      </c>
      <c r="F31" s="10">
        <v>1411193</v>
      </c>
      <c r="G31" s="10" t="s">
        <v>47</v>
      </c>
      <c r="H31" s="11">
        <v>20598</v>
      </c>
      <c r="I31" s="11">
        <v>6528</v>
      </c>
      <c r="J31" s="11">
        <f t="shared" si="1"/>
        <v>14070</v>
      </c>
      <c r="K31" s="12">
        <f>VLOOKUP(A31,[4]VA05!$A:$K,11,FALSE)</f>
        <v>45588</v>
      </c>
      <c r="L31" s="10" t="s">
        <v>18</v>
      </c>
      <c r="M31" s="10" t="s">
        <v>177</v>
      </c>
    </row>
    <row r="32" spans="1:13" hidden="1" x14ac:dyDescent="0.25">
      <c r="A32" s="13" t="str">
        <f t="shared" si="0"/>
        <v>50714166710</v>
      </c>
      <c r="B32" s="10">
        <v>1003920462</v>
      </c>
      <c r="C32" s="10">
        <v>507141667</v>
      </c>
      <c r="D32" s="10">
        <v>10</v>
      </c>
      <c r="E32" s="10" t="s">
        <v>10</v>
      </c>
      <c r="F32" s="10">
        <v>1171793</v>
      </c>
      <c r="G32" s="10" t="s">
        <v>33</v>
      </c>
      <c r="H32" s="11">
        <v>21582</v>
      </c>
      <c r="I32" s="10">
        <v>0</v>
      </c>
      <c r="J32" s="11">
        <f t="shared" si="1"/>
        <v>21582</v>
      </c>
      <c r="K32" s="12" t="e">
        <f>VLOOKUP(A32,[4]VA05!$A:$K,11,FALSE)</f>
        <v>#N/A</v>
      </c>
      <c r="L32" s="10" t="s">
        <v>260</v>
      </c>
      <c r="M32" s="10" t="s">
        <v>264</v>
      </c>
    </row>
    <row r="33" spans="1:13" x14ac:dyDescent="0.25">
      <c r="A33" s="13" t="str">
        <f t="shared" si="0"/>
        <v>50714277910</v>
      </c>
      <c r="B33" s="10">
        <v>1004053448</v>
      </c>
      <c r="C33" s="10">
        <v>507142779</v>
      </c>
      <c r="D33" s="10">
        <v>10</v>
      </c>
      <c r="E33" s="10" t="s">
        <v>10</v>
      </c>
      <c r="F33" s="10">
        <v>1171793</v>
      </c>
      <c r="G33" s="10" t="s">
        <v>33</v>
      </c>
      <c r="H33" s="11">
        <v>10792</v>
      </c>
      <c r="I33" s="10">
        <v>0</v>
      </c>
      <c r="J33" s="11">
        <f t="shared" si="1"/>
        <v>10792</v>
      </c>
      <c r="K33" s="12">
        <f>VLOOKUP(A33,[4]VA05!$A:$K,11,FALSE)</f>
        <v>45580</v>
      </c>
      <c r="L33" s="10" t="s">
        <v>12</v>
      </c>
      <c r="M33" s="10" t="s">
        <v>162</v>
      </c>
    </row>
    <row r="34" spans="1:13" x14ac:dyDescent="0.25">
      <c r="A34" s="13" t="str">
        <f t="shared" si="0"/>
        <v>50714278410</v>
      </c>
      <c r="B34" s="10">
        <v>1004061396</v>
      </c>
      <c r="C34" s="10">
        <v>507142784</v>
      </c>
      <c r="D34" s="10">
        <v>10</v>
      </c>
      <c r="E34" s="10" t="s">
        <v>10</v>
      </c>
      <c r="F34" s="10">
        <v>1171793</v>
      </c>
      <c r="G34" s="10" t="s">
        <v>33</v>
      </c>
      <c r="H34" s="11">
        <v>10882</v>
      </c>
      <c r="I34" s="10">
        <v>0</v>
      </c>
      <c r="J34" s="11">
        <f t="shared" si="1"/>
        <v>10882</v>
      </c>
      <c r="K34" s="12">
        <f>VLOOKUP(A34,[4]VA05!$A:$K,11,FALSE)</f>
        <v>45580</v>
      </c>
      <c r="L34" s="10" t="s">
        <v>12</v>
      </c>
      <c r="M34" s="10" t="s">
        <v>162</v>
      </c>
    </row>
    <row r="35" spans="1:13" x14ac:dyDescent="0.25">
      <c r="A35" s="13" t="str">
        <f t="shared" si="0"/>
        <v>50714282510</v>
      </c>
      <c r="B35" s="10">
        <v>1004061397</v>
      </c>
      <c r="C35" s="10">
        <v>507142825</v>
      </c>
      <c r="D35" s="10">
        <v>10</v>
      </c>
      <c r="E35" s="10" t="s">
        <v>10</v>
      </c>
      <c r="F35" s="10">
        <v>1171793</v>
      </c>
      <c r="G35" s="10" t="s">
        <v>33</v>
      </c>
      <c r="H35" s="11">
        <v>21582</v>
      </c>
      <c r="I35" s="10">
        <v>0</v>
      </c>
      <c r="J35" s="11">
        <f t="shared" si="1"/>
        <v>21582</v>
      </c>
      <c r="K35" s="12">
        <f>VLOOKUP(A35,[4]VA05!$A:$K,11,FALSE)</f>
        <v>45589</v>
      </c>
      <c r="L35" s="10" t="s">
        <v>12</v>
      </c>
      <c r="M35" s="10" t="s">
        <v>191</v>
      </c>
    </row>
    <row r="36" spans="1:13" x14ac:dyDescent="0.25">
      <c r="A36" s="13" t="str">
        <f t="shared" si="0"/>
        <v>50714282910</v>
      </c>
      <c r="B36" s="10">
        <v>1004061398</v>
      </c>
      <c r="C36" s="10">
        <v>507142829</v>
      </c>
      <c r="D36" s="10">
        <v>10</v>
      </c>
      <c r="E36" s="10" t="s">
        <v>10</v>
      </c>
      <c r="F36" s="10">
        <v>1171793</v>
      </c>
      <c r="G36" s="10" t="s">
        <v>33</v>
      </c>
      <c r="H36" s="11">
        <v>10882</v>
      </c>
      <c r="I36" s="10">
        <v>0</v>
      </c>
      <c r="J36" s="11">
        <f t="shared" si="1"/>
        <v>10882</v>
      </c>
      <c r="K36" s="12">
        <f>VLOOKUP(A36,[4]VA05!$A:$K,11,FALSE)</f>
        <v>45582</v>
      </c>
      <c r="L36" s="10" t="s">
        <v>12</v>
      </c>
      <c r="M36" s="10" t="s">
        <v>157</v>
      </c>
    </row>
    <row r="37" spans="1:13" x14ac:dyDescent="0.25">
      <c r="A37" s="13" t="str">
        <f t="shared" si="0"/>
        <v>50714227020</v>
      </c>
      <c r="B37" s="10">
        <v>1004057063</v>
      </c>
      <c r="C37" s="10">
        <v>507142270</v>
      </c>
      <c r="D37" s="10">
        <v>20</v>
      </c>
      <c r="E37" s="10" t="s">
        <v>10</v>
      </c>
      <c r="F37" s="10">
        <v>1187765</v>
      </c>
      <c r="G37" s="10" t="s">
        <v>147</v>
      </c>
      <c r="H37" s="11">
        <v>17325</v>
      </c>
      <c r="I37" s="11">
        <v>13785</v>
      </c>
      <c r="J37" s="11">
        <f t="shared" si="1"/>
        <v>3540</v>
      </c>
      <c r="K37" s="12">
        <f>VLOOKUP(A37,[4]VA05!$A:$K,11,FALSE)</f>
        <v>45565</v>
      </c>
      <c r="L37" s="10" t="s">
        <v>11</v>
      </c>
      <c r="M37" s="10" t="s">
        <v>195</v>
      </c>
    </row>
    <row r="38" spans="1:13" hidden="1" x14ac:dyDescent="0.25">
      <c r="A38" s="13" t="str">
        <f t="shared" si="0"/>
        <v>50714156710</v>
      </c>
      <c r="B38" s="10">
        <v>1003967343</v>
      </c>
      <c r="C38" s="10">
        <v>507141567</v>
      </c>
      <c r="D38" s="10">
        <v>10</v>
      </c>
      <c r="E38" s="10" t="s">
        <v>24</v>
      </c>
      <c r="F38" s="10">
        <v>1169655</v>
      </c>
      <c r="G38" s="10" t="s">
        <v>265</v>
      </c>
      <c r="H38" s="11">
        <v>12000</v>
      </c>
      <c r="I38" s="10">
        <v>0</v>
      </c>
      <c r="J38" s="11">
        <f t="shared" si="1"/>
        <v>12000</v>
      </c>
      <c r="K38" s="12" t="e">
        <f>VLOOKUP(A38,[4]VA05!$A:$K,11,FALSE)</f>
        <v>#N/A</v>
      </c>
      <c r="L38" s="10" t="s">
        <v>260</v>
      </c>
      <c r="M38" s="10" t="s">
        <v>266</v>
      </c>
    </row>
    <row r="39" spans="1:13" x14ac:dyDescent="0.25">
      <c r="A39" s="13" t="str">
        <f t="shared" si="0"/>
        <v>50714272510</v>
      </c>
      <c r="B39" s="10">
        <v>1004060450</v>
      </c>
      <c r="C39" s="10">
        <v>507142725</v>
      </c>
      <c r="D39" s="10">
        <v>10</v>
      </c>
      <c r="E39" s="10" t="s">
        <v>10</v>
      </c>
      <c r="F39" s="10">
        <v>1420608</v>
      </c>
      <c r="G39" s="10" t="s">
        <v>110</v>
      </c>
      <c r="H39" s="11">
        <v>16376</v>
      </c>
      <c r="I39" s="11">
        <v>9715</v>
      </c>
      <c r="J39" s="11">
        <f t="shared" si="1"/>
        <v>6661</v>
      </c>
      <c r="K39" s="12">
        <f>VLOOKUP(A39,[4]VA05!$A:$K,11,FALSE)</f>
        <v>45573</v>
      </c>
      <c r="L39" s="10" t="s">
        <v>18</v>
      </c>
      <c r="M39" s="10" t="s">
        <v>162</v>
      </c>
    </row>
    <row r="40" spans="1:13" x14ac:dyDescent="0.25">
      <c r="A40" s="13" t="str">
        <f t="shared" si="0"/>
        <v>50714278610</v>
      </c>
      <c r="B40" s="10">
        <v>1004059422</v>
      </c>
      <c r="C40" s="10">
        <v>507142786</v>
      </c>
      <c r="D40" s="10">
        <v>10</v>
      </c>
      <c r="E40" s="10" t="s">
        <v>10</v>
      </c>
      <c r="F40" s="10">
        <v>1149455</v>
      </c>
      <c r="G40" s="10" t="s">
        <v>44</v>
      </c>
      <c r="H40" s="11">
        <v>27228</v>
      </c>
      <c r="I40" s="11">
        <v>12352</v>
      </c>
      <c r="J40" s="11">
        <f t="shared" si="1"/>
        <v>14876</v>
      </c>
      <c r="K40" s="12">
        <f>VLOOKUP(A40,[4]VA05!$A:$K,11,FALSE)</f>
        <v>45581</v>
      </c>
      <c r="L40" s="10" t="s">
        <v>18</v>
      </c>
      <c r="M40" s="10" t="s">
        <v>194</v>
      </c>
    </row>
    <row r="41" spans="1:13" hidden="1" x14ac:dyDescent="0.25">
      <c r="A41" s="13" t="str">
        <f t="shared" si="0"/>
        <v>50714265120</v>
      </c>
      <c r="B41" s="10">
        <v>1004059425</v>
      </c>
      <c r="C41" s="10">
        <v>507142651</v>
      </c>
      <c r="D41" s="10">
        <v>20</v>
      </c>
      <c r="E41" s="10" t="s">
        <v>24</v>
      </c>
      <c r="F41" s="10">
        <v>1149455</v>
      </c>
      <c r="G41" s="10" t="s">
        <v>44</v>
      </c>
      <c r="H41" s="11">
        <v>10000</v>
      </c>
      <c r="I41" s="10">
        <v>0</v>
      </c>
      <c r="J41" s="11">
        <f t="shared" si="1"/>
        <v>10000</v>
      </c>
      <c r="K41" s="12" t="e">
        <f>VLOOKUP(A41,[4]VA05!$A:$K,11,FALSE)</f>
        <v>#N/A</v>
      </c>
      <c r="L41" s="10" t="s">
        <v>13</v>
      </c>
      <c r="M41" s="10" t="s">
        <v>154</v>
      </c>
    </row>
    <row r="42" spans="1:13" x14ac:dyDescent="0.25">
      <c r="A42" s="13" t="str">
        <f t="shared" si="0"/>
        <v>50714235110</v>
      </c>
      <c r="B42" s="10">
        <v>1004042803</v>
      </c>
      <c r="C42" s="10">
        <v>507142351</v>
      </c>
      <c r="D42" s="10">
        <v>10</v>
      </c>
      <c r="E42" s="10" t="s">
        <v>10</v>
      </c>
      <c r="F42" s="10">
        <v>1192909</v>
      </c>
      <c r="G42" s="10" t="s">
        <v>35</v>
      </c>
      <c r="H42" s="11">
        <v>16753</v>
      </c>
      <c r="I42" s="11">
        <v>9187</v>
      </c>
      <c r="J42" s="11">
        <f t="shared" si="1"/>
        <v>7566</v>
      </c>
      <c r="K42" s="12">
        <f>VLOOKUP(A42,[4]VA05!$A:$K,11,FALSE)</f>
        <v>45545</v>
      </c>
      <c r="L42" s="10" t="s">
        <v>18</v>
      </c>
      <c r="M42" s="10" t="s">
        <v>111</v>
      </c>
    </row>
    <row r="43" spans="1:13" x14ac:dyDescent="0.25">
      <c r="A43" s="13" t="str">
        <f t="shared" si="0"/>
        <v>50800515530</v>
      </c>
      <c r="B43" s="10">
        <v>1004062676</v>
      </c>
      <c r="C43" s="10">
        <v>508005155</v>
      </c>
      <c r="D43" s="10">
        <v>30</v>
      </c>
      <c r="E43" s="10" t="s">
        <v>10</v>
      </c>
      <c r="F43" s="10">
        <v>1420888</v>
      </c>
      <c r="G43" s="10" t="s">
        <v>295</v>
      </c>
      <c r="H43" s="11">
        <v>16246</v>
      </c>
      <c r="I43" s="10">
        <v>0</v>
      </c>
      <c r="J43" s="11">
        <f t="shared" si="1"/>
        <v>16246</v>
      </c>
      <c r="K43" s="12" t="e">
        <f>VLOOKUP(A43,[4]VA05!$A:$K,11,FALSE)</f>
        <v>#N/A</v>
      </c>
      <c r="L43" s="10" t="s">
        <v>25</v>
      </c>
      <c r="M43" s="10" t="s">
        <v>179</v>
      </c>
    </row>
    <row r="44" spans="1:13" x14ac:dyDescent="0.25">
      <c r="A44" s="13" t="str">
        <f t="shared" si="0"/>
        <v>50714272510</v>
      </c>
      <c r="B44" s="10">
        <v>1004060387</v>
      </c>
      <c r="C44" s="10">
        <v>507142725</v>
      </c>
      <c r="D44" s="10">
        <v>10</v>
      </c>
      <c r="E44" s="10" t="s">
        <v>10</v>
      </c>
      <c r="F44" s="10">
        <v>1420609</v>
      </c>
      <c r="G44" s="10" t="s">
        <v>133</v>
      </c>
      <c r="H44" s="11">
        <v>16868</v>
      </c>
      <c r="I44" s="11">
        <v>13728</v>
      </c>
      <c r="J44" s="11">
        <f t="shared" si="1"/>
        <v>3140</v>
      </c>
      <c r="K44" s="12">
        <f>VLOOKUP(A44,[4]VA05!$A:$K,11,FALSE)</f>
        <v>45573</v>
      </c>
      <c r="L44" s="10" t="s">
        <v>18</v>
      </c>
      <c r="M44" s="10" t="s">
        <v>162</v>
      </c>
    </row>
    <row r="45" spans="1:13" hidden="1" x14ac:dyDescent="0.25">
      <c r="A45" s="13" t="str">
        <f t="shared" si="0"/>
        <v>50714278610</v>
      </c>
      <c r="B45" s="10">
        <v>1004056892</v>
      </c>
      <c r="C45" s="10">
        <v>507142786</v>
      </c>
      <c r="D45" s="10">
        <v>10</v>
      </c>
      <c r="E45" s="10" t="s">
        <v>10</v>
      </c>
      <c r="F45" s="10">
        <v>1304095</v>
      </c>
      <c r="G45" s="10" t="s">
        <v>76</v>
      </c>
      <c r="H45" s="11">
        <v>26709</v>
      </c>
      <c r="I45" s="11">
        <v>26709</v>
      </c>
      <c r="J45" s="11">
        <f t="shared" si="1"/>
        <v>0</v>
      </c>
      <c r="K45" s="12">
        <f>VLOOKUP(A45,[4]VA05!$A:$K,11,FALSE)</f>
        <v>45581</v>
      </c>
      <c r="L45" s="10" t="s">
        <v>28</v>
      </c>
      <c r="M45" s="10" t="s">
        <v>154</v>
      </c>
    </row>
    <row r="46" spans="1:13" hidden="1" x14ac:dyDescent="0.25">
      <c r="A46" s="13" t="str">
        <f t="shared" si="0"/>
        <v>50714268610</v>
      </c>
      <c r="B46" s="10">
        <v>1004062044</v>
      </c>
      <c r="C46" s="10">
        <v>507142686</v>
      </c>
      <c r="D46" s="10">
        <v>10</v>
      </c>
      <c r="E46" s="10" t="s">
        <v>24</v>
      </c>
      <c r="F46" s="10">
        <v>1420838</v>
      </c>
      <c r="G46" s="10" t="s">
        <v>290</v>
      </c>
      <c r="H46" s="11">
        <v>10000</v>
      </c>
      <c r="I46" s="10">
        <v>0</v>
      </c>
      <c r="J46" s="11">
        <f t="shared" si="1"/>
        <v>10000</v>
      </c>
      <c r="K46" s="12">
        <f>VLOOKUP(A46,[4]VA05!$A:$K,11,FALSE)</f>
        <v>45573</v>
      </c>
      <c r="L46" s="10" t="s">
        <v>12</v>
      </c>
      <c r="M46" s="10" t="s">
        <v>197</v>
      </c>
    </row>
    <row r="47" spans="1:13" x14ac:dyDescent="0.25">
      <c r="A47" s="13" t="str">
        <f t="shared" si="0"/>
        <v>50714273410</v>
      </c>
      <c r="B47" s="10">
        <v>1004054830</v>
      </c>
      <c r="C47" s="10">
        <v>507142734</v>
      </c>
      <c r="D47" s="10">
        <v>10</v>
      </c>
      <c r="E47" s="10" t="s">
        <v>10</v>
      </c>
      <c r="F47" s="10">
        <v>1193508</v>
      </c>
      <c r="G47" s="10" t="s">
        <v>134</v>
      </c>
      <c r="H47" s="11">
        <v>16753</v>
      </c>
      <c r="I47" s="11">
        <v>13900</v>
      </c>
      <c r="J47" s="11">
        <f t="shared" si="1"/>
        <v>2853</v>
      </c>
      <c r="K47" s="12">
        <f>VLOOKUP(A47,[4]VA05!$A:$K,11,FALSE)</f>
        <v>45572</v>
      </c>
      <c r="L47" s="10" t="s">
        <v>18</v>
      </c>
      <c r="M47" s="10" t="s">
        <v>195</v>
      </c>
    </row>
    <row r="48" spans="1:13" x14ac:dyDescent="0.25">
      <c r="A48" s="13" t="str">
        <f t="shared" si="0"/>
        <v>50714274310</v>
      </c>
      <c r="B48" s="10">
        <v>1004054831</v>
      </c>
      <c r="C48" s="10">
        <v>507142743</v>
      </c>
      <c r="D48" s="10">
        <v>10</v>
      </c>
      <c r="E48" s="10" t="s">
        <v>10</v>
      </c>
      <c r="F48" s="10">
        <v>1193508</v>
      </c>
      <c r="G48" s="10" t="s">
        <v>134</v>
      </c>
      <c r="H48" s="11">
        <v>16753</v>
      </c>
      <c r="I48" s="10">
        <v>0</v>
      </c>
      <c r="J48" s="11">
        <f t="shared" si="1"/>
        <v>16753</v>
      </c>
      <c r="K48" s="12">
        <f>VLOOKUP(A48,[4]VA05!$A:$K,11,FALSE)</f>
        <v>45575</v>
      </c>
      <c r="L48" s="10" t="s">
        <v>27</v>
      </c>
      <c r="M48" s="10" t="s">
        <v>195</v>
      </c>
    </row>
    <row r="49" spans="1:13" x14ac:dyDescent="0.25">
      <c r="A49" s="13" t="str">
        <f t="shared" si="0"/>
        <v>50714258410</v>
      </c>
      <c r="B49" s="10">
        <v>1004025718</v>
      </c>
      <c r="C49" s="10">
        <v>507142584</v>
      </c>
      <c r="D49" s="10">
        <v>10</v>
      </c>
      <c r="E49" s="10" t="s">
        <v>10</v>
      </c>
      <c r="F49" s="10">
        <v>1192705</v>
      </c>
      <c r="G49" s="10" t="s">
        <v>45</v>
      </c>
      <c r="H49" s="11">
        <v>29915</v>
      </c>
      <c r="I49" s="11">
        <v>15280</v>
      </c>
      <c r="J49" s="11">
        <f t="shared" si="1"/>
        <v>14635</v>
      </c>
      <c r="K49" s="12">
        <f>VLOOKUP(A49,[4]VA05!$A:$K,11,FALSE)</f>
        <v>45572</v>
      </c>
      <c r="L49" s="10" t="s">
        <v>18</v>
      </c>
      <c r="M49" s="10" t="s">
        <v>66</v>
      </c>
    </row>
    <row r="50" spans="1:13" x14ac:dyDescent="0.25">
      <c r="A50" s="13" t="str">
        <f t="shared" si="0"/>
        <v>50800515530</v>
      </c>
      <c r="B50" s="10">
        <v>1004062671</v>
      </c>
      <c r="C50" s="10">
        <v>508005155</v>
      </c>
      <c r="D50" s="10">
        <v>30</v>
      </c>
      <c r="E50" s="10" t="s">
        <v>10</v>
      </c>
      <c r="F50" s="10">
        <v>1420887</v>
      </c>
      <c r="G50" s="10" t="s">
        <v>291</v>
      </c>
      <c r="H50" s="11">
        <v>16246</v>
      </c>
      <c r="I50" s="11">
        <v>6120</v>
      </c>
      <c r="J50" s="11">
        <f t="shared" si="1"/>
        <v>10126</v>
      </c>
      <c r="K50" s="12" t="e">
        <f>VLOOKUP(A50,[4]VA05!$A:$K,11,FALSE)</f>
        <v>#N/A</v>
      </c>
      <c r="L50" s="10" t="s">
        <v>18</v>
      </c>
      <c r="M50" s="10" t="s">
        <v>179</v>
      </c>
    </row>
    <row r="51" spans="1:13" hidden="1" x14ac:dyDescent="0.25">
      <c r="A51" s="13" t="str">
        <f t="shared" si="0"/>
        <v>50714259810</v>
      </c>
      <c r="B51" s="10">
        <v>1004042031</v>
      </c>
      <c r="C51" s="10">
        <v>507142598</v>
      </c>
      <c r="D51" s="10">
        <v>10</v>
      </c>
      <c r="E51" s="10" t="s">
        <v>10</v>
      </c>
      <c r="F51" s="10">
        <v>1233459</v>
      </c>
      <c r="G51" s="10" t="s">
        <v>121</v>
      </c>
      <c r="H51" s="11">
        <v>15449</v>
      </c>
      <c r="I51" s="11">
        <v>15449</v>
      </c>
      <c r="J51" s="11">
        <f t="shared" si="1"/>
        <v>0</v>
      </c>
      <c r="K51" s="12">
        <f>VLOOKUP(A51,[4]VA05!$A:$K,11,FALSE)</f>
        <v>45572</v>
      </c>
      <c r="L51" s="10" t="s">
        <v>34</v>
      </c>
      <c r="M51" s="10" t="s">
        <v>106</v>
      </c>
    </row>
    <row r="52" spans="1:13" x14ac:dyDescent="0.25">
      <c r="A52" s="13" t="str">
        <f t="shared" si="0"/>
        <v>50714272410</v>
      </c>
      <c r="B52" s="10">
        <v>1004051405</v>
      </c>
      <c r="C52" s="10">
        <v>507142724</v>
      </c>
      <c r="D52" s="10">
        <v>10</v>
      </c>
      <c r="E52" s="10" t="s">
        <v>10</v>
      </c>
      <c r="F52" s="10">
        <v>1233459</v>
      </c>
      <c r="G52" s="10" t="s">
        <v>121</v>
      </c>
      <c r="H52" s="11">
        <v>10299</v>
      </c>
      <c r="I52" s="10">
        <v>0</v>
      </c>
      <c r="J52" s="11">
        <f t="shared" si="1"/>
        <v>10299</v>
      </c>
      <c r="K52" s="12">
        <f>VLOOKUP(A52,[4]VA05!$A:$K,11,FALSE)</f>
        <v>45594</v>
      </c>
      <c r="L52" s="10" t="s">
        <v>25</v>
      </c>
      <c r="M52" s="10" t="s">
        <v>176</v>
      </c>
    </row>
    <row r="53" spans="1:13" x14ac:dyDescent="0.25">
      <c r="A53" s="13" t="str">
        <f t="shared" si="0"/>
        <v>50714272410</v>
      </c>
      <c r="B53" s="10">
        <v>1004058756</v>
      </c>
      <c r="C53" s="10">
        <v>507142724</v>
      </c>
      <c r="D53" s="10">
        <v>10</v>
      </c>
      <c r="E53" s="10" t="s">
        <v>10</v>
      </c>
      <c r="F53" s="10">
        <v>1233477</v>
      </c>
      <c r="G53" s="10" t="s">
        <v>236</v>
      </c>
      <c r="H53" s="11">
        <v>11006</v>
      </c>
      <c r="I53" s="10">
        <v>0</v>
      </c>
      <c r="J53" s="11">
        <f t="shared" si="1"/>
        <v>11006</v>
      </c>
      <c r="K53" s="12">
        <f>VLOOKUP(A53,[4]VA05!$A:$K,11,FALSE)</f>
        <v>45594</v>
      </c>
      <c r="L53" s="10" t="s">
        <v>12</v>
      </c>
      <c r="M53" s="10" t="s">
        <v>109</v>
      </c>
    </row>
    <row r="54" spans="1:13" hidden="1" x14ac:dyDescent="0.25">
      <c r="A54" s="13" t="str">
        <f t="shared" si="0"/>
        <v>50714165620</v>
      </c>
      <c r="B54" s="10">
        <v>1003928019</v>
      </c>
      <c r="C54" s="10">
        <v>507141656</v>
      </c>
      <c r="D54" s="10">
        <v>20</v>
      </c>
      <c r="E54" s="10" t="s">
        <v>24</v>
      </c>
      <c r="F54" s="10">
        <v>1170081</v>
      </c>
      <c r="G54" s="10" t="s">
        <v>267</v>
      </c>
      <c r="H54" s="11">
        <v>5000</v>
      </c>
      <c r="I54" s="10">
        <v>0</v>
      </c>
      <c r="J54" s="11">
        <f t="shared" si="1"/>
        <v>5000</v>
      </c>
      <c r="K54" s="12" t="e">
        <f>VLOOKUP(A54,[4]VA05!$A:$K,11,FALSE)</f>
        <v>#N/A</v>
      </c>
      <c r="L54" s="10" t="s">
        <v>260</v>
      </c>
      <c r="M54" s="10" t="s">
        <v>268</v>
      </c>
    </row>
    <row r="55" spans="1:13" hidden="1" x14ac:dyDescent="0.25">
      <c r="A55" s="13" t="str">
        <f t="shared" si="0"/>
        <v>50714165620</v>
      </c>
      <c r="B55" s="10">
        <v>1003928021</v>
      </c>
      <c r="C55" s="10">
        <v>507141656</v>
      </c>
      <c r="D55" s="10">
        <v>20</v>
      </c>
      <c r="E55" s="10" t="s">
        <v>24</v>
      </c>
      <c r="F55" s="10">
        <v>1170081</v>
      </c>
      <c r="G55" s="10" t="s">
        <v>267</v>
      </c>
      <c r="H55" s="11">
        <v>5000</v>
      </c>
      <c r="I55" s="10">
        <v>0</v>
      </c>
      <c r="J55" s="11">
        <f t="shared" si="1"/>
        <v>5000</v>
      </c>
      <c r="K55" s="12" t="e">
        <f>VLOOKUP(A55,[4]VA05!$A:$K,11,FALSE)</f>
        <v>#N/A</v>
      </c>
      <c r="L55" s="10" t="s">
        <v>260</v>
      </c>
      <c r="M55" s="10" t="s">
        <v>268</v>
      </c>
    </row>
    <row r="56" spans="1:13" x14ac:dyDescent="0.25">
      <c r="A56" s="13" t="str">
        <f t="shared" si="0"/>
        <v>50714274240</v>
      </c>
      <c r="B56" s="10">
        <v>1004052518</v>
      </c>
      <c r="C56" s="10">
        <v>507142742</v>
      </c>
      <c r="D56" s="10">
        <v>40</v>
      </c>
      <c r="E56" s="10" t="s">
        <v>10</v>
      </c>
      <c r="F56" s="10">
        <v>1209335</v>
      </c>
      <c r="G56" s="10" t="s">
        <v>150</v>
      </c>
      <c r="H56" s="11">
        <v>35876</v>
      </c>
      <c r="I56" s="11">
        <v>12676</v>
      </c>
      <c r="J56" s="11">
        <f t="shared" si="1"/>
        <v>23200</v>
      </c>
      <c r="K56" s="12">
        <f>VLOOKUP(A56,[4]VA05!$A:$K,11,FALSE)</f>
        <v>45580</v>
      </c>
      <c r="L56" s="10" t="s">
        <v>18</v>
      </c>
      <c r="M56" s="10" t="s">
        <v>162</v>
      </c>
    </row>
    <row r="57" spans="1:13" x14ac:dyDescent="0.25">
      <c r="A57" s="13" t="str">
        <f t="shared" si="0"/>
        <v>50714274270</v>
      </c>
      <c r="B57" s="10">
        <v>1004052519</v>
      </c>
      <c r="C57" s="10">
        <v>507142742</v>
      </c>
      <c r="D57" s="10">
        <v>70</v>
      </c>
      <c r="E57" s="10" t="s">
        <v>10</v>
      </c>
      <c r="F57" s="10">
        <v>1209335</v>
      </c>
      <c r="G57" s="10" t="s">
        <v>150</v>
      </c>
      <c r="H57" s="11">
        <v>25576</v>
      </c>
      <c r="I57" s="10">
        <v>0</v>
      </c>
      <c r="J57" s="11">
        <f t="shared" si="1"/>
        <v>25576</v>
      </c>
      <c r="K57" s="12">
        <f>VLOOKUP(A57,[4]VA05!$A:$K,11,FALSE)</f>
        <v>45587</v>
      </c>
      <c r="L57" s="10" t="s">
        <v>12</v>
      </c>
      <c r="M57" s="10" t="s">
        <v>109</v>
      </c>
    </row>
    <row r="58" spans="1:13" x14ac:dyDescent="0.25">
      <c r="A58" s="13" t="str">
        <f t="shared" si="0"/>
        <v>507142742100</v>
      </c>
      <c r="B58" s="10">
        <v>1004052522</v>
      </c>
      <c r="C58" s="10">
        <v>507142742</v>
      </c>
      <c r="D58" s="10">
        <v>100</v>
      </c>
      <c r="E58" s="10" t="s">
        <v>10</v>
      </c>
      <c r="F58" s="10">
        <v>1209335</v>
      </c>
      <c r="G58" s="10" t="s">
        <v>150</v>
      </c>
      <c r="H58" s="11">
        <v>25576</v>
      </c>
      <c r="I58" s="10">
        <v>0</v>
      </c>
      <c r="J58" s="11">
        <f t="shared" si="1"/>
        <v>25576</v>
      </c>
      <c r="K58" s="12" t="e">
        <f>VLOOKUP(A58,[4]VA05!$A:$K,11,FALSE)</f>
        <v>#N/A</v>
      </c>
      <c r="L58" s="10" t="s">
        <v>12</v>
      </c>
      <c r="M58" s="10" t="s">
        <v>196</v>
      </c>
    </row>
    <row r="59" spans="1:13" x14ac:dyDescent="0.25">
      <c r="A59" s="13" t="str">
        <f t="shared" si="0"/>
        <v>50714285110</v>
      </c>
      <c r="B59" s="10">
        <v>1004062669</v>
      </c>
      <c r="C59" s="10">
        <v>507142851</v>
      </c>
      <c r="D59" s="10">
        <v>10</v>
      </c>
      <c r="E59" s="10" t="s">
        <v>10</v>
      </c>
      <c r="F59" s="10">
        <v>1209335</v>
      </c>
      <c r="G59" s="10" t="s">
        <v>150</v>
      </c>
      <c r="H59" s="11">
        <v>35874</v>
      </c>
      <c r="I59" s="10">
        <v>0</v>
      </c>
      <c r="J59" s="11">
        <f t="shared" si="1"/>
        <v>35874</v>
      </c>
      <c r="K59" s="12">
        <f>VLOOKUP(A59,[4]VA05!$A:$K,11,FALSE)</f>
        <v>45593</v>
      </c>
      <c r="L59" s="10" t="s">
        <v>12</v>
      </c>
      <c r="M59" s="10" t="s">
        <v>157</v>
      </c>
    </row>
    <row r="60" spans="1:13" x14ac:dyDescent="0.25">
      <c r="A60" s="13" t="str">
        <f t="shared" si="0"/>
        <v>50714268230</v>
      </c>
      <c r="B60" s="10">
        <v>1004062670</v>
      </c>
      <c r="C60" s="10">
        <v>507142682</v>
      </c>
      <c r="D60" s="10">
        <v>30</v>
      </c>
      <c r="E60" s="10" t="s">
        <v>10</v>
      </c>
      <c r="F60" s="10">
        <v>1440079</v>
      </c>
      <c r="G60" s="10" t="s">
        <v>292</v>
      </c>
      <c r="H60" s="11">
        <v>10217</v>
      </c>
      <c r="I60" s="10">
        <v>0</v>
      </c>
      <c r="J60" s="11">
        <f t="shared" si="1"/>
        <v>10217</v>
      </c>
      <c r="K60" s="12">
        <f>VLOOKUP(A60,[4]VA05!$A:$K,11,FALSE)</f>
        <v>45595</v>
      </c>
      <c r="L60" s="10" t="s">
        <v>12</v>
      </c>
      <c r="M60" s="10" t="s">
        <v>204</v>
      </c>
    </row>
    <row r="61" spans="1:13" x14ac:dyDescent="0.25">
      <c r="A61" s="13" t="str">
        <f t="shared" si="0"/>
        <v>50714274240</v>
      </c>
      <c r="B61" s="10">
        <v>1004052625</v>
      </c>
      <c r="C61" s="10">
        <v>507142742</v>
      </c>
      <c r="D61" s="10">
        <v>40</v>
      </c>
      <c r="E61" s="10" t="s">
        <v>10</v>
      </c>
      <c r="F61" s="10">
        <v>1437142</v>
      </c>
      <c r="G61" s="10" t="s">
        <v>145</v>
      </c>
      <c r="H61" s="11">
        <v>38800</v>
      </c>
      <c r="I61" s="10">
        <v>0</v>
      </c>
      <c r="J61" s="11">
        <f t="shared" si="1"/>
        <v>38800</v>
      </c>
      <c r="K61" s="12">
        <f>VLOOKUP(A61,[4]VA05!$A:$K,11,FALSE)</f>
        <v>45580</v>
      </c>
      <c r="L61" s="10" t="s">
        <v>12</v>
      </c>
      <c r="M61" s="10" t="s">
        <v>197</v>
      </c>
    </row>
    <row r="62" spans="1:13" x14ac:dyDescent="0.25">
      <c r="A62" s="13" t="str">
        <f t="shared" si="0"/>
        <v>50714274270</v>
      </c>
      <c r="B62" s="10">
        <v>1004052626</v>
      </c>
      <c r="C62" s="10">
        <v>507142742</v>
      </c>
      <c r="D62" s="10">
        <v>70</v>
      </c>
      <c r="E62" s="10" t="s">
        <v>10</v>
      </c>
      <c r="F62" s="10">
        <v>1437142</v>
      </c>
      <c r="G62" s="10" t="s">
        <v>145</v>
      </c>
      <c r="H62" s="11">
        <v>40825</v>
      </c>
      <c r="I62" s="10">
        <v>0</v>
      </c>
      <c r="J62" s="11">
        <f t="shared" si="1"/>
        <v>40825</v>
      </c>
      <c r="K62" s="12">
        <f>VLOOKUP(A62,[4]VA05!$A:$K,11,FALSE)</f>
        <v>45587</v>
      </c>
      <c r="L62" s="10" t="s">
        <v>12</v>
      </c>
      <c r="M62" s="10" t="s">
        <v>162</v>
      </c>
    </row>
    <row r="63" spans="1:13" x14ac:dyDescent="0.25">
      <c r="A63" s="13" t="str">
        <f t="shared" si="0"/>
        <v>507142742100</v>
      </c>
      <c r="B63" s="10">
        <v>1004052627</v>
      </c>
      <c r="C63" s="10">
        <v>507142742</v>
      </c>
      <c r="D63" s="10">
        <v>100</v>
      </c>
      <c r="E63" s="10" t="s">
        <v>10</v>
      </c>
      <c r="F63" s="10">
        <v>1437142</v>
      </c>
      <c r="G63" s="10" t="s">
        <v>145</v>
      </c>
      <c r="H63" s="11">
        <v>27661</v>
      </c>
      <c r="I63" s="10">
        <v>0</v>
      </c>
      <c r="J63" s="11">
        <f t="shared" si="1"/>
        <v>27661</v>
      </c>
      <c r="K63" s="12" t="e">
        <f>VLOOKUP(A63,[4]VA05!$A:$K,11,FALSE)</f>
        <v>#N/A</v>
      </c>
      <c r="L63" s="10" t="s">
        <v>12</v>
      </c>
      <c r="M63" s="10" t="s">
        <v>109</v>
      </c>
    </row>
    <row r="64" spans="1:13" x14ac:dyDescent="0.25">
      <c r="A64" s="13" t="str">
        <f t="shared" si="0"/>
        <v>50714274210</v>
      </c>
      <c r="B64" s="10">
        <v>1004054341</v>
      </c>
      <c r="C64" s="10">
        <v>507142742</v>
      </c>
      <c r="D64" s="10">
        <v>10</v>
      </c>
      <c r="E64" s="10" t="s">
        <v>10</v>
      </c>
      <c r="F64" s="10">
        <v>1437142</v>
      </c>
      <c r="G64" s="10" t="s">
        <v>145</v>
      </c>
      <c r="H64" s="11">
        <v>27661</v>
      </c>
      <c r="I64" s="11">
        <v>11900</v>
      </c>
      <c r="J64" s="11">
        <f t="shared" si="1"/>
        <v>15761</v>
      </c>
      <c r="K64" s="12">
        <f>VLOOKUP(A64,[4]VA05!$A:$K,11,FALSE)</f>
        <v>45575</v>
      </c>
      <c r="L64" s="10" t="s">
        <v>11</v>
      </c>
      <c r="M64" s="10" t="s">
        <v>155</v>
      </c>
    </row>
    <row r="65" spans="1:13" x14ac:dyDescent="0.25">
      <c r="A65" s="13" t="str">
        <f t="shared" si="0"/>
        <v>50714285110</v>
      </c>
      <c r="B65" s="10">
        <v>1004062677</v>
      </c>
      <c r="C65" s="10">
        <v>507142851</v>
      </c>
      <c r="D65" s="10">
        <v>10</v>
      </c>
      <c r="E65" s="10" t="s">
        <v>10</v>
      </c>
      <c r="F65" s="10">
        <v>1437142</v>
      </c>
      <c r="G65" s="10" t="s">
        <v>145</v>
      </c>
      <c r="H65" s="11">
        <v>38799</v>
      </c>
      <c r="I65" s="10">
        <v>0</v>
      </c>
      <c r="J65" s="11">
        <f t="shared" si="1"/>
        <v>38799</v>
      </c>
      <c r="K65" s="12">
        <f>VLOOKUP(A65,[4]VA05!$A:$K,11,FALSE)</f>
        <v>45593</v>
      </c>
      <c r="L65" s="10" t="s">
        <v>12</v>
      </c>
      <c r="M65" s="10" t="s">
        <v>162</v>
      </c>
    </row>
    <row r="66" spans="1:13" x14ac:dyDescent="0.25">
      <c r="A66" s="13" t="str">
        <f t="shared" si="0"/>
        <v>50714268230</v>
      </c>
      <c r="B66" s="10">
        <v>1004059556</v>
      </c>
      <c r="C66" s="10">
        <v>507142682</v>
      </c>
      <c r="D66" s="10">
        <v>30</v>
      </c>
      <c r="E66" s="10" t="s">
        <v>10</v>
      </c>
      <c r="F66" s="10">
        <v>1440080</v>
      </c>
      <c r="G66" s="10" t="s">
        <v>247</v>
      </c>
      <c r="H66" s="11">
        <v>10524</v>
      </c>
      <c r="I66" s="10">
        <v>0</v>
      </c>
      <c r="J66" s="11">
        <f t="shared" si="1"/>
        <v>10524</v>
      </c>
      <c r="K66" s="12">
        <f>VLOOKUP(A66,[4]VA05!$A:$K,11,FALSE)</f>
        <v>45595</v>
      </c>
      <c r="L66" s="10" t="s">
        <v>12</v>
      </c>
      <c r="M66" s="10" t="s">
        <v>176</v>
      </c>
    </row>
    <row r="67" spans="1:13" x14ac:dyDescent="0.25">
      <c r="A67" s="13" t="str">
        <f t="shared" si="0"/>
        <v>50714242450</v>
      </c>
      <c r="B67" s="10">
        <v>1004019633</v>
      </c>
      <c r="C67" s="10">
        <v>507142424</v>
      </c>
      <c r="D67" s="10">
        <v>50</v>
      </c>
      <c r="E67" s="10" t="s">
        <v>10</v>
      </c>
      <c r="F67" s="10">
        <v>1212309</v>
      </c>
      <c r="G67" s="10" t="s">
        <v>16</v>
      </c>
      <c r="H67" s="11">
        <v>30725</v>
      </c>
      <c r="I67" s="10">
        <v>0</v>
      </c>
      <c r="J67" s="11">
        <f t="shared" si="1"/>
        <v>30725</v>
      </c>
      <c r="K67" s="12" t="e">
        <f>VLOOKUP(A67,[4]VA05!$A:$K,11,FALSE)</f>
        <v>#N/A</v>
      </c>
      <c r="L67" s="10" t="s">
        <v>12</v>
      </c>
      <c r="M67" s="10" t="s">
        <v>82</v>
      </c>
    </row>
    <row r="68" spans="1:13" hidden="1" x14ac:dyDescent="0.25">
      <c r="A68" s="13" t="str">
        <f t="shared" ref="A68:A131" si="2">C68&amp;D68</f>
        <v>50714274220</v>
      </c>
      <c r="B68" s="10">
        <v>1004052511</v>
      </c>
      <c r="C68" s="10">
        <v>507142742</v>
      </c>
      <c r="D68" s="10">
        <v>20</v>
      </c>
      <c r="E68" s="10" t="s">
        <v>10</v>
      </c>
      <c r="F68" s="10">
        <v>1209351</v>
      </c>
      <c r="G68" s="10" t="s">
        <v>135</v>
      </c>
      <c r="H68" s="11">
        <v>25576</v>
      </c>
      <c r="I68" s="11">
        <v>25576</v>
      </c>
      <c r="J68" s="11">
        <f t="shared" ref="J68:J131" si="3">H68-I68</f>
        <v>0</v>
      </c>
      <c r="K68" s="12">
        <f>VLOOKUP(A68,[4]VA05!$A:$K,11,FALSE)</f>
        <v>45575</v>
      </c>
      <c r="L68" s="10" t="s">
        <v>28</v>
      </c>
      <c r="M68" s="10" t="s">
        <v>197</v>
      </c>
    </row>
    <row r="69" spans="1:13" x14ac:dyDescent="0.25">
      <c r="A69" s="13" t="str">
        <f t="shared" si="2"/>
        <v>50714274250</v>
      </c>
      <c r="B69" s="10">
        <v>1004052512</v>
      </c>
      <c r="C69" s="10">
        <v>507142742</v>
      </c>
      <c r="D69" s="10">
        <v>50</v>
      </c>
      <c r="E69" s="10" t="s">
        <v>10</v>
      </c>
      <c r="F69" s="10">
        <v>1209351</v>
      </c>
      <c r="G69" s="10" t="s">
        <v>135</v>
      </c>
      <c r="H69" s="11">
        <v>25576</v>
      </c>
      <c r="I69" s="10">
        <v>0</v>
      </c>
      <c r="J69" s="11">
        <f t="shared" si="3"/>
        <v>25576</v>
      </c>
      <c r="K69" s="12">
        <f>VLOOKUP(A69,[4]VA05!$A:$K,11,FALSE)</f>
        <v>45580</v>
      </c>
      <c r="L69" s="10" t="s">
        <v>56</v>
      </c>
      <c r="M69" s="10" t="s">
        <v>192</v>
      </c>
    </row>
    <row r="70" spans="1:13" x14ac:dyDescent="0.25">
      <c r="A70" s="13" t="str">
        <f t="shared" si="2"/>
        <v>50714274280</v>
      </c>
      <c r="B70" s="10">
        <v>1004052513</v>
      </c>
      <c r="C70" s="10">
        <v>507142742</v>
      </c>
      <c r="D70" s="10">
        <v>80</v>
      </c>
      <c r="E70" s="10" t="s">
        <v>10</v>
      </c>
      <c r="F70" s="10">
        <v>1209351</v>
      </c>
      <c r="G70" s="10" t="s">
        <v>135</v>
      </c>
      <c r="H70" s="11">
        <v>25576</v>
      </c>
      <c r="I70" s="10">
        <v>0</v>
      </c>
      <c r="J70" s="11">
        <f t="shared" si="3"/>
        <v>25576</v>
      </c>
      <c r="K70" s="12">
        <f>VLOOKUP(A70,[4]VA05!$A:$K,11,FALSE)</f>
        <v>45587</v>
      </c>
      <c r="L70" s="10" t="s">
        <v>12</v>
      </c>
      <c r="M70" s="10" t="s">
        <v>176</v>
      </c>
    </row>
    <row r="71" spans="1:13" x14ac:dyDescent="0.25">
      <c r="A71" s="13" t="str">
        <f t="shared" si="2"/>
        <v>507142742110</v>
      </c>
      <c r="B71" s="10">
        <v>1004052514</v>
      </c>
      <c r="C71" s="10">
        <v>507142742</v>
      </c>
      <c r="D71" s="10">
        <v>110</v>
      </c>
      <c r="E71" s="10" t="s">
        <v>10</v>
      </c>
      <c r="F71" s="10">
        <v>1209351</v>
      </c>
      <c r="G71" s="10" t="s">
        <v>135</v>
      </c>
      <c r="H71" s="11">
        <v>25576</v>
      </c>
      <c r="I71" s="10">
        <v>0</v>
      </c>
      <c r="J71" s="11">
        <f t="shared" si="3"/>
        <v>25576</v>
      </c>
      <c r="K71" s="12" t="e">
        <f>VLOOKUP(A71,[4]VA05!$A:$K,11,FALSE)</f>
        <v>#N/A</v>
      </c>
      <c r="L71" s="10" t="s">
        <v>12</v>
      </c>
      <c r="M71" s="10" t="s">
        <v>198</v>
      </c>
    </row>
    <row r="72" spans="1:13" x14ac:dyDescent="0.25">
      <c r="A72" s="13" t="str">
        <f t="shared" si="2"/>
        <v>50714285120</v>
      </c>
      <c r="B72" s="10">
        <v>1004062680</v>
      </c>
      <c r="C72" s="10">
        <v>507142851</v>
      </c>
      <c r="D72" s="10">
        <v>20</v>
      </c>
      <c r="E72" s="10" t="s">
        <v>10</v>
      </c>
      <c r="F72" s="10">
        <v>1209351</v>
      </c>
      <c r="G72" s="10" t="s">
        <v>135</v>
      </c>
      <c r="H72" s="11">
        <v>35874</v>
      </c>
      <c r="I72" s="10">
        <v>0</v>
      </c>
      <c r="J72" s="11">
        <f t="shared" si="3"/>
        <v>35874</v>
      </c>
      <c r="K72" s="12">
        <f>VLOOKUP(A72,[4]VA05!$A:$K,11,FALSE)</f>
        <v>45593</v>
      </c>
      <c r="L72" s="10" t="s">
        <v>12</v>
      </c>
      <c r="M72" s="10" t="s">
        <v>199</v>
      </c>
    </row>
    <row r="73" spans="1:13" x14ac:dyDescent="0.25">
      <c r="A73" s="13" t="str">
        <f t="shared" si="2"/>
        <v>50900099220</v>
      </c>
      <c r="B73" s="10">
        <v>1004021332</v>
      </c>
      <c r="C73" s="10">
        <v>509000992</v>
      </c>
      <c r="D73" s="10">
        <v>20</v>
      </c>
      <c r="E73" s="10" t="s">
        <v>10</v>
      </c>
      <c r="F73" s="10">
        <v>1279716</v>
      </c>
      <c r="G73" s="10" t="s">
        <v>54</v>
      </c>
      <c r="H73" s="11">
        <v>10299</v>
      </c>
      <c r="I73" s="10">
        <v>0</v>
      </c>
      <c r="J73" s="11">
        <f t="shared" si="3"/>
        <v>10299</v>
      </c>
      <c r="K73" s="12" t="e">
        <f>VLOOKUP(A73,[4]VA05!$A:$K,11,FALSE)</f>
        <v>#N/A</v>
      </c>
      <c r="L73" s="10" t="s">
        <v>25</v>
      </c>
      <c r="M73" s="10" t="s">
        <v>66</v>
      </c>
    </row>
    <row r="74" spans="1:13" x14ac:dyDescent="0.25">
      <c r="A74" s="13" t="str">
        <f t="shared" si="2"/>
        <v>50714242410</v>
      </c>
      <c r="B74" s="10">
        <v>1004019563</v>
      </c>
      <c r="C74" s="10">
        <v>507142424</v>
      </c>
      <c r="D74" s="10">
        <v>10</v>
      </c>
      <c r="E74" s="10" t="s">
        <v>10</v>
      </c>
      <c r="F74" s="10">
        <v>1212320</v>
      </c>
      <c r="G74" s="10" t="s">
        <v>17</v>
      </c>
      <c r="H74" s="11">
        <v>19568</v>
      </c>
      <c r="I74" s="10">
        <v>0</v>
      </c>
      <c r="J74" s="11">
        <f t="shared" si="3"/>
        <v>19568</v>
      </c>
      <c r="K74" s="12" t="e">
        <f>VLOOKUP(A74,[4]VA05!$A:$K,11,FALSE)</f>
        <v>#N/A</v>
      </c>
      <c r="L74" s="10" t="s">
        <v>239</v>
      </c>
      <c r="M74" s="10" t="s">
        <v>72</v>
      </c>
    </row>
    <row r="75" spans="1:13" x14ac:dyDescent="0.25">
      <c r="A75" s="13" t="str">
        <f t="shared" si="2"/>
        <v>50714242430</v>
      </c>
      <c r="B75" s="10">
        <v>1004019564</v>
      </c>
      <c r="C75" s="10">
        <v>507142424</v>
      </c>
      <c r="D75" s="10">
        <v>30</v>
      </c>
      <c r="E75" s="10" t="s">
        <v>10</v>
      </c>
      <c r="F75" s="10">
        <v>1212320</v>
      </c>
      <c r="G75" s="10" t="s">
        <v>17</v>
      </c>
      <c r="H75" s="11">
        <v>19568</v>
      </c>
      <c r="I75" s="10">
        <v>0</v>
      </c>
      <c r="J75" s="11">
        <f t="shared" si="3"/>
        <v>19568</v>
      </c>
      <c r="K75" s="12" t="e">
        <f>VLOOKUP(A75,[4]VA05!$A:$K,11,FALSE)</f>
        <v>#N/A</v>
      </c>
      <c r="L75" s="10" t="s">
        <v>13</v>
      </c>
      <c r="M75" s="10" t="s">
        <v>69</v>
      </c>
    </row>
    <row r="76" spans="1:13" x14ac:dyDescent="0.25">
      <c r="A76" s="13" t="str">
        <f t="shared" si="2"/>
        <v>50714242450</v>
      </c>
      <c r="B76" s="10">
        <v>1004019566</v>
      </c>
      <c r="C76" s="10">
        <v>507142424</v>
      </c>
      <c r="D76" s="10">
        <v>50</v>
      </c>
      <c r="E76" s="10" t="s">
        <v>10</v>
      </c>
      <c r="F76" s="10">
        <v>1212320</v>
      </c>
      <c r="G76" s="10" t="s">
        <v>17</v>
      </c>
      <c r="H76" s="11">
        <v>30725</v>
      </c>
      <c r="I76" s="10">
        <v>0</v>
      </c>
      <c r="J76" s="11">
        <f t="shared" si="3"/>
        <v>30725</v>
      </c>
      <c r="K76" s="12" t="e">
        <f>VLOOKUP(A76,[4]VA05!$A:$K,11,FALSE)</f>
        <v>#N/A</v>
      </c>
      <c r="L76" s="10" t="s">
        <v>13</v>
      </c>
      <c r="M76" s="10" t="s">
        <v>73</v>
      </c>
    </row>
    <row r="77" spans="1:13" hidden="1" x14ac:dyDescent="0.25">
      <c r="A77" s="13" t="str">
        <f t="shared" si="2"/>
        <v>50714274280</v>
      </c>
      <c r="B77" s="10">
        <v>1004052509</v>
      </c>
      <c r="C77" s="10">
        <v>507142742</v>
      </c>
      <c r="D77" s="10">
        <v>80</v>
      </c>
      <c r="E77" s="10" t="s">
        <v>10</v>
      </c>
      <c r="F77" s="10">
        <v>1437172</v>
      </c>
      <c r="G77" s="10" t="s">
        <v>123</v>
      </c>
      <c r="H77" s="11">
        <v>25576</v>
      </c>
      <c r="I77" s="11">
        <v>25576</v>
      </c>
      <c r="J77" s="11">
        <f t="shared" si="3"/>
        <v>0</v>
      </c>
      <c r="K77" s="12">
        <f>VLOOKUP(A77,[4]VA05!$A:$K,11,FALSE)</f>
        <v>45587</v>
      </c>
      <c r="L77" s="10" t="s">
        <v>28</v>
      </c>
      <c r="M77" s="10" t="s">
        <v>176</v>
      </c>
    </row>
    <row r="78" spans="1:13" x14ac:dyDescent="0.25">
      <c r="A78" s="13" t="str">
        <f t="shared" si="2"/>
        <v>507142742110</v>
      </c>
      <c r="B78" s="10">
        <v>1004052510</v>
      </c>
      <c r="C78" s="10">
        <v>507142742</v>
      </c>
      <c r="D78" s="10">
        <v>110</v>
      </c>
      <c r="E78" s="10" t="s">
        <v>10</v>
      </c>
      <c r="F78" s="10">
        <v>1437172</v>
      </c>
      <c r="G78" s="10" t="s">
        <v>123</v>
      </c>
      <c r="H78" s="11">
        <v>25576</v>
      </c>
      <c r="I78" s="11">
        <v>8134</v>
      </c>
      <c r="J78" s="11">
        <f t="shared" si="3"/>
        <v>17442</v>
      </c>
      <c r="K78" s="12" t="e">
        <f>VLOOKUP(A78,[4]VA05!$A:$K,11,FALSE)</f>
        <v>#N/A</v>
      </c>
      <c r="L78" s="10" t="s">
        <v>18</v>
      </c>
      <c r="M78" s="10" t="s">
        <v>198</v>
      </c>
    </row>
    <row r="79" spans="1:13" x14ac:dyDescent="0.25">
      <c r="A79" s="13" t="str">
        <f t="shared" si="2"/>
        <v>50714285120</v>
      </c>
      <c r="B79" s="10">
        <v>1004062192</v>
      </c>
      <c r="C79" s="10">
        <v>507142851</v>
      </c>
      <c r="D79" s="10">
        <v>20</v>
      </c>
      <c r="E79" s="10" t="s">
        <v>10</v>
      </c>
      <c r="F79" s="10">
        <v>1437172</v>
      </c>
      <c r="G79" s="10" t="s">
        <v>123</v>
      </c>
      <c r="H79" s="11">
        <v>35874</v>
      </c>
      <c r="I79" s="10">
        <v>0</v>
      </c>
      <c r="J79" s="11">
        <f t="shared" si="3"/>
        <v>35874</v>
      </c>
      <c r="K79" s="12">
        <f>VLOOKUP(A79,[4]VA05!$A:$K,11,FALSE)</f>
        <v>45593</v>
      </c>
      <c r="L79" s="10" t="s">
        <v>12</v>
      </c>
      <c r="M79" s="10" t="s">
        <v>199</v>
      </c>
    </row>
    <row r="80" spans="1:13" x14ac:dyDescent="0.25">
      <c r="A80" s="13" t="str">
        <f t="shared" si="2"/>
        <v>50714274250</v>
      </c>
      <c r="B80" s="10">
        <v>1004064319</v>
      </c>
      <c r="C80" s="10">
        <v>507142742</v>
      </c>
      <c r="D80" s="10">
        <v>50</v>
      </c>
      <c r="E80" s="10" t="s">
        <v>10</v>
      </c>
      <c r="F80" s="10">
        <v>1437172</v>
      </c>
      <c r="G80" s="10" t="s">
        <v>123</v>
      </c>
      <c r="H80" s="11">
        <v>35874</v>
      </c>
      <c r="I80" s="10">
        <v>0</v>
      </c>
      <c r="J80" s="11">
        <f t="shared" si="3"/>
        <v>35874</v>
      </c>
      <c r="K80" s="12">
        <f>VLOOKUP(A80,[4]VA05!$A:$K,11,FALSE)</f>
        <v>45580</v>
      </c>
      <c r="L80" s="10" t="s">
        <v>12</v>
      </c>
      <c r="M80" s="10" t="s">
        <v>157</v>
      </c>
    </row>
    <row r="81" spans="1:13" x14ac:dyDescent="0.25">
      <c r="A81" s="13" t="str">
        <f t="shared" si="2"/>
        <v>50900099220</v>
      </c>
      <c r="B81" s="10">
        <v>1004016985</v>
      </c>
      <c r="C81" s="10">
        <v>509000992</v>
      </c>
      <c r="D81" s="10">
        <v>20</v>
      </c>
      <c r="E81" s="10" t="s">
        <v>10</v>
      </c>
      <c r="F81" s="10">
        <v>1279713</v>
      </c>
      <c r="G81" s="10" t="s">
        <v>55</v>
      </c>
      <c r="H81" s="11">
        <v>10299</v>
      </c>
      <c r="I81" s="10">
        <v>0</v>
      </c>
      <c r="J81" s="11">
        <f t="shared" si="3"/>
        <v>10299</v>
      </c>
      <c r="K81" s="12" t="e">
        <f>VLOOKUP(A81,[4]VA05!$A:$K,11,FALSE)</f>
        <v>#N/A</v>
      </c>
      <c r="L81" s="10" t="s">
        <v>13</v>
      </c>
      <c r="M81" s="10" t="s">
        <v>58</v>
      </c>
    </row>
    <row r="82" spans="1:13" x14ac:dyDescent="0.25">
      <c r="A82" s="13" t="str">
        <f t="shared" si="2"/>
        <v>50900099320</v>
      </c>
      <c r="B82" s="10">
        <v>1004016986</v>
      </c>
      <c r="C82" s="10">
        <v>509000993</v>
      </c>
      <c r="D82" s="10">
        <v>20</v>
      </c>
      <c r="E82" s="10" t="s">
        <v>10</v>
      </c>
      <c r="F82" s="10">
        <v>1279713</v>
      </c>
      <c r="G82" s="10" t="s">
        <v>55</v>
      </c>
      <c r="H82" s="11">
        <v>3262</v>
      </c>
      <c r="I82" s="10">
        <v>0</v>
      </c>
      <c r="J82" s="11">
        <f t="shared" si="3"/>
        <v>3262</v>
      </c>
      <c r="K82" s="12" t="e">
        <f>VLOOKUP(A82,[4]VA05!$A:$K,11,FALSE)</f>
        <v>#N/A</v>
      </c>
      <c r="L82" s="10" t="s">
        <v>12</v>
      </c>
      <c r="M82" s="10" t="s">
        <v>50</v>
      </c>
    </row>
    <row r="83" spans="1:13" x14ac:dyDescent="0.25">
      <c r="A83" s="13" t="str">
        <f t="shared" si="2"/>
        <v>50714274240</v>
      </c>
      <c r="B83" s="10">
        <v>1004049969</v>
      </c>
      <c r="C83" s="10">
        <v>507142742</v>
      </c>
      <c r="D83" s="10">
        <v>40</v>
      </c>
      <c r="E83" s="10" t="s">
        <v>10</v>
      </c>
      <c r="F83" s="10">
        <v>1209336</v>
      </c>
      <c r="G83" s="10" t="s">
        <v>124</v>
      </c>
      <c r="H83" s="11">
        <v>25576</v>
      </c>
      <c r="I83" s="11">
        <v>9462</v>
      </c>
      <c r="J83" s="11">
        <f t="shared" si="3"/>
        <v>16114</v>
      </c>
      <c r="K83" s="12">
        <f>VLOOKUP(A83,[4]VA05!$A:$K,11,FALSE)</f>
        <v>45580</v>
      </c>
      <c r="L83" s="10" t="s">
        <v>18</v>
      </c>
      <c r="M83" s="10" t="s">
        <v>157</v>
      </c>
    </row>
    <row r="84" spans="1:13" x14ac:dyDescent="0.25">
      <c r="A84" s="13" t="str">
        <f t="shared" si="2"/>
        <v>50714274270</v>
      </c>
      <c r="B84" s="10">
        <v>1004052425</v>
      </c>
      <c r="C84" s="10">
        <v>507142742</v>
      </c>
      <c r="D84" s="10">
        <v>70</v>
      </c>
      <c r="E84" s="10" t="s">
        <v>10</v>
      </c>
      <c r="F84" s="10">
        <v>1209336</v>
      </c>
      <c r="G84" s="10" t="s">
        <v>124</v>
      </c>
      <c r="H84" s="11">
        <v>25576</v>
      </c>
      <c r="I84" s="10">
        <v>0</v>
      </c>
      <c r="J84" s="11">
        <f t="shared" si="3"/>
        <v>25576</v>
      </c>
      <c r="K84" s="12">
        <f>VLOOKUP(A84,[4]VA05!$A:$K,11,FALSE)</f>
        <v>45587</v>
      </c>
      <c r="L84" s="10" t="s">
        <v>12</v>
      </c>
      <c r="M84" s="10" t="s">
        <v>199</v>
      </c>
    </row>
    <row r="85" spans="1:13" x14ac:dyDescent="0.25">
      <c r="A85" s="13" t="str">
        <f t="shared" si="2"/>
        <v>507142742100</v>
      </c>
      <c r="B85" s="10">
        <v>1004052426</v>
      </c>
      <c r="C85" s="10">
        <v>507142742</v>
      </c>
      <c r="D85" s="10">
        <v>100</v>
      </c>
      <c r="E85" s="10" t="s">
        <v>10</v>
      </c>
      <c r="F85" s="10">
        <v>1209336</v>
      </c>
      <c r="G85" s="10" t="s">
        <v>124</v>
      </c>
      <c r="H85" s="11">
        <v>25576</v>
      </c>
      <c r="I85" s="10">
        <v>0</v>
      </c>
      <c r="J85" s="11">
        <f t="shared" si="3"/>
        <v>25576</v>
      </c>
      <c r="K85" s="12" t="e">
        <f>VLOOKUP(A85,[4]VA05!$A:$K,11,FALSE)</f>
        <v>#N/A</v>
      </c>
      <c r="L85" s="10" t="s">
        <v>12</v>
      </c>
      <c r="M85" s="10" t="s">
        <v>200</v>
      </c>
    </row>
    <row r="86" spans="1:13" x14ac:dyDescent="0.25">
      <c r="A86" s="13" t="str">
        <f t="shared" si="2"/>
        <v>50714285110</v>
      </c>
      <c r="B86" s="10">
        <v>1004064146</v>
      </c>
      <c r="C86" s="10">
        <v>507142851</v>
      </c>
      <c r="D86" s="10">
        <v>10</v>
      </c>
      <c r="E86" s="10" t="s">
        <v>10</v>
      </c>
      <c r="F86" s="10">
        <v>1209336</v>
      </c>
      <c r="G86" s="10" t="s">
        <v>124</v>
      </c>
      <c r="H86" s="11">
        <v>35874</v>
      </c>
      <c r="I86" s="10">
        <v>0</v>
      </c>
      <c r="J86" s="11">
        <f t="shared" si="3"/>
        <v>35874</v>
      </c>
      <c r="K86" s="12">
        <f>VLOOKUP(A86,[4]VA05!$A:$K,11,FALSE)</f>
        <v>45593</v>
      </c>
      <c r="L86" s="10" t="s">
        <v>12</v>
      </c>
      <c r="M86" s="10" t="s">
        <v>192</v>
      </c>
    </row>
    <row r="87" spans="1:13" x14ac:dyDescent="0.25">
      <c r="A87" s="13" t="str">
        <f t="shared" si="2"/>
        <v>50714285140</v>
      </c>
      <c r="B87" s="10">
        <v>1004064317</v>
      </c>
      <c r="C87" s="10">
        <v>507142851</v>
      </c>
      <c r="D87" s="10">
        <v>40</v>
      </c>
      <c r="E87" s="10" t="s">
        <v>10</v>
      </c>
      <c r="F87" s="10">
        <v>1209336</v>
      </c>
      <c r="G87" s="10" t="s">
        <v>124</v>
      </c>
      <c r="H87" s="11">
        <v>35874</v>
      </c>
      <c r="I87" s="10">
        <v>0</v>
      </c>
      <c r="J87" s="11">
        <f t="shared" si="3"/>
        <v>35874</v>
      </c>
      <c r="K87" s="12">
        <f>VLOOKUP(A87,[4]VA05!$A:$K,11,FALSE)</f>
        <v>45601</v>
      </c>
      <c r="L87" s="10" t="s">
        <v>12</v>
      </c>
      <c r="M87" s="10" t="s">
        <v>176</v>
      </c>
    </row>
    <row r="88" spans="1:13" x14ac:dyDescent="0.25">
      <c r="A88" s="13" t="str">
        <f t="shared" si="2"/>
        <v>50714285170</v>
      </c>
      <c r="B88" s="10">
        <v>1004064318</v>
      </c>
      <c r="C88" s="10">
        <v>507142851</v>
      </c>
      <c r="D88" s="10">
        <v>70</v>
      </c>
      <c r="E88" s="10" t="s">
        <v>10</v>
      </c>
      <c r="F88" s="10">
        <v>1209336</v>
      </c>
      <c r="G88" s="10" t="s">
        <v>124</v>
      </c>
      <c r="H88" s="11">
        <v>30553</v>
      </c>
      <c r="I88" s="10">
        <v>0</v>
      </c>
      <c r="J88" s="11">
        <f t="shared" si="3"/>
        <v>30553</v>
      </c>
      <c r="K88" s="12">
        <f>VLOOKUP(A88,[4]VA05!$A:$K,11,FALSE)</f>
        <v>45608</v>
      </c>
      <c r="L88" s="10" t="s">
        <v>12</v>
      </c>
      <c r="M88" s="10" t="s">
        <v>302</v>
      </c>
    </row>
    <row r="89" spans="1:13" x14ac:dyDescent="0.25">
      <c r="A89" s="13" t="str">
        <f t="shared" si="2"/>
        <v>50714246960</v>
      </c>
      <c r="B89" s="10">
        <v>1004016982</v>
      </c>
      <c r="C89" s="10">
        <v>507142469</v>
      </c>
      <c r="D89" s="10">
        <v>60</v>
      </c>
      <c r="E89" s="10" t="s">
        <v>10</v>
      </c>
      <c r="F89" s="10">
        <v>1212321</v>
      </c>
      <c r="G89" s="10" t="s">
        <v>30</v>
      </c>
      <c r="H89" s="11">
        <v>71577</v>
      </c>
      <c r="I89" s="11">
        <v>8540</v>
      </c>
      <c r="J89" s="11">
        <f t="shared" si="3"/>
        <v>63037</v>
      </c>
      <c r="K89" s="12" t="e">
        <f>VLOOKUP(A89,[4]VA05!$A:$K,11,FALSE)</f>
        <v>#N/A</v>
      </c>
      <c r="L89" s="10" t="s">
        <v>18</v>
      </c>
      <c r="M89" s="10" t="s">
        <v>49</v>
      </c>
    </row>
    <row r="90" spans="1:13" x14ac:dyDescent="0.25">
      <c r="A90" s="13" t="str">
        <f t="shared" si="2"/>
        <v>50714274230</v>
      </c>
      <c r="B90" s="10">
        <v>1004052421</v>
      </c>
      <c r="C90" s="10">
        <v>507142742</v>
      </c>
      <c r="D90" s="10">
        <v>30</v>
      </c>
      <c r="E90" s="10" t="s">
        <v>10</v>
      </c>
      <c r="F90" s="10">
        <v>1209347</v>
      </c>
      <c r="G90" s="10" t="s">
        <v>136</v>
      </c>
      <c r="H90" s="11">
        <v>25576</v>
      </c>
      <c r="I90" s="11">
        <v>13200</v>
      </c>
      <c r="J90" s="11">
        <f t="shared" si="3"/>
        <v>12376</v>
      </c>
      <c r="K90" s="12">
        <f>VLOOKUP(A90,[4]VA05!$A:$K,11,FALSE)</f>
        <v>45575</v>
      </c>
      <c r="L90" s="10" t="s">
        <v>18</v>
      </c>
      <c r="M90" s="10" t="s">
        <v>157</v>
      </c>
    </row>
    <row r="91" spans="1:13" x14ac:dyDescent="0.25">
      <c r="A91" s="13" t="str">
        <f t="shared" si="2"/>
        <v>50714274260</v>
      </c>
      <c r="B91" s="10">
        <v>1004052422</v>
      </c>
      <c r="C91" s="10">
        <v>507142742</v>
      </c>
      <c r="D91" s="10">
        <v>60</v>
      </c>
      <c r="E91" s="10" t="s">
        <v>10</v>
      </c>
      <c r="F91" s="10">
        <v>1209347</v>
      </c>
      <c r="G91" s="10" t="s">
        <v>136</v>
      </c>
      <c r="H91" s="11">
        <v>25576</v>
      </c>
      <c r="I91" s="10">
        <v>0</v>
      </c>
      <c r="J91" s="11">
        <f t="shared" si="3"/>
        <v>25576</v>
      </c>
      <c r="K91" s="12">
        <f>VLOOKUP(A91,[4]VA05!$A:$K,11,FALSE)</f>
        <v>45580</v>
      </c>
      <c r="L91" s="10" t="s">
        <v>12</v>
      </c>
      <c r="M91" s="10" t="s">
        <v>192</v>
      </c>
    </row>
    <row r="92" spans="1:13" x14ac:dyDescent="0.25">
      <c r="A92" s="13" t="str">
        <f t="shared" si="2"/>
        <v>50714274290</v>
      </c>
      <c r="B92" s="10">
        <v>1004052423</v>
      </c>
      <c r="C92" s="10">
        <v>507142742</v>
      </c>
      <c r="D92" s="10">
        <v>90</v>
      </c>
      <c r="E92" s="10" t="s">
        <v>10</v>
      </c>
      <c r="F92" s="10">
        <v>1209347</v>
      </c>
      <c r="G92" s="10" t="s">
        <v>136</v>
      </c>
      <c r="H92" s="11">
        <v>25576</v>
      </c>
      <c r="I92" s="10">
        <v>0</v>
      </c>
      <c r="J92" s="11">
        <f t="shared" si="3"/>
        <v>25576</v>
      </c>
      <c r="K92" s="12">
        <f>VLOOKUP(A92,[4]VA05!$A:$K,11,FALSE)</f>
        <v>45587</v>
      </c>
      <c r="L92" s="10" t="s">
        <v>12</v>
      </c>
      <c r="M92" s="10" t="s">
        <v>176</v>
      </c>
    </row>
    <row r="93" spans="1:13" x14ac:dyDescent="0.25">
      <c r="A93" s="13" t="str">
        <f t="shared" si="2"/>
        <v>507142742120</v>
      </c>
      <c r="B93" s="10">
        <v>1004052424</v>
      </c>
      <c r="C93" s="10">
        <v>507142742</v>
      </c>
      <c r="D93" s="10">
        <v>120</v>
      </c>
      <c r="E93" s="10" t="s">
        <v>10</v>
      </c>
      <c r="F93" s="10">
        <v>1209347</v>
      </c>
      <c r="G93" s="10" t="s">
        <v>136</v>
      </c>
      <c r="H93" s="11">
        <v>25576</v>
      </c>
      <c r="I93" s="10">
        <v>0</v>
      </c>
      <c r="J93" s="11">
        <f t="shared" si="3"/>
        <v>25576</v>
      </c>
      <c r="K93" s="12" t="e">
        <f>VLOOKUP(A93,[4]VA05!$A:$K,11,FALSE)</f>
        <v>#N/A</v>
      </c>
      <c r="L93" s="10" t="s">
        <v>12</v>
      </c>
      <c r="M93" s="10" t="s">
        <v>198</v>
      </c>
    </row>
    <row r="94" spans="1:13" x14ac:dyDescent="0.25">
      <c r="A94" s="13" t="str">
        <f t="shared" si="2"/>
        <v>50714285130</v>
      </c>
      <c r="B94" s="10">
        <v>1004064316</v>
      </c>
      <c r="C94" s="10">
        <v>507142851</v>
      </c>
      <c r="D94" s="10">
        <v>30</v>
      </c>
      <c r="E94" s="10" t="s">
        <v>10</v>
      </c>
      <c r="F94" s="10">
        <v>1209347</v>
      </c>
      <c r="G94" s="10" t="s">
        <v>136</v>
      </c>
      <c r="H94" s="11">
        <v>35874</v>
      </c>
      <c r="I94" s="10">
        <v>0</v>
      </c>
      <c r="J94" s="11">
        <f t="shared" si="3"/>
        <v>35874</v>
      </c>
      <c r="K94" s="12">
        <f>VLOOKUP(A94,[4]VA05!$A:$K,11,FALSE)</f>
        <v>45593</v>
      </c>
      <c r="L94" s="10" t="s">
        <v>12</v>
      </c>
      <c r="M94" s="10" t="s">
        <v>199</v>
      </c>
    </row>
    <row r="95" spans="1:13" hidden="1" x14ac:dyDescent="0.25">
      <c r="A95" s="13" t="str">
        <f t="shared" si="2"/>
        <v>50714203150</v>
      </c>
      <c r="B95" s="10">
        <v>1003958713</v>
      </c>
      <c r="C95" s="10">
        <v>507142031</v>
      </c>
      <c r="D95" s="10">
        <v>50</v>
      </c>
      <c r="E95" s="10" t="s">
        <v>10</v>
      </c>
      <c r="F95" s="10">
        <v>1409882</v>
      </c>
      <c r="G95" s="10" t="s">
        <v>39</v>
      </c>
      <c r="H95" s="11">
        <v>45777</v>
      </c>
      <c r="I95" s="10">
        <v>0</v>
      </c>
      <c r="J95" s="11">
        <f t="shared" si="3"/>
        <v>45777</v>
      </c>
      <c r="K95" s="12" t="e">
        <f>VLOOKUP(A95,[4]VA05!$A:$K,11,FALSE)</f>
        <v>#N/A</v>
      </c>
      <c r="L95" s="10" t="s">
        <v>260</v>
      </c>
      <c r="M95" s="10" t="s">
        <v>269</v>
      </c>
    </row>
    <row r="96" spans="1:13" x14ac:dyDescent="0.25">
      <c r="A96" s="13" t="str">
        <f t="shared" si="2"/>
        <v>50714273920</v>
      </c>
      <c r="B96" s="10">
        <v>1004051714</v>
      </c>
      <c r="C96" s="10">
        <v>507142739</v>
      </c>
      <c r="D96" s="10">
        <v>20</v>
      </c>
      <c r="E96" s="10" t="s">
        <v>10</v>
      </c>
      <c r="F96" s="10">
        <v>1409882</v>
      </c>
      <c r="G96" s="10" t="s">
        <v>39</v>
      </c>
      <c r="H96" s="11">
        <v>51460</v>
      </c>
      <c r="I96" s="11">
        <v>18112</v>
      </c>
      <c r="J96" s="11">
        <f t="shared" si="3"/>
        <v>33348</v>
      </c>
      <c r="K96" s="12">
        <f>VLOOKUP(A96,[4]VA05!$A:$K,11,FALSE)</f>
        <v>45573</v>
      </c>
      <c r="L96" s="10" t="s">
        <v>11</v>
      </c>
      <c r="M96" s="10" t="s">
        <v>202</v>
      </c>
    </row>
    <row r="97" spans="1:13" x14ac:dyDescent="0.25">
      <c r="A97" s="13" t="str">
        <f t="shared" si="2"/>
        <v>50714273930</v>
      </c>
      <c r="B97" s="10">
        <v>1004062039</v>
      </c>
      <c r="C97" s="10">
        <v>507142739</v>
      </c>
      <c r="D97" s="10">
        <v>30</v>
      </c>
      <c r="E97" s="10" t="s">
        <v>10</v>
      </c>
      <c r="F97" s="10">
        <v>1409882</v>
      </c>
      <c r="G97" s="10" t="s">
        <v>39</v>
      </c>
      <c r="H97" s="11">
        <v>28729</v>
      </c>
      <c r="I97" s="10">
        <v>0</v>
      </c>
      <c r="J97" s="11">
        <f t="shared" si="3"/>
        <v>28729</v>
      </c>
      <c r="K97" s="12">
        <f>VLOOKUP(A97,[4]VA05!$A:$K,11,FALSE)</f>
        <v>45580</v>
      </c>
      <c r="L97" s="10" t="s">
        <v>12</v>
      </c>
      <c r="M97" s="10" t="s">
        <v>197</v>
      </c>
    </row>
    <row r="98" spans="1:13" x14ac:dyDescent="0.25">
      <c r="A98" s="13" t="str">
        <f t="shared" si="2"/>
        <v>50714278010</v>
      </c>
      <c r="B98" s="10">
        <v>1004062040</v>
      </c>
      <c r="C98" s="10">
        <v>507142780</v>
      </c>
      <c r="D98" s="10">
        <v>10</v>
      </c>
      <c r="E98" s="10" t="s">
        <v>10</v>
      </c>
      <c r="F98" s="10">
        <v>1409882</v>
      </c>
      <c r="G98" s="10" t="s">
        <v>39</v>
      </c>
      <c r="H98" s="11">
        <v>32518</v>
      </c>
      <c r="I98" s="10">
        <v>0</v>
      </c>
      <c r="J98" s="11">
        <f t="shared" si="3"/>
        <v>32518</v>
      </c>
      <c r="K98" s="12">
        <f>VLOOKUP(A98,[4]VA05!$A:$K,11,FALSE)</f>
        <v>45580</v>
      </c>
      <c r="L98" s="10" t="s">
        <v>12</v>
      </c>
      <c r="M98" s="10" t="s">
        <v>162</v>
      </c>
    </row>
    <row r="99" spans="1:13" x14ac:dyDescent="0.25">
      <c r="A99" s="13" t="str">
        <f t="shared" si="2"/>
        <v>50714278020</v>
      </c>
      <c r="B99" s="10">
        <v>1004064147</v>
      </c>
      <c r="C99" s="10">
        <v>507142780</v>
      </c>
      <c r="D99" s="10">
        <v>20</v>
      </c>
      <c r="E99" s="10" t="s">
        <v>10</v>
      </c>
      <c r="F99" s="10">
        <v>1409882</v>
      </c>
      <c r="G99" s="10" t="s">
        <v>39</v>
      </c>
      <c r="H99" s="11">
        <v>51460</v>
      </c>
      <c r="I99" s="10">
        <v>0</v>
      </c>
      <c r="J99" s="11">
        <f t="shared" si="3"/>
        <v>51460</v>
      </c>
      <c r="K99" s="12">
        <f>VLOOKUP(A99,[4]VA05!$A:$K,11,FALSE)</f>
        <v>45587</v>
      </c>
      <c r="L99" s="10" t="s">
        <v>12</v>
      </c>
      <c r="M99" s="10" t="s">
        <v>179</v>
      </c>
    </row>
    <row r="100" spans="1:13" x14ac:dyDescent="0.25">
      <c r="A100" s="13" t="str">
        <f t="shared" si="2"/>
        <v>50714278030</v>
      </c>
      <c r="B100" s="10">
        <v>1004064148</v>
      </c>
      <c r="C100" s="10">
        <v>507142780</v>
      </c>
      <c r="D100" s="10">
        <v>30</v>
      </c>
      <c r="E100" s="10" t="s">
        <v>10</v>
      </c>
      <c r="F100" s="10">
        <v>1409882</v>
      </c>
      <c r="G100" s="10" t="s">
        <v>39</v>
      </c>
      <c r="H100" s="11">
        <v>18627</v>
      </c>
      <c r="I100" s="10">
        <v>0</v>
      </c>
      <c r="J100" s="11">
        <f t="shared" si="3"/>
        <v>18627</v>
      </c>
      <c r="K100" s="12">
        <f>VLOOKUP(A100,[4]VA05!$A:$K,11,FALSE)</f>
        <v>45594</v>
      </c>
      <c r="L100" s="10" t="s">
        <v>12</v>
      </c>
      <c r="M100" s="10" t="s">
        <v>176</v>
      </c>
    </row>
    <row r="101" spans="1:13" x14ac:dyDescent="0.25">
      <c r="A101" s="13" t="str">
        <f t="shared" si="2"/>
        <v>50714283210</v>
      </c>
      <c r="B101" s="10">
        <v>1004064309</v>
      </c>
      <c r="C101" s="10">
        <v>507142832</v>
      </c>
      <c r="D101" s="10">
        <v>10</v>
      </c>
      <c r="E101" s="10" t="s">
        <v>10</v>
      </c>
      <c r="F101" s="10">
        <v>1409882</v>
      </c>
      <c r="G101" s="10" t="s">
        <v>39</v>
      </c>
      <c r="H101" s="11">
        <v>51460</v>
      </c>
      <c r="I101" s="10">
        <v>0</v>
      </c>
      <c r="J101" s="11">
        <f t="shared" si="3"/>
        <v>51460</v>
      </c>
      <c r="K101" s="12">
        <f>VLOOKUP(A101,[4]VA05!$A:$K,11,FALSE)</f>
        <v>45595</v>
      </c>
      <c r="L101" s="10" t="s">
        <v>12</v>
      </c>
      <c r="M101" s="10" t="s">
        <v>157</v>
      </c>
    </row>
    <row r="102" spans="1:13" x14ac:dyDescent="0.25">
      <c r="A102" s="13" t="str">
        <f t="shared" si="2"/>
        <v>50714273920</v>
      </c>
      <c r="B102" s="10">
        <v>1004056941</v>
      </c>
      <c r="C102" s="10">
        <v>507142739</v>
      </c>
      <c r="D102" s="10">
        <v>20</v>
      </c>
      <c r="E102" s="10" t="s">
        <v>10</v>
      </c>
      <c r="F102" s="10">
        <v>1409883</v>
      </c>
      <c r="G102" s="10" t="s">
        <v>40</v>
      </c>
      <c r="H102" s="11">
        <v>54066</v>
      </c>
      <c r="I102" s="11">
        <v>45078</v>
      </c>
      <c r="J102" s="11">
        <f t="shared" si="3"/>
        <v>8988</v>
      </c>
      <c r="K102" s="12">
        <f>VLOOKUP(A102,[4]VA05!$A:$K,11,FALSE)</f>
        <v>45573</v>
      </c>
      <c r="L102" s="10" t="s">
        <v>11</v>
      </c>
      <c r="M102" s="10" t="s">
        <v>194</v>
      </c>
    </row>
    <row r="103" spans="1:13" x14ac:dyDescent="0.25">
      <c r="A103" s="13" t="str">
        <f t="shared" si="2"/>
        <v>50714273930</v>
      </c>
      <c r="B103" s="10">
        <v>1004057977</v>
      </c>
      <c r="C103" s="10">
        <v>507142739</v>
      </c>
      <c r="D103" s="10">
        <v>30</v>
      </c>
      <c r="E103" s="10" t="s">
        <v>10</v>
      </c>
      <c r="F103" s="10">
        <v>1409883</v>
      </c>
      <c r="G103" s="10" t="s">
        <v>40</v>
      </c>
      <c r="H103" s="11">
        <v>30185</v>
      </c>
      <c r="I103" s="10">
        <v>0</v>
      </c>
      <c r="J103" s="11">
        <f t="shared" si="3"/>
        <v>30185</v>
      </c>
      <c r="K103" s="12">
        <f>VLOOKUP(A103,[4]VA05!$A:$K,11,FALSE)</f>
        <v>45580</v>
      </c>
      <c r="L103" s="10" t="s">
        <v>119</v>
      </c>
      <c r="M103" s="10" t="s">
        <v>155</v>
      </c>
    </row>
    <row r="104" spans="1:13" x14ac:dyDescent="0.25">
      <c r="A104" s="13" t="str">
        <f t="shared" si="2"/>
        <v>50714278010</v>
      </c>
      <c r="B104" s="10">
        <v>1004058757</v>
      </c>
      <c r="C104" s="10">
        <v>507142780</v>
      </c>
      <c r="D104" s="10">
        <v>10</v>
      </c>
      <c r="E104" s="10" t="s">
        <v>10</v>
      </c>
      <c r="F104" s="10">
        <v>1409883</v>
      </c>
      <c r="G104" s="10" t="s">
        <v>40</v>
      </c>
      <c r="H104" s="11">
        <v>34165</v>
      </c>
      <c r="I104" s="10">
        <v>0</v>
      </c>
      <c r="J104" s="11">
        <f t="shared" si="3"/>
        <v>34165</v>
      </c>
      <c r="K104" s="12">
        <f>VLOOKUP(A104,[4]VA05!$A:$K,11,FALSE)</f>
        <v>45580</v>
      </c>
      <c r="L104" s="10" t="s">
        <v>12</v>
      </c>
      <c r="M104" s="10" t="s">
        <v>195</v>
      </c>
    </row>
    <row r="105" spans="1:13" x14ac:dyDescent="0.25">
      <c r="A105" s="13" t="str">
        <f t="shared" si="2"/>
        <v>50714278020</v>
      </c>
      <c r="B105" s="10">
        <v>1004058758</v>
      </c>
      <c r="C105" s="10">
        <v>507142780</v>
      </c>
      <c r="D105" s="10">
        <v>20</v>
      </c>
      <c r="E105" s="10" t="s">
        <v>10</v>
      </c>
      <c r="F105" s="10">
        <v>1409883</v>
      </c>
      <c r="G105" s="10" t="s">
        <v>40</v>
      </c>
      <c r="H105" s="11">
        <v>54066</v>
      </c>
      <c r="I105" s="10">
        <v>0</v>
      </c>
      <c r="J105" s="11">
        <f t="shared" si="3"/>
        <v>54066</v>
      </c>
      <c r="K105" s="12">
        <f>VLOOKUP(A105,[4]VA05!$A:$K,11,FALSE)</f>
        <v>45587</v>
      </c>
      <c r="L105" s="10" t="s">
        <v>12</v>
      </c>
      <c r="M105" s="10" t="s">
        <v>195</v>
      </c>
    </row>
    <row r="106" spans="1:13" x14ac:dyDescent="0.25">
      <c r="A106" s="13" t="str">
        <f t="shared" si="2"/>
        <v>50714278030</v>
      </c>
      <c r="B106" s="10">
        <v>1004058759</v>
      </c>
      <c r="C106" s="10">
        <v>507142780</v>
      </c>
      <c r="D106" s="10">
        <v>30</v>
      </c>
      <c r="E106" s="10" t="s">
        <v>10</v>
      </c>
      <c r="F106" s="10">
        <v>1409883</v>
      </c>
      <c r="G106" s="10" t="s">
        <v>40</v>
      </c>
      <c r="H106" s="11">
        <v>19571</v>
      </c>
      <c r="I106" s="10">
        <v>0</v>
      </c>
      <c r="J106" s="11">
        <f t="shared" si="3"/>
        <v>19571</v>
      </c>
      <c r="K106" s="12">
        <f>VLOOKUP(A106,[4]VA05!$A:$K,11,FALSE)</f>
        <v>45594</v>
      </c>
      <c r="L106" s="10" t="s">
        <v>12</v>
      </c>
      <c r="M106" s="10" t="s">
        <v>192</v>
      </c>
    </row>
    <row r="107" spans="1:13" x14ac:dyDescent="0.25">
      <c r="A107" s="13" t="str">
        <f t="shared" si="2"/>
        <v>50714276530</v>
      </c>
      <c r="B107" s="10">
        <v>1004051408</v>
      </c>
      <c r="C107" s="10">
        <v>507142765</v>
      </c>
      <c r="D107" s="10">
        <v>30</v>
      </c>
      <c r="E107" s="10" t="s">
        <v>10</v>
      </c>
      <c r="F107" s="10">
        <v>1398384</v>
      </c>
      <c r="G107" s="10" t="s">
        <v>168</v>
      </c>
      <c r="H107" s="11">
        <v>34807</v>
      </c>
      <c r="I107" s="11">
        <v>6449</v>
      </c>
      <c r="J107" s="11">
        <f t="shared" si="3"/>
        <v>28358</v>
      </c>
      <c r="K107" s="12">
        <f>VLOOKUP(A107,[4]VA05!$A:$K,11,FALSE)</f>
        <v>45569</v>
      </c>
      <c r="L107" s="10" t="s">
        <v>11</v>
      </c>
      <c r="M107" s="10" t="s">
        <v>202</v>
      </c>
    </row>
    <row r="108" spans="1:13" x14ac:dyDescent="0.25">
      <c r="A108" s="13" t="str">
        <f t="shared" si="2"/>
        <v>50714276540</v>
      </c>
      <c r="B108" s="10">
        <v>1004052528</v>
      </c>
      <c r="C108" s="10">
        <v>507142765</v>
      </c>
      <c r="D108" s="10">
        <v>40</v>
      </c>
      <c r="E108" s="10" t="s">
        <v>10</v>
      </c>
      <c r="F108" s="10">
        <v>1398384</v>
      </c>
      <c r="G108" s="10" t="s">
        <v>168</v>
      </c>
      <c r="H108" s="11">
        <v>35078</v>
      </c>
      <c r="I108" s="10">
        <v>0</v>
      </c>
      <c r="J108" s="11">
        <f t="shared" si="3"/>
        <v>35078</v>
      </c>
      <c r="K108" s="12">
        <f>VLOOKUP(A108,[4]VA05!$A:$K,11,FALSE)</f>
        <v>45576</v>
      </c>
      <c r="L108" s="10" t="s">
        <v>12</v>
      </c>
      <c r="M108" s="10" t="s">
        <v>195</v>
      </c>
    </row>
    <row r="109" spans="1:13" x14ac:dyDescent="0.25">
      <c r="A109" s="13" t="str">
        <f t="shared" si="2"/>
        <v>50714276550</v>
      </c>
      <c r="B109" s="10">
        <v>1004052529</v>
      </c>
      <c r="C109" s="10">
        <v>507142765</v>
      </c>
      <c r="D109" s="10">
        <v>50</v>
      </c>
      <c r="E109" s="10" t="s">
        <v>10</v>
      </c>
      <c r="F109" s="10">
        <v>1398384</v>
      </c>
      <c r="G109" s="10" t="s">
        <v>168</v>
      </c>
      <c r="H109" s="11">
        <v>45412</v>
      </c>
      <c r="I109" s="10">
        <v>0</v>
      </c>
      <c r="J109" s="11">
        <f t="shared" si="3"/>
        <v>45412</v>
      </c>
      <c r="K109" s="12">
        <f>VLOOKUP(A109,[4]VA05!$A:$K,11,FALSE)</f>
        <v>45583</v>
      </c>
      <c r="L109" s="10" t="s">
        <v>12</v>
      </c>
      <c r="M109" s="10" t="s">
        <v>194</v>
      </c>
    </row>
    <row r="110" spans="1:13" x14ac:dyDescent="0.25">
      <c r="A110" s="13" t="str">
        <f t="shared" si="2"/>
        <v>50714276560</v>
      </c>
      <c r="B110" s="10">
        <v>1004052530</v>
      </c>
      <c r="C110" s="10">
        <v>507142765</v>
      </c>
      <c r="D110" s="10">
        <v>60</v>
      </c>
      <c r="E110" s="10" t="s">
        <v>10</v>
      </c>
      <c r="F110" s="10">
        <v>1398384</v>
      </c>
      <c r="G110" s="10" t="s">
        <v>168</v>
      </c>
      <c r="H110" s="11">
        <v>45412</v>
      </c>
      <c r="I110" s="10">
        <v>0</v>
      </c>
      <c r="J110" s="11">
        <f t="shared" si="3"/>
        <v>45412</v>
      </c>
      <c r="K110" s="12">
        <f>VLOOKUP(A110,[4]VA05!$A:$K,11,FALSE)</f>
        <v>45590</v>
      </c>
      <c r="L110" s="10" t="s">
        <v>12</v>
      </c>
      <c r="M110" s="10" t="s">
        <v>179</v>
      </c>
    </row>
    <row r="111" spans="1:13" x14ac:dyDescent="0.25">
      <c r="A111" s="13" t="str">
        <f t="shared" si="2"/>
        <v>50714276530</v>
      </c>
      <c r="B111" s="10">
        <v>1004052534</v>
      </c>
      <c r="C111" s="10">
        <v>507142765</v>
      </c>
      <c r="D111" s="10">
        <v>30</v>
      </c>
      <c r="E111" s="10" t="s">
        <v>10</v>
      </c>
      <c r="F111" s="10">
        <v>1398385</v>
      </c>
      <c r="G111" s="10" t="s">
        <v>183</v>
      </c>
      <c r="H111" s="11">
        <v>35852</v>
      </c>
      <c r="I111" s="11">
        <v>13672</v>
      </c>
      <c r="J111" s="11">
        <f t="shared" si="3"/>
        <v>22180</v>
      </c>
      <c r="K111" s="12">
        <f>VLOOKUP(A111,[4]VA05!$A:$K,11,FALSE)</f>
        <v>45569</v>
      </c>
      <c r="L111" s="10" t="s">
        <v>11</v>
      </c>
      <c r="M111" s="10" t="s">
        <v>179</v>
      </c>
    </row>
    <row r="112" spans="1:13" x14ac:dyDescent="0.25">
      <c r="A112" s="13" t="str">
        <f t="shared" si="2"/>
        <v>50714276540</v>
      </c>
      <c r="B112" s="10">
        <v>1004052535</v>
      </c>
      <c r="C112" s="10">
        <v>507142765</v>
      </c>
      <c r="D112" s="10">
        <v>40</v>
      </c>
      <c r="E112" s="10" t="s">
        <v>10</v>
      </c>
      <c r="F112" s="10">
        <v>1398385</v>
      </c>
      <c r="G112" s="10" t="s">
        <v>183</v>
      </c>
      <c r="H112" s="11">
        <v>36131</v>
      </c>
      <c r="I112" s="10">
        <v>0</v>
      </c>
      <c r="J112" s="11">
        <f t="shared" si="3"/>
        <v>36131</v>
      </c>
      <c r="K112" s="12">
        <f>VLOOKUP(A112,[4]VA05!$A:$K,11,FALSE)</f>
        <v>45576</v>
      </c>
      <c r="L112" s="10" t="s">
        <v>12</v>
      </c>
      <c r="M112" s="10" t="s">
        <v>180</v>
      </c>
    </row>
    <row r="113" spans="1:13" x14ac:dyDescent="0.25">
      <c r="A113" s="13" t="str">
        <f t="shared" si="2"/>
        <v>50714276550</v>
      </c>
      <c r="B113" s="10">
        <v>1004052536</v>
      </c>
      <c r="C113" s="10">
        <v>507142765</v>
      </c>
      <c r="D113" s="10">
        <v>50</v>
      </c>
      <c r="E113" s="10" t="s">
        <v>10</v>
      </c>
      <c r="F113" s="10">
        <v>1398385</v>
      </c>
      <c r="G113" s="10" t="s">
        <v>183</v>
      </c>
      <c r="H113" s="11">
        <v>46775</v>
      </c>
      <c r="I113" s="10">
        <v>0</v>
      </c>
      <c r="J113" s="11">
        <f t="shared" si="3"/>
        <v>46775</v>
      </c>
      <c r="K113" s="12">
        <f>VLOOKUP(A113,[4]VA05!$A:$K,11,FALSE)</f>
        <v>45583</v>
      </c>
      <c r="L113" s="10" t="s">
        <v>12</v>
      </c>
      <c r="M113" s="10" t="s">
        <v>201</v>
      </c>
    </row>
    <row r="114" spans="1:13" x14ac:dyDescent="0.25">
      <c r="A114" s="13" t="str">
        <f t="shared" si="2"/>
        <v>50714276560</v>
      </c>
      <c r="B114" s="10">
        <v>1004052537</v>
      </c>
      <c r="C114" s="10">
        <v>507142765</v>
      </c>
      <c r="D114" s="10">
        <v>60</v>
      </c>
      <c r="E114" s="10" t="s">
        <v>10</v>
      </c>
      <c r="F114" s="10">
        <v>1398385</v>
      </c>
      <c r="G114" s="10" t="s">
        <v>183</v>
      </c>
      <c r="H114" s="11">
        <v>46775</v>
      </c>
      <c r="I114" s="10">
        <v>0</v>
      </c>
      <c r="J114" s="11">
        <f t="shared" si="3"/>
        <v>46775</v>
      </c>
      <c r="K114" s="12">
        <f>VLOOKUP(A114,[4]VA05!$A:$K,11,FALSE)</f>
        <v>45590</v>
      </c>
      <c r="L114" s="10" t="s">
        <v>12</v>
      </c>
      <c r="M114" s="10" t="s">
        <v>178</v>
      </c>
    </row>
    <row r="115" spans="1:13" x14ac:dyDescent="0.25">
      <c r="A115" s="13" t="str">
        <f t="shared" si="2"/>
        <v>50714276530</v>
      </c>
      <c r="B115" s="10">
        <v>1004052540</v>
      </c>
      <c r="C115" s="10">
        <v>507142765</v>
      </c>
      <c r="D115" s="10">
        <v>30</v>
      </c>
      <c r="E115" s="10" t="s">
        <v>10</v>
      </c>
      <c r="F115" s="10">
        <v>1398386</v>
      </c>
      <c r="G115" s="10" t="s">
        <v>184</v>
      </c>
      <c r="H115" s="11">
        <v>31642</v>
      </c>
      <c r="I115" s="11">
        <v>15930</v>
      </c>
      <c r="J115" s="11">
        <f t="shared" si="3"/>
        <v>15712</v>
      </c>
      <c r="K115" s="12">
        <f>VLOOKUP(A115,[4]VA05!$A:$K,11,FALSE)</f>
        <v>45569</v>
      </c>
      <c r="L115" s="10" t="s">
        <v>18</v>
      </c>
      <c r="M115" s="10" t="s">
        <v>162</v>
      </c>
    </row>
    <row r="116" spans="1:13" x14ac:dyDescent="0.25">
      <c r="A116" s="13" t="str">
        <f t="shared" si="2"/>
        <v>50714276540</v>
      </c>
      <c r="B116" s="10">
        <v>1004052541</v>
      </c>
      <c r="C116" s="10">
        <v>507142765</v>
      </c>
      <c r="D116" s="10">
        <v>40</v>
      </c>
      <c r="E116" s="10" t="s">
        <v>10</v>
      </c>
      <c r="F116" s="10">
        <v>1398386</v>
      </c>
      <c r="G116" s="10" t="s">
        <v>184</v>
      </c>
      <c r="H116" s="11">
        <v>31889</v>
      </c>
      <c r="I116" s="10">
        <v>0</v>
      </c>
      <c r="J116" s="11">
        <f t="shared" si="3"/>
        <v>31889</v>
      </c>
      <c r="K116" s="12">
        <f>VLOOKUP(A116,[4]VA05!$A:$K,11,FALSE)</f>
        <v>45576</v>
      </c>
      <c r="L116" s="10" t="s">
        <v>12</v>
      </c>
      <c r="M116" s="10" t="s">
        <v>156</v>
      </c>
    </row>
    <row r="117" spans="1:13" x14ac:dyDescent="0.25">
      <c r="A117" s="13" t="str">
        <f t="shared" si="2"/>
        <v>50714276550</v>
      </c>
      <c r="B117" s="10">
        <v>1004052543</v>
      </c>
      <c r="C117" s="10">
        <v>507142765</v>
      </c>
      <c r="D117" s="10">
        <v>50</v>
      </c>
      <c r="E117" s="10" t="s">
        <v>10</v>
      </c>
      <c r="F117" s="10">
        <v>1398386</v>
      </c>
      <c r="G117" s="10" t="s">
        <v>184</v>
      </c>
      <c r="H117" s="11">
        <v>41283</v>
      </c>
      <c r="I117" s="10">
        <v>0</v>
      </c>
      <c r="J117" s="11">
        <f t="shared" si="3"/>
        <v>41283</v>
      </c>
      <c r="K117" s="12">
        <f>VLOOKUP(A117,[4]VA05!$A:$K,11,FALSE)</f>
        <v>45583</v>
      </c>
      <c r="L117" s="10" t="s">
        <v>12</v>
      </c>
      <c r="M117" s="10" t="s">
        <v>202</v>
      </c>
    </row>
    <row r="118" spans="1:13" x14ac:dyDescent="0.25">
      <c r="A118" s="13" t="str">
        <f t="shared" si="2"/>
        <v>50714276560</v>
      </c>
      <c r="B118" s="10">
        <v>1004052544</v>
      </c>
      <c r="C118" s="10">
        <v>507142765</v>
      </c>
      <c r="D118" s="10">
        <v>60</v>
      </c>
      <c r="E118" s="10" t="s">
        <v>10</v>
      </c>
      <c r="F118" s="10">
        <v>1398386</v>
      </c>
      <c r="G118" s="10" t="s">
        <v>184</v>
      </c>
      <c r="H118" s="11">
        <v>41283</v>
      </c>
      <c r="I118" s="10">
        <v>0</v>
      </c>
      <c r="J118" s="11">
        <f t="shared" si="3"/>
        <v>41283</v>
      </c>
      <c r="K118" s="12">
        <f>VLOOKUP(A118,[4]VA05!$A:$K,11,FALSE)</f>
        <v>45590</v>
      </c>
      <c r="L118" s="10" t="s">
        <v>12</v>
      </c>
      <c r="M118" s="10" t="s">
        <v>191</v>
      </c>
    </row>
    <row r="119" spans="1:13" x14ac:dyDescent="0.25">
      <c r="A119" s="13" t="str">
        <f t="shared" si="2"/>
        <v>50714276640</v>
      </c>
      <c r="B119" s="10">
        <v>1004064320</v>
      </c>
      <c r="C119" s="10">
        <v>507142766</v>
      </c>
      <c r="D119" s="10">
        <v>40</v>
      </c>
      <c r="E119" s="10" t="s">
        <v>10</v>
      </c>
      <c r="F119" s="10">
        <v>1398746</v>
      </c>
      <c r="G119" s="10" t="s">
        <v>213</v>
      </c>
      <c r="H119" s="11">
        <v>46405</v>
      </c>
      <c r="I119" s="11">
        <v>2632</v>
      </c>
      <c r="J119" s="11">
        <f t="shared" si="3"/>
        <v>43773</v>
      </c>
      <c r="K119" s="12">
        <f>VLOOKUP(A119,[4]VA05!$A:$K,11,FALSE)</f>
        <v>45604</v>
      </c>
      <c r="L119" s="10" t="s">
        <v>18</v>
      </c>
      <c r="M119" s="10" t="s">
        <v>193</v>
      </c>
    </row>
    <row r="120" spans="1:13" x14ac:dyDescent="0.25">
      <c r="A120" s="13" t="str">
        <f t="shared" si="2"/>
        <v>50714276630</v>
      </c>
      <c r="B120" s="10">
        <v>1004053435</v>
      </c>
      <c r="C120" s="10">
        <v>507142766</v>
      </c>
      <c r="D120" s="10">
        <v>30</v>
      </c>
      <c r="E120" s="10" t="s">
        <v>10</v>
      </c>
      <c r="F120" s="10">
        <v>1398747</v>
      </c>
      <c r="G120" s="10" t="s">
        <v>214</v>
      </c>
      <c r="H120" s="11">
        <v>31148</v>
      </c>
      <c r="I120" s="11">
        <v>22387</v>
      </c>
      <c r="J120" s="11">
        <f t="shared" si="3"/>
        <v>8761</v>
      </c>
      <c r="K120" s="12">
        <f>VLOOKUP(A120,[4]VA05!$A:$K,11,FALSE)</f>
        <v>45596</v>
      </c>
      <c r="L120" s="10" t="s">
        <v>18</v>
      </c>
      <c r="M120" s="10" t="s">
        <v>197</v>
      </c>
    </row>
    <row r="121" spans="1:13" x14ac:dyDescent="0.25">
      <c r="A121" s="13" t="str">
        <f t="shared" si="2"/>
        <v>50714270610</v>
      </c>
      <c r="B121" s="10">
        <v>1004052545</v>
      </c>
      <c r="C121" s="10">
        <v>507142706</v>
      </c>
      <c r="D121" s="10">
        <v>10</v>
      </c>
      <c r="E121" s="10" t="s">
        <v>10</v>
      </c>
      <c r="F121" s="10">
        <v>1152845</v>
      </c>
      <c r="G121" s="10" t="s">
        <v>185</v>
      </c>
      <c r="H121" s="11">
        <v>10262</v>
      </c>
      <c r="I121" s="11">
        <v>5000</v>
      </c>
      <c r="J121" s="11">
        <f t="shared" si="3"/>
        <v>5262</v>
      </c>
      <c r="K121" s="12">
        <f>VLOOKUP(A121,[4]VA05!$A:$K,11,FALSE)</f>
        <v>45567</v>
      </c>
      <c r="L121" s="10" t="s">
        <v>11</v>
      </c>
      <c r="M121" s="10" t="s">
        <v>195</v>
      </c>
    </row>
    <row r="122" spans="1:13" x14ac:dyDescent="0.25">
      <c r="A122" s="13" t="str">
        <f t="shared" si="2"/>
        <v>50714283610</v>
      </c>
      <c r="B122" s="10">
        <v>1004058753</v>
      </c>
      <c r="C122" s="10">
        <v>507142836</v>
      </c>
      <c r="D122" s="10">
        <v>10</v>
      </c>
      <c r="E122" s="10" t="s">
        <v>10</v>
      </c>
      <c r="F122" s="10">
        <v>1152845</v>
      </c>
      <c r="G122" s="10" t="s">
        <v>185</v>
      </c>
      <c r="H122" s="11">
        <v>25821</v>
      </c>
      <c r="I122" s="10">
        <v>0</v>
      </c>
      <c r="J122" s="11">
        <f t="shared" si="3"/>
        <v>25821</v>
      </c>
      <c r="K122" s="12">
        <f>VLOOKUP(A122,[4]VA05!$A:$K,11,FALSE)</f>
        <v>45588</v>
      </c>
      <c r="L122" s="10" t="s">
        <v>119</v>
      </c>
      <c r="M122" s="10" t="s">
        <v>216</v>
      </c>
    </row>
    <row r="123" spans="1:13" x14ac:dyDescent="0.25">
      <c r="A123" s="13" t="str">
        <f t="shared" si="2"/>
        <v>50714283610</v>
      </c>
      <c r="B123" s="10">
        <v>1004061401</v>
      </c>
      <c r="C123" s="10">
        <v>507142836</v>
      </c>
      <c r="D123" s="10">
        <v>10</v>
      </c>
      <c r="E123" s="10" t="s">
        <v>10</v>
      </c>
      <c r="F123" s="10">
        <v>1206292</v>
      </c>
      <c r="G123" s="10" t="s">
        <v>257</v>
      </c>
      <c r="H123" s="11">
        <v>29436</v>
      </c>
      <c r="I123" s="10">
        <v>0</v>
      </c>
      <c r="J123" s="11">
        <f t="shared" si="3"/>
        <v>29436</v>
      </c>
      <c r="K123" s="12">
        <f>VLOOKUP(A123,[4]VA05!$A:$K,11,FALSE)</f>
        <v>45588</v>
      </c>
      <c r="L123" s="10" t="s">
        <v>12</v>
      </c>
      <c r="M123" s="10" t="s">
        <v>157</v>
      </c>
    </row>
    <row r="124" spans="1:13" x14ac:dyDescent="0.25">
      <c r="A124" s="13" t="str">
        <f t="shared" si="2"/>
        <v>50714271310</v>
      </c>
      <c r="B124" s="10">
        <v>1004052555</v>
      </c>
      <c r="C124" s="10">
        <v>507142713</v>
      </c>
      <c r="D124" s="10">
        <v>10</v>
      </c>
      <c r="E124" s="10" t="s">
        <v>10</v>
      </c>
      <c r="F124" s="10">
        <v>1172472</v>
      </c>
      <c r="G124" s="10" t="s">
        <v>86</v>
      </c>
      <c r="H124" s="11">
        <v>10524</v>
      </c>
      <c r="I124" s="10">
        <v>246</v>
      </c>
      <c r="J124" s="11">
        <f t="shared" si="3"/>
        <v>10278</v>
      </c>
      <c r="K124" s="12">
        <f>VLOOKUP(A124,[4]VA05!$A:$K,11,FALSE)</f>
        <v>45591</v>
      </c>
      <c r="L124" s="10" t="s">
        <v>18</v>
      </c>
      <c r="M124" s="10" t="s">
        <v>203</v>
      </c>
    </row>
    <row r="125" spans="1:13" x14ac:dyDescent="0.25">
      <c r="A125" s="13" t="str">
        <f t="shared" si="2"/>
        <v>50714271340</v>
      </c>
      <c r="B125" s="10">
        <v>1004052556</v>
      </c>
      <c r="C125" s="10">
        <v>507142713</v>
      </c>
      <c r="D125" s="10">
        <v>40</v>
      </c>
      <c r="E125" s="10" t="s">
        <v>10</v>
      </c>
      <c r="F125" s="10">
        <v>1172472</v>
      </c>
      <c r="G125" s="10" t="s">
        <v>86</v>
      </c>
      <c r="H125" s="11">
        <v>10524</v>
      </c>
      <c r="I125" s="10">
        <v>0</v>
      </c>
      <c r="J125" s="11">
        <f t="shared" si="3"/>
        <v>10524</v>
      </c>
      <c r="K125" s="12">
        <f>VLOOKUP(A125,[4]VA05!$A:$K,11,FALSE)</f>
        <v>45591</v>
      </c>
      <c r="L125" s="10" t="s">
        <v>12</v>
      </c>
      <c r="M125" s="10" t="s">
        <v>203</v>
      </c>
    </row>
    <row r="126" spans="1:13" hidden="1" x14ac:dyDescent="0.25">
      <c r="A126" s="13" t="str">
        <f t="shared" si="2"/>
        <v>50714241640</v>
      </c>
      <c r="B126" s="10">
        <v>1004035739</v>
      </c>
      <c r="C126" s="10">
        <v>507142416</v>
      </c>
      <c r="D126" s="10">
        <v>40</v>
      </c>
      <c r="E126" s="10" t="s">
        <v>10</v>
      </c>
      <c r="F126" s="10">
        <v>1171177</v>
      </c>
      <c r="G126" s="10" t="s">
        <v>88</v>
      </c>
      <c r="H126" s="11">
        <v>10170</v>
      </c>
      <c r="I126" s="10">
        <v>0</v>
      </c>
      <c r="J126" s="11">
        <f t="shared" si="3"/>
        <v>10170</v>
      </c>
      <c r="K126" s="12">
        <f>VLOOKUP(A126,[4]VA05!$A:$K,11,FALSE)</f>
        <v>45573</v>
      </c>
      <c r="L126" s="10" t="s">
        <v>260</v>
      </c>
      <c r="M126" s="10" t="s">
        <v>109</v>
      </c>
    </row>
    <row r="127" spans="1:13" x14ac:dyDescent="0.25">
      <c r="A127" s="13" t="str">
        <f t="shared" si="2"/>
        <v>507142416100</v>
      </c>
      <c r="B127" s="10">
        <v>1004052560</v>
      </c>
      <c r="C127" s="10">
        <v>507142416</v>
      </c>
      <c r="D127" s="10">
        <v>100</v>
      </c>
      <c r="E127" s="10" t="s">
        <v>10</v>
      </c>
      <c r="F127" s="10">
        <v>1171177</v>
      </c>
      <c r="G127" s="10" t="s">
        <v>88</v>
      </c>
      <c r="H127" s="11">
        <v>10170</v>
      </c>
      <c r="I127" s="11">
        <v>10886</v>
      </c>
      <c r="J127" s="11">
        <f t="shared" si="3"/>
        <v>-716</v>
      </c>
      <c r="K127" s="12">
        <f>VLOOKUP(A127,[4]VA05!$A:$K,11,FALSE)</f>
        <v>45580</v>
      </c>
      <c r="L127" s="10" t="s">
        <v>28</v>
      </c>
      <c r="M127" s="10" t="s">
        <v>179</v>
      </c>
    </row>
    <row r="128" spans="1:13" x14ac:dyDescent="0.25">
      <c r="A128" s="13" t="str">
        <f t="shared" si="2"/>
        <v>507142416190</v>
      </c>
      <c r="B128" s="10">
        <v>1004052561</v>
      </c>
      <c r="C128" s="10">
        <v>507142416</v>
      </c>
      <c r="D128" s="10">
        <v>190</v>
      </c>
      <c r="E128" s="10" t="s">
        <v>10</v>
      </c>
      <c r="F128" s="10">
        <v>1171177</v>
      </c>
      <c r="G128" s="10" t="s">
        <v>88</v>
      </c>
      <c r="H128" s="11">
        <v>10170</v>
      </c>
      <c r="I128" s="10">
        <v>0</v>
      </c>
      <c r="J128" s="11">
        <f t="shared" si="3"/>
        <v>10170</v>
      </c>
      <c r="K128" s="12">
        <f>VLOOKUP(A128,[4]VA05!$A:$K,11,FALSE)</f>
        <v>45583</v>
      </c>
      <c r="L128" s="10" t="s">
        <v>56</v>
      </c>
      <c r="M128" s="10" t="s">
        <v>177</v>
      </c>
    </row>
    <row r="129" spans="1:13" x14ac:dyDescent="0.25">
      <c r="A129" s="13" t="str">
        <f t="shared" si="2"/>
        <v>507142416220</v>
      </c>
      <c r="B129" s="10">
        <v>1004052563</v>
      </c>
      <c r="C129" s="10">
        <v>507142416</v>
      </c>
      <c r="D129" s="10">
        <v>220</v>
      </c>
      <c r="E129" s="10" t="s">
        <v>10</v>
      </c>
      <c r="F129" s="10">
        <v>1171177</v>
      </c>
      <c r="G129" s="10" t="s">
        <v>88</v>
      </c>
      <c r="H129" s="11">
        <v>10170</v>
      </c>
      <c r="I129" s="10">
        <v>0</v>
      </c>
      <c r="J129" s="11">
        <f t="shared" si="3"/>
        <v>10170</v>
      </c>
      <c r="K129" s="12">
        <f>VLOOKUP(A129,[4]VA05!$A:$K,11,FALSE)</f>
        <v>45587</v>
      </c>
      <c r="L129" s="10" t="s">
        <v>12</v>
      </c>
      <c r="M129" s="10" t="s">
        <v>109</v>
      </c>
    </row>
    <row r="130" spans="1:13" x14ac:dyDescent="0.25">
      <c r="A130" s="13" t="str">
        <f t="shared" si="2"/>
        <v>50714271320</v>
      </c>
      <c r="B130" s="10">
        <v>1004052564</v>
      </c>
      <c r="C130" s="10">
        <v>507142713</v>
      </c>
      <c r="D130" s="10">
        <v>20</v>
      </c>
      <c r="E130" s="10" t="s">
        <v>10</v>
      </c>
      <c r="F130" s="10">
        <v>1171177</v>
      </c>
      <c r="G130" s="10" t="s">
        <v>88</v>
      </c>
      <c r="H130" s="11">
        <v>10170</v>
      </c>
      <c r="I130" s="10">
        <v>0</v>
      </c>
      <c r="J130" s="11">
        <f t="shared" si="3"/>
        <v>10170</v>
      </c>
      <c r="K130" s="12">
        <f>VLOOKUP(A130,[4]VA05!$A:$K,11,FALSE)</f>
        <v>45591</v>
      </c>
      <c r="L130" s="10" t="s">
        <v>12</v>
      </c>
      <c r="M130" s="10" t="s">
        <v>204</v>
      </c>
    </row>
    <row r="131" spans="1:13" x14ac:dyDescent="0.25">
      <c r="A131" s="13" t="str">
        <f t="shared" si="2"/>
        <v>50714271350</v>
      </c>
      <c r="B131" s="10">
        <v>1004052565</v>
      </c>
      <c r="C131" s="10">
        <v>507142713</v>
      </c>
      <c r="D131" s="10">
        <v>50</v>
      </c>
      <c r="E131" s="10" t="s">
        <v>10</v>
      </c>
      <c r="F131" s="10">
        <v>1171177</v>
      </c>
      <c r="G131" s="10" t="s">
        <v>88</v>
      </c>
      <c r="H131" s="11">
        <v>10170</v>
      </c>
      <c r="I131" s="10">
        <v>0</v>
      </c>
      <c r="J131" s="11">
        <f t="shared" si="3"/>
        <v>10170</v>
      </c>
      <c r="K131" s="12">
        <f>VLOOKUP(A131,[4]VA05!$A:$K,11,FALSE)</f>
        <v>45591</v>
      </c>
      <c r="L131" s="10" t="s">
        <v>12</v>
      </c>
      <c r="M131" s="10" t="s">
        <v>204</v>
      </c>
    </row>
    <row r="132" spans="1:13" x14ac:dyDescent="0.25">
      <c r="A132" s="13" t="str">
        <f t="shared" ref="A132:A195" si="4">C132&amp;D132</f>
        <v>50714271320</v>
      </c>
      <c r="B132" s="10">
        <v>1004052612</v>
      </c>
      <c r="C132" s="10">
        <v>507142713</v>
      </c>
      <c r="D132" s="10">
        <v>20</v>
      </c>
      <c r="E132" s="10" t="s">
        <v>10</v>
      </c>
      <c r="F132" s="10">
        <v>1171178</v>
      </c>
      <c r="G132" s="10" t="s">
        <v>87</v>
      </c>
      <c r="H132" s="11">
        <v>10170</v>
      </c>
      <c r="I132" s="11">
        <v>5390</v>
      </c>
      <c r="J132" s="11">
        <f t="shared" ref="J132:J195" si="5">H132-I132</f>
        <v>4780</v>
      </c>
      <c r="K132" s="12">
        <f>VLOOKUP(A132,[4]VA05!$A:$K,11,FALSE)</f>
        <v>45591</v>
      </c>
      <c r="L132" s="10" t="s">
        <v>18</v>
      </c>
      <c r="M132" s="10" t="s">
        <v>204</v>
      </c>
    </row>
    <row r="133" spans="1:13" x14ac:dyDescent="0.25">
      <c r="A133" s="13" t="str">
        <f t="shared" si="4"/>
        <v>50714271350</v>
      </c>
      <c r="B133" s="10">
        <v>1004052613</v>
      </c>
      <c r="C133" s="10">
        <v>507142713</v>
      </c>
      <c r="D133" s="10">
        <v>50</v>
      </c>
      <c r="E133" s="10" t="s">
        <v>10</v>
      </c>
      <c r="F133" s="10">
        <v>1171178</v>
      </c>
      <c r="G133" s="10" t="s">
        <v>87</v>
      </c>
      <c r="H133" s="11">
        <v>10170</v>
      </c>
      <c r="I133" s="10">
        <v>0</v>
      </c>
      <c r="J133" s="11">
        <f t="shared" si="5"/>
        <v>10170</v>
      </c>
      <c r="K133" s="12">
        <f>VLOOKUP(A133,[4]VA05!$A:$K,11,FALSE)</f>
        <v>45591</v>
      </c>
      <c r="L133" s="10" t="s">
        <v>12</v>
      </c>
      <c r="M133" s="10" t="s">
        <v>204</v>
      </c>
    </row>
    <row r="134" spans="1:13" x14ac:dyDescent="0.25">
      <c r="A134" s="13" t="str">
        <f t="shared" si="4"/>
        <v>50714262630</v>
      </c>
      <c r="B134" s="10">
        <v>1004052617</v>
      </c>
      <c r="C134" s="10">
        <v>507142626</v>
      </c>
      <c r="D134" s="10">
        <v>30</v>
      </c>
      <c r="E134" s="10" t="s">
        <v>10</v>
      </c>
      <c r="F134" s="10">
        <v>1172030</v>
      </c>
      <c r="G134" s="10" t="s">
        <v>112</v>
      </c>
      <c r="H134" s="11">
        <v>29055</v>
      </c>
      <c r="I134" s="10">
        <v>0</v>
      </c>
      <c r="J134" s="11">
        <f t="shared" si="5"/>
        <v>29055</v>
      </c>
      <c r="K134" s="12">
        <f>VLOOKUP(A134,[4]VA05!$A:$K,11,FALSE)</f>
        <v>45590</v>
      </c>
      <c r="L134" s="10" t="s">
        <v>12</v>
      </c>
      <c r="M134" s="10" t="s">
        <v>154</v>
      </c>
    </row>
    <row r="135" spans="1:13" x14ac:dyDescent="0.25">
      <c r="A135" s="13" t="str">
        <f t="shared" si="4"/>
        <v>50714226520</v>
      </c>
      <c r="B135" s="10">
        <v>1004058766</v>
      </c>
      <c r="C135" s="10">
        <v>507142265</v>
      </c>
      <c r="D135" s="10">
        <v>20</v>
      </c>
      <c r="E135" s="10" t="s">
        <v>10</v>
      </c>
      <c r="F135" s="10">
        <v>1172347</v>
      </c>
      <c r="G135" s="10" t="s">
        <v>237</v>
      </c>
      <c r="H135" s="11">
        <v>40524</v>
      </c>
      <c r="I135" s="11">
        <v>37142</v>
      </c>
      <c r="J135" s="11">
        <f t="shared" si="5"/>
        <v>3382</v>
      </c>
      <c r="K135" s="12">
        <f>VLOOKUP(A135,[4]VA05!$A:$K,11,FALSE)</f>
        <v>45576</v>
      </c>
      <c r="L135" s="10" t="s">
        <v>11</v>
      </c>
      <c r="M135" s="10" t="s">
        <v>202</v>
      </c>
    </row>
    <row r="136" spans="1:13" x14ac:dyDescent="0.25">
      <c r="A136" s="13" t="str">
        <f t="shared" si="4"/>
        <v>50714270920</v>
      </c>
      <c r="B136" s="10">
        <v>1004061878</v>
      </c>
      <c r="C136" s="10">
        <v>507142709</v>
      </c>
      <c r="D136" s="10">
        <v>20</v>
      </c>
      <c r="E136" s="10" t="s">
        <v>10</v>
      </c>
      <c r="F136" s="10">
        <v>1172347</v>
      </c>
      <c r="G136" s="10" t="s">
        <v>237</v>
      </c>
      <c r="H136" s="11">
        <v>30393</v>
      </c>
      <c r="I136" s="10">
        <v>0</v>
      </c>
      <c r="J136" s="11">
        <f t="shared" si="5"/>
        <v>30393</v>
      </c>
      <c r="K136" s="12">
        <f>VLOOKUP(A136,[4]VA05!$A:$K,11,FALSE)</f>
        <v>45583</v>
      </c>
      <c r="L136" s="10" t="s">
        <v>13</v>
      </c>
      <c r="M136" s="10" t="s">
        <v>162</v>
      </c>
    </row>
    <row r="137" spans="1:13" x14ac:dyDescent="0.25">
      <c r="A137" s="13" t="str">
        <f t="shared" si="4"/>
        <v>50714271020</v>
      </c>
      <c r="B137" s="10">
        <v>1004061879</v>
      </c>
      <c r="C137" s="10">
        <v>507142710</v>
      </c>
      <c r="D137" s="10">
        <v>20</v>
      </c>
      <c r="E137" s="10" t="s">
        <v>10</v>
      </c>
      <c r="F137" s="10">
        <v>1172347</v>
      </c>
      <c r="G137" s="10" t="s">
        <v>237</v>
      </c>
      <c r="H137" s="11">
        <v>30393</v>
      </c>
      <c r="I137" s="10">
        <v>0</v>
      </c>
      <c r="J137" s="11">
        <f t="shared" si="5"/>
        <v>30393</v>
      </c>
      <c r="K137" s="12">
        <f>VLOOKUP(A137,[4]VA05!$A:$K,11,FALSE)</f>
        <v>45596</v>
      </c>
      <c r="L137" s="10" t="s">
        <v>12</v>
      </c>
      <c r="M137" s="10" t="s">
        <v>199</v>
      </c>
    </row>
    <row r="138" spans="1:13" hidden="1" x14ac:dyDescent="0.25">
      <c r="A138" s="13" t="str">
        <f t="shared" si="4"/>
        <v>50714170530</v>
      </c>
      <c r="B138" s="10">
        <v>1003946987</v>
      </c>
      <c r="C138" s="10">
        <v>507141705</v>
      </c>
      <c r="D138" s="10">
        <v>30</v>
      </c>
      <c r="E138" s="10" t="s">
        <v>10</v>
      </c>
      <c r="F138" s="10">
        <v>1167579</v>
      </c>
      <c r="G138" s="10" t="s">
        <v>19</v>
      </c>
      <c r="H138" s="11">
        <v>10195</v>
      </c>
      <c r="I138" s="10">
        <v>0</v>
      </c>
      <c r="J138" s="11">
        <f t="shared" si="5"/>
        <v>10195</v>
      </c>
      <c r="K138" s="12" t="e">
        <f>VLOOKUP(A138,[4]VA05!$A:$K,11,FALSE)</f>
        <v>#N/A</v>
      </c>
      <c r="L138" s="10" t="s">
        <v>260</v>
      </c>
      <c r="M138" s="10" t="s">
        <v>270</v>
      </c>
    </row>
    <row r="139" spans="1:13" x14ac:dyDescent="0.25">
      <c r="A139" s="13" t="str">
        <f t="shared" si="4"/>
        <v>50714276920</v>
      </c>
      <c r="B139" s="10">
        <v>1004054833</v>
      </c>
      <c r="C139" s="10">
        <v>507142769</v>
      </c>
      <c r="D139" s="10">
        <v>20</v>
      </c>
      <c r="E139" s="10" t="s">
        <v>10</v>
      </c>
      <c r="F139" s="10">
        <v>1173995</v>
      </c>
      <c r="G139" s="10" t="s">
        <v>20</v>
      </c>
      <c r="H139" s="11">
        <v>34793</v>
      </c>
      <c r="I139" s="11">
        <v>31820</v>
      </c>
      <c r="J139" s="11">
        <f t="shared" si="5"/>
        <v>2973</v>
      </c>
      <c r="K139" s="12">
        <f>VLOOKUP(A139,[4]VA05!$A:$K,11,FALSE)</f>
        <v>45575</v>
      </c>
      <c r="L139" s="10" t="s">
        <v>18</v>
      </c>
      <c r="M139" s="10" t="s">
        <v>201</v>
      </c>
    </row>
    <row r="140" spans="1:13" x14ac:dyDescent="0.25">
      <c r="A140" s="13" t="str">
        <f t="shared" si="4"/>
        <v>50714283520</v>
      </c>
      <c r="B140" s="10">
        <v>1004064323</v>
      </c>
      <c r="C140" s="10">
        <v>507142835</v>
      </c>
      <c r="D140" s="10">
        <v>20</v>
      </c>
      <c r="E140" s="10" t="s">
        <v>10</v>
      </c>
      <c r="F140" s="10">
        <v>1173995</v>
      </c>
      <c r="G140" s="10" t="s">
        <v>20</v>
      </c>
      <c r="H140" s="11">
        <v>11654</v>
      </c>
      <c r="I140" s="10">
        <v>0</v>
      </c>
      <c r="J140" s="11">
        <f t="shared" si="5"/>
        <v>11654</v>
      </c>
      <c r="K140" s="12">
        <f>VLOOKUP(A140,[4]VA05!$A:$K,11,FALSE)</f>
        <v>45587</v>
      </c>
      <c r="L140" s="10" t="s">
        <v>13</v>
      </c>
      <c r="M140" s="10" t="s">
        <v>179</v>
      </c>
    </row>
    <row r="141" spans="1:13" x14ac:dyDescent="0.25">
      <c r="A141" s="13" t="str">
        <f t="shared" si="4"/>
        <v>50714262610</v>
      </c>
      <c r="B141" s="10">
        <v>1004050514</v>
      </c>
      <c r="C141" s="10">
        <v>507142626</v>
      </c>
      <c r="D141" s="10">
        <v>10</v>
      </c>
      <c r="E141" s="10" t="s">
        <v>10</v>
      </c>
      <c r="F141" s="10">
        <v>1212641</v>
      </c>
      <c r="G141" s="10" t="s">
        <v>99</v>
      </c>
      <c r="H141" s="11">
        <v>25858</v>
      </c>
      <c r="I141" s="10">
        <v>0</v>
      </c>
      <c r="J141" s="11">
        <f t="shared" si="5"/>
        <v>25858</v>
      </c>
      <c r="K141" s="12">
        <f>VLOOKUP(A141,[4]VA05!$A:$K,11,FALSE)</f>
        <v>45590</v>
      </c>
      <c r="L141" s="10" t="s">
        <v>29</v>
      </c>
      <c r="M141" s="10" t="s">
        <v>202</v>
      </c>
    </row>
    <row r="142" spans="1:13" hidden="1" x14ac:dyDescent="0.25">
      <c r="A142" s="13" t="str">
        <f t="shared" si="4"/>
        <v>50714201220</v>
      </c>
      <c r="B142" s="10">
        <v>1003980075</v>
      </c>
      <c r="C142" s="10">
        <v>507142012</v>
      </c>
      <c r="D142" s="10">
        <v>20</v>
      </c>
      <c r="E142" s="10" t="s">
        <v>24</v>
      </c>
      <c r="F142" s="10">
        <v>1171484</v>
      </c>
      <c r="G142" s="10" t="s">
        <v>271</v>
      </c>
      <c r="H142" s="11">
        <v>4000</v>
      </c>
      <c r="I142" s="10">
        <v>0</v>
      </c>
      <c r="J142" s="11">
        <f t="shared" si="5"/>
        <v>4000</v>
      </c>
      <c r="K142" s="12" t="e">
        <f>VLOOKUP(A142,[4]VA05!$A:$K,11,FALSE)</f>
        <v>#N/A</v>
      </c>
      <c r="L142" s="10" t="s">
        <v>260</v>
      </c>
      <c r="M142" s="10" t="s">
        <v>272</v>
      </c>
    </row>
    <row r="143" spans="1:13" x14ac:dyDescent="0.25">
      <c r="A143" s="13" t="str">
        <f t="shared" si="4"/>
        <v>50714271010</v>
      </c>
      <c r="B143" s="10">
        <v>1004058763</v>
      </c>
      <c r="C143" s="10">
        <v>507142710</v>
      </c>
      <c r="D143" s="10">
        <v>10</v>
      </c>
      <c r="E143" s="10" t="s">
        <v>10</v>
      </c>
      <c r="F143" s="10">
        <v>1172346</v>
      </c>
      <c r="G143" s="10" t="s">
        <v>158</v>
      </c>
      <c r="H143" s="11">
        <v>34782</v>
      </c>
      <c r="I143" s="11">
        <v>3861</v>
      </c>
      <c r="J143" s="11">
        <f t="shared" si="5"/>
        <v>30921</v>
      </c>
      <c r="K143" s="12">
        <f>VLOOKUP(A143,[4]VA05!$A:$K,11,FALSE)</f>
        <v>45596</v>
      </c>
      <c r="L143" s="10" t="s">
        <v>18</v>
      </c>
      <c r="M143" s="10" t="s">
        <v>176</v>
      </c>
    </row>
    <row r="144" spans="1:13" x14ac:dyDescent="0.25">
      <c r="A144" s="13" t="str">
        <f t="shared" si="4"/>
        <v>50714276710</v>
      </c>
      <c r="B144" s="10">
        <v>1004064314</v>
      </c>
      <c r="C144" s="10">
        <v>507142767</v>
      </c>
      <c r="D144" s="10">
        <v>10</v>
      </c>
      <c r="E144" s="10" t="s">
        <v>10</v>
      </c>
      <c r="F144" s="10">
        <v>1291781</v>
      </c>
      <c r="G144" s="10" t="s">
        <v>303</v>
      </c>
      <c r="H144" s="11">
        <v>25563</v>
      </c>
      <c r="I144" s="10">
        <v>0</v>
      </c>
      <c r="J144" s="11">
        <f t="shared" si="5"/>
        <v>25563</v>
      </c>
      <c r="K144" s="12">
        <f>VLOOKUP(A144,[4]VA05!$A:$K,11,FALSE)</f>
        <v>45610</v>
      </c>
      <c r="L144" s="10" t="s">
        <v>12</v>
      </c>
      <c r="M144" s="10" t="s">
        <v>304</v>
      </c>
    </row>
    <row r="145" spans="1:13" x14ac:dyDescent="0.25">
      <c r="A145" s="13" t="str">
        <f t="shared" si="4"/>
        <v>50714276710</v>
      </c>
      <c r="B145" s="10">
        <v>1004064315</v>
      </c>
      <c r="C145" s="10">
        <v>507142767</v>
      </c>
      <c r="D145" s="10">
        <v>10</v>
      </c>
      <c r="E145" s="10" t="s">
        <v>10</v>
      </c>
      <c r="F145" s="10">
        <v>1222168</v>
      </c>
      <c r="G145" s="10" t="s">
        <v>305</v>
      </c>
      <c r="H145" s="11">
        <v>25563</v>
      </c>
      <c r="I145" s="10">
        <v>0</v>
      </c>
      <c r="J145" s="11">
        <f t="shared" si="5"/>
        <v>25563</v>
      </c>
      <c r="K145" s="12">
        <f>VLOOKUP(A145,[4]VA05!$A:$K,11,FALSE)</f>
        <v>45610</v>
      </c>
      <c r="L145" s="10" t="s">
        <v>12</v>
      </c>
      <c r="M145" s="10" t="s">
        <v>306</v>
      </c>
    </row>
    <row r="146" spans="1:13" x14ac:dyDescent="0.25">
      <c r="A146" s="13" t="str">
        <f t="shared" si="4"/>
        <v>50714239710</v>
      </c>
      <c r="B146" s="10">
        <v>1004054834</v>
      </c>
      <c r="C146" s="10">
        <v>507142397</v>
      </c>
      <c r="D146" s="10">
        <v>10</v>
      </c>
      <c r="E146" s="10" t="s">
        <v>10</v>
      </c>
      <c r="F146" s="10">
        <v>1195537</v>
      </c>
      <c r="G146" s="10" t="s">
        <v>220</v>
      </c>
      <c r="H146" s="11">
        <v>62346</v>
      </c>
      <c r="I146" s="11">
        <v>21880</v>
      </c>
      <c r="J146" s="11">
        <f t="shared" si="5"/>
        <v>40466</v>
      </c>
      <c r="K146" s="12">
        <f>VLOOKUP(A146,[4]VA05!$A:$K,11,FALSE)</f>
        <v>45579</v>
      </c>
      <c r="L146" s="10" t="s">
        <v>11</v>
      </c>
      <c r="M146" s="10" t="s">
        <v>162</v>
      </c>
    </row>
    <row r="147" spans="1:13" x14ac:dyDescent="0.25">
      <c r="A147" s="13" t="str">
        <f t="shared" si="4"/>
        <v>50714247910</v>
      </c>
      <c r="B147" s="10">
        <v>1004054835</v>
      </c>
      <c r="C147" s="10">
        <v>507142479</v>
      </c>
      <c r="D147" s="10">
        <v>10</v>
      </c>
      <c r="E147" s="10" t="s">
        <v>10</v>
      </c>
      <c r="F147" s="10">
        <v>1195537</v>
      </c>
      <c r="G147" s="10" t="s">
        <v>220</v>
      </c>
      <c r="H147" s="11">
        <v>52994</v>
      </c>
      <c r="I147" s="10">
        <v>0</v>
      </c>
      <c r="J147" s="11">
        <f t="shared" si="5"/>
        <v>52994</v>
      </c>
      <c r="K147" s="12">
        <f>VLOOKUP(A147,[4]VA05!$A:$K,11,FALSE)</f>
        <v>45587</v>
      </c>
      <c r="L147" s="10" t="s">
        <v>13</v>
      </c>
      <c r="M147" s="10" t="s">
        <v>157</v>
      </c>
    </row>
    <row r="148" spans="1:13" x14ac:dyDescent="0.25">
      <c r="A148" s="13" t="str">
        <f t="shared" si="4"/>
        <v>50714248010</v>
      </c>
      <c r="B148" s="10">
        <v>1004052386</v>
      </c>
      <c r="C148" s="10">
        <v>507142480</v>
      </c>
      <c r="D148" s="10">
        <v>10</v>
      </c>
      <c r="E148" s="10" t="s">
        <v>10</v>
      </c>
      <c r="F148" s="10">
        <v>1191883</v>
      </c>
      <c r="G148" s="10" t="s">
        <v>125</v>
      </c>
      <c r="H148" s="11">
        <v>57584</v>
      </c>
      <c r="I148" s="11">
        <v>42089</v>
      </c>
      <c r="J148" s="11">
        <f t="shared" si="5"/>
        <v>15495</v>
      </c>
      <c r="K148" s="12">
        <f>VLOOKUP(A148,[4]VA05!$A:$K,11,FALSE)</f>
        <v>45587</v>
      </c>
      <c r="L148" s="10" t="s">
        <v>18</v>
      </c>
      <c r="M148" s="10" t="s">
        <v>195</v>
      </c>
    </row>
    <row r="149" spans="1:13" hidden="1" x14ac:dyDescent="0.25">
      <c r="A149" s="13" t="str">
        <f t="shared" si="4"/>
        <v>50714248010</v>
      </c>
      <c r="B149" s="10">
        <v>1004064514</v>
      </c>
      <c r="C149" s="10">
        <v>507142480</v>
      </c>
      <c r="D149" s="10">
        <v>10</v>
      </c>
      <c r="E149" s="10" t="s">
        <v>24</v>
      </c>
      <c r="F149" s="10">
        <v>1191883</v>
      </c>
      <c r="G149" s="10" t="s">
        <v>125</v>
      </c>
      <c r="H149" s="11">
        <v>10000</v>
      </c>
      <c r="I149" s="10">
        <v>0</v>
      </c>
      <c r="J149" s="11">
        <f t="shared" si="5"/>
        <v>10000</v>
      </c>
      <c r="K149" s="12">
        <f>VLOOKUP(A149,[4]VA05!$A:$K,11,FALSE)</f>
        <v>45587</v>
      </c>
      <c r="L149" s="10" t="s">
        <v>13</v>
      </c>
      <c r="M149" s="10" t="s">
        <v>179</v>
      </c>
    </row>
    <row r="150" spans="1:13" x14ac:dyDescent="0.25">
      <c r="A150" s="13" t="str">
        <f t="shared" si="4"/>
        <v>50714248010</v>
      </c>
      <c r="B150" s="10">
        <v>1004042840</v>
      </c>
      <c r="C150" s="10">
        <v>507142480</v>
      </c>
      <c r="D150" s="10">
        <v>10</v>
      </c>
      <c r="E150" s="10" t="s">
        <v>10</v>
      </c>
      <c r="F150" s="10">
        <v>1191882</v>
      </c>
      <c r="G150" s="10" t="s">
        <v>137</v>
      </c>
      <c r="H150" s="11">
        <v>51677</v>
      </c>
      <c r="I150" s="11">
        <v>43905</v>
      </c>
      <c r="J150" s="11">
        <f t="shared" si="5"/>
        <v>7772</v>
      </c>
      <c r="K150" s="12">
        <f>VLOOKUP(A150,[4]VA05!$A:$K,11,FALSE)</f>
        <v>45587</v>
      </c>
      <c r="L150" s="10" t="s">
        <v>11</v>
      </c>
      <c r="M150" s="10" t="s">
        <v>178</v>
      </c>
    </row>
    <row r="151" spans="1:13" hidden="1" x14ac:dyDescent="0.25">
      <c r="A151" s="13" t="str">
        <f t="shared" si="4"/>
        <v>50714223250</v>
      </c>
      <c r="B151" s="10">
        <v>1004029422</v>
      </c>
      <c r="C151" s="10">
        <v>507142232</v>
      </c>
      <c r="D151" s="10">
        <v>50</v>
      </c>
      <c r="E151" s="10" t="s">
        <v>24</v>
      </c>
      <c r="F151" s="10">
        <v>1317217</v>
      </c>
      <c r="G151" s="10" t="s">
        <v>273</v>
      </c>
      <c r="H151" s="11">
        <v>12500</v>
      </c>
      <c r="I151" s="10">
        <v>0</v>
      </c>
      <c r="J151" s="11">
        <f t="shared" si="5"/>
        <v>12500</v>
      </c>
      <c r="K151" s="12" t="e">
        <f>VLOOKUP(A151,[4]VA05!$A:$K,11,FALSE)</f>
        <v>#N/A</v>
      </c>
      <c r="L151" s="10" t="s">
        <v>260</v>
      </c>
      <c r="M151" s="10" t="s">
        <v>274</v>
      </c>
    </row>
    <row r="152" spans="1:13" hidden="1" x14ac:dyDescent="0.25">
      <c r="A152" s="13" t="str">
        <f t="shared" si="4"/>
        <v>50714278320</v>
      </c>
      <c r="B152" s="10">
        <v>1004056039</v>
      </c>
      <c r="C152" s="10">
        <v>507142783</v>
      </c>
      <c r="D152" s="10">
        <v>20</v>
      </c>
      <c r="E152" s="10" t="s">
        <v>10</v>
      </c>
      <c r="F152" s="10">
        <v>1161035</v>
      </c>
      <c r="G152" s="10" t="s">
        <v>222</v>
      </c>
      <c r="H152" s="11">
        <v>25747</v>
      </c>
      <c r="I152" s="10">
        <v>0</v>
      </c>
      <c r="J152" s="11">
        <f t="shared" si="5"/>
        <v>25747</v>
      </c>
      <c r="K152" s="12">
        <f>VLOOKUP(A152,[4]VA05!$A:$K,11,FALSE)</f>
        <v>45582</v>
      </c>
      <c r="L152" s="10" t="s">
        <v>13</v>
      </c>
      <c r="M152" s="10" t="s">
        <v>202</v>
      </c>
    </row>
    <row r="153" spans="1:13" hidden="1" x14ac:dyDescent="0.25">
      <c r="A153" s="13" t="str">
        <f t="shared" si="4"/>
        <v>50714279710</v>
      </c>
      <c r="B153" s="10">
        <v>1004058006</v>
      </c>
      <c r="C153" s="10">
        <v>507142797</v>
      </c>
      <c r="D153" s="10">
        <v>10</v>
      </c>
      <c r="E153" s="10" t="s">
        <v>10</v>
      </c>
      <c r="F153" s="10">
        <v>1161417</v>
      </c>
      <c r="G153" s="10" t="s">
        <v>228</v>
      </c>
      <c r="H153" s="11">
        <v>25543</v>
      </c>
      <c r="I153" s="10">
        <v>0</v>
      </c>
      <c r="J153" s="11">
        <f t="shared" si="5"/>
        <v>25543</v>
      </c>
      <c r="K153" s="12">
        <f>VLOOKUP(A153,[4]VA05!$A:$K,11,FALSE)</f>
        <v>45588</v>
      </c>
      <c r="L153" s="10" t="s">
        <v>13</v>
      </c>
      <c r="M153" s="10" t="s">
        <v>177</v>
      </c>
    </row>
    <row r="154" spans="1:13" hidden="1" x14ac:dyDescent="0.25">
      <c r="A154" s="13" t="str">
        <f t="shared" si="4"/>
        <v>50714278110</v>
      </c>
      <c r="B154" s="10">
        <v>1004058007</v>
      </c>
      <c r="C154" s="10">
        <v>507142781</v>
      </c>
      <c r="D154" s="10">
        <v>10</v>
      </c>
      <c r="E154" s="10" t="s">
        <v>10</v>
      </c>
      <c r="F154" s="10">
        <v>1161417</v>
      </c>
      <c r="G154" s="10" t="s">
        <v>228</v>
      </c>
      <c r="H154" s="11">
        <v>5109</v>
      </c>
      <c r="I154" s="10">
        <v>0</v>
      </c>
      <c r="J154" s="11">
        <f t="shared" si="5"/>
        <v>5109</v>
      </c>
      <c r="K154" s="12">
        <f>VLOOKUP(A154,[4]VA05!$A:$K,11,FALSE)</f>
        <v>45595</v>
      </c>
      <c r="L154" s="10" t="s">
        <v>13</v>
      </c>
      <c r="M154" s="10" t="s">
        <v>196</v>
      </c>
    </row>
    <row r="155" spans="1:13" hidden="1" x14ac:dyDescent="0.25">
      <c r="A155" s="13" t="str">
        <f t="shared" si="4"/>
        <v>50714271120</v>
      </c>
      <c r="B155" s="10">
        <v>1004058008</v>
      </c>
      <c r="C155" s="10">
        <v>507142711</v>
      </c>
      <c r="D155" s="10">
        <v>20</v>
      </c>
      <c r="E155" s="10" t="s">
        <v>10</v>
      </c>
      <c r="F155" s="10">
        <v>1161417</v>
      </c>
      <c r="G155" s="10" t="s">
        <v>228</v>
      </c>
      <c r="H155" s="11">
        <v>6845</v>
      </c>
      <c r="I155" s="10">
        <v>0</v>
      </c>
      <c r="J155" s="11">
        <f t="shared" si="5"/>
        <v>6845</v>
      </c>
      <c r="K155" s="12">
        <f>VLOOKUP(A155,[4]VA05!$A:$K,11,FALSE)</f>
        <v>45565</v>
      </c>
      <c r="L155" s="10" t="s">
        <v>12</v>
      </c>
      <c r="M155" s="10" t="s">
        <v>155</v>
      </c>
    </row>
    <row r="156" spans="1:13" x14ac:dyDescent="0.25">
      <c r="A156" s="13" t="str">
        <f t="shared" si="4"/>
        <v>50714244520</v>
      </c>
      <c r="B156" s="10">
        <v>1004053208</v>
      </c>
      <c r="C156" s="10">
        <v>507142445</v>
      </c>
      <c r="D156" s="10">
        <v>20</v>
      </c>
      <c r="E156" s="10" t="s">
        <v>10</v>
      </c>
      <c r="F156" s="10">
        <v>1210955</v>
      </c>
      <c r="G156" s="10" t="s">
        <v>215</v>
      </c>
      <c r="H156" s="11">
        <v>53210</v>
      </c>
      <c r="I156" s="10">
        <v>0</v>
      </c>
      <c r="J156" s="11">
        <f t="shared" si="5"/>
        <v>53210</v>
      </c>
      <c r="K156" s="12">
        <f>VLOOKUP(A156,[4]VA05!$A:$K,11,FALSE)</f>
        <v>45595</v>
      </c>
      <c r="L156" s="10" t="s">
        <v>239</v>
      </c>
      <c r="M156" s="10" t="s">
        <v>216</v>
      </c>
    </row>
    <row r="157" spans="1:13" x14ac:dyDescent="0.25">
      <c r="A157" s="13" t="str">
        <f t="shared" si="4"/>
        <v>50714244520</v>
      </c>
      <c r="B157" s="10">
        <v>1004052416</v>
      </c>
      <c r="C157" s="10">
        <v>507142445</v>
      </c>
      <c r="D157" s="10">
        <v>20</v>
      </c>
      <c r="E157" s="10" t="s">
        <v>10</v>
      </c>
      <c r="F157" s="10">
        <v>1259266</v>
      </c>
      <c r="G157" s="10" t="s">
        <v>64</v>
      </c>
      <c r="H157" s="11">
        <v>51912</v>
      </c>
      <c r="I157" s="10">
        <v>0</v>
      </c>
      <c r="J157" s="11">
        <f t="shared" si="5"/>
        <v>51912</v>
      </c>
      <c r="K157" s="12">
        <f>VLOOKUP(A157,[4]VA05!$A:$K,11,FALSE)</f>
        <v>45595</v>
      </c>
      <c r="L157" s="10" t="s">
        <v>239</v>
      </c>
      <c r="M157" s="10" t="s">
        <v>199</v>
      </c>
    </row>
    <row r="158" spans="1:13" x14ac:dyDescent="0.25">
      <c r="A158" s="13" t="str">
        <f t="shared" si="4"/>
        <v>50714244520</v>
      </c>
      <c r="B158" s="10">
        <v>1004052417</v>
      </c>
      <c r="C158" s="10">
        <v>507142445</v>
      </c>
      <c r="D158" s="10">
        <v>20</v>
      </c>
      <c r="E158" s="10" t="s">
        <v>10</v>
      </c>
      <c r="F158" s="10">
        <v>1259265</v>
      </c>
      <c r="G158" s="10" t="s">
        <v>187</v>
      </c>
      <c r="H158" s="11">
        <v>53210</v>
      </c>
      <c r="I158" s="10">
        <v>0</v>
      </c>
      <c r="J158" s="11">
        <f t="shared" si="5"/>
        <v>53210</v>
      </c>
      <c r="K158" s="12">
        <f>VLOOKUP(A158,[4]VA05!$A:$K,11,FALSE)</f>
        <v>45595</v>
      </c>
      <c r="L158" s="10" t="s">
        <v>12</v>
      </c>
      <c r="M158" s="10" t="s">
        <v>202</v>
      </c>
    </row>
    <row r="159" spans="1:13" x14ac:dyDescent="0.25">
      <c r="A159" s="13" t="str">
        <f t="shared" si="4"/>
        <v>50714278810</v>
      </c>
      <c r="B159" s="10">
        <v>1004053488</v>
      </c>
      <c r="C159" s="10">
        <v>507142788</v>
      </c>
      <c r="D159" s="10">
        <v>10</v>
      </c>
      <c r="E159" s="10" t="s">
        <v>10</v>
      </c>
      <c r="F159" s="10">
        <v>1168128</v>
      </c>
      <c r="G159" s="10" t="s">
        <v>77</v>
      </c>
      <c r="H159" s="11">
        <v>56529</v>
      </c>
      <c r="I159" s="11">
        <v>25053</v>
      </c>
      <c r="J159" s="11">
        <f t="shared" si="5"/>
        <v>31476</v>
      </c>
      <c r="K159" s="12">
        <f>VLOOKUP(A159,[4]VA05!$A:$K,11,FALSE)</f>
        <v>45582</v>
      </c>
      <c r="L159" s="10" t="s">
        <v>18</v>
      </c>
      <c r="M159" s="10" t="s">
        <v>179</v>
      </c>
    </row>
    <row r="160" spans="1:13" x14ac:dyDescent="0.25">
      <c r="A160" s="13" t="str">
        <f t="shared" si="4"/>
        <v>50714264830</v>
      </c>
      <c r="B160" s="10">
        <v>1004062197</v>
      </c>
      <c r="C160" s="10">
        <v>507142648</v>
      </c>
      <c r="D160" s="10">
        <v>30</v>
      </c>
      <c r="E160" s="10" t="s">
        <v>10</v>
      </c>
      <c r="F160" s="10">
        <v>1168128</v>
      </c>
      <c r="G160" s="10" t="s">
        <v>77</v>
      </c>
      <c r="H160" s="11">
        <v>40343</v>
      </c>
      <c r="I160" s="10">
        <v>0</v>
      </c>
      <c r="J160" s="11">
        <f t="shared" si="5"/>
        <v>40343</v>
      </c>
      <c r="K160" s="12">
        <f>VLOOKUP(A160,[4]VA05!$A:$K,11,FALSE)</f>
        <v>45581</v>
      </c>
      <c r="L160" s="10" t="s">
        <v>12</v>
      </c>
      <c r="M160" s="10" t="s">
        <v>197</v>
      </c>
    </row>
    <row r="161" spans="1:13" x14ac:dyDescent="0.25">
      <c r="A161" s="13" t="str">
        <f t="shared" si="4"/>
        <v>50714282810</v>
      </c>
      <c r="B161" s="10">
        <v>1004062200</v>
      </c>
      <c r="C161" s="10">
        <v>507142828</v>
      </c>
      <c r="D161" s="10">
        <v>10</v>
      </c>
      <c r="E161" s="10" t="s">
        <v>10</v>
      </c>
      <c r="F161" s="10">
        <v>1168128</v>
      </c>
      <c r="G161" s="10" t="s">
        <v>77</v>
      </c>
      <c r="H161" s="11">
        <v>122842</v>
      </c>
      <c r="I161" s="10">
        <v>0</v>
      </c>
      <c r="J161" s="11">
        <f t="shared" si="5"/>
        <v>122842</v>
      </c>
      <c r="K161" s="12">
        <f>VLOOKUP(A161,[4]VA05!$A:$K,11,FALSE)</f>
        <v>45588</v>
      </c>
      <c r="L161" s="10" t="s">
        <v>12</v>
      </c>
      <c r="M161" s="10" t="s">
        <v>197</v>
      </c>
    </row>
    <row r="162" spans="1:13" x14ac:dyDescent="0.25">
      <c r="A162" s="13" t="str">
        <f t="shared" si="4"/>
        <v>50714264910</v>
      </c>
      <c r="B162" s="10">
        <v>1004038445</v>
      </c>
      <c r="C162" s="10">
        <v>507142649</v>
      </c>
      <c r="D162" s="10">
        <v>10</v>
      </c>
      <c r="E162" s="10" t="s">
        <v>10</v>
      </c>
      <c r="F162" s="10">
        <v>1168125</v>
      </c>
      <c r="G162" s="10" t="s">
        <v>32</v>
      </c>
      <c r="H162" s="11">
        <v>51094</v>
      </c>
      <c r="I162" s="11">
        <v>46617</v>
      </c>
      <c r="J162" s="11">
        <f t="shared" si="5"/>
        <v>4477</v>
      </c>
      <c r="K162" s="12" t="e">
        <f>VLOOKUP(A162,[4]VA05!$A:$K,11,FALSE)</f>
        <v>#N/A</v>
      </c>
      <c r="L162" s="10" t="s">
        <v>18</v>
      </c>
      <c r="M162" s="10" t="s">
        <v>154</v>
      </c>
    </row>
    <row r="163" spans="1:13" x14ac:dyDescent="0.25">
      <c r="A163" s="13" t="str">
        <f t="shared" si="4"/>
        <v>50714278810</v>
      </c>
      <c r="B163" s="10">
        <v>1004062042</v>
      </c>
      <c r="C163" s="10">
        <v>507142788</v>
      </c>
      <c r="D163" s="10">
        <v>10</v>
      </c>
      <c r="E163" s="10" t="s">
        <v>10</v>
      </c>
      <c r="F163" s="10">
        <v>1168125</v>
      </c>
      <c r="G163" s="10" t="s">
        <v>32</v>
      </c>
      <c r="H163" s="11">
        <v>56529</v>
      </c>
      <c r="I163" s="10">
        <v>0</v>
      </c>
      <c r="J163" s="11">
        <f t="shared" si="5"/>
        <v>56529</v>
      </c>
      <c r="K163" s="12">
        <f>VLOOKUP(A163,[4]VA05!$A:$K,11,FALSE)</f>
        <v>45582</v>
      </c>
      <c r="L163" s="10" t="s">
        <v>56</v>
      </c>
      <c r="M163" s="10" t="s">
        <v>162</v>
      </c>
    </row>
    <row r="164" spans="1:13" x14ac:dyDescent="0.25">
      <c r="A164" s="13" t="str">
        <f t="shared" si="4"/>
        <v>50714282810</v>
      </c>
      <c r="B164" s="10">
        <v>1004062043</v>
      </c>
      <c r="C164" s="10">
        <v>507142828</v>
      </c>
      <c r="D164" s="10">
        <v>10</v>
      </c>
      <c r="E164" s="10" t="s">
        <v>10</v>
      </c>
      <c r="F164" s="10">
        <v>1168125</v>
      </c>
      <c r="G164" s="10" t="s">
        <v>32</v>
      </c>
      <c r="H164" s="11">
        <v>122842</v>
      </c>
      <c r="I164" s="10">
        <v>0</v>
      </c>
      <c r="J164" s="11">
        <f t="shared" si="5"/>
        <v>122842</v>
      </c>
      <c r="K164" s="12">
        <f>VLOOKUP(A164,[4]VA05!$A:$K,11,FALSE)</f>
        <v>45588</v>
      </c>
      <c r="L164" s="10" t="s">
        <v>12</v>
      </c>
      <c r="M164" s="10" t="s">
        <v>197</v>
      </c>
    </row>
    <row r="165" spans="1:13" x14ac:dyDescent="0.25">
      <c r="A165" s="13" t="str">
        <f t="shared" si="4"/>
        <v>50714269110</v>
      </c>
      <c r="B165" s="10">
        <v>1004063849</v>
      </c>
      <c r="C165" s="10">
        <v>507142691</v>
      </c>
      <c r="D165" s="10">
        <v>10</v>
      </c>
      <c r="E165" s="10" t="s">
        <v>10</v>
      </c>
      <c r="F165" s="10">
        <v>1168125</v>
      </c>
      <c r="G165" s="10" t="s">
        <v>32</v>
      </c>
      <c r="H165" s="11">
        <v>51094</v>
      </c>
      <c r="I165" s="10">
        <v>0</v>
      </c>
      <c r="J165" s="11">
        <f t="shared" si="5"/>
        <v>51094</v>
      </c>
      <c r="K165" s="12">
        <f>VLOOKUP(A165,[4]VA05!$A:$K,11,FALSE)</f>
        <v>45569</v>
      </c>
      <c r="L165" s="10" t="s">
        <v>12</v>
      </c>
      <c r="M165" s="10" t="s">
        <v>202</v>
      </c>
    </row>
    <row r="166" spans="1:13" x14ac:dyDescent="0.25">
      <c r="A166" s="13" t="str">
        <f t="shared" si="4"/>
        <v>50714268810</v>
      </c>
      <c r="B166" s="10">
        <v>1004051400</v>
      </c>
      <c r="C166" s="10">
        <v>507142688</v>
      </c>
      <c r="D166" s="10">
        <v>10</v>
      </c>
      <c r="E166" s="10" t="s">
        <v>10</v>
      </c>
      <c r="F166" s="10">
        <v>1430111</v>
      </c>
      <c r="G166" s="10" t="s">
        <v>101</v>
      </c>
      <c r="H166" s="11">
        <v>122842</v>
      </c>
      <c r="I166" s="11">
        <v>86416</v>
      </c>
      <c r="J166" s="11">
        <f t="shared" si="5"/>
        <v>36426</v>
      </c>
      <c r="K166" s="12">
        <f>VLOOKUP(A166,[4]VA05!$A:$K,11,FALSE)</f>
        <v>45567</v>
      </c>
      <c r="L166" s="10" t="s">
        <v>18</v>
      </c>
      <c r="M166" s="10" t="s">
        <v>107</v>
      </c>
    </row>
    <row r="167" spans="1:13" x14ac:dyDescent="0.25">
      <c r="A167" s="13" t="str">
        <f t="shared" si="4"/>
        <v>50714281910</v>
      </c>
      <c r="B167" s="10">
        <v>1004062796</v>
      </c>
      <c r="C167" s="10">
        <v>507142819</v>
      </c>
      <c r="D167" s="10">
        <v>10</v>
      </c>
      <c r="E167" s="10" t="s">
        <v>10</v>
      </c>
      <c r="F167" s="10">
        <v>1402677</v>
      </c>
      <c r="G167" s="10" t="s">
        <v>296</v>
      </c>
      <c r="H167" s="11">
        <v>10871</v>
      </c>
      <c r="I167" s="10">
        <v>0</v>
      </c>
      <c r="J167" s="11">
        <f t="shared" si="5"/>
        <v>10871</v>
      </c>
      <c r="K167" s="12">
        <f>VLOOKUP(A167,[4]VA05!$A:$K,11,FALSE)</f>
        <v>45581</v>
      </c>
      <c r="L167" s="10" t="s">
        <v>12</v>
      </c>
      <c r="M167" s="10" t="s">
        <v>157</v>
      </c>
    </row>
    <row r="168" spans="1:13" x14ac:dyDescent="0.25">
      <c r="A168" s="13" t="str">
        <f t="shared" si="4"/>
        <v>50714239390</v>
      </c>
      <c r="B168" s="10">
        <v>1004032826</v>
      </c>
      <c r="C168" s="10">
        <v>507142393</v>
      </c>
      <c r="D168" s="10">
        <v>90</v>
      </c>
      <c r="E168" s="10" t="s">
        <v>10</v>
      </c>
      <c r="F168" s="10">
        <v>1416752</v>
      </c>
      <c r="G168" s="10" t="s">
        <v>52</v>
      </c>
      <c r="H168" s="11">
        <v>47012</v>
      </c>
      <c r="I168" s="11">
        <v>38740</v>
      </c>
      <c r="J168" s="11">
        <f t="shared" si="5"/>
        <v>8272</v>
      </c>
      <c r="K168" s="12" t="e">
        <f>VLOOKUP(A168,[4]VA05!$A:$K,11,FALSE)</f>
        <v>#N/A</v>
      </c>
      <c r="L168" s="10" t="s">
        <v>11</v>
      </c>
      <c r="M168" s="10" t="s">
        <v>73</v>
      </c>
    </row>
    <row r="169" spans="1:13" x14ac:dyDescent="0.25">
      <c r="A169" s="13" t="str">
        <f t="shared" si="4"/>
        <v>507142416150</v>
      </c>
      <c r="B169" s="10">
        <v>1004052419</v>
      </c>
      <c r="C169" s="10">
        <v>507142416</v>
      </c>
      <c r="D169" s="10">
        <v>150</v>
      </c>
      <c r="E169" s="10" t="s">
        <v>10</v>
      </c>
      <c r="F169" s="10">
        <v>1269350</v>
      </c>
      <c r="G169" s="10" t="s">
        <v>188</v>
      </c>
      <c r="H169" s="11">
        <v>10439</v>
      </c>
      <c r="I169" s="10">
        <v>0</v>
      </c>
      <c r="J169" s="11">
        <f t="shared" si="5"/>
        <v>10439</v>
      </c>
      <c r="K169" s="12">
        <f>VLOOKUP(A169,[4]VA05!$A:$K,11,FALSE)</f>
        <v>45576</v>
      </c>
      <c r="L169" s="10" t="s">
        <v>12</v>
      </c>
      <c r="M169" s="10" t="s">
        <v>156</v>
      </c>
    </row>
    <row r="170" spans="1:13" x14ac:dyDescent="0.25">
      <c r="A170" s="13" t="str">
        <f t="shared" si="4"/>
        <v>50714268820</v>
      </c>
      <c r="B170" s="10">
        <v>1004052420</v>
      </c>
      <c r="C170" s="10">
        <v>507142688</v>
      </c>
      <c r="D170" s="10">
        <v>20</v>
      </c>
      <c r="E170" s="10" t="s">
        <v>10</v>
      </c>
      <c r="F170" s="10">
        <v>1430096</v>
      </c>
      <c r="G170" s="10" t="s">
        <v>93</v>
      </c>
      <c r="H170" s="11">
        <v>134120</v>
      </c>
      <c r="I170" s="11">
        <v>94784</v>
      </c>
      <c r="J170" s="11">
        <f t="shared" si="5"/>
        <v>39336</v>
      </c>
      <c r="K170" s="12">
        <f>VLOOKUP(A170,[4]VA05!$A:$K,11,FALSE)</f>
        <v>45567</v>
      </c>
      <c r="L170" s="10" t="s">
        <v>18</v>
      </c>
      <c r="M170" s="10" t="s">
        <v>195</v>
      </c>
    </row>
    <row r="171" spans="1:13" x14ac:dyDescent="0.25">
      <c r="A171" s="13" t="str">
        <f t="shared" si="4"/>
        <v>50714282120</v>
      </c>
      <c r="B171" s="10">
        <v>1004062792</v>
      </c>
      <c r="C171" s="10">
        <v>507142821</v>
      </c>
      <c r="D171" s="10">
        <v>20</v>
      </c>
      <c r="E171" s="10" t="s">
        <v>10</v>
      </c>
      <c r="F171" s="10">
        <v>1153476</v>
      </c>
      <c r="G171" s="10" t="s">
        <v>297</v>
      </c>
      <c r="H171" s="11">
        <v>27862</v>
      </c>
      <c r="I171" s="10">
        <v>0</v>
      </c>
      <c r="J171" s="11">
        <f t="shared" si="5"/>
        <v>27862</v>
      </c>
      <c r="K171" s="12">
        <f>VLOOKUP(A171,[4]VA05!$A:$K,11,FALSE)</f>
        <v>45589</v>
      </c>
      <c r="L171" s="10" t="s">
        <v>12</v>
      </c>
      <c r="M171" s="10" t="s">
        <v>199</v>
      </c>
    </row>
    <row r="172" spans="1:13" x14ac:dyDescent="0.25">
      <c r="A172" s="13" t="str">
        <f t="shared" si="4"/>
        <v>50714282220</v>
      </c>
      <c r="B172" s="10">
        <v>1004062794</v>
      </c>
      <c r="C172" s="10">
        <v>507142822</v>
      </c>
      <c r="D172" s="10">
        <v>20</v>
      </c>
      <c r="E172" s="10" t="s">
        <v>10</v>
      </c>
      <c r="F172" s="10">
        <v>1153476</v>
      </c>
      <c r="G172" s="10" t="s">
        <v>297</v>
      </c>
      <c r="H172" s="11">
        <v>27862</v>
      </c>
      <c r="I172" s="10">
        <v>0</v>
      </c>
      <c r="J172" s="11">
        <f t="shared" si="5"/>
        <v>27862</v>
      </c>
      <c r="K172" s="12">
        <f>VLOOKUP(A172,[4]VA05!$A:$K,11,FALSE)</f>
        <v>45589</v>
      </c>
      <c r="L172" s="10" t="s">
        <v>12</v>
      </c>
      <c r="M172" s="10" t="s">
        <v>199</v>
      </c>
    </row>
    <row r="173" spans="1:13" x14ac:dyDescent="0.25">
      <c r="A173" s="13" t="str">
        <f t="shared" si="4"/>
        <v>50714268920</v>
      </c>
      <c r="B173" s="10">
        <v>1004041355</v>
      </c>
      <c r="C173" s="10">
        <v>507142689</v>
      </c>
      <c r="D173" s="10">
        <v>20</v>
      </c>
      <c r="E173" s="10" t="s">
        <v>10</v>
      </c>
      <c r="F173" s="10">
        <v>1187156</v>
      </c>
      <c r="G173" s="10" t="s">
        <v>80</v>
      </c>
      <c r="H173" s="11">
        <v>85860</v>
      </c>
      <c r="I173" s="11">
        <v>82534</v>
      </c>
      <c r="J173" s="11">
        <f t="shared" si="5"/>
        <v>3326</v>
      </c>
      <c r="K173" s="12">
        <f>VLOOKUP(A173,[4]VA05!$A:$K,11,FALSE)</f>
        <v>45558</v>
      </c>
      <c r="L173" s="10" t="s">
        <v>18</v>
      </c>
      <c r="M173" s="10" t="s">
        <v>131</v>
      </c>
    </row>
    <row r="174" spans="1:13" x14ac:dyDescent="0.25">
      <c r="A174" s="13" t="str">
        <f t="shared" si="4"/>
        <v>50714278820</v>
      </c>
      <c r="B174" s="10">
        <v>1004058947</v>
      </c>
      <c r="C174" s="10">
        <v>507142788</v>
      </c>
      <c r="D174" s="10">
        <v>20</v>
      </c>
      <c r="E174" s="10" t="s">
        <v>10</v>
      </c>
      <c r="F174" s="10">
        <v>1187156</v>
      </c>
      <c r="G174" s="10" t="s">
        <v>80</v>
      </c>
      <c r="H174" s="11">
        <v>62884</v>
      </c>
      <c r="I174" s="10">
        <v>0</v>
      </c>
      <c r="J174" s="11">
        <f t="shared" si="5"/>
        <v>62884</v>
      </c>
      <c r="K174" s="12">
        <f>VLOOKUP(A174,[4]VA05!$A:$K,11,FALSE)</f>
        <v>45582</v>
      </c>
      <c r="L174" s="10" t="s">
        <v>12</v>
      </c>
      <c r="M174" s="10" t="s">
        <v>156</v>
      </c>
    </row>
    <row r="175" spans="1:13" x14ac:dyDescent="0.25">
      <c r="A175" s="13" t="str">
        <f t="shared" si="4"/>
        <v>50714281920</v>
      </c>
      <c r="B175" s="10">
        <v>1004062795</v>
      </c>
      <c r="C175" s="10">
        <v>507142819</v>
      </c>
      <c r="D175" s="10">
        <v>20</v>
      </c>
      <c r="E175" s="10" t="s">
        <v>10</v>
      </c>
      <c r="F175" s="10">
        <v>1402742</v>
      </c>
      <c r="G175" s="10" t="s">
        <v>298</v>
      </c>
      <c r="H175" s="11">
        <v>11758</v>
      </c>
      <c r="I175" s="10">
        <v>0</v>
      </c>
      <c r="J175" s="11">
        <f t="shared" si="5"/>
        <v>11758</v>
      </c>
      <c r="K175" s="12">
        <f>VLOOKUP(A175,[4]VA05!$A:$K,11,FALSE)</f>
        <v>45581</v>
      </c>
      <c r="L175" s="10" t="s">
        <v>12</v>
      </c>
      <c r="M175" s="10" t="s">
        <v>179</v>
      </c>
    </row>
    <row r="176" spans="1:13" hidden="1" x14ac:dyDescent="0.25">
      <c r="A176" s="13" t="str">
        <f t="shared" si="4"/>
        <v>50714208240</v>
      </c>
      <c r="B176" s="10">
        <v>1003985006</v>
      </c>
      <c r="C176" s="10">
        <v>507142082</v>
      </c>
      <c r="D176" s="10">
        <v>40</v>
      </c>
      <c r="E176" s="10" t="s">
        <v>24</v>
      </c>
      <c r="F176" s="10">
        <v>1171152</v>
      </c>
      <c r="G176" s="10" t="s">
        <v>275</v>
      </c>
      <c r="H176" s="11">
        <v>27812</v>
      </c>
      <c r="I176" s="10">
        <v>0</v>
      </c>
      <c r="J176" s="11">
        <f t="shared" si="5"/>
        <v>27812</v>
      </c>
      <c r="K176" s="12" t="e">
        <f>VLOOKUP(A176,[4]VA05!$A:$K,11,FALSE)</f>
        <v>#N/A</v>
      </c>
      <c r="L176" s="10" t="s">
        <v>260</v>
      </c>
      <c r="M176" s="10" t="s">
        <v>276</v>
      </c>
    </row>
    <row r="177" spans="1:13" x14ac:dyDescent="0.25">
      <c r="A177" s="13" t="str">
        <f t="shared" si="4"/>
        <v>507142416140</v>
      </c>
      <c r="B177" s="10">
        <v>1004051396</v>
      </c>
      <c r="C177" s="10">
        <v>507142416</v>
      </c>
      <c r="D177" s="10">
        <v>140</v>
      </c>
      <c r="E177" s="10" t="s">
        <v>10</v>
      </c>
      <c r="F177" s="10">
        <v>1269354</v>
      </c>
      <c r="G177" s="10" t="s">
        <v>169</v>
      </c>
      <c r="H177" s="11">
        <v>10217</v>
      </c>
      <c r="I177" s="10">
        <v>0</v>
      </c>
      <c r="J177" s="11">
        <f t="shared" si="5"/>
        <v>10217</v>
      </c>
      <c r="K177" s="12">
        <f>VLOOKUP(A177,[4]VA05!$A:$K,11,FALSE)</f>
        <v>45576</v>
      </c>
      <c r="L177" s="10" t="s">
        <v>25</v>
      </c>
      <c r="M177" s="10" t="s">
        <v>162</v>
      </c>
    </row>
    <row r="178" spans="1:13" x14ac:dyDescent="0.25">
      <c r="A178" s="13" t="str">
        <f t="shared" si="4"/>
        <v>507142416120</v>
      </c>
      <c r="B178" s="10">
        <v>1004058990</v>
      </c>
      <c r="C178" s="10">
        <v>507142416</v>
      </c>
      <c r="D178" s="10">
        <v>120</v>
      </c>
      <c r="E178" s="10" t="s">
        <v>10</v>
      </c>
      <c r="F178" s="10">
        <v>1255973</v>
      </c>
      <c r="G178" s="10" t="s">
        <v>238</v>
      </c>
      <c r="H178" s="11">
        <v>10217</v>
      </c>
      <c r="I178" s="10">
        <v>0</v>
      </c>
      <c r="J178" s="11">
        <f t="shared" si="5"/>
        <v>10217</v>
      </c>
      <c r="K178" s="12">
        <f>VLOOKUP(A178,[4]VA05!$A:$K,11,FALSE)</f>
        <v>45573</v>
      </c>
      <c r="L178" s="10" t="s">
        <v>12</v>
      </c>
      <c r="M178" s="10" t="s">
        <v>194</v>
      </c>
    </row>
    <row r="179" spans="1:13" x14ac:dyDescent="0.25">
      <c r="A179" s="13" t="str">
        <f t="shared" si="4"/>
        <v>50714271370</v>
      </c>
      <c r="B179" s="10">
        <v>1004042923</v>
      </c>
      <c r="C179" s="10">
        <v>507142713</v>
      </c>
      <c r="D179" s="10">
        <v>70</v>
      </c>
      <c r="E179" s="10" t="s">
        <v>10</v>
      </c>
      <c r="F179" s="10">
        <v>1256197</v>
      </c>
      <c r="G179" s="10" t="s">
        <v>139</v>
      </c>
      <c r="H179" s="11">
        <v>10217</v>
      </c>
      <c r="I179" s="10">
        <v>0</v>
      </c>
      <c r="J179" s="11">
        <f t="shared" si="5"/>
        <v>10217</v>
      </c>
      <c r="K179" s="12">
        <f>VLOOKUP(A179,[4]VA05!$A:$K,11,FALSE)</f>
        <v>45591</v>
      </c>
      <c r="L179" s="10" t="s">
        <v>13</v>
      </c>
      <c r="M179" s="10" t="s">
        <v>142</v>
      </c>
    </row>
    <row r="180" spans="1:13" hidden="1" x14ac:dyDescent="0.25">
      <c r="A180" s="13" t="str">
        <f t="shared" si="4"/>
        <v>50714264830</v>
      </c>
      <c r="B180" s="10">
        <v>1004052621</v>
      </c>
      <c r="C180" s="10">
        <v>507142648</v>
      </c>
      <c r="D180" s="10">
        <v>30</v>
      </c>
      <c r="E180" s="10" t="s">
        <v>10</v>
      </c>
      <c r="F180" s="10">
        <v>1168127</v>
      </c>
      <c r="G180" s="10" t="s">
        <v>21</v>
      </c>
      <c r="H180" s="11">
        <v>71748</v>
      </c>
      <c r="I180" s="11">
        <v>71748</v>
      </c>
      <c r="J180" s="11">
        <f t="shared" si="5"/>
        <v>0</v>
      </c>
      <c r="K180" s="12">
        <f>VLOOKUP(A180,[4]VA05!$A:$K,11,FALSE)</f>
        <v>45581</v>
      </c>
      <c r="L180" s="10" t="s">
        <v>113</v>
      </c>
      <c r="M180" s="10" t="s">
        <v>162</v>
      </c>
    </row>
    <row r="181" spans="1:13" hidden="1" x14ac:dyDescent="0.25">
      <c r="A181" s="13" t="str">
        <f t="shared" si="4"/>
        <v>507142416150</v>
      </c>
      <c r="B181" s="10">
        <v>1004052622</v>
      </c>
      <c r="C181" s="10">
        <v>507142416</v>
      </c>
      <c r="D181" s="10">
        <v>150</v>
      </c>
      <c r="E181" s="10" t="s">
        <v>10</v>
      </c>
      <c r="F181" s="10">
        <v>1168127</v>
      </c>
      <c r="G181" s="10" t="s">
        <v>21</v>
      </c>
      <c r="H181" s="11">
        <v>10217</v>
      </c>
      <c r="I181" s="11">
        <v>10217</v>
      </c>
      <c r="J181" s="11">
        <f t="shared" si="5"/>
        <v>0</v>
      </c>
      <c r="K181" s="12">
        <f>VLOOKUP(A181,[4]VA05!$A:$K,11,FALSE)</f>
        <v>45576</v>
      </c>
      <c r="L181" s="10" t="s">
        <v>28</v>
      </c>
      <c r="M181" s="10" t="s">
        <v>179</v>
      </c>
    </row>
    <row r="182" spans="1:13" x14ac:dyDescent="0.25">
      <c r="A182" s="13" t="str">
        <f t="shared" si="4"/>
        <v>50714278810</v>
      </c>
      <c r="B182" s="10">
        <v>1004052623</v>
      </c>
      <c r="C182" s="10">
        <v>507142788</v>
      </c>
      <c r="D182" s="10">
        <v>10</v>
      </c>
      <c r="E182" s="10" t="s">
        <v>10</v>
      </c>
      <c r="F182" s="10">
        <v>1168127</v>
      </c>
      <c r="G182" s="10" t="s">
        <v>21</v>
      </c>
      <c r="H182" s="11">
        <v>56529</v>
      </c>
      <c r="I182" s="10">
        <v>0</v>
      </c>
      <c r="J182" s="11">
        <f t="shared" si="5"/>
        <v>56529</v>
      </c>
      <c r="K182" s="12">
        <f>VLOOKUP(A182,[4]VA05!$A:$K,11,FALSE)</f>
        <v>45582</v>
      </c>
      <c r="L182" s="10" t="s">
        <v>12</v>
      </c>
      <c r="M182" s="10" t="s">
        <v>162</v>
      </c>
    </row>
    <row r="183" spans="1:13" x14ac:dyDescent="0.25">
      <c r="A183" s="13" t="str">
        <f t="shared" si="4"/>
        <v>50714271380</v>
      </c>
      <c r="B183" s="10">
        <v>1004052624</v>
      </c>
      <c r="C183" s="10">
        <v>507142713</v>
      </c>
      <c r="D183" s="10">
        <v>80</v>
      </c>
      <c r="E183" s="10" t="s">
        <v>10</v>
      </c>
      <c r="F183" s="10">
        <v>1168127</v>
      </c>
      <c r="G183" s="10" t="s">
        <v>21</v>
      </c>
      <c r="H183" s="11">
        <v>10217</v>
      </c>
      <c r="I183" s="10">
        <v>0</v>
      </c>
      <c r="J183" s="11">
        <f t="shared" si="5"/>
        <v>10217</v>
      </c>
      <c r="K183" s="12">
        <f>VLOOKUP(A183,[4]VA05!$A:$K,11,FALSE)</f>
        <v>45591</v>
      </c>
      <c r="L183" s="10" t="s">
        <v>12</v>
      </c>
      <c r="M183" s="10" t="s">
        <v>204</v>
      </c>
    </row>
    <row r="184" spans="1:13" hidden="1" x14ac:dyDescent="0.25">
      <c r="A184" s="13" t="str">
        <f t="shared" si="4"/>
        <v>50714281910</v>
      </c>
      <c r="B184" s="10">
        <v>1004062726</v>
      </c>
      <c r="C184" s="10">
        <v>507142819</v>
      </c>
      <c r="D184" s="10">
        <v>10</v>
      </c>
      <c r="E184" s="10" t="s">
        <v>10</v>
      </c>
      <c r="F184" s="10">
        <v>1168127</v>
      </c>
      <c r="G184" s="10" t="s">
        <v>21</v>
      </c>
      <c r="H184" s="11">
        <v>10871</v>
      </c>
      <c r="I184" s="11">
        <v>10871</v>
      </c>
      <c r="J184" s="11">
        <f t="shared" si="5"/>
        <v>0</v>
      </c>
      <c r="K184" s="12">
        <f>VLOOKUP(A184,[4]VA05!$A:$K,11,FALSE)</f>
        <v>45581</v>
      </c>
      <c r="L184" s="10" t="s">
        <v>28</v>
      </c>
      <c r="M184" s="10" t="s">
        <v>157</v>
      </c>
    </row>
    <row r="185" spans="1:13" x14ac:dyDescent="0.25">
      <c r="A185" s="13" t="str">
        <f t="shared" si="4"/>
        <v>50714282010</v>
      </c>
      <c r="B185" s="10">
        <v>1004062727</v>
      </c>
      <c r="C185" s="10">
        <v>507142820</v>
      </c>
      <c r="D185" s="10">
        <v>10</v>
      </c>
      <c r="E185" s="10" t="s">
        <v>10</v>
      </c>
      <c r="F185" s="10">
        <v>1168127</v>
      </c>
      <c r="G185" s="10" t="s">
        <v>21</v>
      </c>
      <c r="H185" s="11">
        <v>26091</v>
      </c>
      <c r="I185" s="10">
        <v>0</v>
      </c>
      <c r="J185" s="11">
        <f t="shared" si="5"/>
        <v>26091</v>
      </c>
      <c r="K185" s="12">
        <f>VLOOKUP(A185,[4]VA05!$A:$K,11,FALSE)</f>
        <v>45587</v>
      </c>
      <c r="L185" s="10" t="s">
        <v>12</v>
      </c>
      <c r="M185" s="10" t="s">
        <v>177</v>
      </c>
    </row>
    <row r="186" spans="1:13" x14ac:dyDescent="0.25">
      <c r="A186" s="13" t="str">
        <f t="shared" si="4"/>
        <v>50714282110</v>
      </c>
      <c r="B186" s="10">
        <v>1004062728</v>
      </c>
      <c r="C186" s="10">
        <v>507142821</v>
      </c>
      <c r="D186" s="10">
        <v>10</v>
      </c>
      <c r="E186" s="10" t="s">
        <v>10</v>
      </c>
      <c r="F186" s="10">
        <v>1168127</v>
      </c>
      <c r="G186" s="10" t="s">
        <v>21</v>
      </c>
      <c r="H186" s="11">
        <v>14571</v>
      </c>
      <c r="I186" s="10">
        <v>0</v>
      </c>
      <c r="J186" s="11">
        <f t="shared" si="5"/>
        <v>14571</v>
      </c>
      <c r="K186" s="12">
        <f>VLOOKUP(A186,[4]VA05!$A:$K,11,FALSE)</f>
        <v>45589</v>
      </c>
      <c r="L186" s="10" t="s">
        <v>12</v>
      </c>
      <c r="M186" s="10" t="s">
        <v>199</v>
      </c>
    </row>
    <row r="187" spans="1:13" x14ac:dyDescent="0.25">
      <c r="A187" s="13" t="str">
        <f t="shared" si="4"/>
        <v>50714282210</v>
      </c>
      <c r="B187" s="10">
        <v>1004062789</v>
      </c>
      <c r="C187" s="10">
        <v>507142822</v>
      </c>
      <c r="D187" s="10">
        <v>10</v>
      </c>
      <c r="E187" s="10" t="s">
        <v>10</v>
      </c>
      <c r="F187" s="10">
        <v>1168127</v>
      </c>
      <c r="G187" s="10" t="s">
        <v>21</v>
      </c>
      <c r="H187" s="11">
        <v>26091</v>
      </c>
      <c r="I187" s="10">
        <v>0</v>
      </c>
      <c r="J187" s="11">
        <f t="shared" si="5"/>
        <v>26091</v>
      </c>
      <c r="K187" s="12">
        <f>VLOOKUP(A187,[4]VA05!$A:$K,11,FALSE)</f>
        <v>45589</v>
      </c>
      <c r="L187" s="10" t="s">
        <v>12</v>
      </c>
      <c r="M187" s="10" t="s">
        <v>199</v>
      </c>
    </row>
    <row r="188" spans="1:13" x14ac:dyDescent="0.25">
      <c r="A188" s="13" t="str">
        <f t="shared" si="4"/>
        <v>50714282310</v>
      </c>
      <c r="B188" s="10">
        <v>1004062791</v>
      </c>
      <c r="C188" s="10">
        <v>507142823</v>
      </c>
      <c r="D188" s="10">
        <v>10</v>
      </c>
      <c r="E188" s="10" t="s">
        <v>10</v>
      </c>
      <c r="F188" s="10">
        <v>1168127</v>
      </c>
      <c r="G188" s="10" t="s">
        <v>21</v>
      </c>
      <c r="H188" s="11">
        <v>26091</v>
      </c>
      <c r="I188" s="10">
        <v>0</v>
      </c>
      <c r="J188" s="11">
        <f t="shared" si="5"/>
        <v>26091</v>
      </c>
      <c r="K188" s="12">
        <f>VLOOKUP(A188,[4]VA05!$A:$K,11,FALSE)</f>
        <v>45589</v>
      </c>
      <c r="L188" s="10" t="s">
        <v>12</v>
      </c>
      <c r="M188" s="10" t="s">
        <v>109</v>
      </c>
    </row>
    <row r="189" spans="1:13" x14ac:dyDescent="0.25">
      <c r="A189" s="13" t="str">
        <f t="shared" si="4"/>
        <v>507142416150</v>
      </c>
      <c r="B189" s="10">
        <v>1004051561</v>
      </c>
      <c r="C189" s="10">
        <v>507142416</v>
      </c>
      <c r="D189" s="10">
        <v>150</v>
      </c>
      <c r="E189" s="10" t="s">
        <v>10</v>
      </c>
      <c r="F189" s="10">
        <v>1269318</v>
      </c>
      <c r="G189" s="10" t="s">
        <v>170</v>
      </c>
      <c r="H189" s="11">
        <v>10217</v>
      </c>
      <c r="I189" s="10">
        <v>0</v>
      </c>
      <c r="J189" s="11">
        <f t="shared" si="5"/>
        <v>10217</v>
      </c>
      <c r="K189" s="12">
        <f>VLOOKUP(A189,[4]VA05!$A:$K,11,FALSE)</f>
        <v>45576</v>
      </c>
      <c r="L189" s="10" t="s">
        <v>56</v>
      </c>
      <c r="M189" s="10" t="s">
        <v>162</v>
      </c>
    </row>
    <row r="190" spans="1:13" x14ac:dyDescent="0.25">
      <c r="A190" s="13" t="str">
        <f t="shared" si="4"/>
        <v>507142416130</v>
      </c>
      <c r="B190" s="10">
        <v>1004058014</v>
      </c>
      <c r="C190" s="10">
        <v>507142416</v>
      </c>
      <c r="D190" s="10">
        <v>130</v>
      </c>
      <c r="E190" s="10" t="s">
        <v>10</v>
      </c>
      <c r="F190" s="10">
        <v>1255976</v>
      </c>
      <c r="G190" s="10" t="s">
        <v>229</v>
      </c>
      <c r="H190" s="11">
        <v>10217</v>
      </c>
      <c r="I190" s="10">
        <v>0</v>
      </c>
      <c r="J190" s="11">
        <f t="shared" si="5"/>
        <v>10217</v>
      </c>
      <c r="K190" s="12">
        <f>VLOOKUP(A190,[4]VA05!$A:$K,11,FALSE)</f>
        <v>45573</v>
      </c>
      <c r="L190" s="10" t="s">
        <v>56</v>
      </c>
      <c r="M190" s="10" t="s">
        <v>194</v>
      </c>
    </row>
    <row r="191" spans="1:13" x14ac:dyDescent="0.25">
      <c r="A191" s="13" t="str">
        <f t="shared" si="4"/>
        <v>50714271380</v>
      </c>
      <c r="B191" s="10">
        <v>1004058015</v>
      </c>
      <c r="C191" s="10">
        <v>507142713</v>
      </c>
      <c r="D191" s="10">
        <v>80</v>
      </c>
      <c r="E191" s="10" t="s">
        <v>10</v>
      </c>
      <c r="F191" s="10">
        <v>1256193</v>
      </c>
      <c r="G191" s="10" t="s">
        <v>230</v>
      </c>
      <c r="H191" s="11">
        <v>10217</v>
      </c>
      <c r="I191" s="10">
        <v>0</v>
      </c>
      <c r="J191" s="11">
        <f t="shared" si="5"/>
        <v>10217</v>
      </c>
      <c r="K191" s="12">
        <f>VLOOKUP(A191,[4]VA05!$A:$K,11,FALSE)</f>
        <v>45591</v>
      </c>
      <c r="L191" s="10" t="s">
        <v>12</v>
      </c>
      <c r="M191" s="10" t="s">
        <v>204</v>
      </c>
    </row>
    <row r="192" spans="1:13" x14ac:dyDescent="0.25">
      <c r="A192" s="13" t="str">
        <f t="shared" si="4"/>
        <v>50714282210</v>
      </c>
      <c r="B192" s="10">
        <v>1004062956</v>
      </c>
      <c r="C192" s="10">
        <v>507142822</v>
      </c>
      <c r="D192" s="10">
        <v>10</v>
      </c>
      <c r="E192" s="10" t="s">
        <v>10</v>
      </c>
      <c r="F192" s="10">
        <v>1153314</v>
      </c>
      <c r="G192" s="10" t="s">
        <v>60</v>
      </c>
      <c r="H192" s="11">
        <v>26091</v>
      </c>
      <c r="I192" s="10">
        <v>0</v>
      </c>
      <c r="J192" s="11">
        <f t="shared" si="5"/>
        <v>26091</v>
      </c>
      <c r="K192" s="12">
        <f>VLOOKUP(A192,[4]VA05!$A:$K,11,FALSE)</f>
        <v>45589</v>
      </c>
      <c r="L192" s="10" t="s">
        <v>12</v>
      </c>
      <c r="M192" s="10" t="s">
        <v>203</v>
      </c>
    </row>
    <row r="193" spans="1:13" x14ac:dyDescent="0.25">
      <c r="A193" s="13" t="str">
        <f t="shared" si="4"/>
        <v>50714282110</v>
      </c>
      <c r="B193" s="10">
        <v>1004062957</v>
      </c>
      <c r="C193" s="10">
        <v>507142821</v>
      </c>
      <c r="D193" s="10">
        <v>10</v>
      </c>
      <c r="E193" s="10" t="s">
        <v>10</v>
      </c>
      <c r="F193" s="10">
        <v>1153314</v>
      </c>
      <c r="G193" s="10" t="s">
        <v>60</v>
      </c>
      <c r="H193" s="11">
        <v>26091</v>
      </c>
      <c r="I193" s="10">
        <v>0</v>
      </c>
      <c r="J193" s="11">
        <f t="shared" si="5"/>
        <v>26091</v>
      </c>
      <c r="K193" s="12">
        <f>VLOOKUP(A193,[4]VA05!$A:$K,11,FALSE)</f>
        <v>45589</v>
      </c>
      <c r="L193" s="10" t="s">
        <v>12</v>
      </c>
      <c r="M193" s="10" t="s">
        <v>203</v>
      </c>
    </row>
    <row r="194" spans="1:13" x14ac:dyDescent="0.25">
      <c r="A194" s="13" t="str">
        <f t="shared" si="4"/>
        <v>50714239390</v>
      </c>
      <c r="B194" s="10">
        <v>1004032825</v>
      </c>
      <c r="C194" s="10">
        <v>507142393</v>
      </c>
      <c r="D194" s="10">
        <v>90</v>
      </c>
      <c r="E194" s="10" t="s">
        <v>10</v>
      </c>
      <c r="F194" s="10">
        <v>1416751</v>
      </c>
      <c r="G194" s="10" t="s">
        <v>57</v>
      </c>
      <c r="H194" s="11">
        <v>45642</v>
      </c>
      <c r="I194" s="10">
        <v>0</v>
      </c>
      <c r="J194" s="11">
        <f t="shared" si="5"/>
        <v>45642</v>
      </c>
      <c r="K194" s="12" t="e">
        <f>VLOOKUP(A194,[4]VA05!$A:$K,11,FALSE)</f>
        <v>#N/A</v>
      </c>
      <c r="L194" s="10" t="s">
        <v>12</v>
      </c>
      <c r="M194" s="10" t="s">
        <v>73</v>
      </c>
    </row>
    <row r="195" spans="1:13" hidden="1" x14ac:dyDescent="0.25">
      <c r="A195" s="13" t="str">
        <f t="shared" si="4"/>
        <v>50714256210</v>
      </c>
      <c r="B195" s="10">
        <v>1004064515</v>
      </c>
      <c r="C195" s="10">
        <v>507142562</v>
      </c>
      <c r="D195" s="10">
        <v>10</v>
      </c>
      <c r="E195" s="10" t="s">
        <v>24</v>
      </c>
      <c r="F195" s="10">
        <v>1170133</v>
      </c>
      <c r="G195" s="10" t="s">
        <v>70</v>
      </c>
      <c r="H195" s="11">
        <v>15000</v>
      </c>
      <c r="I195" s="10">
        <v>0</v>
      </c>
      <c r="J195" s="11">
        <f t="shared" si="5"/>
        <v>15000</v>
      </c>
      <c r="K195" s="12" t="e">
        <f>VLOOKUP(A195,[4]VA05!$A:$K,11,FALSE)</f>
        <v>#N/A</v>
      </c>
      <c r="L195" s="10" t="s">
        <v>12</v>
      </c>
      <c r="M195" s="10" t="s">
        <v>179</v>
      </c>
    </row>
    <row r="196" spans="1:13" x14ac:dyDescent="0.25">
      <c r="A196" s="13" t="str">
        <f t="shared" ref="A196:A259" si="6">C196&amp;D196</f>
        <v>50714256730</v>
      </c>
      <c r="B196" s="10">
        <v>1004052387</v>
      </c>
      <c r="C196" s="10">
        <v>507142567</v>
      </c>
      <c r="D196" s="10">
        <v>30</v>
      </c>
      <c r="E196" s="10" t="s">
        <v>10</v>
      </c>
      <c r="F196" s="10">
        <v>1171801</v>
      </c>
      <c r="G196" s="10" t="s">
        <v>71</v>
      </c>
      <c r="H196" s="11">
        <v>16066</v>
      </c>
      <c r="I196" s="11">
        <v>12202</v>
      </c>
      <c r="J196" s="11">
        <f t="shared" ref="J196:J259" si="7">H196-I196</f>
        <v>3864</v>
      </c>
      <c r="K196" s="12">
        <f>VLOOKUP(A196,[4]VA05!$A:$K,11,FALSE)</f>
        <v>45561</v>
      </c>
      <c r="L196" s="10" t="s">
        <v>18</v>
      </c>
      <c r="M196" s="10" t="s">
        <v>155</v>
      </c>
    </row>
    <row r="197" spans="1:13" x14ac:dyDescent="0.25">
      <c r="A197" s="13" t="str">
        <f t="shared" si="6"/>
        <v>50714256520</v>
      </c>
      <c r="B197" s="10">
        <v>1004052388</v>
      </c>
      <c r="C197" s="10">
        <v>507142565</v>
      </c>
      <c r="D197" s="10">
        <v>20</v>
      </c>
      <c r="E197" s="10" t="s">
        <v>10</v>
      </c>
      <c r="F197" s="10">
        <v>1171801</v>
      </c>
      <c r="G197" s="10" t="s">
        <v>71</v>
      </c>
      <c r="H197" s="11">
        <v>79905</v>
      </c>
      <c r="I197" s="10">
        <v>0</v>
      </c>
      <c r="J197" s="11">
        <f t="shared" si="7"/>
        <v>79905</v>
      </c>
      <c r="K197" s="12">
        <f>VLOOKUP(A197,[4]VA05!$A:$K,11,FALSE)</f>
        <v>45580</v>
      </c>
      <c r="L197" s="10" t="s">
        <v>13</v>
      </c>
      <c r="M197" s="10" t="s">
        <v>180</v>
      </c>
    </row>
    <row r="198" spans="1:13" hidden="1" x14ac:dyDescent="0.25">
      <c r="A198" s="13" t="str">
        <f t="shared" si="6"/>
        <v>50714187310</v>
      </c>
      <c r="B198" s="10">
        <v>1003935029</v>
      </c>
      <c r="C198" s="10">
        <v>507141873</v>
      </c>
      <c r="D198" s="10">
        <v>10</v>
      </c>
      <c r="E198" s="10" t="s">
        <v>10</v>
      </c>
      <c r="F198" s="10">
        <v>1411092</v>
      </c>
      <c r="G198" s="10" t="s">
        <v>277</v>
      </c>
      <c r="H198" s="11">
        <v>30900</v>
      </c>
      <c r="I198" s="10">
        <v>0</v>
      </c>
      <c r="J198" s="11">
        <f t="shared" si="7"/>
        <v>30900</v>
      </c>
      <c r="K198" s="12" t="e">
        <f>VLOOKUP(A198,[4]VA05!$A:$K,11,FALSE)</f>
        <v>#N/A</v>
      </c>
      <c r="L198" s="10" t="s">
        <v>278</v>
      </c>
      <c r="M198" s="10" t="s">
        <v>279</v>
      </c>
    </row>
    <row r="199" spans="1:13" hidden="1" x14ac:dyDescent="0.25">
      <c r="A199" s="13" t="str">
        <f t="shared" si="6"/>
        <v>50714276210</v>
      </c>
      <c r="B199" s="10">
        <v>1004062062</v>
      </c>
      <c r="C199" s="10">
        <v>507142762</v>
      </c>
      <c r="D199" s="10">
        <v>10</v>
      </c>
      <c r="E199" s="10" t="s">
        <v>24</v>
      </c>
      <c r="F199" s="10">
        <v>1162016</v>
      </c>
      <c r="G199" s="10" t="s">
        <v>172</v>
      </c>
      <c r="H199" s="11">
        <v>10000</v>
      </c>
      <c r="I199" s="10">
        <v>0</v>
      </c>
      <c r="J199" s="11">
        <f t="shared" si="7"/>
        <v>10000</v>
      </c>
      <c r="K199" s="12">
        <f>VLOOKUP(A199,[4]VA05!$A:$K,11,FALSE)</f>
        <v>45570</v>
      </c>
      <c r="L199" s="10" t="s">
        <v>29</v>
      </c>
      <c r="M199" s="10" t="s">
        <v>162</v>
      </c>
    </row>
    <row r="200" spans="1:13" x14ac:dyDescent="0.25">
      <c r="A200" s="13" t="str">
        <f t="shared" si="6"/>
        <v>50714263610</v>
      </c>
      <c r="B200" s="10">
        <v>1004040222</v>
      </c>
      <c r="C200" s="10">
        <v>507142636</v>
      </c>
      <c r="D200" s="10">
        <v>10</v>
      </c>
      <c r="E200" s="10" t="s">
        <v>10</v>
      </c>
      <c r="F200" s="10">
        <v>1437043</v>
      </c>
      <c r="G200" s="10" t="s">
        <v>115</v>
      </c>
      <c r="H200" s="11">
        <v>51125</v>
      </c>
      <c r="I200" s="11">
        <v>43670</v>
      </c>
      <c r="J200" s="11">
        <f t="shared" si="7"/>
        <v>7455</v>
      </c>
      <c r="K200" s="12">
        <f>VLOOKUP(A200,[4]VA05!$A:$K,11,FALSE)</f>
        <v>45566</v>
      </c>
      <c r="L200" s="10" t="s">
        <v>11</v>
      </c>
      <c r="M200" s="10" t="s">
        <v>116</v>
      </c>
    </row>
    <row r="201" spans="1:13" x14ac:dyDescent="0.25">
      <c r="A201" s="13" t="str">
        <f t="shared" si="6"/>
        <v>50714276210</v>
      </c>
      <c r="B201" s="10">
        <v>1004051398</v>
      </c>
      <c r="C201" s="10">
        <v>507142762</v>
      </c>
      <c r="D201" s="10">
        <v>10</v>
      </c>
      <c r="E201" s="10" t="s">
        <v>10</v>
      </c>
      <c r="F201" s="10">
        <v>1162012</v>
      </c>
      <c r="G201" s="10" t="s">
        <v>173</v>
      </c>
      <c r="H201" s="11">
        <v>40900</v>
      </c>
      <c r="I201" s="11">
        <v>35033</v>
      </c>
      <c r="J201" s="11">
        <f t="shared" si="7"/>
        <v>5867</v>
      </c>
      <c r="K201" s="12">
        <f>VLOOKUP(A201,[4]VA05!$A:$K,11,FALSE)</f>
        <v>45570</v>
      </c>
      <c r="L201" s="10" t="s">
        <v>11</v>
      </c>
      <c r="M201" s="10" t="s">
        <v>178</v>
      </c>
    </row>
    <row r="202" spans="1:13" hidden="1" x14ac:dyDescent="0.25">
      <c r="A202" s="13" t="str">
        <f t="shared" si="6"/>
        <v>50714276210</v>
      </c>
      <c r="B202" s="10">
        <v>1004064322</v>
      </c>
      <c r="C202" s="10">
        <v>507142762</v>
      </c>
      <c r="D202" s="10">
        <v>10</v>
      </c>
      <c r="E202" s="10" t="s">
        <v>24</v>
      </c>
      <c r="F202" s="10">
        <v>1162012</v>
      </c>
      <c r="G202" s="10" t="s">
        <v>173</v>
      </c>
      <c r="H202" s="11">
        <v>5000</v>
      </c>
      <c r="I202" s="10">
        <v>0</v>
      </c>
      <c r="J202" s="11">
        <f t="shared" si="7"/>
        <v>5000</v>
      </c>
      <c r="K202" s="12">
        <f>VLOOKUP(A202,[4]VA05!$A:$K,11,FALSE)</f>
        <v>45570</v>
      </c>
      <c r="L202" s="10" t="s">
        <v>13</v>
      </c>
      <c r="M202" s="10" t="s">
        <v>179</v>
      </c>
    </row>
    <row r="203" spans="1:13" hidden="1" x14ac:dyDescent="0.25">
      <c r="A203" s="13" t="str">
        <f t="shared" si="6"/>
        <v>50714276210</v>
      </c>
      <c r="B203" s="10">
        <v>1004051399</v>
      </c>
      <c r="C203" s="10">
        <v>507142762</v>
      </c>
      <c r="D203" s="10">
        <v>10</v>
      </c>
      <c r="E203" s="10" t="s">
        <v>10</v>
      </c>
      <c r="F203" s="10">
        <v>1163168</v>
      </c>
      <c r="G203" s="10" t="s">
        <v>174</v>
      </c>
      <c r="H203" s="11">
        <v>40900</v>
      </c>
      <c r="I203" s="11">
        <v>40900</v>
      </c>
      <c r="J203" s="11">
        <f t="shared" si="7"/>
        <v>0</v>
      </c>
      <c r="K203" s="12">
        <f>VLOOKUP(A203,[4]VA05!$A:$K,11,FALSE)</f>
        <v>45570</v>
      </c>
      <c r="L203" s="10" t="s">
        <v>34</v>
      </c>
      <c r="M203" s="10" t="s">
        <v>197</v>
      </c>
    </row>
    <row r="204" spans="1:13" hidden="1" x14ac:dyDescent="0.25">
      <c r="A204" s="13" t="str">
        <f t="shared" si="6"/>
        <v>50714194510</v>
      </c>
      <c r="B204" s="10">
        <v>1003974005</v>
      </c>
      <c r="C204" s="10">
        <v>507141945</v>
      </c>
      <c r="D204" s="10">
        <v>10</v>
      </c>
      <c r="E204" s="10" t="s">
        <v>24</v>
      </c>
      <c r="F204" s="10">
        <v>1193564</v>
      </c>
      <c r="G204" s="10" t="s">
        <v>280</v>
      </c>
      <c r="H204" s="11">
        <v>5113</v>
      </c>
      <c r="I204" s="10">
        <v>0</v>
      </c>
      <c r="J204" s="11">
        <f t="shared" si="7"/>
        <v>5113</v>
      </c>
      <c r="K204" s="12" t="e">
        <f>VLOOKUP(A204,[4]VA05!$A:$K,11,FALSE)</f>
        <v>#N/A</v>
      </c>
      <c r="L204" s="10" t="s">
        <v>260</v>
      </c>
      <c r="M204" s="10" t="s">
        <v>281</v>
      </c>
    </row>
    <row r="205" spans="1:13" hidden="1" x14ac:dyDescent="0.25">
      <c r="A205" s="13" t="str">
        <f t="shared" si="6"/>
        <v>50714263850</v>
      </c>
      <c r="B205" s="10">
        <v>1004049841</v>
      </c>
      <c r="C205" s="10">
        <v>507142638</v>
      </c>
      <c r="D205" s="10">
        <v>50</v>
      </c>
      <c r="E205" s="10" t="s">
        <v>10</v>
      </c>
      <c r="F205" s="10">
        <v>1361170</v>
      </c>
      <c r="G205" s="10" t="s">
        <v>103</v>
      </c>
      <c r="H205" s="11">
        <v>27540</v>
      </c>
      <c r="I205" s="11">
        <v>27540</v>
      </c>
      <c r="J205" s="11">
        <f t="shared" si="7"/>
        <v>0</v>
      </c>
      <c r="K205" s="12">
        <f>VLOOKUP(A205,[4]VA05!$A:$K,11,FALSE)</f>
        <v>45560</v>
      </c>
      <c r="L205" s="10" t="s">
        <v>307</v>
      </c>
      <c r="M205" s="10" t="s">
        <v>143</v>
      </c>
    </row>
    <row r="206" spans="1:13" hidden="1" x14ac:dyDescent="0.25">
      <c r="A206" s="13" t="str">
        <f t="shared" si="6"/>
        <v>50714263850</v>
      </c>
      <c r="B206" s="10">
        <v>1004049842</v>
      </c>
      <c r="C206" s="10">
        <v>507142638</v>
      </c>
      <c r="D206" s="10">
        <v>50</v>
      </c>
      <c r="E206" s="10" t="s">
        <v>10</v>
      </c>
      <c r="F206" s="10">
        <v>1361170</v>
      </c>
      <c r="G206" s="10" t="s">
        <v>103</v>
      </c>
      <c r="H206" s="11">
        <v>27540</v>
      </c>
      <c r="I206" s="11">
        <v>27540</v>
      </c>
      <c r="J206" s="11">
        <f t="shared" si="7"/>
        <v>0</v>
      </c>
      <c r="K206" s="12">
        <f>VLOOKUP(A206,[4]VA05!$A:$K,11,FALSE)</f>
        <v>45560</v>
      </c>
      <c r="L206" s="10" t="s">
        <v>11</v>
      </c>
      <c r="M206" s="10" t="s">
        <v>195</v>
      </c>
    </row>
    <row r="207" spans="1:13" x14ac:dyDescent="0.25">
      <c r="A207" s="13" t="str">
        <f t="shared" si="6"/>
        <v>50714263850</v>
      </c>
      <c r="B207" s="10">
        <v>1004049843</v>
      </c>
      <c r="C207" s="10">
        <v>507142638</v>
      </c>
      <c r="D207" s="10">
        <v>50</v>
      </c>
      <c r="E207" s="10" t="s">
        <v>10</v>
      </c>
      <c r="F207" s="10">
        <v>1361170</v>
      </c>
      <c r="G207" s="10" t="s">
        <v>103</v>
      </c>
      <c r="H207" s="11">
        <v>27270</v>
      </c>
      <c r="I207" s="10">
        <v>7488</v>
      </c>
      <c r="J207" s="11">
        <f t="shared" si="7"/>
        <v>19782</v>
      </c>
      <c r="K207" s="12">
        <f>VLOOKUP(A207,[4]VA05!$A:$K,11,FALSE)</f>
        <v>45560</v>
      </c>
      <c r="L207" s="10" t="s">
        <v>11</v>
      </c>
      <c r="M207" s="10" t="s">
        <v>143</v>
      </c>
    </row>
    <row r="208" spans="1:13" x14ac:dyDescent="0.25">
      <c r="A208" s="13" t="str">
        <f t="shared" si="6"/>
        <v>50714273810</v>
      </c>
      <c r="B208" s="10">
        <v>1004051551</v>
      </c>
      <c r="C208" s="10">
        <v>507142738</v>
      </c>
      <c r="D208" s="10">
        <v>10</v>
      </c>
      <c r="E208" s="10" t="s">
        <v>10</v>
      </c>
      <c r="F208" s="10">
        <v>1361170</v>
      </c>
      <c r="G208" s="10" t="s">
        <v>103</v>
      </c>
      <c r="H208" s="11">
        <v>27540</v>
      </c>
      <c r="I208" s="10">
        <v>0</v>
      </c>
      <c r="J208" s="11">
        <f t="shared" si="7"/>
        <v>27540</v>
      </c>
      <c r="K208" s="12">
        <f>VLOOKUP(A208,[4]VA05!$A:$K,11,FALSE)</f>
        <v>45567</v>
      </c>
      <c r="L208" s="10" t="s">
        <v>12</v>
      </c>
      <c r="M208" s="10" t="s">
        <v>180</v>
      </c>
    </row>
    <row r="209" spans="1:13" x14ac:dyDescent="0.25">
      <c r="A209" s="13" t="str">
        <f t="shared" si="6"/>
        <v>50714273810</v>
      </c>
      <c r="B209" s="10">
        <v>1004051552</v>
      </c>
      <c r="C209" s="10">
        <v>507142738</v>
      </c>
      <c r="D209" s="10">
        <v>10</v>
      </c>
      <c r="E209" s="10" t="s">
        <v>10</v>
      </c>
      <c r="F209" s="10">
        <v>1361170</v>
      </c>
      <c r="G209" s="10" t="s">
        <v>103</v>
      </c>
      <c r="H209" s="11">
        <v>27540</v>
      </c>
      <c r="I209" s="10">
        <v>0</v>
      </c>
      <c r="J209" s="11">
        <f t="shared" si="7"/>
        <v>27540</v>
      </c>
      <c r="K209" s="12">
        <f>VLOOKUP(A209,[4]VA05!$A:$K,11,FALSE)</f>
        <v>45567</v>
      </c>
      <c r="L209" s="10" t="s">
        <v>12</v>
      </c>
      <c r="M209" s="10" t="s">
        <v>180</v>
      </c>
    </row>
    <row r="210" spans="1:13" x14ac:dyDescent="0.25">
      <c r="A210" s="13" t="str">
        <f t="shared" si="6"/>
        <v>50714273810</v>
      </c>
      <c r="B210" s="10">
        <v>1004051553</v>
      </c>
      <c r="C210" s="10">
        <v>507142738</v>
      </c>
      <c r="D210" s="10">
        <v>10</v>
      </c>
      <c r="E210" s="10" t="s">
        <v>10</v>
      </c>
      <c r="F210" s="10">
        <v>1361170</v>
      </c>
      <c r="G210" s="10" t="s">
        <v>103</v>
      </c>
      <c r="H210" s="11">
        <v>27540</v>
      </c>
      <c r="I210" s="10">
        <v>0</v>
      </c>
      <c r="J210" s="11">
        <f t="shared" si="7"/>
        <v>27540</v>
      </c>
      <c r="K210" s="12">
        <f>VLOOKUP(A210,[4]VA05!$A:$K,11,FALSE)</f>
        <v>45567</v>
      </c>
      <c r="L210" s="10" t="s">
        <v>12</v>
      </c>
      <c r="M210" s="10" t="s">
        <v>180</v>
      </c>
    </row>
    <row r="211" spans="1:13" x14ac:dyDescent="0.25">
      <c r="A211" s="13" t="str">
        <f t="shared" si="6"/>
        <v>50714273810</v>
      </c>
      <c r="B211" s="10">
        <v>1004051554</v>
      </c>
      <c r="C211" s="10">
        <v>507142738</v>
      </c>
      <c r="D211" s="10">
        <v>10</v>
      </c>
      <c r="E211" s="10" t="s">
        <v>10</v>
      </c>
      <c r="F211" s="10">
        <v>1361170</v>
      </c>
      <c r="G211" s="10" t="s">
        <v>103</v>
      </c>
      <c r="H211" s="11">
        <v>27540</v>
      </c>
      <c r="I211" s="10">
        <v>0</v>
      </c>
      <c r="J211" s="11">
        <f t="shared" si="7"/>
        <v>27540</v>
      </c>
      <c r="K211" s="12">
        <f>VLOOKUP(A211,[4]VA05!$A:$K,11,FALSE)</f>
        <v>45567</v>
      </c>
      <c r="L211" s="10" t="s">
        <v>12</v>
      </c>
      <c r="M211" s="10" t="s">
        <v>180</v>
      </c>
    </row>
    <row r="212" spans="1:13" x14ac:dyDescent="0.25">
      <c r="A212" s="13" t="str">
        <f t="shared" si="6"/>
        <v>50714269230</v>
      </c>
      <c r="B212" s="10">
        <v>1004059598</v>
      </c>
      <c r="C212" s="10">
        <v>507142692</v>
      </c>
      <c r="D212" s="10">
        <v>30</v>
      </c>
      <c r="E212" s="10" t="s">
        <v>10</v>
      </c>
      <c r="F212" s="10">
        <v>1367372</v>
      </c>
      <c r="G212" s="10" t="s">
        <v>62</v>
      </c>
      <c r="H212" s="11">
        <v>25110</v>
      </c>
      <c r="I212" s="11">
        <v>13396</v>
      </c>
      <c r="J212" s="11">
        <f t="shared" si="7"/>
        <v>11714</v>
      </c>
      <c r="K212" s="12">
        <f>VLOOKUP(A212,[4]VA05!$A:$K,11,FALSE)</f>
        <v>45567</v>
      </c>
      <c r="L212" s="10" t="s">
        <v>34</v>
      </c>
      <c r="M212" s="10" t="s">
        <v>197</v>
      </c>
    </row>
    <row r="213" spans="1:13" x14ac:dyDescent="0.25">
      <c r="A213" s="13" t="str">
        <f t="shared" si="6"/>
        <v>50714269230</v>
      </c>
      <c r="B213" s="10">
        <v>1004059599</v>
      </c>
      <c r="C213" s="10">
        <v>507142692</v>
      </c>
      <c r="D213" s="10">
        <v>30</v>
      </c>
      <c r="E213" s="10" t="s">
        <v>10</v>
      </c>
      <c r="F213" s="10">
        <v>1367372</v>
      </c>
      <c r="G213" s="10" t="s">
        <v>62</v>
      </c>
      <c r="H213" s="11">
        <v>25110</v>
      </c>
      <c r="I213" s="11"/>
      <c r="J213" s="11">
        <f t="shared" si="7"/>
        <v>25110</v>
      </c>
      <c r="K213" s="12">
        <f>VLOOKUP(A213,[4]VA05!$A:$K,11,FALSE)</f>
        <v>45567</v>
      </c>
      <c r="L213" s="10" t="s">
        <v>234</v>
      </c>
      <c r="M213" s="10" t="s">
        <v>178</v>
      </c>
    </row>
    <row r="214" spans="1:13" x14ac:dyDescent="0.25">
      <c r="A214" s="13" t="str">
        <f t="shared" si="6"/>
        <v>50714269230</v>
      </c>
      <c r="B214" s="10">
        <v>1004059600</v>
      </c>
      <c r="C214" s="10">
        <v>507142692</v>
      </c>
      <c r="D214" s="10">
        <v>30</v>
      </c>
      <c r="E214" s="10" t="s">
        <v>10</v>
      </c>
      <c r="F214" s="10">
        <v>1367372</v>
      </c>
      <c r="G214" s="10" t="s">
        <v>62</v>
      </c>
      <c r="H214" s="11">
        <v>25110</v>
      </c>
      <c r="I214" s="11"/>
      <c r="J214" s="11">
        <f t="shared" si="7"/>
        <v>25110</v>
      </c>
      <c r="K214" s="12">
        <f>VLOOKUP(A214,[4]VA05!$A:$K,11,FALSE)</f>
        <v>45567</v>
      </c>
      <c r="L214" s="10" t="s">
        <v>234</v>
      </c>
      <c r="M214" s="10" t="s">
        <v>178</v>
      </c>
    </row>
    <row r="215" spans="1:13" x14ac:dyDescent="0.25">
      <c r="A215" s="13" t="str">
        <f t="shared" si="6"/>
        <v>50714269230</v>
      </c>
      <c r="B215" s="10">
        <v>1004059601</v>
      </c>
      <c r="C215" s="10">
        <v>507142692</v>
      </c>
      <c r="D215" s="10">
        <v>30</v>
      </c>
      <c r="E215" s="10" t="s">
        <v>10</v>
      </c>
      <c r="F215" s="10">
        <v>1367372</v>
      </c>
      <c r="G215" s="10" t="s">
        <v>62</v>
      </c>
      <c r="H215" s="11">
        <v>24570</v>
      </c>
      <c r="I215" s="11"/>
      <c r="J215" s="11">
        <f t="shared" si="7"/>
        <v>24570</v>
      </c>
      <c r="K215" s="12">
        <f>VLOOKUP(A215,[4]VA05!$A:$K,11,FALSE)</f>
        <v>45567</v>
      </c>
      <c r="L215" s="10" t="s">
        <v>235</v>
      </c>
      <c r="M215" s="10" t="s">
        <v>178</v>
      </c>
    </row>
    <row r="216" spans="1:13" hidden="1" x14ac:dyDescent="0.25">
      <c r="A216" s="13" t="str">
        <f t="shared" si="6"/>
        <v>50714208620</v>
      </c>
      <c r="B216" s="10">
        <v>1003976459</v>
      </c>
      <c r="C216" s="10">
        <v>507142086</v>
      </c>
      <c r="D216" s="10">
        <v>20</v>
      </c>
      <c r="E216" s="10" t="s">
        <v>10</v>
      </c>
      <c r="F216" s="10">
        <v>1361175</v>
      </c>
      <c r="G216" s="10" t="s">
        <v>22</v>
      </c>
      <c r="H216" s="11">
        <v>28350</v>
      </c>
      <c r="I216" s="10">
        <v>0</v>
      </c>
      <c r="J216" s="11">
        <f t="shared" si="7"/>
        <v>28350</v>
      </c>
      <c r="K216" s="12" t="e">
        <f>VLOOKUP(A216,[4]VA05!$A:$K,11,FALSE)</f>
        <v>#N/A</v>
      </c>
      <c r="L216" s="10" t="s">
        <v>260</v>
      </c>
      <c r="M216" s="10" t="s">
        <v>282</v>
      </c>
    </row>
    <row r="217" spans="1:13" hidden="1" x14ac:dyDescent="0.25">
      <c r="A217" s="13" t="str">
        <f t="shared" si="6"/>
        <v>50714208620</v>
      </c>
      <c r="B217" s="10">
        <v>1003976460</v>
      </c>
      <c r="C217" s="10">
        <v>507142086</v>
      </c>
      <c r="D217" s="10">
        <v>20</v>
      </c>
      <c r="E217" s="10" t="s">
        <v>10</v>
      </c>
      <c r="F217" s="10">
        <v>1361175</v>
      </c>
      <c r="G217" s="10" t="s">
        <v>22</v>
      </c>
      <c r="H217" s="11">
        <v>28350</v>
      </c>
      <c r="I217" s="10">
        <v>0</v>
      </c>
      <c r="J217" s="11">
        <f t="shared" si="7"/>
        <v>28350</v>
      </c>
      <c r="K217" s="12" t="e">
        <f>VLOOKUP(A217,[4]VA05!$A:$K,11,FALSE)</f>
        <v>#N/A</v>
      </c>
      <c r="L217" s="10" t="s">
        <v>260</v>
      </c>
      <c r="M217" s="10" t="s">
        <v>282</v>
      </c>
    </row>
    <row r="218" spans="1:13" hidden="1" x14ac:dyDescent="0.25">
      <c r="A218" s="13" t="str">
        <f t="shared" si="6"/>
        <v>50714208640</v>
      </c>
      <c r="B218" s="10">
        <v>1003976464</v>
      </c>
      <c r="C218" s="10">
        <v>507142086</v>
      </c>
      <c r="D218" s="10">
        <v>40</v>
      </c>
      <c r="E218" s="10" t="s">
        <v>10</v>
      </c>
      <c r="F218" s="10">
        <v>1361175</v>
      </c>
      <c r="G218" s="10" t="s">
        <v>22</v>
      </c>
      <c r="H218" s="11">
        <v>28350</v>
      </c>
      <c r="I218" s="10">
        <v>0</v>
      </c>
      <c r="J218" s="11">
        <f t="shared" si="7"/>
        <v>28350</v>
      </c>
      <c r="K218" s="12" t="e">
        <f>VLOOKUP(A218,[4]VA05!$A:$K,11,FALSE)</f>
        <v>#N/A</v>
      </c>
      <c r="L218" s="10" t="s">
        <v>260</v>
      </c>
      <c r="M218" s="10" t="s">
        <v>269</v>
      </c>
    </row>
    <row r="219" spans="1:13" hidden="1" x14ac:dyDescent="0.25">
      <c r="A219" s="13" t="str">
        <f t="shared" si="6"/>
        <v>50714208640</v>
      </c>
      <c r="B219" s="10">
        <v>1003976465</v>
      </c>
      <c r="C219" s="10">
        <v>507142086</v>
      </c>
      <c r="D219" s="10">
        <v>40</v>
      </c>
      <c r="E219" s="10" t="s">
        <v>10</v>
      </c>
      <c r="F219" s="10">
        <v>1361175</v>
      </c>
      <c r="G219" s="10" t="s">
        <v>22</v>
      </c>
      <c r="H219" s="11">
        <v>28350</v>
      </c>
      <c r="I219" s="10">
        <v>0</v>
      </c>
      <c r="J219" s="11">
        <f t="shared" si="7"/>
        <v>28350</v>
      </c>
      <c r="K219" s="12" t="e">
        <f>VLOOKUP(A219,[4]VA05!$A:$K,11,FALSE)</f>
        <v>#N/A</v>
      </c>
      <c r="L219" s="10" t="s">
        <v>260</v>
      </c>
      <c r="M219" s="10" t="s">
        <v>269</v>
      </c>
    </row>
    <row r="220" spans="1:13" hidden="1" x14ac:dyDescent="0.25">
      <c r="A220" s="13" t="str">
        <f t="shared" si="6"/>
        <v>50714208640</v>
      </c>
      <c r="B220" s="10">
        <v>1003976466</v>
      </c>
      <c r="C220" s="10">
        <v>507142086</v>
      </c>
      <c r="D220" s="10">
        <v>40</v>
      </c>
      <c r="E220" s="10" t="s">
        <v>10</v>
      </c>
      <c r="F220" s="10">
        <v>1361175</v>
      </c>
      <c r="G220" s="10" t="s">
        <v>22</v>
      </c>
      <c r="H220" s="11">
        <v>28350</v>
      </c>
      <c r="I220" s="10">
        <v>0</v>
      </c>
      <c r="J220" s="11">
        <f t="shared" si="7"/>
        <v>28350</v>
      </c>
      <c r="K220" s="12" t="e">
        <f>VLOOKUP(A220,[4]VA05!$A:$K,11,FALSE)</f>
        <v>#N/A</v>
      </c>
      <c r="L220" s="10" t="s">
        <v>260</v>
      </c>
      <c r="M220" s="10" t="s">
        <v>269</v>
      </c>
    </row>
    <row r="221" spans="1:13" hidden="1" x14ac:dyDescent="0.25">
      <c r="A221" s="13" t="str">
        <f t="shared" si="6"/>
        <v>50714208640</v>
      </c>
      <c r="B221" s="10">
        <v>1003976467</v>
      </c>
      <c r="C221" s="10">
        <v>507142086</v>
      </c>
      <c r="D221" s="10">
        <v>40</v>
      </c>
      <c r="E221" s="10" t="s">
        <v>10</v>
      </c>
      <c r="F221" s="10">
        <v>1361175</v>
      </c>
      <c r="G221" s="10" t="s">
        <v>22</v>
      </c>
      <c r="H221" s="11">
        <v>31590</v>
      </c>
      <c r="I221" s="10">
        <v>0</v>
      </c>
      <c r="J221" s="11">
        <f t="shared" si="7"/>
        <v>31590</v>
      </c>
      <c r="K221" s="12" t="e">
        <f>VLOOKUP(A221,[4]VA05!$A:$K,11,FALSE)</f>
        <v>#N/A</v>
      </c>
      <c r="L221" s="10" t="s">
        <v>260</v>
      </c>
      <c r="M221" s="10" t="s">
        <v>269</v>
      </c>
    </row>
    <row r="222" spans="1:13" hidden="1" x14ac:dyDescent="0.25">
      <c r="A222" s="13" t="str">
        <f t="shared" si="6"/>
        <v>50714208660</v>
      </c>
      <c r="B222" s="10">
        <v>1003976468</v>
      </c>
      <c r="C222" s="10">
        <v>507142086</v>
      </c>
      <c r="D222" s="10">
        <v>60</v>
      </c>
      <c r="E222" s="10" t="s">
        <v>10</v>
      </c>
      <c r="F222" s="10">
        <v>1361175</v>
      </c>
      <c r="G222" s="10" t="s">
        <v>22</v>
      </c>
      <c r="H222" s="11">
        <v>28350</v>
      </c>
      <c r="I222" s="10">
        <v>0</v>
      </c>
      <c r="J222" s="11">
        <f t="shared" si="7"/>
        <v>28350</v>
      </c>
      <c r="K222" s="12" t="e">
        <f>VLOOKUP(A222,[4]VA05!$A:$K,11,FALSE)</f>
        <v>#N/A</v>
      </c>
      <c r="L222" s="10" t="s">
        <v>260</v>
      </c>
      <c r="M222" s="10" t="s">
        <v>283</v>
      </c>
    </row>
    <row r="223" spans="1:13" hidden="1" x14ac:dyDescent="0.25">
      <c r="A223" s="13" t="str">
        <f t="shared" si="6"/>
        <v>50714208660</v>
      </c>
      <c r="B223" s="10">
        <v>1003976469</v>
      </c>
      <c r="C223" s="10">
        <v>507142086</v>
      </c>
      <c r="D223" s="10">
        <v>60</v>
      </c>
      <c r="E223" s="10" t="s">
        <v>10</v>
      </c>
      <c r="F223" s="10">
        <v>1361175</v>
      </c>
      <c r="G223" s="10" t="s">
        <v>22</v>
      </c>
      <c r="H223" s="11">
        <v>28350</v>
      </c>
      <c r="I223" s="10">
        <v>0</v>
      </c>
      <c r="J223" s="11">
        <f t="shared" si="7"/>
        <v>28350</v>
      </c>
      <c r="K223" s="12" t="e">
        <f>VLOOKUP(A223,[4]VA05!$A:$K,11,FALSE)</f>
        <v>#N/A</v>
      </c>
      <c r="L223" s="10" t="s">
        <v>260</v>
      </c>
      <c r="M223" s="10" t="s">
        <v>283</v>
      </c>
    </row>
    <row r="224" spans="1:13" hidden="1" x14ac:dyDescent="0.25">
      <c r="A224" s="13" t="str">
        <f t="shared" si="6"/>
        <v>50714208660</v>
      </c>
      <c r="B224" s="10">
        <v>1003976470</v>
      </c>
      <c r="C224" s="10">
        <v>507142086</v>
      </c>
      <c r="D224" s="10">
        <v>60</v>
      </c>
      <c r="E224" s="10" t="s">
        <v>10</v>
      </c>
      <c r="F224" s="10">
        <v>1361175</v>
      </c>
      <c r="G224" s="10" t="s">
        <v>22</v>
      </c>
      <c r="H224" s="11">
        <v>28350</v>
      </c>
      <c r="I224" s="10">
        <v>0</v>
      </c>
      <c r="J224" s="11">
        <f t="shared" si="7"/>
        <v>28350</v>
      </c>
      <c r="K224" s="12" t="e">
        <f>VLOOKUP(A224,[4]VA05!$A:$K,11,FALSE)</f>
        <v>#N/A</v>
      </c>
      <c r="L224" s="10" t="s">
        <v>260</v>
      </c>
      <c r="M224" s="10" t="s">
        <v>283</v>
      </c>
    </row>
    <row r="225" spans="1:13" hidden="1" x14ac:dyDescent="0.25">
      <c r="A225" s="13" t="str">
        <f t="shared" si="6"/>
        <v>50714208660</v>
      </c>
      <c r="B225" s="10">
        <v>1003976471</v>
      </c>
      <c r="C225" s="10">
        <v>507142086</v>
      </c>
      <c r="D225" s="10">
        <v>60</v>
      </c>
      <c r="E225" s="10" t="s">
        <v>10</v>
      </c>
      <c r="F225" s="10">
        <v>1361175</v>
      </c>
      <c r="G225" s="10" t="s">
        <v>22</v>
      </c>
      <c r="H225" s="11">
        <v>25110</v>
      </c>
      <c r="I225" s="10">
        <v>0</v>
      </c>
      <c r="J225" s="11">
        <f t="shared" si="7"/>
        <v>25110</v>
      </c>
      <c r="K225" s="12" t="e">
        <f>VLOOKUP(A225,[4]VA05!$A:$K,11,FALSE)</f>
        <v>#N/A</v>
      </c>
      <c r="L225" s="10" t="s">
        <v>260</v>
      </c>
      <c r="M225" s="10" t="s">
        <v>283</v>
      </c>
    </row>
    <row r="226" spans="1:13" x14ac:dyDescent="0.25">
      <c r="A226" s="13" t="str">
        <f t="shared" si="6"/>
        <v>50714263860</v>
      </c>
      <c r="B226" s="10">
        <v>1004049845</v>
      </c>
      <c r="C226" s="10">
        <v>507142638</v>
      </c>
      <c r="D226" s="10">
        <v>60</v>
      </c>
      <c r="E226" s="10" t="s">
        <v>10</v>
      </c>
      <c r="F226" s="10">
        <v>1361175</v>
      </c>
      <c r="G226" s="10" t="s">
        <v>22</v>
      </c>
      <c r="H226" s="11">
        <v>36850</v>
      </c>
      <c r="I226" s="11">
        <v>4576</v>
      </c>
      <c r="J226" s="11">
        <f t="shared" si="7"/>
        <v>32274</v>
      </c>
      <c r="K226" s="12">
        <f>VLOOKUP(A226,[4]VA05!$A:$K,11,FALSE)</f>
        <v>45560</v>
      </c>
      <c r="L226" s="10" t="s">
        <v>132</v>
      </c>
      <c r="M226" s="10" t="s">
        <v>143</v>
      </c>
    </row>
    <row r="227" spans="1:13" x14ac:dyDescent="0.25">
      <c r="A227" s="13" t="str">
        <f t="shared" si="6"/>
        <v>50714263860</v>
      </c>
      <c r="B227" s="10">
        <v>1004049846</v>
      </c>
      <c r="C227" s="10">
        <v>507142638</v>
      </c>
      <c r="D227" s="10">
        <v>60</v>
      </c>
      <c r="E227" s="10" t="s">
        <v>10</v>
      </c>
      <c r="F227" s="10">
        <v>1361175</v>
      </c>
      <c r="G227" s="10" t="s">
        <v>22</v>
      </c>
      <c r="H227" s="11">
        <v>36190</v>
      </c>
      <c r="I227" s="10">
        <v>0</v>
      </c>
      <c r="J227" s="11">
        <f t="shared" si="7"/>
        <v>36190</v>
      </c>
      <c r="K227" s="12">
        <f>VLOOKUP(A227,[4]VA05!$A:$K,11,FALSE)</f>
        <v>45560</v>
      </c>
      <c r="L227" s="10" t="s">
        <v>241</v>
      </c>
      <c r="M227" s="10" t="s">
        <v>97</v>
      </c>
    </row>
    <row r="228" spans="1:13" x14ac:dyDescent="0.25">
      <c r="A228" s="13" t="str">
        <f t="shared" si="6"/>
        <v>50714273820</v>
      </c>
      <c r="B228" s="10">
        <v>1004064517</v>
      </c>
      <c r="C228" s="10">
        <v>507142738</v>
      </c>
      <c r="D228" s="10">
        <v>20</v>
      </c>
      <c r="E228" s="10" t="s">
        <v>10</v>
      </c>
      <c r="F228" s="10">
        <v>1361175</v>
      </c>
      <c r="G228" s="10" t="s">
        <v>22</v>
      </c>
      <c r="H228" s="11">
        <v>36936</v>
      </c>
      <c r="I228" s="10">
        <v>0</v>
      </c>
      <c r="J228" s="11">
        <f t="shared" si="7"/>
        <v>36936</v>
      </c>
      <c r="K228" s="12">
        <f>VLOOKUP(A228,[4]VA05!$A:$K,11,FALSE)</f>
        <v>45567</v>
      </c>
      <c r="L228" s="10" t="s">
        <v>13</v>
      </c>
      <c r="M228" s="10" t="s">
        <v>179</v>
      </c>
    </row>
    <row r="229" spans="1:13" x14ac:dyDescent="0.25">
      <c r="A229" s="13" t="str">
        <f t="shared" si="6"/>
        <v>50714273820</v>
      </c>
      <c r="B229" s="10">
        <v>1004064518</v>
      </c>
      <c r="C229" s="10">
        <v>507142738</v>
      </c>
      <c r="D229" s="10">
        <v>20</v>
      </c>
      <c r="E229" s="10" t="s">
        <v>10</v>
      </c>
      <c r="F229" s="10">
        <v>1361175</v>
      </c>
      <c r="G229" s="10" t="s">
        <v>22</v>
      </c>
      <c r="H229" s="11">
        <v>36936</v>
      </c>
      <c r="I229" s="10">
        <v>0</v>
      </c>
      <c r="J229" s="11">
        <f t="shared" si="7"/>
        <v>36936</v>
      </c>
      <c r="K229" s="12">
        <f>VLOOKUP(A229,[4]VA05!$A:$K,11,FALSE)</f>
        <v>45567</v>
      </c>
      <c r="L229" s="10" t="s">
        <v>13</v>
      </c>
      <c r="M229" s="10" t="s">
        <v>179</v>
      </c>
    </row>
    <row r="230" spans="1:13" x14ac:dyDescent="0.25">
      <c r="A230" s="13" t="str">
        <f t="shared" si="6"/>
        <v>50714273820</v>
      </c>
      <c r="B230" s="10">
        <v>1004064519</v>
      </c>
      <c r="C230" s="10">
        <v>507142738</v>
      </c>
      <c r="D230" s="10">
        <v>20</v>
      </c>
      <c r="E230" s="10" t="s">
        <v>10</v>
      </c>
      <c r="F230" s="10">
        <v>1361175</v>
      </c>
      <c r="G230" s="10" t="s">
        <v>22</v>
      </c>
      <c r="H230" s="11">
        <v>36288</v>
      </c>
      <c r="I230" s="10">
        <v>0</v>
      </c>
      <c r="J230" s="11">
        <f t="shared" si="7"/>
        <v>36288</v>
      </c>
      <c r="K230" s="12">
        <f>VLOOKUP(A230,[4]VA05!$A:$K,11,FALSE)</f>
        <v>45567</v>
      </c>
      <c r="L230" s="10" t="s">
        <v>12</v>
      </c>
      <c r="M230" s="10" t="s">
        <v>179</v>
      </c>
    </row>
    <row r="231" spans="1:13" x14ac:dyDescent="0.25">
      <c r="A231" s="13" t="str">
        <f t="shared" si="6"/>
        <v>50714279020</v>
      </c>
      <c r="B231" s="10">
        <v>1004064520</v>
      </c>
      <c r="C231" s="10">
        <v>507142790</v>
      </c>
      <c r="D231" s="10">
        <v>20</v>
      </c>
      <c r="E231" s="10" t="s">
        <v>10</v>
      </c>
      <c r="F231" s="10">
        <v>1361175</v>
      </c>
      <c r="G231" s="10" t="s">
        <v>22</v>
      </c>
      <c r="H231" s="11">
        <v>36936</v>
      </c>
      <c r="I231" s="10">
        <v>0</v>
      </c>
      <c r="J231" s="11">
        <f t="shared" si="7"/>
        <v>36936</v>
      </c>
      <c r="K231" s="12">
        <f>VLOOKUP(A231,[4]VA05!$A:$K,11,FALSE)</f>
        <v>45583</v>
      </c>
      <c r="L231" s="10" t="s">
        <v>12</v>
      </c>
      <c r="M231" s="10" t="s">
        <v>193</v>
      </c>
    </row>
    <row r="232" spans="1:13" x14ac:dyDescent="0.25">
      <c r="A232" s="13" t="str">
        <f t="shared" si="6"/>
        <v>50714279020</v>
      </c>
      <c r="B232" s="10">
        <v>1004064521</v>
      </c>
      <c r="C232" s="10">
        <v>507142790</v>
      </c>
      <c r="D232" s="10">
        <v>20</v>
      </c>
      <c r="E232" s="10" t="s">
        <v>10</v>
      </c>
      <c r="F232" s="10">
        <v>1361175</v>
      </c>
      <c r="G232" s="10" t="s">
        <v>22</v>
      </c>
      <c r="H232" s="11">
        <v>36936</v>
      </c>
      <c r="I232" s="10">
        <v>0</v>
      </c>
      <c r="J232" s="11">
        <f t="shared" si="7"/>
        <v>36936</v>
      </c>
      <c r="K232" s="12">
        <f>VLOOKUP(A232,[4]VA05!$A:$K,11,FALSE)</f>
        <v>45583</v>
      </c>
      <c r="L232" s="10" t="s">
        <v>12</v>
      </c>
      <c r="M232" s="10" t="s">
        <v>193</v>
      </c>
    </row>
    <row r="233" spans="1:13" x14ac:dyDescent="0.25">
      <c r="A233" s="13" t="str">
        <f t="shared" si="6"/>
        <v>50714279020</v>
      </c>
      <c r="B233" s="10">
        <v>1004064522</v>
      </c>
      <c r="C233" s="10">
        <v>507142790</v>
      </c>
      <c r="D233" s="10">
        <v>20</v>
      </c>
      <c r="E233" s="10" t="s">
        <v>10</v>
      </c>
      <c r="F233" s="10">
        <v>1361175</v>
      </c>
      <c r="G233" s="10" t="s">
        <v>22</v>
      </c>
      <c r="H233" s="11">
        <v>36288</v>
      </c>
      <c r="I233" s="10">
        <v>0</v>
      </c>
      <c r="J233" s="11">
        <f t="shared" si="7"/>
        <v>36288</v>
      </c>
      <c r="K233" s="12">
        <f>VLOOKUP(A233,[4]VA05!$A:$K,11,FALSE)</f>
        <v>45583</v>
      </c>
      <c r="L233" s="10" t="s">
        <v>12</v>
      </c>
      <c r="M233" s="10" t="s">
        <v>193</v>
      </c>
    </row>
    <row r="234" spans="1:13" hidden="1" x14ac:dyDescent="0.25">
      <c r="A234" s="13" t="str">
        <f t="shared" si="6"/>
        <v>50714269240</v>
      </c>
      <c r="B234" s="10">
        <v>1004060927</v>
      </c>
      <c r="C234" s="10">
        <v>507142692</v>
      </c>
      <c r="D234" s="10">
        <v>40</v>
      </c>
      <c r="E234" s="10" t="s">
        <v>10</v>
      </c>
      <c r="F234" s="10">
        <v>1367370</v>
      </c>
      <c r="G234" s="10" t="s">
        <v>63</v>
      </c>
      <c r="H234" s="11">
        <v>32400</v>
      </c>
      <c r="I234" s="11">
        <v>32400</v>
      </c>
      <c r="J234" s="11">
        <f t="shared" si="7"/>
        <v>0</v>
      </c>
      <c r="K234" s="12">
        <f>VLOOKUP(A234,[4]VA05!$A:$K,11,FALSE)</f>
        <v>45567</v>
      </c>
      <c r="L234" s="10" t="s">
        <v>34</v>
      </c>
      <c r="M234" s="10" t="s">
        <v>178</v>
      </c>
    </row>
    <row r="235" spans="1:13" x14ac:dyDescent="0.25">
      <c r="A235" s="13" t="str">
        <f t="shared" si="6"/>
        <v>50714269240</v>
      </c>
      <c r="B235" s="10">
        <v>1004060928</v>
      </c>
      <c r="C235" s="10">
        <v>507142692</v>
      </c>
      <c r="D235" s="10">
        <v>40</v>
      </c>
      <c r="E235" s="10" t="s">
        <v>10</v>
      </c>
      <c r="F235" s="10">
        <v>1367370</v>
      </c>
      <c r="G235" s="10" t="s">
        <v>63</v>
      </c>
      <c r="H235" s="11">
        <v>32400</v>
      </c>
      <c r="I235" s="11">
        <v>20590</v>
      </c>
      <c r="J235" s="11">
        <f t="shared" si="7"/>
        <v>11810</v>
      </c>
      <c r="K235" s="12">
        <f>VLOOKUP(A235,[4]VA05!$A:$K,11,FALSE)</f>
        <v>45567</v>
      </c>
      <c r="L235" s="10" t="s">
        <v>34</v>
      </c>
      <c r="M235" s="10" t="s">
        <v>178</v>
      </c>
    </row>
    <row r="236" spans="1:13" x14ac:dyDescent="0.25">
      <c r="A236" s="13" t="str">
        <f t="shared" si="6"/>
        <v>50714269240</v>
      </c>
      <c r="B236" s="10">
        <v>1004061129</v>
      </c>
      <c r="C236" s="10">
        <v>507142692</v>
      </c>
      <c r="D236" s="10">
        <v>40</v>
      </c>
      <c r="E236" s="10" t="s">
        <v>10</v>
      </c>
      <c r="F236" s="10">
        <v>1367370</v>
      </c>
      <c r="G236" s="10" t="s">
        <v>63</v>
      </c>
      <c r="H236" s="11">
        <v>34400</v>
      </c>
      <c r="I236" s="11"/>
      <c r="J236" s="11">
        <f t="shared" si="7"/>
        <v>34400</v>
      </c>
      <c r="K236" s="12">
        <f>VLOOKUP(A236,[4]VA05!$A:$K,11,FALSE)</f>
        <v>45567</v>
      </c>
      <c r="L236" s="10" t="s">
        <v>235</v>
      </c>
      <c r="M236" s="10" t="s">
        <v>178</v>
      </c>
    </row>
    <row r="237" spans="1:13" hidden="1" x14ac:dyDescent="0.25">
      <c r="A237" s="13" t="str">
        <f t="shared" si="6"/>
        <v>50714200350</v>
      </c>
      <c r="B237" s="10">
        <v>1003967868</v>
      </c>
      <c r="C237" s="10">
        <v>507142003</v>
      </c>
      <c r="D237" s="10">
        <v>50</v>
      </c>
      <c r="E237" s="10" t="s">
        <v>10</v>
      </c>
      <c r="F237" s="10">
        <v>1361213</v>
      </c>
      <c r="G237" s="10" t="s">
        <v>23</v>
      </c>
      <c r="H237" s="11">
        <v>74809</v>
      </c>
      <c r="I237" s="10">
        <v>0</v>
      </c>
      <c r="J237" s="11">
        <f t="shared" si="7"/>
        <v>74809</v>
      </c>
      <c r="K237" s="12" t="e">
        <f>VLOOKUP(A237,[4]VA05!$A:$K,11,FALSE)</f>
        <v>#N/A</v>
      </c>
      <c r="L237" s="10" t="s">
        <v>260</v>
      </c>
      <c r="M237" s="10" t="s">
        <v>284</v>
      </c>
    </row>
    <row r="238" spans="1:13" x14ac:dyDescent="0.25">
      <c r="A238" s="13" t="str">
        <f t="shared" si="6"/>
        <v>50714263850</v>
      </c>
      <c r="B238" s="10">
        <v>1004043126</v>
      </c>
      <c r="C238" s="10">
        <v>507142638</v>
      </c>
      <c r="D238" s="10">
        <v>50</v>
      </c>
      <c r="E238" s="10" t="s">
        <v>10</v>
      </c>
      <c r="F238" s="10">
        <v>1361213</v>
      </c>
      <c r="G238" s="10" t="s">
        <v>23</v>
      </c>
      <c r="H238" s="11">
        <v>113187</v>
      </c>
      <c r="I238" s="11">
        <v>49396</v>
      </c>
      <c r="J238" s="11">
        <f t="shared" si="7"/>
        <v>63791</v>
      </c>
      <c r="K238" s="12">
        <f>VLOOKUP(A238,[4]VA05!$A:$K,11,FALSE)</f>
        <v>45560</v>
      </c>
      <c r="L238" s="10" t="s">
        <v>18</v>
      </c>
      <c r="M238" s="10" t="s">
        <v>178</v>
      </c>
    </row>
    <row r="239" spans="1:13" x14ac:dyDescent="0.25">
      <c r="A239" s="13" t="str">
        <f t="shared" si="6"/>
        <v>50714273810</v>
      </c>
      <c r="B239" s="10">
        <v>1004053617</v>
      </c>
      <c r="C239" s="10">
        <v>507142738</v>
      </c>
      <c r="D239" s="10">
        <v>10</v>
      </c>
      <c r="E239" s="10" t="s">
        <v>10</v>
      </c>
      <c r="F239" s="10">
        <v>1361213</v>
      </c>
      <c r="G239" s="10" t="s">
        <v>23</v>
      </c>
      <c r="H239" s="11">
        <v>113468</v>
      </c>
      <c r="I239" s="10">
        <v>0</v>
      </c>
      <c r="J239" s="11">
        <f t="shared" si="7"/>
        <v>113468</v>
      </c>
      <c r="K239" s="12">
        <f>VLOOKUP(A239,[4]VA05!$A:$K,11,FALSE)</f>
        <v>45567</v>
      </c>
      <c r="L239" s="10" t="s">
        <v>12</v>
      </c>
      <c r="M239" s="10" t="s">
        <v>130</v>
      </c>
    </row>
    <row r="240" spans="1:13" x14ac:dyDescent="0.25">
      <c r="A240" s="13" t="str">
        <f t="shared" si="6"/>
        <v>50714279010</v>
      </c>
      <c r="B240" s="10">
        <v>1004053618</v>
      </c>
      <c r="C240" s="10">
        <v>507142790</v>
      </c>
      <c r="D240" s="10">
        <v>10</v>
      </c>
      <c r="E240" s="10" t="s">
        <v>10</v>
      </c>
      <c r="F240" s="10">
        <v>1361213</v>
      </c>
      <c r="G240" s="10" t="s">
        <v>23</v>
      </c>
      <c r="H240" s="11">
        <v>113465</v>
      </c>
      <c r="I240" s="10">
        <v>0</v>
      </c>
      <c r="J240" s="11">
        <f t="shared" si="7"/>
        <v>113465</v>
      </c>
      <c r="K240" s="12">
        <f>VLOOKUP(A240,[4]VA05!$A:$K,11,FALSE)</f>
        <v>45583</v>
      </c>
      <c r="L240" s="10" t="s">
        <v>12</v>
      </c>
      <c r="M240" s="10" t="s">
        <v>180</v>
      </c>
    </row>
    <row r="241" spans="1:13" x14ac:dyDescent="0.25">
      <c r="A241" s="13" t="str">
        <f t="shared" si="6"/>
        <v>50714269230</v>
      </c>
      <c r="B241" s="10">
        <v>1004062502</v>
      </c>
      <c r="C241" s="10">
        <v>507142692</v>
      </c>
      <c r="D241" s="10">
        <v>30</v>
      </c>
      <c r="E241" s="10" t="s">
        <v>10</v>
      </c>
      <c r="F241" s="10">
        <v>1361213</v>
      </c>
      <c r="G241" s="10" t="s">
        <v>23</v>
      </c>
      <c r="H241" s="11">
        <v>102900</v>
      </c>
      <c r="I241" s="10">
        <v>0</v>
      </c>
      <c r="J241" s="11">
        <f t="shared" si="7"/>
        <v>102900</v>
      </c>
      <c r="K241" s="12">
        <f>VLOOKUP(A241,[4]VA05!$A:$K,11,FALSE)</f>
        <v>45567</v>
      </c>
      <c r="L241" s="10" t="s">
        <v>12</v>
      </c>
      <c r="M241" s="10" t="s">
        <v>162</v>
      </c>
    </row>
    <row r="242" spans="1:13" x14ac:dyDescent="0.25">
      <c r="A242" s="13" t="str">
        <f t="shared" si="6"/>
        <v>50714269210</v>
      </c>
      <c r="B242" s="10">
        <v>1004062503</v>
      </c>
      <c r="C242" s="10">
        <v>507142692</v>
      </c>
      <c r="D242" s="10">
        <v>10</v>
      </c>
      <c r="E242" s="10" t="s">
        <v>10</v>
      </c>
      <c r="F242" s="10">
        <v>1361213</v>
      </c>
      <c r="G242" s="10" t="s">
        <v>23</v>
      </c>
      <c r="H242" s="11">
        <v>39734</v>
      </c>
      <c r="I242" s="10">
        <v>0</v>
      </c>
      <c r="J242" s="11">
        <f t="shared" si="7"/>
        <v>39734</v>
      </c>
      <c r="K242" s="12" t="e">
        <f>VLOOKUP(A242,[4]VA05!$A:$K,11,FALSE)</f>
        <v>#N/A</v>
      </c>
      <c r="L242" s="10" t="s">
        <v>12</v>
      </c>
      <c r="M242" s="10" t="s">
        <v>162</v>
      </c>
    </row>
    <row r="243" spans="1:13" x14ac:dyDescent="0.25">
      <c r="A243" s="13" t="str">
        <f t="shared" si="6"/>
        <v>50714283110</v>
      </c>
      <c r="B243" s="10">
        <v>1004062504</v>
      </c>
      <c r="C243" s="10">
        <v>507142831</v>
      </c>
      <c r="D243" s="10">
        <v>10</v>
      </c>
      <c r="E243" s="10" t="s">
        <v>10</v>
      </c>
      <c r="F243" s="10">
        <v>1361213</v>
      </c>
      <c r="G243" s="10" t="s">
        <v>23</v>
      </c>
      <c r="H243" s="11">
        <v>51727</v>
      </c>
      <c r="I243" s="10">
        <v>0</v>
      </c>
      <c r="J243" s="11">
        <f t="shared" si="7"/>
        <v>51727</v>
      </c>
      <c r="K243" s="12">
        <f>VLOOKUP(A243,[4]VA05!$A:$K,11,FALSE)</f>
        <v>45587</v>
      </c>
      <c r="L243" s="10" t="s">
        <v>12</v>
      </c>
      <c r="M243" s="10" t="s">
        <v>179</v>
      </c>
    </row>
    <row r="244" spans="1:13" hidden="1" x14ac:dyDescent="0.25">
      <c r="A244" s="13" t="str">
        <f t="shared" si="6"/>
        <v>50714263750</v>
      </c>
      <c r="B244" s="10">
        <v>1004053626</v>
      </c>
      <c r="C244" s="10">
        <v>507142637</v>
      </c>
      <c r="D244" s="10">
        <v>50</v>
      </c>
      <c r="E244" s="10" t="s">
        <v>10</v>
      </c>
      <c r="F244" s="10">
        <v>1408740</v>
      </c>
      <c r="G244" s="10" t="s">
        <v>104</v>
      </c>
      <c r="H244" s="11">
        <v>27540</v>
      </c>
      <c r="I244" s="11">
        <v>27540</v>
      </c>
      <c r="J244" s="11">
        <f t="shared" si="7"/>
        <v>0</v>
      </c>
      <c r="K244" s="12">
        <f>VLOOKUP(A244,[4]VA05!$A:$K,11,FALSE)</f>
        <v>45572</v>
      </c>
      <c r="L244" s="10" t="s">
        <v>233</v>
      </c>
      <c r="M244" s="10" t="s">
        <v>154</v>
      </c>
    </row>
    <row r="245" spans="1:13" hidden="1" x14ac:dyDescent="0.25">
      <c r="A245" s="13" t="str">
        <f t="shared" si="6"/>
        <v>50714263750</v>
      </c>
      <c r="B245" s="10">
        <v>1004053627</v>
      </c>
      <c r="C245" s="10">
        <v>507142637</v>
      </c>
      <c r="D245" s="10">
        <v>50</v>
      </c>
      <c r="E245" s="10" t="s">
        <v>10</v>
      </c>
      <c r="F245" s="10">
        <v>1408740</v>
      </c>
      <c r="G245" s="10" t="s">
        <v>104</v>
      </c>
      <c r="H245" s="11">
        <v>27540</v>
      </c>
      <c r="I245" s="11">
        <v>27540</v>
      </c>
      <c r="J245" s="11">
        <f t="shared" si="7"/>
        <v>0</v>
      </c>
      <c r="K245" s="12">
        <f>VLOOKUP(A245,[4]VA05!$A:$K,11,FALSE)</f>
        <v>45572</v>
      </c>
      <c r="L245" s="10" t="s">
        <v>233</v>
      </c>
      <c r="M245" s="10" t="s">
        <v>194</v>
      </c>
    </row>
    <row r="246" spans="1:13" hidden="1" x14ac:dyDescent="0.25">
      <c r="A246" s="13" t="str">
        <f t="shared" si="6"/>
        <v>50714263750</v>
      </c>
      <c r="B246" s="10">
        <v>1004053628</v>
      </c>
      <c r="C246" s="10">
        <v>507142637</v>
      </c>
      <c r="D246" s="10">
        <v>50</v>
      </c>
      <c r="E246" s="10" t="s">
        <v>10</v>
      </c>
      <c r="F246" s="10">
        <v>1408740</v>
      </c>
      <c r="G246" s="10" t="s">
        <v>104</v>
      </c>
      <c r="H246" s="11">
        <v>27540</v>
      </c>
      <c r="I246" s="11">
        <v>27540</v>
      </c>
      <c r="J246" s="11">
        <f t="shared" si="7"/>
        <v>0</v>
      </c>
      <c r="K246" s="12">
        <f>VLOOKUP(A246,[4]VA05!$A:$K,11,FALSE)</f>
        <v>45572</v>
      </c>
      <c r="L246" s="10" t="s">
        <v>34</v>
      </c>
      <c r="M246" s="10" t="s">
        <v>178</v>
      </c>
    </row>
    <row r="247" spans="1:13" hidden="1" x14ac:dyDescent="0.25">
      <c r="A247" s="13" t="str">
        <f t="shared" si="6"/>
        <v>50714263750</v>
      </c>
      <c r="B247" s="10">
        <v>1004053629</v>
      </c>
      <c r="C247" s="10">
        <v>507142637</v>
      </c>
      <c r="D247" s="10">
        <v>50</v>
      </c>
      <c r="E247" s="10" t="s">
        <v>10</v>
      </c>
      <c r="F247" s="10">
        <v>1408740</v>
      </c>
      <c r="G247" s="10" t="s">
        <v>104</v>
      </c>
      <c r="H247" s="11">
        <v>27270</v>
      </c>
      <c r="I247" s="11">
        <v>27270</v>
      </c>
      <c r="J247" s="11">
        <f t="shared" si="7"/>
        <v>0</v>
      </c>
      <c r="K247" s="12">
        <f>VLOOKUP(A247,[4]VA05!$A:$K,11,FALSE)</f>
        <v>45572</v>
      </c>
      <c r="L247" s="10" t="s">
        <v>233</v>
      </c>
      <c r="M247" s="10" t="s">
        <v>154</v>
      </c>
    </row>
    <row r="248" spans="1:13" hidden="1" x14ac:dyDescent="0.25">
      <c r="A248" s="13" t="str">
        <f t="shared" si="6"/>
        <v>50714269810</v>
      </c>
      <c r="B248" s="10">
        <v>1004061887</v>
      </c>
      <c r="C248" s="10">
        <v>507142698</v>
      </c>
      <c r="D248" s="10">
        <v>10</v>
      </c>
      <c r="E248" s="10" t="s">
        <v>10</v>
      </c>
      <c r="F248" s="10">
        <v>1408740</v>
      </c>
      <c r="G248" s="10" t="s">
        <v>104</v>
      </c>
      <c r="H248" s="11">
        <v>27540</v>
      </c>
      <c r="I248" s="11">
        <v>27540</v>
      </c>
      <c r="J248" s="11">
        <f t="shared" si="7"/>
        <v>0</v>
      </c>
      <c r="K248" s="12">
        <f>VLOOKUP(A248,[4]VA05!$A:$K,11,FALSE)</f>
        <v>45553</v>
      </c>
      <c r="L248" s="10" t="s">
        <v>233</v>
      </c>
      <c r="M248" s="10" t="s">
        <v>197</v>
      </c>
    </row>
    <row r="249" spans="1:13" hidden="1" x14ac:dyDescent="0.25">
      <c r="A249" s="13" t="str">
        <f t="shared" si="6"/>
        <v>50714269810</v>
      </c>
      <c r="B249" s="10">
        <v>1004061888</v>
      </c>
      <c r="C249" s="10">
        <v>507142698</v>
      </c>
      <c r="D249" s="10">
        <v>10</v>
      </c>
      <c r="E249" s="10" t="s">
        <v>10</v>
      </c>
      <c r="F249" s="10">
        <v>1408740</v>
      </c>
      <c r="G249" s="10" t="s">
        <v>104</v>
      </c>
      <c r="H249" s="11">
        <v>27540</v>
      </c>
      <c r="I249" s="11">
        <v>27540</v>
      </c>
      <c r="J249" s="11">
        <f t="shared" si="7"/>
        <v>0</v>
      </c>
      <c r="K249" s="12">
        <f>VLOOKUP(A249,[4]VA05!$A:$K,11,FALSE)</f>
        <v>45553</v>
      </c>
      <c r="L249" s="10" t="s">
        <v>11</v>
      </c>
      <c r="M249" s="10" t="s">
        <v>202</v>
      </c>
    </row>
    <row r="250" spans="1:13" x14ac:dyDescent="0.25">
      <c r="A250" s="13" t="str">
        <f t="shared" si="6"/>
        <v>50714269810</v>
      </c>
      <c r="B250" s="10">
        <v>1004062029</v>
      </c>
      <c r="C250" s="10">
        <v>507142698</v>
      </c>
      <c r="D250" s="10">
        <v>10</v>
      </c>
      <c r="E250" s="10" t="s">
        <v>10</v>
      </c>
      <c r="F250" s="10">
        <v>1408740</v>
      </c>
      <c r="G250" s="10" t="s">
        <v>104</v>
      </c>
      <c r="H250" s="11">
        <v>27540</v>
      </c>
      <c r="I250" s="10">
        <v>17636</v>
      </c>
      <c r="J250" s="11">
        <f t="shared" si="7"/>
        <v>9904</v>
      </c>
      <c r="K250" s="12">
        <f>VLOOKUP(A250,[4]VA05!$A:$K,11,FALSE)</f>
        <v>45553</v>
      </c>
      <c r="L250" s="10" t="s">
        <v>308</v>
      </c>
      <c r="M250" s="10" t="s">
        <v>202</v>
      </c>
    </row>
    <row r="251" spans="1:13" x14ac:dyDescent="0.25">
      <c r="A251" s="13" t="str">
        <f t="shared" si="6"/>
        <v>50714269810</v>
      </c>
      <c r="B251" s="10">
        <v>1004062030</v>
      </c>
      <c r="C251" s="10">
        <v>507142698</v>
      </c>
      <c r="D251" s="10">
        <v>10</v>
      </c>
      <c r="E251" s="10" t="s">
        <v>10</v>
      </c>
      <c r="F251" s="10">
        <v>1408740</v>
      </c>
      <c r="G251" s="10" t="s">
        <v>104</v>
      </c>
      <c r="H251" s="11">
        <v>27540</v>
      </c>
      <c r="I251" s="10">
        <v>0</v>
      </c>
      <c r="J251" s="11">
        <f t="shared" si="7"/>
        <v>27540</v>
      </c>
      <c r="K251" s="12">
        <f>VLOOKUP(A251,[4]VA05!$A:$K,11,FALSE)</f>
        <v>45553</v>
      </c>
      <c r="L251" s="10" t="s">
        <v>25</v>
      </c>
      <c r="M251" s="10" t="s">
        <v>202</v>
      </c>
    </row>
    <row r="252" spans="1:13" x14ac:dyDescent="0.25">
      <c r="A252" s="13" t="str">
        <f t="shared" si="6"/>
        <v>50714269830</v>
      </c>
      <c r="B252" s="10">
        <v>1004062031</v>
      </c>
      <c r="C252" s="10">
        <v>507142698</v>
      </c>
      <c r="D252" s="10">
        <v>30</v>
      </c>
      <c r="E252" s="10" t="s">
        <v>10</v>
      </c>
      <c r="F252" s="10">
        <v>1408740</v>
      </c>
      <c r="G252" s="10" t="s">
        <v>104</v>
      </c>
      <c r="H252" s="11">
        <v>27540</v>
      </c>
      <c r="I252" s="10">
        <v>0</v>
      </c>
      <c r="J252" s="11">
        <f t="shared" si="7"/>
        <v>27540</v>
      </c>
      <c r="K252" s="12">
        <f>VLOOKUP(A252,[4]VA05!$A:$K,11,FALSE)</f>
        <v>45567</v>
      </c>
      <c r="L252" s="10" t="s">
        <v>12</v>
      </c>
      <c r="M252" s="10" t="s">
        <v>197</v>
      </c>
    </row>
    <row r="253" spans="1:13" x14ac:dyDescent="0.25">
      <c r="A253" s="13" t="str">
        <f t="shared" si="6"/>
        <v>50714269830</v>
      </c>
      <c r="B253" s="10">
        <v>1004062032</v>
      </c>
      <c r="C253" s="10">
        <v>507142698</v>
      </c>
      <c r="D253" s="10">
        <v>30</v>
      </c>
      <c r="E253" s="10" t="s">
        <v>10</v>
      </c>
      <c r="F253" s="10">
        <v>1408740</v>
      </c>
      <c r="G253" s="10" t="s">
        <v>104</v>
      </c>
      <c r="H253" s="11">
        <v>27540</v>
      </c>
      <c r="I253" s="10">
        <v>0</v>
      </c>
      <c r="J253" s="11">
        <f t="shared" si="7"/>
        <v>27540</v>
      </c>
      <c r="K253" s="12">
        <f>VLOOKUP(A253,[4]VA05!$A:$K,11,FALSE)</f>
        <v>45567</v>
      </c>
      <c r="L253" s="10" t="s">
        <v>12</v>
      </c>
      <c r="M253" s="10" t="s">
        <v>197</v>
      </c>
    </row>
    <row r="254" spans="1:13" x14ac:dyDescent="0.25">
      <c r="A254" s="13" t="str">
        <f t="shared" si="6"/>
        <v>50714269830</v>
      </c>
      <c r="B254" s="10">
        <v>1004062033</v>
      </c>
      <c r="C254" s="10">
        <v>507142698</v>
      </c>
      <c r="D254" s="10">
        <v>30</v>
      </c>
      <c r="E254" s="10" t="s">
        <v>10</v>
      </c>
      <c r="F254" s="10">
        <v>1408740</v>
      </c>
      <c r="G254" s="10" t="s">
        <v>104</v>
      </c>
      <c r="H254" s="11">
        <v>27540</v>
      </c>
      <c r="I254" s="10">
        <v>0</v>
      </c>
      <c r="J254" s="11">
        <f t="shared" si="7"/>
        <v>27540</v>
      </c>
      <c r="K254" s="12">
        <f>VLOOKUP(A254,[4]VA05!$A:$K,11,FALSE)</f>
        <v>45567</v>
      </c>
      <c r="L254" s="10" t="s">
        <v>12</v>
      </c>
      <c r="M254" s="10" t="s">
        <v>197</v>
      </c>
    </row>
    <row r="255" spans="1:13" x14ac:dyDescent="0.25">
      <c r="A255" s="13" t="str">
        <f t="shared" si="6"/>
        <v>50714269830</v>
      </c>
      <c r="B255" s="10">
        <v>1004062034</v>
      </c>
      <c r="C255" s="10">
        <v>507142698</v>
      </c>
      <c r="D255" s="10">
        <v>30</v>
      </c>
      <c r="E255" s="10" t="s">
        <v>10</v>
      </c>
      <c r="F255" s="10">
        <v>1408740</v>
      </c>
      <c r="G255" s="10" t="s">
        <v>104</v>
      </c>
      <c r="H255" s="11">
        <v>27270</v>
      </c>
      <c r="I255" s="10">
        <v>0</v>
      </c>
      <c r="J255" s="11">
        <f t="shared" si="7"/>
        <v>27270</v>
      </c>
      <c r="K255" s="12">
        <f>VLOOKUP(A255,[4]VA05!$A:$K,11,FALSE)</f>
        <v>45567</v>
      </c>
      <c r="L255" s="10" t="s">
        <v>12</v>
      </c>
      <c r="M255" s="10" t="s">
        <v>197</v>
      </c>
    </row>
    <row r="256" spans="1:13" x14ac:dyDescent="0.25">
      <c r="A256" s="13" t="str">
        <f t="shared" si="6"/>
        <v>50714208810</v>
      </c>
      <c r="B256" s="10">
        <v>1003976472</v>
      </c>
      <c r="C256" s="10">
        <v>507142088</v>
      </c>
      <c r="D256" s="10">
        <v>10</v>
      </c>
      <c r="E256" s="10" t="s">
        <v>10</v>
      </c>
      <c r="F256" s="10">
        <v>1408739</v>
      </c>
      <c r="G256" s="10" t="s">
        <v>37</v>
      </c>
      <c r="H256" s="11">
        <v>28350</v>
      </c>
      <c r="I256" s="10">
        <v>0</v>
      </c>
      <c r="J256" s="11">
        <f t="shared" si="7"/>
        <v>28350</v>
      </c>
      <c r="K256" s="12" t="e">
        <f>VLOOKUP(A256,[4]VA05!$A:$K,11,FALSE)</f>
        <v>#N/A</v>
      </c>
      <c r="L256" s="10" t="s">
        <v>285</v>
      </c>
      <c r="M256" s="10" t="s">
        <v>282</v>
      </c>
    </row>
    <row r="257" spans="1:13" x14ac:dyDescent="0.25">
      <c r="A257" s="13" t="str">
        <f t="shared" si="6"/>
        <v>50714208810</v>
      </c>
      <c r="B257" s="10">
        <v>1003976473</v>
      </c>
      <c r="C257" s="10">
        <v>507142088</v>
      </c>
      <c r="D257" s="10">
        <v>10</v>
      </c>
      <c r="E257" s="10" t="s">
        <v>10</v>
      </c>
      <c r="F257" s="10">
        <v>1408739</v>
      </c>
      <c r="G257" s="10" t="s">
        <v>37</v>
      </c>
      <c r="H257" s="11">
        <v>28350</v>
      </c>
      <c r="I257" s="10">
        <v>0</v>
      </c>
      <c r="J257" s="11">
        <f t="shared" si="7"/>
        <v>28350</v>
      </c>
      <c r="K257" s="12" t="e">
        <f>VLOOKUP(A257,[4]VA05!$A:$K,11,FALSE)</f>
        <v>#N/A</v>
      </c>
      <c r="L257" s="10" t="s">
        <v>285</v>
      </c>
      <c r="M257" s="10" t="s">
        <v>282</v>
      </c>
    </row>
    <row r="258" spans="1:13" hidden="1" x14ac:dyDescent="0.25">
      <c r="A258" s="13" t="str">
        <f t="shared" si="6"/>
        <v>50714208810</v>
      </c>
      <c r="B258" s="10">
        <v>1003976474</v>
      </c>
      <c r="C258" s="10">
        <v>507142088</v>
      </c>
      <c r="D258" s="10">
        <v>10</v>
      </c>
      <c r="E258" s="10" t="s">
        <v>10</v>
      </c>
      <c r="F258" s="10">
        <v>1408739</v>
      </c>
      <c r="G258" s="10" t="s">
        <v>37</v>
      </c>
      <c r="H258" s="11">
        <v>28350</v>
      </c>
      <c r="I258" s="10">
        <v>0</v>
      </c>
      <c r="J258" s="11">
        <f t="shared" si="7"/>
        <v>28350</v>
      </c>
      <c r="K258" s="12" t="e">
        <f>VLOOKUP(A258,[4]VA05!$A:$K,11,FALSE)</f>
        <v>#N/A</v>
      </c>
      <c r="L258" s="10" t="s">
        <v>260</v>
      </c>
      <c r="M258" s="10" t="s">
        <v>282</v>
      </c>
    </row>
    <row r="259" spans="1:13" hidden="1" x14ac:dyDescent="0.25">
      <c r="A259" s="13" t="str">
        <f t="shared" si="6"/>
        <v>50714208810</v>
      </c>
      <c r="B259" s="10">
        <v>1003976475</v>
      </c>
      <c r="C259" s="10">
        <v>507142088</v>
      </c>
      <c r="D259" s="10">
        <v>10</v>
      </c>
      <c r="E259" s="10" t="s">
        <v>10</v>
      </c>
      <c r="F259" s="10">
        <v>1408739</v>
      </c>
      <c r="G259" s="10" t="s">
        <v>37</v>
      </c>
      <c r="H259" s="11">
        <v>28350</v>
      </c>
      <c r="I259" s="10">
        <v>0</v>
      </c>
      <c r="J259" s="11">
        <f t="shared" si="7"/>
        <v>28350</v>
      </c>
      <c r="K259" s="12" t="e">
        <f>VLOOKUP(A259,[4]VA05!$A:$K,11,FALSE)</f>
        <v>#N/A</v>
      </c>
      <c r="L259" s="10" t="s">
        <v>260</v>
      </c>
      <c r="M259" s="10" t="s">
        <v>282</v>
      </c>
    </row>
    <row r="260" spans="1:13" hidden="1" x14ac:dyDescent="0.25">
      <c r="A260" s="13" t="str">
        <f t="shared" ref="A260:A305" si="8">C260&amp;D260</f>
        <v>50714208810</v>
      </c>
      <c r="B260" s="10">
        <v>1003976476</v>
      </c>
      <c r="C260" s="10">
        <v>507142088</v>
      </c>
      <c r="D260" s="10">
        <v>10</v>
      </c>
      <c r="E260" s="10" t="s">
        <v>10</v>
      </c>
      <c r="F260" s="10">
        <v>1408739</v>
      </c>
      <c r="G260" s="10" t="s">
        <v>37</v>
      </c>
      <c r="H260" s="11">
        <v>28350</v>
      </c>
      <c r="I260" s="10">
        <v>0</v>
      </c>
      <c r="J260" s="11">
        <f t="shared" ref="J260:J305" si="9">H260-I260</f>
        <v>28350</v>
      </c>
      <c r="K260" s="12" t="e">
        <f>VLOOKUP(A260,[4]VA05!$A:$K,11,FALSE)</f>
        <v>#N/A</v>
      </c>
      <c r="L260" s="10" t="s">
        <v>260</v>
      </c>
      <c r="M260" s="10" t="s">
        <v>282</v>
      </c>
    </row>
    <row r="261" spans="1:13" hidden="1" x14ac:dyDescent="0.25">
      <c r="A261" s="13" t="str">
        <f t="shared" si="8"/>
        <v>50714208810</v>
      </c>
      <c r="B261" s="10">
        <v>1003976477</v>
      </c>
      <c r="C261" s="10">
        <v>507142088</v>
      </c>
      <c r="D261" s="10">
        <v>10</v>
      </c>
      <c r="E261" s="10" t="s">
        <v>10</v>
      </c>
      <c r="F261" s="10">
        <v>1408739</v>
      </c>
      <c r="G261" s="10" t="s">
        <v>37</v>
      </c>
      <c r="H261" s="11">
        <v>22410</v>
      </c>
      <c r="I261" s="10">
        <v>0</v>
      </c>
      <c r="J261" s="11">
        <f t="shared" si="9"/>
        <v>22410</v>
      </c>
      <c r="K261" s="12" t="e">
        <f>VLOOKUP(A261,[4]VA05!$A:$K,11,FALSE)</f>
        <v>#N/A</v>
      </c>
      <c r="L261" s="10" t="s">
        <v>260</v>
      </c>
      <c r="M261" s="10" t="s">
        <v>282</v>
      </c>
    </row>
    <row r="262" spans="1:13" hidden="1" x14ac:dyDescent="0.25">
      <c r="A262" s="13" t="str">
        <f t="shared" si="8"/>
        <v>50714208830</v>
      </c>
      <c r="B262" s="10">
        <v>1003976478</v>
      </c>
      <c r="C262" s="10">
        <v>507142088</v>
      </c>
      <c r="D262" s="10">
        <v>30</v>
      </c>
      <c r="E262" s="10" t="s">
        <v>10</v>
      </c>
      <c r="F262" s="10">
        <v>1408739</v>
      </c>
      <c r="G262" s="10" t="s">
        <v>37</v>
      </c>
      <c r="H262" s="11">
        <v>28350</v>
      </c>
      <c r="I262" s="10">
        <v>0</v>
      </c>
      <c r="J262" s="11">
        <f t="shared" si="9"/>
        <v>28350</v>
      </c>
      <c r="K262" s="12" t="e">
        <f>VLOOKUP(A262,[4]VA05!$A:$K,11,FALSE)</f>
        <v>#N/A</v>
      </c>
      <c r="L262" s="10" t="s">
        <v>260</v>
      </c>
      <c r="M262" s="10" t="s">
        <v>286</v>
      </c>
    </row>
    <row r="263" spans="1:13" hidden="1" x14ac:dyDescent="0.25">
      <c r="A263" s="13" t="str">
        <f t="shared" si="8"/>
        <v>50714208830</v>
      </c>
      <c r="B263" s="10">
        <v>1003976479</v>
      </c>
      <c r="C263" s="10">
        <v>507142088</v>
      </c>
      <c r="D263" s="10">
        <v>30</v>
      </c>
      <c r="E263" s="10" t="s">
        <v>10</v>
      </c>
      <c r="F263" s="10">
        <v>1408739</v>
      </c>
      <c r="G263" s="10" t="s">
        <v>37</v>
      </c>
      <c r="H263" s="11">
        <v>28350</v>
      </c>
      <c r="I263" s="10">
        <v>0</v>
      </c>
      <c r="J263" s="11">
        <f t="shared" si="9"/>
        <v>28350</v>
      </c>
      <c r="K263" s="12" t="e">
        <f>VLOOKUP(A263,[4]VA05!$A:$K,11,FALSE)</f>
        <v>#N/A</v>
      </c>
      <c r="L263" s="10" t="s">
        <v>260</v>
      </c>
      <c r="M263" s="10" t="s">
        <v>286</v>
      </c>
    </row>
    <row r="264" spans="1:13" hidden="1" x14ac:dyDescent="0.25">
      <c r="A264" s="13" t="str">
        <f t="shared" si="8"/>
        <v>50714208830</v>
      </c>
      <c r="B264" s="10">
        <v>1003976480</v>
      </c>
      <c r="C264" s="10">
        <v>507142088</v>
      </c>
      <c r="D264" s="10">
        <v>30</v>
      </c>
      <c r="E264" s="10" t="s">
        <v>10</v>
      </c>
      <c r="F264" s="10">
        <v>1408739</v>
      </c>
      <c r="G264" s="10" t="s">
        <v>37</v>
      </c>
      <c r="H264" s="11">
        <v>28350</v>
      </c>
      <c r="I264" s="10">
        <v>0</v>
      </c>
      <c r="J264" s="11">
        <f t="shared" si="9"/>
        <v>28350</v>
      </c>
      <c r="K264" s="12" t="e">
        <f>VLOOKUP(A264,[4]VA05!$A:$K,11,FALSE)</f>
        <v>#N/A</v>
      </c>
      <c r="L264" s="10" t="s">
        <v>260</v>
      </c>
      <c r="M264" s="10" t="s">
        <v>286</v>
      </c>
    </row>
    <row r="265" spans="1:13" hidden="1" x14ac:dyDescent="0.25">
      <c r="A265" s="13" t="str">
        <f t="shared" si="8"/>
        <v>50714208830</v>
      </c>
      <c r="B265" s="10">
        <v>1003976481</v>
      </c>
      <c r="C265" s="10">
        <v>507142088</v>
      </c>
      <c r="D265" s="10">
        <v>30</v>
      </c>
      <c r="E265" s="10" t="s">
        <v>10</v>
      </c>
      <c r="F265" s="10">
        <v>1408739</v>
      </c>
      <c r="G265" s="10" t="s">
        <v>37</v>
      </c>
      <c r="H265" s="11">
        <v>25110</v>
      </c>
      <c r="I265" s="10">
        <v>0</v>
      </c>
      <c r="J265" s="11">
        <f t="shared" si="9"/>
        <v>25110</v>
      </c>
      <c r="K265" s="12" t="e">
        <f>VLOOKUP(A265,[4]VA05!$A:$K,11,FALSE)</f>
        <v>#N/A</v>
      </c>
      <c r="L265" s="10" t="s">
        <v>260</v>
      </c>
      <c r="M265" s="10" t="s">
        <v>286</v>
      </c>
    </row>
    <row r="266" spans="1:13" hidden="1" x14ac:dyDescent="0.25">
      <c r="A266" s="13" t="str">
        <f t="shared" si="8"/>
        <v>50714238420</v>
      </c>
      <c r="B266" s="10">
        <v>1004037415</v>
      </c>
      <c r="C266" s="10">
        <v>507142384</v>
      </c>
      <c r="D266" s="10">
        <v>20</v>
      </c>
      <c r="E266" s="10" t="s">
        <v>10</v>
      </c>
      <c r="F266" s="10">
        <v>1408739</v>
      </c>
      <c r="G266" s="10" t="s">
        <v>37</v>
      </c>
      <c r="H266" s="11">
        <v>25640</v>
      </c>
      <c r="I266" s="10">
        <v>0</v>
      </c>
      <c r="J266" s="11">
        <f t="shared" si="9"/>
        <v>25640</v>
      </c>
      <c r="K266" s="12" t="e">
        <f>VLOOKUP(A266,[4]VA05!$A:$K,11,FALSE)</f>
        <v>#N/A</v>
      </c>
      <c r="L266" s="10" t="s">
        <v>260</v>
      </c>
      <c r="M266" s="10" t="s">
        <v>287</v>
      </c>
    </row>
    <row r="267" spans="1:13" hidden="1" x14ac:dyDescent="0.25">
      <c r="A267" s="13" t="str">
        <f t="shared" si="8"/>
        <v>50714238420</v>
      </c>
      <c r="B267" s="10">
        <v>1004037416</v>
      </c>
      <c r="C267" s="10">
        <v>507142384</v>
      </c>
      <c r="D267" s="10">
        <v>20</v>
      </c>
      <c r="E267" s="10" t="s">
        <v>10</v>
      </c>
      <c r="F267" s="10">
        <v>1408739</v>
      </c>
      <c r="G267" s="10" t="s">
        <v>37</v>
      </c>
      <c r="H267" s="11">
        <v>26200</v>
      </c>
      <c r="I267" s="10">
        <v>0</v>
      </c>
      <c r="J267" s="11">
        <f t="shared" si="9"/>
        <v>26200</v>
      </c>
      <c r="K267" s="12" t="e">
        <f>VLOOKUP(A267,[4]VA05!$A:$K,11,FALSE)</f>
        <v>#N/A</v>
      </c>
      <c r="L267" s="10" t="s">
        <v>260</v>
      </c>
      <c r="M267" s="10" t="s">
        <v>287</v>
      </c>
    </row>
    <row r="268" spans="1:13" hidden="1" x14ac:dyDescent="0.25">
      <c r="A268" s="13" t="str">
        <f t="shared" si="8"/>
        <v>50714269820</v>
      </c>
      <c r="B268" s="10">
        <v>1004059594</v>
      </c>
      <c r="C268" s="10">
        <v>507142698</v>
      </c>
      <c r="D268" s="10">
        <v>20</v>
      </c>
      <c r="E268" s="10" t="s">
        <v>10</v>
      </c>
      <c r="F268" s="10">
        <v>1408739</v>
      </c>
      <c r="G268" s="10" t="s">
        <v>37</v>
      </c>
      <c r="H268" s="11">
        <v>27864</v>
      </c>
      <c r="I268" s="11">
        <v>27864</v>
      </c>
      <c r="J268" s="11">
        <f t="shared" si="9"/>
        <v>0</v>
      </c>
      <c r="K268" s="12">
        <f>VLOOKUP(A268,[4]VA05!$A:$K,11,FALSE)</f>
        <v>45553</v>
      </c>
      <c r="L268" s="10" t="s">
        <v>118</v>
      </c>
      <c r="M268" s="10" t="s">
        <v>194</v>
      </c>
    </row>
    <row r="269" spans="1:13" x14ac:dyDescent="0.25">
      <c r="A269" s="13" t="str">
        <f t="shared" si="8"/>
        <v>50714269820</v>
      </c>
      <c r="B269" s="10">
        <v>1004059595</v>
      </c>
      <c r="C269" s="10">
        <v>507142698</v>
      </c>
      <c r="D269" s="10">
        <v>20</v>
      </c>
      <c r="E269" s="10" t="s">
        <v>10</v>
      </c>
      <c r="F269" s="10">
        <v>1408739</v>
      </c>
      <c r="G269" s="10" t="s">
        <v>37</v>
      </c>
      <c r="H269" s="11">
        <v>27864</v>
      </c>
      <c r="I269" s="11">
        <v>6964</v>
      </c>
      <c r="J269" s="11">
        <f t="shared" si="9"/>
        <v>20900</v>
      </c>
      <c r="K269" s="12">
        <f>VLOOKUP(A269,[4]VA05!$A:$K,11,FALSE)</f>
        <v>45553</v>
      </c>
      <c r="L269" s="10" t="s">
        <v>118</v>
      </c>
      <c r="M269" s="10" t="s">
        <v>156</v>
      </c>
    </row>
    <row r="270" spans="1:13" x14ac:dyDescent="0.25">
      <c r="A270" s="13" t="str">
        <f t="shared" si="8"/>
        <v>50714269820</v>
      </c>
      <c r="B270" s="10">
        <v>1004059596</v>
      </c>
      <c r="C270" s="10">
        <v>507142698</v>
      </c>
      <c r="D270" s="10">
        <v>20</v>
      </c>
      <c r="E270" s="10" t="s">
        <v>10</v>
      </c>
      <c r="F270" s="10">
        <v>1408739</v>
      </c>
      <c r="G270" s="10" t="s">
        <v>37</v>
      </c>
      <c r="H270" s="11">
        <v>27864</v>
      </c>
      <c r="I270" s="11"/>
      <c r="J270" s="11">
        <f t="shared" si="9"/>
        <v>27864</v>
      </c>
      <c r="K270" s="12">
        <f>VLOOKUP(A270,[4]VA05!$A:$K,11,FALSE)</f>
        <v>45553</v>
      </c>
      <c r="L270" s="10" t="s">
        <v>120</v>
      </c>
      <c r="M270" s="10" t="s">
        <v>179</v>
      </c>
    </row>
    <row r="271" spans="1:13" x14ac:dyDescent="0.25">
      <c r="A271" s="13" t="str">
        <f t="shared" si="8"/>
        <v>50714269820</v>
      </c>
      <c r="B271" s="10">
        <v>1004059597</v>
      </c>
      <c r="C271" s="10">
        <v>507142698</v>
      </c>
      <c r="D271" s="10">
        <v>20</v>
      </c>
      <c r="E271" s="10" t="s">
        <v>10</v>
      </c>
      <c r="F271" s="10">
        <v>1408739</v>
      </c>
      <c r="G271" s="10" t="s">
        <v>37</v>
      </c>
      <c r="H271" s="11">
        <v>26568</v>
      </c>
      <c r="I271" s="10">
        <v>0</v>
      </c>
      <c r="J271" s="11">
        <f t="shared" si="9"/>
        <v>26568</v>
      </c>
      <c r="K271" s="12">
        <f>VLOOKUP(A271,[4]VA05!$A:$K,11,FALSE)</f>
        <v>45553</v>
      </c>
      <c r="L271" s="10" t="s">
        <v>13</v>
      </c>
      <c r="M271" s="10" t="s">
        <v>179</v>
      </c>
    </row>
    <row r="272" spans="1:13" x14ac:dyDescent="0.25">
      <c r="A272" s="13" t="str">
        <f t="shared" si="8"/>
        <v>50714269840</v>
      </c>
      <c r="B272" s="10">
        <v>1004062035</v>
      </c>
      <c r="C272" s="10">
        <v>507142698</v>
      </c>
      <c r="D272" s="10">
        <v>40</v>
      </c>
      <c r="E272" s="10" t="s">
        <v>10</v>
      </c>
      <c r="F272" s="10">
        <v>1408739</v>
      </c>
      <c r="G272" s="10" t="s">
        <v>37</v>
      </c>
      <c r="H272" s="11">
        <v>27864</v>
      </c>
      <c r="I272" s="10">
        <v>0</v>
      </c>
      <c r="J272" s="11">
        <f t="shared" si="9"/>
        <v>27864</v>
      </c>
      <c r="K272" s="12">
        <f>VLOOKUP(A272,[4]VA05!$A:$K,11,FALSE)</f>
        <v>45567</v>
      </c>
      <c r="L272" s="10" t="s">
        <v>12</v>
      </c>
      <c r="M272" s="10" t="s">
        <v>197</v>
      </c>
    </row>
    <row r="273" spans="1:13" x14ac:dyDescent="0.25">
      <c r="A273" s="13" t="str">
        <f t="shared" si="8"/>
        <v>50714269840</v>
      </c>
      <c r="B273" s="10">
        <v>1004062036</v>
      </c>
      <c r="C273" s="10">
        <v>507142698</v>
      </c>
      <c r="D273" s="10">
        <v>40</v>
      </c>
      <c r="E273" s="10" t="s">
        <v>10</v>
      </c>
      <c r="F273" s="10">
        <v>1408739</v>
      </c>
      <c r="G273" s="10" t="s">
        <v>37</v>
      </c>
      <c r="H273" s="11">
        <v>27864</v>
      </c>
      <c r="I273" s="10">
        <v>0</v>
      </c>
      <c r="J273" s="11">
        <f t="shared" si="9"/>
        <v>27864</v>
      </c>
      <c r="K273" s="12">
        <f>VLOOKUP(A273,[4]VA05!$A:$K,11,FALSE)</f>
        <v>45567</v>
      </c>
      <c r="L273" s="10" t="s">
        <v>12</v>
      </c>
      <c r="M273" s="10" t="s">
        <v>197</v>
      </c>
    </row>
    <row r="274" spans="1:13" x14ac:dyDescent="0.25">
      <c r="A274" s="13" t="str">
        <f t="shared" si="8"/>
        <v>50714269840</v>
      </c>
      <c r="B274" s="10">
        <v>1004062037</v>
      </c>
      <c r="C274" s="10">
        <v>507142698</v>
      </c>
      <c r="D274" s="10">
        <v>40</v>
      </c>
      <c r="E274" s="10" t="s">
        <v>10</v>
      </c>
      <c r="F274" s="10">
        <v>1408739</v>
      </c>
      <c r="G274" s="10" t="s">
        <v>37</v>
      </c>
      <c r="H274" s="11">
        <v>27864</v>
      </c>
      <c r="I274" s="10">
        <v>0</v>
      </c>
      <c r="J274" s="11">
        <f t="shared" si="9"/>
        <v>27864</v>
      </c>
      <c r="K274" s="12">
        <f>VLOOKUP(A274,[4]VA05!$A:$K,11,FALSE)</f>
        <v>45567</v>
      </c>
      <c r="L274" s="10" t="s">
        <v>12</v>
      </c>
      <c r="M274" s="10" t="s">
        <v>197</v>
      </c>
    </row>
    <row r="275" spans="1:13" x14ac:dyDescent="0.25">
      <c r="A275" s="13" t="str">
        <f t="shared" si="8"/>
        <v>50714269840</v>
      </c>
      <c r="B275" s="10">
        <v>1004062038</v>
      </c>
      <c r="C275" s="10">
        <v>507142698</v>
      </c>
      <c r="D275" s="10">
        <v>40</v>
      </c>
      <c r="E275" s="10" t="s">
        <v>10</v>
      </c>
      <c r="F275" s="10">
        <v>1408739</v>
      </c>
      <c r="G275" s="10" t="s">
        <v>37</v>
      </c>
      <c r="H275" s="11">
        <v>26298</v>
      </c>
      <c r="I275" s="10">
        <v>0</v>
      </c>
      <c r="J275" s="11">
        <f t="shared" si="9"/>
        <v>26298</v>
      </c>
      <c r="K275" s="12">
        <f>VLOOKUP(A275,[4]VA05!$A:$K,11,FALSE)</f>
        <v>45567</v>
      </c>
      <c r="L275" s="10" t="s">
        <v>12</v>
      </c>
      <c r="M275" s="10" t="s">
        <v>197</v>
      </c>
    </row>
    <row r="276" spans="1:13" x14ac:dyDescent="0.25">
      <c r="A276" s="13" t="str">
        <f t="shared" si="8"/>
        <v>50714222020</v>
      </c>
      <c r="B276" s="10">
        <v>1003984115</v>
      </c>
      <c r="C276" s="10">
        <v>507142220</v>
      </c>
      <c r="D276" s="10">
        <v>20</v>
      </c>
      <c r="E276" s="10" t="s">
        <v>10</v>
      </c>
      <c r="F276" s="10">
        <v>1420373</v>
      </c>
      <c r="G276" s="10" t="s">
        <v>288</v>
      </c>
      <c r="H276" s="11">
        <v>25272</v>
      </c>
      <c r="I276" s="10">
        <v>0</v>
      </c>
      <c r="J276" s="11">
        <f t="shared" si="9"/>
        <v>25272</v>
      </c>
      <c r="K276" s="12" t="e">
        <f>VLOOKUP(A276,[4]VA05!$A:$K,11,FALSE)</f>
        <v>#N/A</v>
      </c>
      <c r="L276" s="10" t="s">
        <v>285</v>
      </c>
      <c r="M276" s="10" t="s">
        <v>283</v>
      </c>
    </row>
    <row r="277" spans="1:13" x14ac:dyDescent="0.25">
      <c r="A277" s="13" t="str">
        <f t="shared" si="8"/>
        <v>50714269810</v>
      </c>
      <c r="B277" s="10">
        <v>1004062505</v>
      </c>
      <c r="C277" s="10">
        <v>507142698</v>
      </c>
      <c r="D277" s="10">
        <v>10</v>
      </c>
      <c r="E277" s="10" t="s">
        <v>10</v>
      </c>
      <c r="F277" s="10">
        <v>1408742</v>
      </c>
      <c r="G277" s="10" t="s">
        <v>38</v>
      </c>
      <c r="H277" s="11">
        <v>70103</v>
      </c>
      <c r="I277" s="10">
        <v>0</v>
      </c>
      <c r="J277" s="11">
        <f t="shared" si="9"/>
        <v>70103</v>
      </c>
      <c r="K277" s="12">
        <f>VLOOKUP(A277,[4]VA05!$A:$K,11,FALSE)</f>
        <v>45553</v>
      </c>
      <c r="L277" s="10" t="s">
        <v>27</v>
      </c>
      <c r="M277" s="10" t="s">
        <v>162</v>
      </c>
    </row>
    <row r="278" spans="1:13" x14ac:dyDescent="0.25">
      <c r="A278" s="13" t="str">
        <f t="shared" si="8"/>
        <v>50714269830</v>
      </c>
      <c r="B278" s="10">
        <v>1004062506</v>
      </c>
      <c r="C278" s="10">
        <v>507142698</v>
      </c>
      <c r="D278" s="10">
        <v>30</v>
      </c>
      <c r="E278" s="10" t="s">
        <v>10</v>
      </c>
      <c r="F278" s="10">
        <v>1408742</v>
      </c>
      <c r="G278" s="10" t="s">
        <v>38</v>
      </c>
      <c r="H278" s="11">
        <v>113190</v>
      </c>
      <c r="I278" s="11">
        <v>33980</v>
      </c>
      <c r="J278" s="11">
        <f t="shared" si="9"/>
        <v>79210</v>
      </c>
      <c r="K278" s="12">
        <f>VLOOKUP(A278,[4]VA05!$A:$K,11,FALSE)</f>
        <v>45567</v>
      </c>
      <c r="L278" s="10" t="s">
        <v>18</v>
      </c>
      <c r="M278" s="10" t="s">
        <v>202</v>
      </c>
    </row>
    <row r="279" spans="1:13" x14ac:dyDescent="0.25">
      <c r="A279" s="13" t="str">
        <f t="shared" si="8"/>
        <v>50714283710</v>
      </c>
      <c r="B279" s="10">
        <v>1004062507</v>
      </c>
      <c r="C279" s="10">
        <v>507142837</v>
      </c>
      <c r="D279" s="10">
        <v>10</v>
      </c>
      <c r="E279" s="10" t="s">
        <v>10</v>
      </c>
      <c r="F279" s="10">
        <v>1408742</v>
      </c>
      <c r="G279" s="10" t="s">
        <v>38</v>
      </c>
      <c r="H279" s="11">
        <v>113465</v>
      </c>
      <c r="I279" s="10">
        <v>0</v>
      </c>
      <c r="J279" s="11">
        <f t="shared" si="9"/>
        <v>113465</v>
      </c>
      <c r="K279" s="12">
        <f>VLOOKUP(A279,[4]VA05!$A:$K,11,FALSE)</f>
        <v>45587</v>
      </c>
      <c r="L279" s="10" t="s">
        <v>12</v>
      </c>
      <c r="M279" s="10" t="s">
        <v>162</v>
      </c>
    </row>
    <row r="280" spans="1:13" x14ac:dyDescent="0.25">
      <c r="A280" s="13" t="str">
        <f t="shared" si="8"/>
        <v>50714275730</v>
      </c>
      <c r="B280" s="10">
        <v>1004054926</v>
      </c>
      <c r="C280" s="10">
        <v>507142757</v>
      </c>
      <c r="D280" s="10">
        <v>30</v>
      </c>
      <c r="E280" s="10" t="s">
        <v>10</v>
      </c>
      <c r="F280" s="10">
        <v>1411702</v>
      </c>
      <c r="G280" s="10" t="s">
        <v>221</v>
      </c>
      <c r="H280" s="11">
        <v>126758</v>
      </c>
      <c r="I280" s="11">
        <v>107316</v>
      </c>
      <c r="J280" s="11">
        <f t="shared" si="9"/>
        <v>19442</v>
      </c>
      <c r="K280" s="12">
        <f>VLOOKUP(A280,[4]VA05!$A:$K,11,FALSE)</f>
        <v>45574</v>
      </c>
      <c r="L280" s="10" t="s">
        <v>18</v>
      </c>
      <c r="M280" s="10" t="s">
        <v>178</v>
      </c>
    </row>
    <row r="281" spans="1:13" x14ac:dyDescent="0.25">
      <c r="A281" s="13" t="str">
        <f t="shared" si="8"/>
        <v>50714275750</v>
      </c>
      <c r="B281" s="10">
        <v>1004054927</v>
      </c>
      <c r="C281" s="10">
        <v>507142757</v>
      </c>
      <c r="D281" s="10">
        <v>50</v>
      </c>
      <c r="E281" s="10" t="s">
        <v>10</v>
      </c>
      <c r="F281" s="10">
        <v>1411702</v>
      </c>
      <c r="G281" s="10" t="s">
        <v>221</v>
      </c>
      <c r="H281" s="11">
        <v>63514</v>
      </c>
      <c r="I281" s="10">
        <v>0</v>
      </c>
      <c r="J281" s="11">
        <f t="shared" si="9"/>
        <v>63514</v>
      </c>
      <c r="K281" s="12">
        <f>VLOOKUP(A281,[4]VA05!$A:$K,11,FALSE)</f>
        <v>45587</v>
      </c>
      <c r="L281" s="10" t="s">
        <v>12</v>
      </c>
      <c r="M281" s="10" t="s">
        <v>156</v>
      </c>
    </row>
    <row r="282" spans="1:13" x14ac:dyDescent="0.25">
      <c r="A282" s="13" t="str">
        <f t="shared" si="8"/>
        <v>50714275670</v>
      </c>
      <c r="B282" s="10">
        <v>1004052383</v>
      </c>
      <c r="C282" s="10">
        <v>507142756</v>
      </c>
      <c r="D282" s="10">
        <v>70</v>
      </c>
      <c r="E282" s="10" t="s">
        <v>10</v>
      </c>
      <c r="F282" s="10">
        <v>1411902</v>
      </c>
      <c r="G282" s="10" t="s">
        <v>151</v>
      </c>
      <c r="H282" s="11">
        <v>126758</v>
      </c>
      <c r="I282" s="11">
        <v>51462</v>
      </c>
      <c r="J282" s="11">
        <f t="shared" si="9"/>
        <v>75296</v>
      </c>
      <c r="K282" s="12">
        <f>VLOOKUP(A282,[4]VA05!$A:$K,11,FALSE)</f>
        <v>45582</v>
      </c>
      <c r="L282" s="10" t="s">
        <v>18</v>
      </c>
      <c r="M282" s="10" t="s">
        <v>201</v>
      </c>
    </row>
    <row r="283" spans="1:13" x14ac:dyDescent="0.25">
      <c r="A283" s="13" t="str">
        <f t="shared" si="8"/>
        <v>50714275690</v>
      </c>
      <c r="B283" s="10">
        <v>1004052384</v>
      </c>
      <c r="C283" s="10">
        <v>507142756</v>
      </c>
      <c r="D283" s="10">
        <v>90</v>
      </c>
      <c r="E283" s="10" t="s">
        <v>10</v>
      </c>
      <c r="F283" s="10">
        <v>1411902</v>
      </c>
      <c r="G283" s="10" t="s">
        <v>151</v>
      </c>
      <c r="H283" s="11">
        <v>68920</v>
      </c>
      <c r="I283" s="10">
        <v>0</v>
      </c>
      <c r="J283" s="11">
        <f t="shared" si="9"/>
        <v>68920</v>
      </c>
      <c r="K283" s="12">
        <f>VLOOKUP(A283,[4]VA05!$A:$K,11,FALSE)</f>
        <v>45588</v>
      </c>
      <c r="L283" s="10" t="s">
        <v>12</v>
      </c>
      <c r="M283" s="10" t="s">
        <v>194</v>
      </c>
    </row>
    <row r="284" spans="1:13" x14ac:dyDescent="0.25">
      <c r="A284" s="13" t="str">
        <f t="shared" si="8"/>
        <v>50714275740</v>
      </c>
      <c r="B284" s="10">
        <v>1004052374</v>
      </c>
      <c r="C284" s="10">
        <v>507142757</v>
      </c>
      <c r="D284" s="10">
        <v>40</v>
      </c>
      <c r="E284" s="10" t="s">
        <v>10</v>
      </c>
      <c r="F284" s="10">
        <v>1411705</v>
      </c>
      <c r="G284" s="10" t="s">
        <v>189</v>
      </c>
      <c r="H284" s="11">
        <v>129220</v>
      </c>
      <c r="I284" s="11">
        <v>100025</v>
      </c>
      <c r="J284" s="11">
        <f t="shared" si="9"/>
        <v>29195</v>
      </c>
      <c r="K284" s="12">
        <f>VLOOKUP(A284,[4]VA05!$A:$K,11,FALSE)</f>
        <v>45574</v>
      </c>
      <c r="L284" s="10" t="s">
        <v>18</v>
      </c>
      <c r="M284" s="10" t="s">
        <v>197</v>
      </c>
    </row>
    <row r="285" spans="1:13" x14ac:dyDescent="0.25">
      <c r="A285" s="13" t="str">
        <f t="shared" si="8"/>
        <v>50714275760</v>
      </c>
      <c r="B285" s="10">
        <v>1004052375</v>
      </c>
      <c r="C285" s="10">
        <v>507142757</v>
      </c>
      <c r="D285" s="10">
        <v>60</v>
      </c>
      <c r="E285" s="10" t="s">
        <v>10</v>
      </c>
      <c r="F285" s="10">
        <v>1411705</v>
      </c>
      <c r="G285" s="10" t="s">
        <v>189</v>
      </c>
      <c r="H285" s="11">
        <v>64748</v>
      </c>
      <c r="I285" s="10">
        <v>0</v>
      </c>
      <c r="J285" s="11">
        <f t="shared" si="9"/>
        <v>64748</v>
      </c>
      <c r="K285" s="12">
        <f>VLOOKUP(A285,[4]VA05!$A:$K,11,FALSE)</f>
        <v>45587</v>
      </c>
      <c r="L285" s="10" t="s">
        <v>12</v>
      </c>
      <c r="M285" s="10" t="s">
        <v>156</v>
      </c>
    </row>
    <row r="286" spans="1:13" x14ac:dyDescent="0.25">
      <c r="A286" s="13" t="str">
        <f t="shared" si="8"/>
        <v>50714275780</v>
      </c>
      <c r="B286" s="10">
        <v>1004052376</v>
      </c>
      <c r="C286" s="10">
        <v>507142757</v>
      </c>
      <c r="D286" s="10">
        <v>80</v>
      </c>
      <c r="E286" s="10" t="s">
        <v>10</v>
      </c>
      <c r="F286" s="10">
        <v>1411705</v>
      </c>
      <c r="G286" s="10" t="s">
        <v>189</v>
      </c>
      <c r="H286" s="11">
        <v>23145</v>
      </c>
      <c r="I286" s="10">
        <v>0</v>
      </c>
      <c r="J286" s="11">
        <f t="shared" si="9"/>
        <v>23145</v>
      </c>
      <c r="K286" s="12">
        <f>VLOOKUP(A286,[4]VA05!$A:$K,11,FALSE)</f>
        <v>45594</v>
      </c>
      <c r="L286" s="10" t="s">
        <v>12</v>
      </c>
      <c r="M286" s="10" t="s">
        <v>176</v>
      </c>
    </row>
    <row r="287" spans="1:13" x14ac:dyDescent="0.25">
      <c r="A287" s="13" t="str">
        <f t="shared" si="8"/>
        <v>50714275680</v>
      </c>
      <c r="B287" s="10">
        <v>1004052371</v>
      </c>
      <c r="C287" s="10">
        <v>507142756</v>
      </c>
      <c r="D287" s="10">
        <v>80</v>
      </c>
      <c r="E287" s="10" t="s">
        <v>10</v>
      </c>
      <c r="F287" s="10">
        <v>1411900</v>
      </c>
      <c r="G287" s="10" t="s">
        <v>152</v>
      </c>
      <c r="H287" s="11">
        <v>129220</v>
      </c>
      <c r="I287" s="11">
        <v>51992</v>
      </c>
      <c r="J287" s="11">
        <f t="shared" si="9"/>
        <v>77228</v>
      </c>
      <c r="K287" s="12">
        <f>VLOOKUP(A287,[4]VA05!$A:$K,11,FALSE)</f>
        <v>45582</v>
      </c>
      <c r="L287" s="10" t="s">
        <v>11</v>
      </c>
      <c r="M287" s="10" t="s">
        <v>180</v>
      </c>
    </row>
    <row r="288" spans="1:13" x14ac:dyDescent="0.25">
      <c r="A288" s="13" t="str">
        <f t="shared" si="8"/>
        <v>507142756100</v>
      </c>
      <c r="B288" s="10">
        <v>1004052372</v>
      </c>
      <c r="C288" s="10">
        <v>507142756</v>
      </c>
      <c r="D288" s="10">
        <v>100</v>
      </c>
      <c r="E288" s="10" t="s">
        <v>10</v>
      </c>
      <c r="F288" s="10">
        <v>1411900</v>
      </c>
      <c r="G288" s="10" t="s">
        <v>152</v>
      </c>
      <c r="H288" s="11">
        <v>70258</v>
      </c>
      <c r="I288" s="10">
        <v>0</v>
      </c>
      <c r="J288" s="11">
        <f t="shared" si="9"/>
        <v>70258</v>
      </c>
      <c r="K288" s="12">
        <f>VLOOKUP(A288,[4]VA05!$A:$K,11,FALSE)</f>
        <v>45588</v>
      </c>
      <c r="L288" s="10" t="s">
        <v>12</v>
      </c>
      <c r="M288" s="10" t="s">
        <v>178</v>
      </c>
    </row>
    <row r="289" spans="1:13" x14ac:dyDescent="0.25">
      <c r="A289" s="13" t="str">
        <f t="shared" si="8"/>
        <v>50714275730</v>
      </c>
      <c r="B289" s="10">
        <v>1004052378</v>
      </c>
      <c r="C289" s="10">
        <v>507142757</v>
      </c>
      <c r="D289" s="10">
        <v>30</v>
      </c>
      <c r="E289" s="10" t="s">
        <v>10</v>
      </c>
      <c r="F289" s="10">
        <v>1411703</v>
      </c>
      <c r="G289" s="10" t="s">
        <v>190</v>
      </c>
      <c r="H289" s="11">
        <v>123066</v>
      </c>
      <c r="I289" s="11">
        <v>23118</v>
      </c>
      <c r="J289" s="11">
        <f t="shared" si="9"/>
        <v>99948</v>
      </c>
      <c r="K289" s="12">
        <f>VLOOKUP(A289,[4]VA05!$A:$K,11,FALSE)</f>
        <v>45574</v>
      </c>
      <c r="L289" s="10" t="s">
        <v>18</v>
      </c>
      <c r="M289" s="10" t="s">
        <v>202</v>
      </c>
    </row>
    <row r="290" spans="1:13" x14ac:dyDescent="0.25">
      <c r="A290" s="13" t="str">
        <f t="shared" si="8"/>
        <v>50714275750</v>
      </c>
      <c r="B290" s="10">
        <v>1004052379</v>
      </c>
      <c r="C290" s="10">
        <v>507142757</v>
      </c>
      <c r="D290" s="10">
        <v>50</v>
      </c>
      <c r="E290" s="10" t="s">
        <v>10</v>
      </c>
      <c r="F290" s="10">
        <v>1411703</v>
      </c>
      <c r="G290" s="10" t="s">
        <v>190</v>
      </c>
      <c r="H290" s="11">
        <v>61664</v>
      </c>
      <c r="I290" s="10">
        <v>0</v>
      </c>
      <c r="J290" s="11">
        <f t="shared" si="9"/>
        <v>61664</v>
      </c>
      <c r="K290" s="12">
        <f>VLOOKUP(A290,[4]VA05!$A:$K,11,FALSE)</f>
        <v>45587</v>
      </c>
      <c r="L290" s="10" t="s">
        <v>12</v>
      </c>
      <c r="M290" s="10" t="s">
        <v>156</v>
      </c>
    </row>
    <row r="291" spans="1:13" x14ac:dyDescent="0.25">
      <c r="A291" s="13" t="str">
        <f t="shared" si="8"/>
        <v>50714275770</v>
      </c>
      <c r="B291" s="10">
        <v>1004052380</v>
      </c>
      <c r="C291" s="10">
        <v>507142757</v>
      </c>
      <c r="D291" s="10">
        <v>70</v>
      </c>
      <c r="E291" s="10" t="s">
        <v>10</v>
      </c>
      <c r="F291" s="10">
        <v>1411703</v>
      </c>
      <c r="G291" s="10" t="s">
        <v>190</v>
      </c>
      <c r="H291" s="11">
        <v>22042</v>
      </c>
      <c r="I291" s="10">
        <v>0</v>
      </c>
      <c r="J291" s="11">
        <f t="shared" si="9"/>
        <v>22042</v>
      </c>
      <c r="K291" s="12">
        <f>VLOOKUP(A291,[4]VA05!$A:$K,11,FALSE)</f>
        <v>45594</v>
      </c>
      <c r="L291" s="10" t="s">
        <v>12</v>
      </c>
      <c r="M291" s="10" t="s">
        <v>176</v>
      </c>
    </row>
    <row r="292" spans="1:13" x14ac:dyDescent="0.25">
      <c r="A292" s="13" t="str">
        <f t="shared" si="8"/>
        <v>50714275670</v>
      </c>
      <c r="B292" s="10">
        <v>1004052381</v>
      </c>
      <c r="C292" s="10">
        <v>507142756</v>
      </c>
      <c r="D292" s="10">
        <v>70</v>
      </c>
      <c r="E292" s="10" t="s">
        <v>10</v>
      </c>
      <c r="F292" s="10">
        <v>1411901</v>
      </c>
      <c r="G292" s="10" t="s">
        <v>153</v>
      </c>
      <c r="H292" s="11">
        <v>123066</v>
      </c>
      <c r="I292" s="11">
        <v>8950</v>
      </c>
      <c r="J292" s="11">
        <f t="shared" si="9"/>
        <v>114116</v>
      </c>
      <c r="K292" s="12">
        <f>VLOOKUP(A292,[4]VA05!$A:$K,11,FALSE)</f>
        <v>45582</v>
      </c>
      <c r="L292" s="10" t="s">
        <v>18</v>
      </c>
      <c r="M292" s="10" t="s">
        <v>154</v>
      </c>
    </row>
    <row r="293" spans="1:13" x14ac:dyDescent="0.25">
      <c r="A293" s="13" t="str">
        <f t="shared" si="8"/>
        <v>50714275690</v>
      </c>
      <c r="B293" s="10">
        <v>1004052382</v>
      </c>
      <c r="C293" s="10">
        <v>507142756</v>
      </c>
      <c r="D293" s="10">
        <v>90</v>
      </c>
      <c r="E293" s="10" t="s">
        <v>10</v>
      </c>
      <c r="F293" s="10">
        <v>1411901</v>
      </c>
      <c r="G293" s="10" t="s">
        <v>153</v>
      </c>
      <c r="H293" s="11">
        <v>66912</v>
      </c>
      <c r="I293" s="10">
        <v>0</v>
      </c>
      <c r="J293" s="11">
        <f t="shared" si="9"/>
        <v>66912</v>
      </c>
      <c r="K293" s="12">
        <f>VLOOKUP(A293,[4]VA05!$A:$K,11,FALSE)</f>
        <v>45588</v>
      </c>
      <c r="L293" s="10" t="s">
        <v>12</v>
      </c>
      <c r="M293" s="10" t="s">
        <v>156</v>
      </c>
    </row>
    <row r="294" spans="1:13" hidden="1" x14ac:dyDescent="0.25">
      <c r="A294" s="13" t="str">
        <f t="shared" si="8"/>
        <v>507142416200</v>
      </c>
      <c r="B294" s="10">
        <v>1004053568</v>
      </c>
      <c r="C294" s="10">
        <v>507142416</v>
      </c>
      <c r="D294" s="10">
        <v>200</v>
      </c>
      <c r="E294" s="10" t="s">
        <v>10</v>
      </c>
      <c r="F294" s="10">
        <v>1172059</v>
      </c>
      <c r="G294" s="10" t="s">
        <v>59</v>
      </c>
      <c r="H294" s="11">
        <v>10195</v>
      </c>
      <c r="I294" s="11">
        <v>10195</v>
      </c>
      <c r="J294" s="11">
        <f t="shared" si="9"/>
        <v>0</v>
      </c>
      <c r="K294" s="12">
        <f>VLOOKUP(A294,[4]VA05!$A:$K,11,FALSE)</f>
        <v>45582</v>
      </c>
      <c r="L294" s="10" t="s">
        <v>113</v>
      </c>
      <c r="M294" s="10" t="s">
        <v>179</v>
      </c>
    </row>
    <row r="295" spans="1:13" x14ac:dyDescent="0.25">
      <c r="A295" s="13" t="str">
        <f t="shared" si="8"/>
        <v>507142416230</v>
      </c>
      <c r="B295" s="10">
        <v>1004053609</v>
      </c>
      <c r="C295" s="10">
        <v>507142416</v>
      </c>
      <c r="D295" s="10">
        <v>230</v>
      </c>
      <c r="E295" s="10" t="s">
        <v>10</v>
      </c>
      <c r="F295" s="10">
        <v>1172059</v>
      </c>
      <c r="G295" s="10" t="s">
        <v>59</v>
      </c>
      <c r="H295" s="11">
        <v>10195</v>
      </c>
      <c r="I295" s="11">
        <v>1476</v>
      </c>
      <c r="J295" s="11">
        <f t="shared" si="9"/>
        <v>8719</v>
      </c>
      <c r="K295" s="12">
        <f>VLOOKUP(A295,[4]VA05!$A:$K,11,FALSE)</f>
        <v>45587</v>
      </c>
      <c r="L295" s="10" t="s">
        <v>11</v>
      </c>
      <c r="M295" s="10" t="s">
        <v>191</v>
      </c>
    </row>
    <row r="296" spans="1:13" x14ac:dyDescent="0.25">
      <c r="A296" s="13" t="str">
        <f t="shared" si="8"/>
        <v>50714271330</v>
      </c>
      <c r="B296" s="10">
        <v>1004063620</v>
      </c>
      <c r="C296" s="10">
        <v>507142713</v>
      </c>
      <c r="D296" s="10">
        <v>30</v>
      </c>
      <c r="E296" s="10" t="s">
        <v>10</v>
      </c>
      <c r="F296" s="10">
        <v>1172059</v>
      </c>
      <c r="G296" s="10" t="s">
        <v>59</v>
      </c>
      <c r="H296" s="11">
        <v>10195</v>
      </c>
      <c r="I296" s="10">
        <v>0</v>
      </c>
      <c r="J296" s="11">
        <f t="shared" si="9"/>
        <v>10195</v>
      </c>
      <c r="K296" s="12">
        <f>VLOOKUP(A296,[4]VA05!$A:$K,11,FALSE)</f>
        <v>45591</v>
      </c>
      <c r="L296" s="10" t="s">
        <v>12</v>
      </c>
      <c r="M296" s="10" t="s">
        <v>207</v>
      </c>
    </row>
    <row r="297" spans="1:13" x14ac:dyDescent="0.25">
      <c r="A297" s="13" t="str">
        <f t="shared" si="8"/>
        <v>50714271360</v>
      </c>
      <c r="B297" s="10">
        <v>1004063621</v>
      </c>
      <c r="C297" s="10">
        <v>507142713</v>
      </c>
      <c r="D297" s="10">
        <v>60</v>
      </c>
      <c r="E297" s="10" t="s">
        <v>10</v>
      </c>
      <c r="F297" s="10">
        <v>1172059</v>
      </c>
      <c r="G297" s="10" t="s">
        <v>59</v>
      </c>
      <c r="H297" s="11">
        <v>10195</v>
      </c>
      <c r="I297" s="10">
        <v>0</v>
      </c>
      <c r="J297" s="11">
        <f t="shared" si="9"/>
        <v>10195</v>
      </c>
      <c r="K297" s="12">
        <f>VLOOKUP(A297,[4]VA05!$A:$K,11,FALSE)</f>
        <v>45591</v>
      </c>
      <c r="L297" s="10" t="s">
        <v>12</v>
      </c>
      <c r="M297" s="10" t="s">
        <v>207</v>
      </c>
    </row>
    <row r="298" spans="1:13" x14ac:dyDescent="0.25">
      <c r="A298" s="13" t="str">
        <f t="shared" si="8"/>
        <v>50714268040</v>
      </c>
      <c r="B298" s="10">
        <v>1004053551</v>
      </c>
      <c r="C298" s="10">
        <v>507142680</v>
      </c>
      <c r="D298" s="10">
        <v>40</v>
      </c>
      <c r="E298" s="10" t="s">
        <v>10</v>
      </c>
      <c r="F298" s="10">
        <v>1167435</v>
      </c>
      <c r="G298" s="10" t="s">
        <v>26</v>
      </c>
      <c r="H298" s="11">
        <v>25287</v>
      </c>
      <c r="I298" s="11">
        <v>16931</v>
      </c>
      <c r="J298" s="11">
        <f t="shared" si="9"/>
        <v>8356</v>
      </c>
      <c r="K298" s="12">
        <f>VLOOKUP(A298,[4]VA05!$A:$K,11,FALSE)</f>
        <v>45572</v>
      </c>
      <c r="L298" s="10" t="s">
        <v>18</v>
      </c>
      <c r="M298" s="10" t="s">
        <v>156</v>
      </c>
    </row>
    <row r="299" spans="1:13" x14ac:dyDescent="0.25">
      <c r="A299" s="13" t="str">
        <f t="shared" si="8"/>
        <v>50714275420</v>
      </c>
      <c r="B299" s="10">
        <v>1004053562</v>
      </c>
      <c r="C299" s="10">
        <v>507142754</v>
      </c>
      <c r="D299" s="10">
        <v>20</v>
      </c>
      <c r="E299" s="10" t="s">
        <v>10</v>
      </c>
      <c r="F299" s="10">
        <v>1167435</v>
      </c>
      <c r="G299" s="10" t="s">
        <v>26</v>
      </c>
      <c r="H299" s="11">
        <v>20390</v>
      </c>
      <c r="I299" s="10">
        <v>0</v>
      </c>
      <c r="J299" s="11">
        <f t="shared" si="9"/>
        <v>20390</v>
      </c>
      <c r="K299" s="12">
        <f>VLOOKUP(A299,[4]VA05!$A:$K,11,FALSE)</f>
        <v>45611</v>
      </c>
      <c r="L299" s="10" t="s">
        <v>12</v>
      </c>
      <c r="M299" s="10" t="s">
        <v>217</v>
      </c>
    </row>
    <row r="300" spans="1:13" x14ac:dyDescent="0.25">
      <c r="A300" s="13" t="str">
        <f t="shared" si="8"/>
        <v>50714276930</v>
      </c>
      <c r="B300" s="10">
        <v>1004053564</v>
      </c>
      <c r="C300" s="10">
        <v>507142769</v>
      </c>
      <c r="D300" s="10">
        <v>30</v>
      </c>
      <c r="E300" s="10" t="s">
        <v>10</v>
      </c>
      <c r="F300" s="10">
        <v>1167435</v>
      </c>
      <c r="G300" s="10" t="s">
        <v>26</v>
      </c>
      <c r="H300" s="11">
        <v>30683</v>
      </c>
      <c r="I300" s="10">
        <v>0</v>
      </c>
      <c r="J300" s="11">
        <f t="shared" si="9"/>
        <v>30683</v>
      </c>
      <c r="K300" s="12">
        <f>VLOOKUP(A300,[4]VA05!$A:$K,11,FALSE)</f>
        <v>45575</v>
      </c>
      <c r="L300" s="10" t="s">
        <v>25</v>
      </c>
      <c r="M300" s="10" t="s">
        <v>202</v>
      </c>
    </row>
    <row r="301" spans="1:13" x14ac:dyDescent="0.25">
      <c r="A301" s="13" t="str">
        <f t="shared" si="8"/>
        <v>50714283530</v>
      </c>
      <c r="B301" s="10">
        <v>1004060455</v>
      </c>
      <c r="C301" s="10">
        <v>507142835</v>
      </c>
      <c r="D301" s="10">
        <v>30</v>
      </c>
      <c r="E301" s="10" t="s">
        <v>10</v>
      </c>
      <c r="F301" s="10">
        <v>1167435</v>
      </c>
      <c r="G301" s="10" t="s">
        <v>26</v>
      </c>
      <c r="H301" s="11">
        <v>10277</v>
      </c>
      <c r="I301" s="10">
        <v>0</v>
      </c>
      <c r="J301" s="11">
        <f t="shared" si="9"/>
        <v>10277</v>
      </c>
      <c r="K301" s="12">
        <f>VLOOKUP(A301,[4]VA05!$A:$K,11,FALSE)</f>
        <v>45587</v>
      </c>
      <c r="L301" s="10" t="s">
        <v>12</v>
      </c>
      <c r="M301" s="10" t="s">
        <v>109</v>
      </c>
    </row>
    <row r="302" spans="1:13" x14ac:dyDescent="0.25">
      <c r="A302" s="13" t="str">
        <f t="shared" si="8"/>
        <v>50714226530</v>
      </c>
      <c r="B302" s="10">
        <v>1004060456</v>
      </c>
      <c r="C302" s="10">
        <v>507142265</v>
      </c>
      <c r="D302" s="10">
        <v>30</v>
      </c>
      <c r="E302" s="10" t="s">
        <v>10</v>
      </c>
      <c r="F302" s="10">
        <v>1170825</v>
      </c>
      <c r="G302" s="10" t="s">
        <v>252</v>
      </c>
      <c r="H302" s="11">
        <v>40524</v>
      </c>
      <c r="I302" s="10">
        <v>0</v>
      </c>
      <c r="J302" s="11">
        <f t="shared" si="9"/>
        <v>40524</v>
      </c>
      <c r="K302" s="12">
        <f>VLOOKUP(A302,[4]VA05!$A:$K,11,FALSE)</f>
        <v>45576</v>
      </c>
      <c r="L302" s="10" t="s">
        <v>12</v>
      </c>
      <c r="M302" s="10" t="s">
        <v>194</v>
      </c>
    </row>
    <row r="303" spans="1:13" x14ac:dyDescent="0.25">
      <c r="A303" s="13" t="str">
        <f t="shared" si="8"/>
        <v>50714262620</v>
      </c>
      <c r="B303" s="10">
        <v>1004060457</v>
      </c>
      <c r="C303" s="10">
        <v>507142626</v>
      </c>
      <c r="D303" s="10">
        <v>20</v>
      </c>
      <c r="E303" s="10" t="s">
        <v>10</v>
      </c>
      <c r="F303" s="10">
        <v>1170825</v>
      </c>
      <c r="G303" s="10" t="s">
        <v>252</v>
      </c>
      <c r="H303" s="11">
        <v>25425</v>
      </c>
      <c r="I303" s="10">
        <v>0</v>
      </c>
      <c r="J303" s="11">
        <f t="shared" si="9"/>
        <v>25425</v>
      </c>
      <c r="K303" s="12">
        <f>VLOOKUP(A303,[4]VA05!$A:$K,11,FALSE)</f>
        <v>45590</v>
      </c>
      <c r="L303" s="10" t="s">
        <v>12</v>
      </c>
      <c r="M303" s="10" t="s">
        <v>199</v>
      </c>
    </row>
    <row r="304" spans="1:13" x14ac:dyDescent="0.25">
      <c r="A304" s="13" t="str">
        <f t="shared" si="8"/>
        <v>50714270930</v>
      </c>
      <c r="B304" s="10">
        <v>1004060458</v>
      </c>
      <c r="C304" s="10">
        <v>507142709</v>
      </c>
      <c r="D304" s="10">
        <v>30</v>
      </c>
      <c r="E304" s="10" t="s">
        <v>10</v>
      </c>
      <c r="F304" s="10">
        <v>1170825</v>
      </c>
      <c r="G304" s="10" t="s">
        <v>252</v>
      </c>
      <c r="H304" s="11">
        <v>30393</v>
      </c>
      <c r="I304" s="10">
        <v>0</v>
      </c>
      <c r="J304" s="11">
        <f t="shared" si="9"/>
        <v>30393</v>
      </c>
      <c r="K304" s="12">
        <f>VLOOKUP(A304,[4]VA05!$A:$K,11,FALSE)</f>
        <v>45583</v>
      </c>
      <c r="L304" s="10" t="s">
        <v>12</v>
      </c>
      <c r="M304" s="10" t="s">
        <v>179</v>
      </c>
    </row>
    <row r="305" spans="1:13" x14ac:dyDescent="0.25">
      <c r="A305" s="13" t="str">
        <f t="shared" si="8"/>
        <v>50714271030</v>
      </c>
      <c r="B305" s="10">
        <v>1004060459</v>
      </c>
      <c r="C305" s="10">
        <v>507142710</v>
      </c>
      <c r="D305" s="10">
        <v>30</v>
      </c>
      <c r="E305" s="10" t="s">
        <v>10</v>
      </c>
      <c r="F305" s="10">
        <v>1170825</v>
      </c>
      <c r="G305" s="10" t="s">
        <v>252</v>
      </c>
      <c r="H305" s="11">
        <v>30393</v>
      </c>
      <c r="I305" s="10">
        <v>0</v>
      </c>
      <c r="J305" s="11">
        <f t="shared" si="9"/>
        <v>30393</v>
      </c>
      <c r="K305" s="12">
        <f>VLOOKUP(A305,[4]VA05!$A:$K,11,FALSE)</f>
        <v>45596</v>
      </c>
      <c r="L305" s="10" t="s">
        <v>12</v>
      </c>
      <c r="M305" s="10" t="s">
        <v>207</v>
      </c>
    </row>
  </sheetData>
  <autoFilter ref="A2:M305" xr:uid="{7A8855D3-FA50-4E04-ABC1-F6EB31477D6B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CNF  DLV  PRC  BASC BCRQ GMPS*"/>
        <filter val="REL  MSPT DLV  PRC  BASC BCRQ GMPS SETC"/>
        <filter val="REL  MSPT PCNF DLV  PRC  BASC BCRQ GMPS*"/>
        <filter val="REL  MSPT PCNF PRC  BASC BCRQ GMPS PDLV*"/>
        <filter val="REL  MSPT PRC  BASC BCRQ GMPS PDLV SETC"/>
        <filter val="REL  MSPT PRC  BASC BCRQ GMPS RESA SETC"/>
        <filter val="REL  MSPT PRC  BASC BCRQ GMPS SETC"/>
        <filter val="REL  MSPT PRC  BASC BCRQ SETC"/>
        <filter val="REL  MSPT PRT  PCNF DLV  PRC  BASC BCRQ*"/>
        <filter val="REL  MSPT PRT  PCNF PRC  BASC BCRQ GMPS*"/>
        <filter val="REL  MSPT PRT  PCNF PRC  BASC BCRQ SETC"/>
        <filter val="REL  MSPT PRT  PRC  BASC BCRQ GMPS PDLV*"/>
        <filter val="REL  MSPT PRT  PRC  BASC BCRQ GMPS RESA*"/>
        <filter val="REL  MSPT PRT  PRC  BASC BCRQ GMPS SETC"/>
        <filter val="REL  MSPT PRT  PRC  BASC BCRQ SETC"/>
        <filter val="REL  MSPT PRT  PRC  DLFL BASC BCRQ SETC"/>
        <filter val="REL  PCNF DLV  PRC  BASC BCRQ GMPS MACM*"/>
        <filter val="REL  PPRT PCNF PRC  BASC BCRQ GMPS MACM*"/>
        <filter val="REL  PRT  PCNF DLV  PRC  BASC BCRQ GMPS*"/>
        <filter val="REL  PRT  PCNF PRC  BASC BCRQ GMPS MACM*"/>
        <filter val="REL  PRT  PRC  BASC BCRQ GMPS MACM RESA*"/>
      </filters>
    </filterColumn>
  </autoFilter>
  <pageMargins left="0.2" right="0.2" top="0.25" bottom="0.25" header="0.05" footer="0.05"/>
  <pageSetup scale="107" orientation="landscape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F722-20E6-4F29-AAF5-4714283BE7CA}">
  <sheetPr filterMode="1"/>
  <dimension ref="A1:M287"/>
  <sheetViews>
    <sheetView topLeftCell="A153" workbookViewId="0">
      <selection activeCell="B127" sqref="B127"/>
    </sheetView>
  </sheetViews>
  <sheetFormatPr defaultRowHeight="15" x14ac:dyDescent="0.25"/>
  <cols>
    <col min="2" max="2" width="13" customWidth="1"/>
    <col min="3" max="3" width="12.28515625" customWidth="1"/>
    <col min="4" max="4" width="4.7109375" customWidth="1"/>
    <col min="5" max="5" width="7.28515625" customWidth="1"/>
    <col min="6" max="6" width="9.28515625" bestFit="1" customWidth="1"/>
    <col min="7" max="7" width="36.42578125" customWidth="1"/>
    <col min="8" max="10" width="9.28515625" bestFit="1" customWidth="1"/>
    <col min="12" max="12" width="4.7109375" customWidth="1"/>
  </cols>
  <sheetData>
    <row r="1" spans="1:13" s="13" customFormat="1" ht="23.25" x14ac:dyDescent="0.35">
      <c r="B1" s="1" t="s">
        <v>309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s="1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VLOOKUP(A3,[4]VA05!$A:$K,11,FALSE)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VLOOKUP(A4,[4]VA05!$A:$K,11,FALSE)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0">
        <v>0</v>
      </c>
      <c r="J5" s="11">
        <f t="shared" si="1"/>
        <v>11111</v>
      </c>
      <c r="K5" s="12">
        <f>VLOOKUP(A5,[4]VA05!$A:$K,11,FALSE)</f>
        <v>45593</v>
      </c>
      <c r="L5" s="10" t="s">
        <v>13</v>
      </c>
      <c r="M5" s="10" t="s">
        <v>157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VLOOKUP(A6,[4]VA05!$A:$K,11,FALSE)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VLOOKUP(A7,[4]VA05!$A:$K,11,FALSE)</f>
        <v>45593</v>
      </c>
      <c r="L7" s="10" t="s">
        <v>13</v>
      </c>
      <c r="M7" s="10" t="s">
        <v>157</v>
      </c>
    </row>
    <row r="8" spans="1:13" hidden="1" x14ac:dyDescent="0.25">
      <c r="A8" s="13" t="str">
        <f t="shared" si="0"/>
        <v>50800513010</v>
      </c>
      <c r="B8" s="10">
        <v>1004054668</v>
      </c>
      <c r="C8" s="10">
        <v>508005130</v>
      </c>
      <c r="D8" s="10">
        <v>10</v>
      </c>
      <c r="E8" s="10" t="s">
        <v>10</v>
      </c>
      <c r="F8" s="10">
        <v>1200940</v>
      </c>
      <c r="G8" s="10" t="s">
        <v>42</v>
      </c>
      <c r="H8" s="11">
        <v>20400</v>
      </c>
      <c r="I8" s="10">
        <v>0</v>
      </c>
      <c r="J8" s="11">
        <f t="shared" si="1"/>
        <v>20400</v>
      </c>
      <c r="K8" s="12" t="e">
        <f>VLOOKUP(A8,[4]VA05!$A:$K,11,FALSE)</f>
        <v>#N/A</v>
      </c>
      <c r="L8" s="10" t="s">
        <v>260</v>
      </c>
      <c r="M8" s="10" t="s">
        <v>140</v>
      </c>
    </row>
    <row r="9" spans="1:13" x14ac:dyDescent="0.25">
      <c r="A9" s="13" t="str">
        <f t="shared" si="0"/>
        <v>50714156910</v>
      </c>
      <c r="B9" s="10">
        <v>1004003998</v>
      </c>
      <c r="C9" s="10">
        <v>507141569</v>
      </c>
      <c r="D9" s="10">
        <v>10</v>
      </c>
      <c r="E9" s="10" t="s">
        <v>10</v>
      </c>
      <c r="F9" s="10">
        <v>1175312</v>
      </c>
      <c r="G9" s="10" t="s">
        <v>51</v>
      </c>
      <c r="H9" s="11">
        <v>25845</v>
      </c>
      <c r="I9" s="10">
        <v>0</v>
      </c>
      <c r="J9" s="11">
        <f t="shared" si="1"/>
        <v>25845</v>
      </c>
      <c r="K9" s="12">
        <f>VLOOKUP(A9,[4]VA05!$A:$K,11,FALSE)</f>
        <v>45611</v>
      </c>
      <c r="L9" s="10" t="s">
        <v>117</v>
      </c>
      <c r="M9" s="10" t="s">
        <v>78</v>
      </c>
    </row>
    <row r="10" spans="1:13" x14ac:dyDescent="0.25">
      <c r="A10" s="13" t="str">
        <f t="shared" si="0"/>
        <v>50714156910</v>
      </c>
      <c r="B10" s="10">
        <v>1004017074</v>
      </c>
      <c r="C10" s="10">
        <v>507141569</v>
      </c>
      <c r="D10" s="10">
        <v>10</v>
      </c>
      <c r="E10" s="10" t="s">
        <v>10</v>
      </c>
      <c r="F10" s="10">
        <v>1175311</v>
      </c>
      <c r="G10" s="10" t="s">
        <v>67</v>
      </c>
      <c r="H10" s="11">
        <v>25845</v>
      </c>
      <c r="I10" s="10">
        <v>0</v>
      </c>
      <c r="J10" s="11">
        <f t="shared" si="1"/>
        <v>25845</v>
      </c>
      <c r="K10" s="12">
        <f>VLOOKUP(A10,[4]VA05!$A:$K,11,FALSE)</f>
        <v>45611</v>
      </c>
      <c r="L10" s="10" t="s">
        <v>12</v>
      </c>
      <c r="M10" s="10" t="s">
        <v>50</v>
      </c>
    </row>
    <row r="11" spans="1:13" x14ac:dyDescent="0.25">
      <c r="A11" s="13" t="str">
        <f t="shared" si="0"/>
        <v>50714270810</v>
      </c>
      <c r="B11" s="10">
        <v>1004052045</v>
      </c>
      <c r="C11" s="10">
        <v>507142708</v>
      </c>
      <c r="D11" s="10">
        <v>10</v>
      </c>
      <c r="E11" s="10" t="s">
        <v>10</v>
      </c>
      <c r="F11" s="10">
        <v>1215664</v>
      </c>
      <c r="G11" s="10" t="s">
        <v>90</v>
      </c>
      <c r="H11" s="11">
        <v>11159</v>
      </c>
      <c r="I11" s="10">
        <v>0</v>
      </c>
      <c r="J11" s="11">
        <f t="shared" si="1"/>
        <v>11159</v>
      </c>
      <c r="K11" s="12">
        <f>VLOOKUP(A11,[4]VA05!$A:$K,11,FALSE)</f>
        <v>45588</v>
      </c>
      <c r="L11" s="10" t="s">
        <v>13</v>
      </c>
      <c r="M11" s="10" t="s">
        <v>191</v>
      </c>
    </row>
    <row r="12" spans="1:13" x14ac:dyDescent="0.25">
      <c r="A12" s="13" t="str">
        <f t="shared" si="0"/>
        <v>50714278910</v>
      </c>
      <c r="B12" s="10">
        <v>1004052165</v>
      </c>
      <c r="C12" s="10">
        <v>507142789</v>
      </c>
      <c r="D12" s="10">
        <v>10</v>
      </c>
      <c r="E12" s="10" t="s">
        <v>10</v>
      </c>
      <c r="F12" s="10">
        <v>1411198</v>
      </c>
      <c r="G12" s="10" t="s">
        <v>41</v>
      </c>
      <c r="H12" s="11">
        <v>14201</v>
      </c>
      <c r="I12" s="11">
        <v>12130</v>
      </c>
      <c r="J12" s="11">
        <f t="shared" si="1"/>
        <v>2071</v>
      </c>
      <c r="K12" s="12">
        <f>VLOOKUP(A12,[4]VA05!$A:$K,11,FALSE)</f>
        <v>45583</v>
      </c>
      <c r="L12" s="10" t="s">
        <v>18</v>
      </c>
      <c r="M12" s="10" t="s">
        <v>162</v>
      </c>
    </row>
    <row r="13" spans="1:13" x14ac:dyDescent="0.25">
      <c r="A13" s="13" t="str">
        <f t="shared" si="0"/>
        <v>50714282710</v>
      </c>
      <c r="B13" s="10">
        <v>1004061191</v>
      </c>
      <c r="C13" s="10">
        <v>507142827</v>
      </c>
      <c r="D13" s="10">
        <v>10</v>
      </c>
      <c r="E13" s="10" t="s">
        <v>10</v>
      </c>
      <c r="F13" s="10">
        <v>1411198</v>
      </c>
      <c r="G13" s="10" t="s">
        <v>41</v>
      </c>
      <c r="H13" s="11">
        <v>28402</v>
      </c>
      <c r="I13" s="10">
        <v>0</v>
      </c>
      <c r="J13" s="11">
        <f t="shared" si="1"/>
        <v>28402</v>
      </c>
      <c r="K13" s="12">
        <f>VLOOKUP(A13,[4]VA05!$A:$K,11,FALSE)</f>
        <v>45588</v>
      </c>
      <c r="L13" s="10" t="s">
        <v>13</v>
      </c>
      <c r="M13" s="10" t="s">
        <v>157</v>
      </c>
    </row>
    <row r="14" spans="1:13" x14ac:dyDescent="0.25">
      <c r="A14" s="13" t="str">
        <f t="shared" si="0"/>
        <v>50714270810</v>
      </c>
      <c r="B14" s="10">
        <v>1004052046</v>
      </c>
      <c r="C14" s="10">
        <v>507142708</v>
      </c>
      <c r="D14" s="10">
        <v>10</v>
      </c>
      <c r="E14" s="10" t="s">
        <v>10</v>
      </c>
      <c r="F14" s="10">
        <v>1215668</v>
      </c>
      <c r="G14" s="10" t="s">
        <v>108</v>
      </c>
      <c r="H14" s="11">
        <v>11349</v>
      </c>
      <c r="I14" s="10">
        <v>0</v>
      </c>
      <c r="J14" s="11">
        <f t="shared" si="1"/>
        <v>11349</v>
      </c>
      <c r="K14" s="12">
        <f>VLOOKUP(A14,[4]VA05!$A:$K,11,FALSE)</f>
        <v>45588</v>
      </c>
      <c r="L14" s="10" t="s">
        <v>13</v>
      </c>
      <c r="M14" s="10" t="s">
        <v>192</v>
      </c>
    </row>
    <row r="15" spans="1:13" x14ac:dyDescent="0.25">
      <c r="A15" s="13" t="str">
        <f t="shared" si="0"/>
        <v>50714283810</v>
      </c>
      <c r="B15" s="10">
        <v>1004061192</v>
      </c>
      <c r="C15" s="10">
        <v>507142838</v>
      </c>
      <c r="D15" s="10">
        <v>10</v>
      </c>
      <c r="E15" s="10" t="s">
        <v>10</v>
      </c>
      <c r="F15" s="10">
        <v>1171797</v>
      </c>
      <c r="G15" s="10" t="s">
        <v>255</v>
      </c>
      <c r="H15" s="11">
        <v>31141</v>
      </c>
      <c r="I15" s="10">
        <v>0</v>
      </c>
      <c r="J15" s="11">
        <f t="shared" si="1"/>
        <v>31141</v>
      </c>
      <c r="K15" s="12">
        <f>VLOOKUP(A15,[4]VA05!$A:$K,11,FALSE)</f>
        <v>45593</v>
      </c>
      <c r="L15" s="10" t="s">
        <v>12</v>
      </c>
      <c r="M15" s="10" t="s">
        <v>162</v>
      </c>
    </row>
    <row r="16" spans="1:13" x14ac:dyDescent="0.25">
      <c r="A16" s="13" t="str">
        <f t="shared" si="0"/>
        <v>50714270810</v>
      </c>
      <c r="B16" s="10">
        <v>1004052048</v>
      </c>
      <c r="C16" s="10">
        <v>507142708</v>
      </c>
      <c r="D16" s="10">
        <v>10</v>
      </c>
      <c r="E16" s="10" t="s">
        <v>10</v>
      </c>
      <c r="F16" s="10">
        <v>1215666</v>
      </c>
      <c r="G16" s="10" t="s">
        <v>182</v>
      </c>
      <c r="H16" s="11">
        <v>11159</v>
      </c>
      <c r="I16" s="10">
        <v>0</v>
      </c>
      <c r="J16" s="11">
        <f t="shared" si="1"/>
        <v>11159</v>
      </c>
      <c r="K16" s="12">
        <f>VLOOKUP(A16,[4]VA05!$A:$K,11,FALSE)</f>
        <v>45588</v>
      </c>
      <c r="L16" s="10" t="s">
        <v>13</v>
      </c>
      <c r="M16" s="10" t="s">
        <v>191</v>
      </c>
    </row>
    <row r="17" spans="1:13" hidden="1" x14ac:dyDescent="0.25">
      <c r="A17" s="13" t="str">
        <f t="shared" si="0"/>
        <v>50800482020</v>
      </c>
      <c r="B17" s="10">
        <v>1003970409</v>
      </c>
      <c r="C17" s="10">
        <v>508004820</v>
      </c>
      <c r="D17" s="10">
        <v>20</v>
      </c>
      <c r="E17" s="10" t="s">
        <v>10</v>
      </c>
      <c r="F17" s="10">
        <v>1174032</v>
      </c>
      <c r="G17" s="10" t="s">
        <v>261</v>
      </c>
      <c r="H17" s="11">
        <v>10948</v>
      </c>
      <c r="I17" s="10">
        <v>0</v>
      </c>
      <c r="J17" s="11">
        <f t="shared" si="1"/>
        <v>10948</v>
      </c>
      <c r="K17" s="12" t="e">
        <f>VLOOKUP(A17,[4]VA05!$A:$K,11,FALSE)</f>
        <v>#N/A</v>
      </c>
      <c r="L17" s="10" t="s">
        <v>260</v>
      </c>
      <c r="M17" s="10" t="s">
        <v>262</v>
      </c>
    </row>
    <row r="18" spans="1:13" x14ac:dyDescent="0.25">
      <c r="A18" s="13" t="str">
        <f t="shared" si="0"/>
        <v>50714282710</v>
      </c>
      <c r="B18" s="10">
        <v>1004063656</v>
      </c>
      <c r="C18" s="10">
        <v>507142827</v>
      </c>
      <c r="D18" s="10">
        <v>10</v>
      </c>
      <c r="E18" s="10" t="s">
        <v>10</v>
      </c>
      <c r="F18" s="10">
        <v>1411194</v>
      </c>
      <c r="G18" s="10" t="s">
        <v>46</v>
      </c>
      <c r="H18" s="11">
        <v>20598</v>
      </c>
      <c r="I18" s="10">
        <v>0</v>
      </c>
      <c r="J18" s="11">
        <f t="shared" si="1"/>
        <v>20598</v>
      </c>
      <c r="K18" s="12">
        <f>VLOOKUP(A18,[4]VA05!$A:$K,11,FALSE)</f>
        <v>45588</v>
      </c>
      <c r="L18" s="10" t="s">
        <v>25</v>
      </c>
      <c r="M18" s="10" t="s">
        <v>177</v>
      </c>
    </row>
    <row r="19" spans="1:13" x14ac:dyDescent="0.25">
      <c r="A19" s="13" t="str">
        <f t="shared" si="0"/>
        <v>50714282720</v>
      </c>
      <c r="B19" s="10">
        <v>1004063657</v>
      </c>
      <c r="C19" s="10">
        <v>507142827</v>
      </c>
      <c r="D19" s="10">
        <v>20</v>
      </c>
      <c r="E19" s="10" t="s">
        <v>10</v>
      </c>
      <c r="F19" s="10">
        <v>1411194</v>
      </c>
      <c r="G19" s="10" t="s">
        <v>46</v>
      </c>
      <c r="H19" s="11">
        <v>10054</v>
      </c>
      <c r="I19" s="10">
        <v>0</v>
      </c>
      <c r="J19" s="11">
        <f t="shared" si="1"/>
        <v>10054</v>
      </c>
      <c r="K19" s="12">
        <f>VLOOKUP(A19,[4]VA05!$A:$K,11,FALSE)</f>
        <v>45594</v>
      </c>
      <c r="L19" s="10" t="s">
        <v>12</v>
      </c>
      <c r="M19" s="10" t="s">
        <v>204</v>
      </c>
    </row>
    <row r="20" spans="1:13" x14ac:dyDescent="0.25">
      <c r="A20" s="13" t="str">
        <f t="shared" si="0"/>
        <v>50714282510</v>
      </c>
      <c r="B20" s="10">
        <v>1004061393</v>
      </c>
      <c r="C20" s="10">
        <v>507142825</v>
      </c>
      <c r="D20" s="10">
        <v>10</v>
      </c>
      <c r="E20" s="10" t="s">
        <v>10</v>
      </c>
      <c r="F20" s="10">
        <v>1173944</v>
      </c>
      <c r="G20" s="10" t="s">
        <v>91</v>
      </c>
      <c r="H20" s="11">
        <v>21855</v>
      </c>
      <c r="I20" s="11">
        <v>3000</v>
      </c>
      <c r="J20" s="11">
        <f t="shared" si="1"/>
        <v>18855</v>
      </c>
      <c r="K20" s="12">
        <f>VLOOKUP(A20,[4]VA05!$A:$K,11,FALSE)</f>
        <v>45589</v>
      </c>
      <c r="L20" s="10" t="s">
        <v>18</v>
      </c>
      <c r="M20" s="10" t="s">
        <v>191</v>
      </c>
    </row>
    <row r="21" spans="1:13" x14ac:dyDescent="0.25">
      <c r="A21" s="13" t="str">
        <f t="shared" si="0"/>
        <v>50714282910</v>
      </c>
      <c r="B21" s="10">
        <v>1004061394</v>
      </c>
      <c r="C21" s="10">
        <v>507142829</v>
      </c>
      <c r="D21" s="10">
        <v>10</v>
      </c>
      <c r="E21" s="10" t="s">
        <v>10</v>
      </c>
      <c r="F21" s="10">
        <v>1173944</v>
      </c>
      <c r="G21" s="10" t="s">
        <v>91</v>
      </c>
      <c r="H21" s="11">
        <v>11020</v>
      </c>
      <c r="I21" s="10">
        <v>0</v>
      </c>
      <c r="J21" s="11">
        <f t="shared" si="1"/>
        <v>11020</v>
      </c>
      <c r="K21" s="12">
        <f>VLOOKUP(A21,[4]VA05!$A:$K,11,FALSE)</f>
        <v>45582</v>
      </c>
      <c r="L21" s="10" t="s">
        <v>12</v>
      </c>
      <c r="M21" s="10" t="s">
        <v>179</v>
      </c>
    </row>
    <row r="22" spans="1:13" x14ac:dyDescent="0.25">
      <c r="A22" s="13" t="str">
        <f t="shared" si="0"/>
        <v>50714283810</v>
      </c>
      <c r="B22" s="10">
        <v>1004061390</v>
      </c>
      <c r="C22" s="10">
        <v>507142838</v>
      </c>
      <c r="D22" s="10">
        <v>10</v>
      </c>
      <c r="E22" s="10" t="s">
        <v>10</v>
      </c>
      <c r="F22" s="10">
        <v>1276494</v>
      </c>
      <c r="G22" s="10" t="s">
        <v>256</v>
      </c>
      <c r="H22" s="11">
        <v>27035</v>
      </c>
      <c r="I22" s="10">
        <v>0</v>
      </c>
      <c r="J22" s="11">
        <f t="shared" si="1"/>
        <v>27035</v>
      </c>
      <c r="K22" s="12">
        <f>VLOOKUP(A22,[4]VA05!$A:$K,11,FALSE)</f>
        <v>45593</v>
      </c>
      <c r="L22" s="10" t="s">
        <v>12</v>
      </c>
      <c r="M22" s="10" t="s">
        <v>191</v>
      </c>
    </row>
    <row r="23" spans="1:13" hidden="1" x14ac:dyDescent="0.25">
      <c r="A23" s="13" t="str">
        <f t="shared" si="0"/>
        <v>50714166710</v>
      </c>
      <c r="B23" s="10">
        <v>1003920458</v>
      </c>
      <c r="C23" s="10">
        <v>507141667</v>
      </c>
      <c r="D23" s="10">
        <v>10</v>
      </c>
      <c r="E23" s="10" t="s">
        <v>10</v>
      </c>
      <c r="F23" s="10">
        <v>1173947</v>
      </c>
      <c r="G23" s="10" t="s">
        <v>36</v>
      </c>
      <c r="H23" s="11">
        <v>23842</v>
      </c>
      <c r="I23" s="10">
        <v>0</v>
      </c>
      <c r="J23" s="11">
        <f t="shared" si="1"/>
        <v>23842</v>
      </c>
      <c r="K23" s="12" t="e">
        <f>VLOOKUP(A23,[4]VA05!$A:$K,11,FALSE)</f>
        <v>#N/A</v>
      </c>
      <c r="L23" s="10" t="s">
        <v>260</v>
      </c>
      <c r="M23" s="10" t="s">
        <v>263</v>
      </c>
    </row>
    <row r="24" spans="1:13" x14ac:dyDescent="0.25">
      <c r="A24" s="13" t="str">
        <f t="shared" si="0"/>
        <v>50714269620</v>
      </c>
      <c r="B24" s="10">
        <v>1004042037</v>
      </c>
      <c r="C24" s="10">
        <v>507142696</v>
      </c>
      <c r="D24" s="10">
        <v>20</v>
      </c>
      <c r="E24" s="10" t="s">
        <v>10</v>
      </c>
      <c r="F24" s="10">
        <v>1173947</v>
      </c>
      <c r="G24" s="10" t="s">
        <v>36</v>
      </c>
      <c r="H24" s="11">
        <v>12384</v>
      </c>
      <c r="I24" s="11">
        <v>3839</v>
      </c>
      <c r="J24" s="11">
        <f t="shared" si="1"/>
        <v>8545</v>
      </c>
      <c r="K24" s="12">
        <f>VLOOKUP(A24,[4]VA05!$A:$K,11,FALSE)</f>
        <v>45566</v>
      </c>
      <c r="L24" s="10" t="s">
        <v>18</v>
      </c>
      <c r="M24" s="10" t="s">
        <v>84</v>
      </c>
    </row>
    <row r="25" spans="1:13" x14ac:dyDescent="0.25">
      <c r="A25" s="13" t="str">
        <f t="shared" si="0"/>
        <v>50714274010</v>
      </c>
      <c r="B25" s="10">
        <v>1004052269</v>
      </c>
      <c r="C25" s="10">
        <v>507142740</v>
      </c>
      <c r="D25" s="10">
        <v>10</v>
      </c>
      <c r="E25" s="10" t="s">
        <v>10</v>
      </c>
      <c r="F25" s="10">
        <v>1173947</v>
      </c>
      <c r="G25" s="10" t="s">
        <v>36</v>
      </c>
      <c r="H25" s="11">
        <v>12384</v>
      </c>
      <c r="I25" s="10">
        <v>0</v>
      </c>
      <c r="J25" s="11">
        <f t="shared" si="1"/>
        <v>12384</v>
      </c>
      <c r="K25" s="12">
        <f>VLOOKUP(A25,[4]VA05!$A:$K,11,FALSE)</f>
        <v>45573</v>
      </c>
      <c r="L25" s="10" t="s">
        <v>12</v>
      </c>
      <c r="M25" s="10" t="s">
        <v>97</v>
      </c>
    </row>
    <row r="26" spans="1:13" x14ac:dyDescent="0.25">
      <c r="A26" s="13" t="str">
        <f t="shared" si="0"/>
        <v>50714277910</v>
      </c>
      <c r="B26" s="10">
        <v>1004052270</v>
      </c>
      <c r="C26" s="10">
        <v>507142779</v>
      </c>
      <c r="D26" s="10">
        <v>10</v>
      </c>
      <c r="E26" s="10" t="s">
        <v>10</v>
      </c>
      <c r="F26" s="10">
        <v>1173947</v>
      </c>
      <c r="G26" s="10" t="s">
        <v>36</v>
      </c>
      <c r="H26" s="11">
        <v>11922</v>
      </c>
      <c r="I26" s="10">
        <v>0</v>
      </c>
      <c r="J26" s="11">
        <f t="shared" si="1"/>
        <v>11922</v>
      </c>
      <c r="K26" s="12">
        <f>VLOOKUP(A26,[4]VA05!$A:$K,11,FALSE)</f>
        <v>45580</v>
      </c>
      <c r="L26" s="10" t="s">
        <v>12</v>
      </c>
      <c r="M26" s="10" t="s">
        <v>194</v>
      </c>
    </row>
    <row r="27" spans="1:13" x14ac:dyDescent="0.25">
      <c r="A27" s="13" t="str">
        <f t="shared" si="0"/>
        <v>50714278410</v>
      </c>
      <c r="B27" s="10">
        <v>1004052271</v>
      </c>
      <c r="C27" s="10">
        <v>507142784</v>
      </c>
      <c r="D27" s="10">
        <v>10</v>
      </c>
      <c r="E27" s="10" t="s">
        <v>10</v>
      </c>
      <c r="F27" s="10">
        <v>1173947</v>
      </c>
      <c r="G27" s="10" t="s">
        <v>36</v>
      </c>
      <c r="H27" s="11">
        <v>12384</v>
      </c>
      <c r="I27" s="10">
        <v>0</v>
      </c>
      <c r="J27" s="11">
        <f t="shared" si="1"/>
        <v>12384</v>
      </c>
      <c r="K27" s="12">
        <f>VLOOKUP(A27,[4]VA05!$A:$K,11,FALSE)</f>
        <v>45580</v>
      </c>
      <c r="L27" s="10" t="s">
        <v>12</v>
      </c>
      <c r="M27" s="10" t="s">
        <v>97</v>
      </c>
    </row>
    <row r="28" spans="1:13" x14ac:dyDescent="0.25">
      <c r="A28" s="13" t="str">
        <f t="shared" si="0"/>
        <v>50714282510</v>
      </c>
      <c r="B28" s="10">
        <v>1004061395</v>
      </c>
      <c r="C28" s="10">
        <v>507142825</v>
      </c>
      <c r="D28" s="10">
        <v>10</v>
      </c>
      <c r="E28" s="10" t="s">
        <v>10</v>
      </c>
      <c r="F28" s="10">
        <v>1173947</v>
      </c>
      <c r="G28" s="10" t="s">
        <v>36</v>
      </c>
      <c r="H28" s="11">
        <v>23842</v>
      </c>
      <c r="I28" s="10">
        <v>0</v>
      </c>
      <c r="J28" s="11">
        <f t="shared" si="1"/>
        <v>23842</v>
      </c>
      <c r="K28" s="12">
        <f>VLOOKUP(A28,[4]VA05!$A:$K,11,FALSE)</f>
        <v>45589</v>
      </c>
      <c r="L28" s="10" t="s">
        <v>12</v>
      </c>
      <c r="M28" s="10" t="s">
        <v>179</v>
      </c>
    </row>
    <row r="29" spans="1:13" x14ac:dyDescent="0.25">
      <c r="A29" s="13" t="str">
        <f t="shared" si="0"/>
        <v>50714282710</v>
      </c>
      <c r="B29" s="10">
        <v>1004061284</v>
      </c>
      <c r="C29" s="10">
        <v>507142827</v>
      </c>
      <c r="D29" s="10">
        <v>10</v>
      </c>
      <c r="E29" s="10" t="s">
        <v>10</v>
      </c>
      <c r="F29" s="10">
        <v>1411193</v>
      </c>
      <c r="G29" s="10" t="s">
        <v>47</v>
      </c>
      <c r="H29" s="11">
        <v>20598</v>
      </c>
      <c r="I29" s="11">
        <v>8803</v>
      </c>
      <c r="J29" s="11">
        <f t="shared" si="1"/>
        <v>11795</v>
      </c>
      <c r="K29" s="12">
        <f>VLOOKUP(A29,[4]VA05!$A:$K,11,FALSE)</f>
        <v>45588</v>
      </c>
      <c r="L29" s="10" t="s">
        <v>18</v>
      </c>
      <c r="M29" s="10" t="s">
        <v>177</v>
      </c>
    </row>
    <row r="30" spans="1:13" hidden="1" x14ac:dyDescent="0.25">
      <c r="A30" s="13" t="str">
        <f t="shared" si="0"/>
        <v>50714166710</v>
      </c>
      <c r="B30" s="10">
        <v>1003920462</v>
      </c>
      <c r="C30" s="10">
        <v>507141667</v>
      </c>
      <c r="D30" s="10">
        <v>10</v>
      </c>
      <c r="E30" s="10" t="s">
        <v>10</v>
      </c>
      <c r="F30" s="10">
        <v>1171793</v>
      </c>
      <c r="G30" s="10" t="s">
        <v>33</v>
      </c>
      <c r="H30" s="11">
        <v>21582</v>
      </c>
      <c r="I30" s="10">
        <v>0</v>
      </c>
      <c r="J30" s="11">
        <f t="shared" si="1"/>
        <v>21582</v>
      </c>
      <c r="K30" s="12" t="e">
        <f>VLOOKUP(A30,[4]VA05!$A:$K,11,FALSE)</f>
        <v>#N/A</v>
      </c>
      <c r="L30" s="10" t="s">
        <v>260</v>
      </c>
      <c r="M30" s="10" t="s">
        <v>264</v>
      </c>
    </row>
    <row r="31" spans="1:13" x14ac:dyDescent="0.25">
      <c r="A31" s="13" t="str">
        <f t="shared" si="0"/>
        <v>50714277910</v>
      </c>
      <c r="B31" s="10">
        <v>1004053448</v>
      </c>
      <c r="C31" s="10">
        <v>507142779</v>
      </c>
      <c r="D31" s="10">
        <v>10</v>
      </c>
      <c r="E31" s="10" t="s">
        <v>10</v>
      </c>
      <c r="F31" s="10">
        <v>1171793</v>
      </c>
      <c r="G31" s="10" t="s">
        <v>33</v>
      </c>
      <c r="H31" s="11">
        <v>10792</v>
      </c>
      <c r="I31" s="10">
        <v>0</v>
      </c>
      <c r="J31" s="11">
        <f t="shared" si="1"/>
        <v>10792</v>
      </c>
      <c r="K31" s="12">
        <f>VLOOKUP(A31,[4]VA05!$A:$K,11,FALSE)</f>
        <v>45580</v>
      </c>
      <c r="L31" s="10" t="s">
        <v>12</v>
      </c>
      <c r="M31" s="10" t="s">
        <v>162</v>
      </c>
    </row>
    <row r="32" spans="1:13" x14ac:dyDescent="0.25">
      <c r="A32" s="13" t="str">
        <f t="shared" si="0"/>
        <v>50714278410</v>
      </c>
      <c r="B32" s="10">
        <v>1004061396</v>
      </c>
      <c r="C32" s="10">
        <v>507142784</v>
      </c>
      <c r="D32" s="10">
        <v>10</v>
      </c>
      <c r="E32" s="10" t="s">
        <v>10</v>
      </c>
      <c r="F32" s="10">
        <v>1171793</v>
      </c>
      <c r="G32" s="10" t="s">
        <v>33</v>
      </c>
      <c r="H32" s="11">
        <v>10882</v>
      </c>
      <c r="I32" s="10">
        <v>0</v>
      </c>
      <c r="J32" s="11">
        <f t="shared" si="1"/>
        <v>10882</v>
      </c>
      <c r="K32" s="12">
        <f>VLOOKUP(A32,[4]VA05!$A:$K,11,FALSE)</f>
        <v>45580</v>
      </c>
      <c r="L32" s="10" t="s">
        <v>12</v>
      </c>
      <c r="M32" s="10" t="s">
        <v>162</v>
      </c>
    </row>
    <row r="33" spans="1:13" x14ac:dyDescent="0.25">
      <c r="A33" s="13" t="str">
        <f t="shared" si="0"/>
        <v>50714282510</v>
      </c>
      <c r="B33" s="10">
        <v>1004061397</v>
      </c>
      <c r="C33" s="10">
        <v>507142825</v>
      </c>
      <c r="D33" s="10">
        <v>10</v>
      </c>
      <c r="E33" s="10" t="s">
        <v>10</v>
      </c>
      <c r="F33" s="10">
        <v>1171793</v>
      </c>
      <c r="G33" s="10" t="s">
        <v>33</v>
      </c>
      <c r="H33" s="11">
        <v>21582</v>
      </c>
      <c r="I33" s="10">
        <v>0</v>
      </c>
      <c r="J33" s="11">
        <f t="shared" si="1"/>
        <v>21582</v>
      </c>
      <c r="K33" s="12">
        <f>VLOOKUP(A33,[4]VA05!$A:$K,11,FALSE)</f>
        <v>45589</v>
      </c>
      <c r="L33" s="10" t="s">
        <v>12</v>
      </c>
      <c r="M33" s="10" t="s">
        <v>191</v>
      </c>
    </row>
    <row r="34" spans="1:13" x14ac:dyDescent="0.25">
      <c r="A34" s="13" t="str">
        <f t="shared" si="0"/>
        <v>50714282910</v>
      </c>
      <c r="B34" s="10">
        <v>1004061398</v>
      </c>
      <c r="C34" s="10">
        <v>507142829</v>
      </c>
      <c r="D34" s="10">
        <v>10</v>
      </c>
      <c r="E34" s="10" t="s">
        <v>10</v>
      </c>
      <c r="F34" s="10">
        <v>1171793</v>
      </c>
      <c r="G34" s="10" t="s">
        <v>33</v>
      </c>
      <c r="H34" s="11">
        <v>10882</v>
      </c>
      <c r="I34" s="10">
        <v>0</v>
      </c>
      <c r="J34" s="11">
        <f t="shared" si="1"/>
        <v>10882</v>
      </c>
      <c r="K34" s="12">
        <f>VLOOKUP(A34,[4]VA05!$A:$K,11,FALSE)</f>
        <v>45582</v>
      </c>
      <c r="L34" s="10" t="s">
        <v>12</v>
      </c>
      <c r="M34" s="10" t="s">
        <v>157</v>
      </c>
    </row>
    <row r="35" spans="1:13" x14ac:dyDescent="0.25">
      <c r="A35" s="13" t="str">
        <f t="shared" si="0"/>
        <v>50714227020</v>
      </c>
      <c r="B35" s="10">
        <v>1004057063</v>
      </c>
      <c r="C35" s="10">
        <v>507142270</v>
      </c>
      <c r="D35" s="10">
        <v>20</v>
      </c>
      <c r="E35" s="10" t="s">
        <v>10</v>
      </c>
      <c r="F35" s="10">
        <v>1187765</v>
      </c>
      <c r="G35" s="10" t="s">
        <v>147</v>
      </c>
      <c r="H35" s="11">
        <v>17325</v>
      </c>
      <c r="I35" s="11">
        <v>16410</v>
      </c>
      <c r="J35" s="11">
        <f t="shared" si="1"/>
        <v>915</v>
      </c>
      <c r="K35" s="12">
        <f>VLOOKUP(A35,[4]VA05!$A:$K,11,FALSE)</f>
        <v>45565</v>
      </c>
      <c r="L35" s="10" t="s">
        <v>11</v>
      </c>
      <c r="M35" s="10" t="s">
        <v>195</v>
      </c>
    </row>
    <row r="36" spans="1:13" hidden="1" x14ac:dyDescent="0.25">
      <c r="A36" s="13" t="str">
        <f t="shared" si="0"/>
        <v>50714156710</v>
      </c>
      <c r="B36" s="10">
        <v>1003967343</v>
      </c>
      <c r="C36" s="10">
        <v>507141567</v>
      </c>
      <c r="D36" s="10">
        <v>10</v>
      </c>
      <c r="E36" s="10" t="s">
        <v>24</v>
      </c>
      <c r="F36" s="10">
        <v>1169655</v>
      </c>
      <c r="G36" s="10" t="s">
        <v>265</v>
      </c>
      <c r="H36" s="11">
        <v>12000</v>
      </c>
      <c r="I36" s="10">
        <v>0</v>
      </c>
      <c r="J36" s="11">
        <f t="shared" si="1"/>
        <v>12000</v>
      </c>
      <c r="K36" s="12" t="e">
        <f>VLOOKUP(A36,[4]VA05!$A:$K,11,FALSE)</f>
        <v>#N/A</v>
      </c>
      <c r="L36" s="10" t="s">
        <v>260</v>
      </c>
      <c r="M36" s="10" t="s">
        <v>266</v>
      </c>
    </row>
    <row r="37" spans="1:13" x14ac:dyDescent="0.25">
      <c r="A37" s="13" t="str">
        <f t="shared" si="0"/>
        <v>50714272510</v>
      </c>
      <c r="B37" s="10">
        <v>1004060450</v>
      </c>
      <c r="C37" s="10">
        <v>507142725</v>
      </c>
      <c r="D37" s="10">
        <v>10</v>
      </c>
      <c r="E37" s="10" t="s">
        <v>10</v>
      </c>
      <c r="F37" s="10">
        <v>1420608</v>
      </c>
      <c r="G37" s="10" t="s">
        <v>110</v>
      </c>
      <c r="H37" s="11">
        <v>16376</v>
      </c>
      <c r="I37" s="11">
        <v>13027</v>
      </c>
      <c r="J37" s="11">
        <f t="shared" si="1"/>
        <v>3349</v>
      </c>
      <c r="K37" s="12">
        <f>VLOOKUP(A37,[4]VA05!$A:$K,11,FALSE)</f>
        <v>45573</v>
      </c>
      <c r="L37" s="10" t="s">
        <v>18</v>
      </c>
      <c r="M37" s="10" t="s">
        <v>162</v>
      </c>
    </row>
    <row r="38" spans="1:13" x14ac:dyDescent="0.25">
      <c r="A38" s="13" t="str">
        <f t="shared" si="0"/>
        <v>50714278610</v>
      </c>
      <c r="B38" s="10">
        <v>1004059422</v>
      </c>
      <c r="C38" s="10">
        <v>507142786</v>
      </c>
      <c r="D38" s="10">
        <v>10</v>
      </c>
      <c r="E38" s="10" t="s">
        <v>10</v>
      </c>
      <c r="F38" s="10">
        <v>1149455</v>
      </c>
      <c r="G38" s="10" t="s">
        <v>44</v>
      </c>
      <c r="H38" s="11">
        <v>27228</v>
      </c>
      <c r="I38" s="11">
        <v>12352</v>
      </c>
      <c r="J38" s="11">
        <f t="shared" si="1"/>
        <v>14876</v>
      </c>
      <c r="K38" s="12">
        <f>VLOOKUP(A38,[4]VA05!$A:$K,11,FALSE)</f>
        <v>45581</v>
      </c>
      <c r="L38" s="10" t="s">
        <v>18</v>
      </c>
      <c r="M38" s="10" t="s">
        <v>194</v>
      </c>
    </row>
    <row r="39" spans="1:13" hidden="1" x14ac:dyDescent="0.25">
      <c r="A39" s="13" t="str">
        <f t="shared" si="0"/>
        <v>50714265120</v>
      </c>
      <c r="B39" s="10">
        <v>1004059425</v>
      </c>
      <c r="C39" s="10">
        <v>507142651</v>
      </c>
      <c r="D39" s="10">
        <v>20</v>
      </c>
      <c r="E39" s="10" t="s">
        <v>24</v>
      </c>
      <c r="F39" s="10">
        <v>1149455</v>
      </c>
      <c r="G39" s="10" t="s">
        <v>44</v>
      </c>
      <c r="H39" s="11">
        <v>10000</v>
      </c>
      <c r="I39" s="10">
        <v>0</v>
      </c>
      <c r="J39" s="11">
        <f t="shared" si="1"/>
        <v>10000</v>
      </c>
      <c r="K39" s="12" t="e">
        <f>VLOOKUP(A39,[4]VA05!$A:$K,11,FALSE)</f>
        <v>#N/A</v>
      </c>
      <c r="L39" s="10" t="s">
        <v>13</v>
      </c>
      <c r="M39" s="10" t="s">
        <v>154</v>
      </c>
    </row>
    <row r="40" spans="1:13" x14ac:dyDescent="0.25">
      <c r="A40" s="13" t="str">
        <f t="shared" si="0"/>
        <v>50714235110</v>
      </c>
      <c r="B40" s="10">
        <v>1004042803</v>
      </c>
      <c r="C40" s="10">
        <v>507142351</v>
      </c>
      <c r="D40" s="10">
        <v>10</v>
      </c>
      <c r="E40" s="10" t="s">
        <v>10</v>
      </c>
      <c r="F40" s="10">
        <v>1192909</v>
      </c>
      <c r="G40" s="10" t="s">
        <v>35</v>
      </c>
      <c r="H40" s="11">
        <v>16753</v>
      </c>
      <c r="I40" s="11">
        <v>9187</v>
      </c>
      <c r="J40" s="11">
        <f t="shared" si="1"/>
        <v>7566</v>
      </c>
      <c r="K40" s="12">
        <f>VLOOKUP(A40,[4]VA05!$A:$K,11,FALSE)</f>
        <v>45545</v>
      </c>
      <c r="L40" s="10" t="s">
        <v>18</v>
      </c>
      <c r="M40" s="10" t="s">
        <v>111</v>
      </c>
    </row>
    <row r="41" spans="1:13" x14ac:dyDescent="0.25">
      <c r="A41" s="13" t="str">
        <f t="shared" si="0"/>
        <v>50800515530</v>
      </c>
      <c r="B41" s="10">
        <v>1004062676</v>
      </c>
      <c r="C41" s="10">
        <v>508005155</v>
      </c>
      <c r="D41" s="10">
        <v>30</v>
      </c>
      <c r="E41" s="10" t="s">
        <v>10</v>
      </c>
      <c r="F41" s="10">
        <v>1420888</v>
      </c>
      <c r="G41" s="10" t="s">
        <v>295</v>
      </c>
      <c r="H41" s="11">
        <v>16246</v>
      </c>
      <c r="I41" s="10">
        <v>960</v>
      </c>
      <c r="J41" s="11">
        <f t="shared" si="1"/>
        <v>15286</v>
      </c>
      <c r="K41" s="12" t="e">
        <f>VLOOKUP(A41,[4]VA05!$A:$K,11,FALSE)</f>
        <v>#N/A</v>
      </c>
      <c r="L41" s="10" t="s">
        <v>18</v>
      </c>
      <c r="M41" s="10" t="s">
        <v>179</v>
      </c>
    </row>
    <row r="42" spans="1:13" x14ac:dyDescent="0.25">
      <c r="A42" s="13" t="str">
        <f t="shared" si="0"/>
        <v>50714272510</v>
      </c>
      <c r="B42" s="10">
        <v>1004060387</v>
      </c>
      <c r="C42" s="10">
        <v>507142725</v>
      </c>
      <c r="D42" s="10">
        <v>10</v>
      </c>
      <c r="E42" s="10" t="s">
        <v>10</v>
      </c>
      <c r="F42" s="10">
        <v>1420609</v>
      </c>
      <c r="G42" s="10" t="s">
        <v>133</v>
      </c>
      <c r="H42" s="11">
        <v>16868</v>
      </c>
      <c r="I42" s="11">
        <v>13728</v>
      </c>
      <c r="J42" s="11">
        <f t="shared" si="1"/>
        <v>3140</v>
      </c>
      <c r="K42" s="12">
        <f>VLOOKUP(A42,[4]VA05!$A:$K,11,FALSE)</f>
        <v>45573</v>
      </c>
      <c r="L42" s="10" t="s">
        <v>18</v>
      </c>
      <c r="M42" s="10" t="s">
        <v>162</v>
      </c>
    </row>
    <row r="43" spans="1:13" hidden="1" x14ac:dyDescent="0.25">
      <c r="A43" s="13" t="str">
        <f t="shared" si="0"/>
        <v>50714268610</v>
      </c>
      <c r="B43" s="10">
        <v>1004062044</v>
      </c>
      <c r="C43" s="10">
        <v>507142686</v>
      </c>
      <c r="D43" s="10">
        <v>10</v>
      </c>
      <c r="E43" s="10" t="s">
        <v>24</v>
      </c>
      <c r="F43" s="10">
        <v>1420838</v>
      </c>
      <c r="G43" s="10" t="s">
        <v>290</v>
      </c>
      <c r="H43" s="11">
        <v>10000</v>
      </c>
      <c r="I43" s="10">
        <v>0</v>
      </c>
      <c r="J43" s="11">
        <f t="shared" si="1"/>
        <v>10000</v>
      </c>
      <c r="K43" s="12">
        <f>VLOOKUP(A43,[4]VA05!$A:$K,11,FALSE)</f>
        <v>45573</v>
      </c>
      <c r="L43" s="10" t="s">
        <v>12</v>
      </c>
      <c r="M43" s="10" t="s">
        <v>197</v>
      </c>
    </row>
    <row r="44" spans="1:13" x14ac:dyDescent="0.25">
      <c r="A44" s="13" t="str">
        <f t="shared" si="0"/>
        <v>50714273410</v>
      </c>
      <c r="B44" s="10">
        <v>1004054830</v>
      </c>
      <c r="C44" s="10">
        <v>507142734</v>
      </c>
      <c r="D44" s="10">
        <v>10</v>
      </c>
      <c r="E44" s="10" t="s">
        <v>10</v>
      </c>
      <c r="F44" s="10">
        <v>1193508</v>
      </c>
      <c r="G44" s="10" t="s">
        <v>134</v>
      </c>
      <c r="H44" s="11">
        <v>16753</v>
      </c>
      <c r="I44" s="11">
        <v>13900</v>
      </c>
      <c r="J44" s="11">
        <f t="shared" si="1"/>
        <v>2853</v>
      </c>
      <c r="K44" s="12">
        <f>VLOOKUP(A44,[4]VA05!$A:$K,11,FALSE)</f>
        <v>45572</v>
      </c>
      <c r="L44" s="10" t="s">
        <v>18</v>
      </c>
      <c r="M44" s="10" t="s">
        <v>195</v>
      </c>
    </row>
    <row r="45" spans="1:13" x14ac:dyDescent="0.25">
      <c r="A45" s="13" t="str">
        <f t="shared" si="0"/>
        <v>50714274310</v>
      </c>
      <c r="B45" s="10">
        <v>1004054831</v>
      </c>
      <c r="C45" s="10">
        <v>507142743</v>
      </c>
      <c r="D45" s="10">
        <v>10</v>
      </c>
      <c r="E45" s="10" t="s">
        <v>10</v>
      </c>
      <c r="F45" s="10">
        <v>1193508</v>
      </c>
      <c r="G45" s="10" t="s">
        <v>134</v>
      </c>
      <c r="H45" s="11">
        <v>16753</v>
      </c>
      <c r="I45" s="10">
        <v>0</v>
      </c>
      <c r="J45" s="11">
        <f t="shared" si="1"/>
        <v>16753</v>
      </c>
      <c r="K45" s="12">
        <f>VLOOKUP(A45,[4]VA05!$A:$K,11,FALSE)</f>
        <v>45575</v>
      </c>
      <c r="L45" s="10" t="s">
        <v>27</v>
      </c>
      <c r="M45" s="10" t="s">
        <v>195</v>
      </c>
    </row>
    <row r="46" spans="1:13" x14ac:dyDescent="0.25">
      <c r="A46" s="13" t="str">
        <f t="shared" si="0"/>
        <v>50714258410</v>
      </c>
      <c r="B46" s="10">
        <v>1004025718</v>
      </c>
      <c r="C46" s="10">
        <v>507142584</v>
      </c>
      <c r="D46" s="10">
        <v>10</v>
      </c>
      <c r="E46" s="10" t="s">
        <v>10</v>
      </c>
      <c r="F46" s="10">
        <v>1192705</v>
      </c>
      <c r="G46" s="10" t="s">
        <v>45</v>
      </c>
      <c r="H46" s="11">
        <v>29915</v>
      </c>
      <c r="I46" s="11">
        <v>15280</v>
      </c>
      <c r="J46" s="11">
        <f t="shared" si="1"/>
        <v>14635</v>
      </c>
      <c r="K46" s="12">
        <f>VLOOKUP(A46,[4]VA05!$A:$K,11,FALSE)</f>
        <v>45572</v>
      </c>
      <c r="L46" s="10" t="s">
        <v>18</v>
      </c>
      <c r="M46" s="10" t="s">
        <v>66</v>
      </c>
    </row>
    <row r="47" spans="1:13" hidden="1" x14ac:dyDescent="0.25">
      <c r="A47" s="13" t="str">
        <f t="shared" si="0"/>
        <v>50800515530</v>
      </c>
      <c r="B47" s="10">
        <v>1004062671</v>
      </c>
      <c r="C47" s="10">
        <v>508005155</v>
      </c>
      <c r="D47" s="10">
        <v>30</v>
      </c>
      <c r="E47" s="10" t="s">
        <v>10</v>
      </c>
      <c r="F47" s="10">
        <v>1420887</v>
      </c>
      <c r="G47" s="10" t="s">
        <v>291</v>
      </c>
      <c r="H47" s="11">
        <v>16246</v>
      </c>
      <c r="I47" s="11">
        <v>16246</v>
      </c>
      <c r="J47" s="11">
        <f t="shared" si="1"/>
        <v>0</v>
      </c>
      <c r="K47" s="12" t="e">
        <f>VLOOKUP(A47,[4]VA05!$A:$K,11,FALSE)</f>
        <v>#N/A</v>
      </c>
      <c r="L47" s="10" t="s">
        <v>28</v>
      </c>
      <c r="M47" s="10" t="s">
        <v>179</v>
      </c>
    </row>
    <row r="48" spans="1:13" x14ac:dyDescent="0.25">
      <c r="A48" s="13" t="str">
        <f t="shared" si="0"/>
        <v>50714272410</v>
      </c>
      <c r="B48" s="10">
        <v>1004051405</v>
      </c>
      <c r="C48" s="10">
        <v>507142724</v>
      </c>
      <c r="D48" s="10">
        <v>10</v>
      </c>
      <c r="E48" s="10" t="s">
        <v>10</v>
      </c>
      <c r="F48" s="10">
        <v>1233459</v>
      </c>
      <c r="G48" s="10" t="s">
        <v>121</v>
      </c>
      <c r="H48" s="11">
        <v>10299</v>
      </c>
      <c r="I48" s="11">
        <v>1176</v>
      </c>
      <c r="J48" s="11">
        <f t="shared" si="1"/>
        <v>9123</v>
      </c>
      <c r="K48" s="12">
        <f>VLOOKUP(A48,[4]VA05!$A:$K,11,FALSE)</f>
        <v>45594</v>
      </c>
      <c r="L48" s="10" t="s">
        <v>18</v>
      </c>
      <c r="M48" s="10" t="s">
        <v>176</v>
      </c>
    </row>
    <row r="49" spans="1:13" x14ac:dyDescent="0.25">
      <c r="A49" s="13" t="str">
        <f t="shared" si="0"/>
        <v>50714272410</v>
      </c>
      <c r="B49" s="10">
        <v>1004058756</v>
      </c>
      <c r="C49" s="10">
        <v>507142724</v>
      </c>
      <c r="D49" s="10">
        <v>10</v>
      </c>
      <c r="E49" s="10" t="s">
        <v>10</v>
      </c>
      <c r="F49" s="10">
        <v>1233477</v>
      </c>
      <c r="G49" s="10" t="s">
        <v>236</v>
      </c>
      <c r="H49" s="11">
        <v>11006</v>
      </c>
      <c r="I49" s="10">
        <v>0</v>
      </c>
      <c r="J49" s="11">
        <f t="shared" si="1"/>
        <v>11006</v>
      </c>
      <c r="K49" s="12">
        <f>VLOOKUP(A49,[4]VA05!$A:$K,11,FALSE)</f>
        <v>45594</v>
      </c>
      <c r="L49" s="10" t="s">
        <v>12</v>
      </c>
      <c r="M49" s="10" t="s">
        <v>109</v>
      </c>
    </row>
    <row r="50" spans="1:13" hidden="1" x14ac:dyDescent="0.25">
      <c r="A50" s="13" t="str">
        <f t="shared" si="0"/>
        <v>50714165620</v>
      </c>
      <c r="B50" s="10">
        <v>1003928019</v>
      </c>
      <c r="C50" s="10">
        <v>507141656</v>
      </c>
      <c r="D50" s="10">
        <v>20</v>
      </c>
      <c r="E50" s="10" t="s">
        <v>24</v>
      </c>
      <c r="F50" s="10">
        <v>1170081</v>
      </c>
      <c r="G50" s="10" t="s">
        <v>267</v>
      </c>
      <c r="H50" s="11">
        <v>5000</v>
      </c>
      <c r="I50" s="10">
        <v>0</v>
      </c>
      <c r="J50" s="11">
        <f t="shared" si="1"/>
        <v>5000</v>
      </c>
      <c r="K50" s="12" t="e">
        <f>VLOOKUP(A50,[4]VA05!$A:$K,11,FALSE)</f>
        <v>#N/A</v>
      </c>
      <c r="L50" s="10" t="s">
        <v>260</v>
      </c>
      <c r="M50" s="10" t="s">
        <v>268</v>
      </c>
    </row>
    <row r="51" spans="1:13" hidden="1" x14ac:dyDescent="0.25">
      <c r="A51" s="13" t="str">
        <f t="shared" si="0"/>
        <v>50714165620</v>
      </c>
      <c r="B51" s="10">
        <v>1003928021</v>
      </c>
      <c r="C51" s="10">
        <v>507141656</v>
      </c>
      <c r="D51" s="10">
        <v>20</v>
      </c>
      <c r="E51" s="10" t="s">
        <v>24</v>
      </c>
      <c r="F51" s="10">
        <v>1170081</v>
      </c>
      <c r="G51" s="10" t="s">
        <v>267</v>
      </c>
      <c r="H51" s="11">
        <v>5000</v>
      </c>
      <c r="I51" s="10">
        <v>0</v>
      </c>
      <c r="J51" s="11">
        <f t="shared" si="1"/>
        <v>5000</v>
      </c>
      <c r="K51" s="12" t="e">
        <f>VLOOKUP(A51,[4]VA05!$A:$K,11,FALSE)</f>
        <v>#N/A</v>
      </c>
      <c r="L51" s="10" t="s">
        <v>260</v>
      </c>
      <c r="M51" s="10" t="s">
        <v>268</v>
      </c>
    </row>
    <row r="52" spans="1:13" x14ac:dyDescent="0.25">
      <c r="A52" s="13" t="str">
        <f t="shared" si="0"/>
        <v>50714274240</v>
      </c>
      <c r="B52" s="10">
        <v>1004052518</v>
      </c>
      <c r="C52" s="10">
        <v>507142742</v>
      </c>
      <c r="D52" s="10">
        <v>40</v>
      </c>
      <c r="E52" s="10" t="s">
        <v>10</v>
      </c>
      <c r="F52" s="10">
        <v>1209335</v>
      </c>
      <c r="G52" s="10" t="s">
        <v>150</v>
      </c>
      <c r="H52" s="11">
        <v>35876</v>
      </c>
      <c r="I52" s="11">
        <v>21692</v>
      </c>
      <c r="J52" s="11">
        <f t="shared" si="1"/>
        <v>14184</v>
      </c>
      <c r="K52" s="12">
        <f>VLOOKUP(A52,[4]VA05!$A:$K,11,FALSE)</f>
        <v>45580</v>
      </c>
      <c r="L52" s="10" t="s">
        <v>18</v>
      </c>
      <c r="M52" s="10" t="s">
        <v>162</v>
      </c>
    </row>
    <row r="53" spans="1:13" x14ac:dyDescent="0.25">
      <c r="A53" s="13" t="str">
        <f t="shared" si="0"/>
        <v>50714274270</v>
      </c>
      <c r="B53" s="10">
        <v>1004052519</v>
      </c>
      <c r="C53" s="10">
        <v>507142742</v>
      </c>
      <c r="D53" s="10">
        <v>70</v>
      </c>
      <c r="E53" s="10" t="s">
        <v>10</v>
      </c>
      <c r="F53" s="10">
        <v>1209335</v>
      </c>
      <c r="G53" s="10" t="s">
        <v>150</v>
      </c>
      <c r="H53" s="11">
        <v>25576</v>
      </c>
      <c r="I53" s="10">
        <v>0</v>
      </c>
      <c r="J53" s="11">
        <f t="shared" si="1"/>
        <v>25576</v>
      </c>
      <c r="K53" s="12">
        <f>VLOOKUP(A53,[4]VA05!$A:$K,11,FALSE)</f>
        <v>45587</v>
      </c>
      <c r="L53" s="10" t="s">
        <v>13</v>
      </c>
      <c r="M53" s="10" t="s">
        <v>109</v>
      </c>
    </row>
    <row r="54" spans="1:13" x14ac:dyDescent="0.25">
      <c r="A54" s="13" t="str">
        <f t="shared" si="0"/>
        <v>507142742100</v>
      </c>
      <c r="B54" s="10">
        <v>1004052522</v>
      </c>
      <c r="C54" s="10">
        <v>507142742</v>
      </c>
      <c r="D54" s="10">
        <v>100</v>
      </c>
      <c r="E54" s="10" t="s">
        <v>10</v>
      </c>
      <c r="F54" s="10">
        <v>1209335</v>
      </c>
      <c r="G54" s="10" t="s">
        <v>150</v>
      </c>
      <c r="H54" s="11">
        <v>25576</v>
      </c>
      <c r="I54" s="10">
        <v>0</v>
      </c>
      <c r="J54" s="11">
        <f t="shared" si="1"/>
        <v>25576</v>
      </c>
      <c r="K54" s="12" t="e">
        <f>VLOOKUP(A54,[4]VA05!$A:$K,11,FALSE)</f>
        <v>#N/A</v>
      </c>
      <c r="L54" s="10" t="s">
        <v>12</v>
      </c>
      <c r="M54" s="10" t="s">
        <v>196</v>
      </c>
    </row>
    <row r="55" spans="1:13" x14ac:dyDescent="0.25">
      <c r="A55" s="13" t="str">
        <f t="shared" si="0"/>
        <v>50714285110</v>
      </c>
      <c r="B55" s="10">
        <v>1004062669</v>
      </c>
      <c r="C55" s="10">
        <v>507142851</v>
      </c>
      <c r="D55" s="10">
        <v>10</v>
      </c>
      <c r="E55" s="10" t="s">
        <v>10</v>
      </c>
      <c r="F55" s="10">
        <v>1209335</v>
      </c>
      <c r="G55" s="10" t="s">
        <v>150</v>
      </c>
      <c r="H55" s="11">
        <v>35874</v>
      </c>
      <c r="I55" s="10">
        <v>0</v>
      </c>
      <c r="J55" s="11">
        <f t="shared" si="1"/>
        <v>35874</v>
      </c>
      <c r="K55" s="12">
        <f>VLOOKUP(A55,[4]VA05!$A:$K,11,FALSE)</f>
        <v>45593</v>
      </c>
      <c r="L55" s="10" t="s">
        <v>12</v>
      </c>
      <c r="M55" s="10" t="s">
        <v>157</v>
      </c>
    </row>
    <row r="56" spans="1:13" x14ac:dyDescent="0.25">
      <c r="A56" s="13" t="str">
        <f t="shared" si="0"/>
        <v>50714268230</v>
      </c>
      <c r="B56" s="10">
        <v>1004062670</v>
      </c>
      <c r="C56" s="10">
        <v>507142682</v>
      </c>
      <c r="D56" s="10">
        <v>30</v>
      </c>
      <c r="E56" s="10" t="s">
        <v>10</v>
      </c>
      <c r="F56" s="10">
        <v>1440079</v>
      </c>
      <c r="G56" s="10" t="s">
        <v>292</v>
      </c>
      <c r="H56" s="11">
        <v>10217</v>
      </c>
      <c r="I56" s="10">
        <v>0</v>
      </c>
      <c r="J56" s="11">
        <f t="shared" si="1"/>
        <v>10217</v>
      </c>
      <c r="K56" s="12">
        <f>VLOOKUP(A56,[4]VA05!$A:$K,11,FALSE)</f>
        <v>45595</v>
      </c>
      <c r="L56" s="10" t="s">
        <v>12</v>
      </c>
      <c r="M56" s="10" t="s">
        <v>204</v>
      </c>
    </row>
    <row r="57" spans="1:13" x14ac:dyDescent="0.25">
      <c r="A57" s="13" t="str">
        <f t="shared" si="0"/>
        <v>50714274240</v>
      </c>
      <c r="B57" s="10">
        <v>1004052625</v>
      </c>
      <c r="C57" s="10">
        <v>507142742</v>
      </c>
      <c r="D57" s="10">
        <v>40</v>
      </c>
      <c r="E57" s="10" t="s">
        <v>10</v>
      </c>
      <c r="F57" s="10">
        <v>1437142</v>
      </c>
      <c r="G57" s="10" t="s">
        <v>145</v>
      </c>
      <c r="H57" s="11">
        <v>38800</v>
      </c>
      <c r="I57" s="10">
        <v>0</v>
      </c>
      <c r="J57" s="11">
        <f t="shared" si="1"/>
        <v>38800</v>
      </c>
      <c r="K57" s="12">
        <f>VLOOKUP(A57,[4]VA05!$A:$K,11,FALSE)</f>
        <v>45580</v>
      </c>
      <c r="L57" s="10" t="s">
        <v>12</v>
      </c>
      <c r="M57" s="10" t="s">
        <v>197</v>
      </c>
    </row>
    <row r="58" spans="1:13" x14ac:dyDescent="0.25">
      <c r="A58" s="13" t="str">
        <f t="shared" si="0"/>
        <v>50714274270</v>
      </c>
      <c r="B58" s="10">
        <v>1004052626</v>
      </c>
      <c r="C58" s="10">
        <v>507142742</v>
      </c>
      <c r="D58" s="10">
        <v>70</v>
      </c>
      <c r="E58" s="10" t="s">
        <v>10</v>
      </c>
      <c r="F58" s="10">
        <v>1437142</v>
      </c>
      <c r="G58" s="10" t="s">
        <v>145</v>
      </c>
      <c r="H58" s="11">
        <v>40825</v>
      </c>
      <c r="I58" s="10">
        <v>0</v>
      </c>
      <c r="J58" s="11">
        <f t="shared" si="1"/>
        <v>40825</v>
      </c>
      <c r="K58" s="12">
        <f>VLOOKUP(A58,[4]VA05!$A:$K,11,FALSE)</f>
        <v>45587</v>
      </c>
      <c r="L58" s="10" t="s">
        <v>12</v>
      </c>
      <c r="M58" s="10" t="s">
        <v>162</v>
      </c>
    </row>
    <row r="59" spans="1:13" x14ac:dyDescent="0.25">
      <c r="A59" s="13" t="str">
        <f t="shared" si="0"/>
        <v>507142742100</v>
      </c>
      <c r="B59" s="10">
        <v>1004052627</v>
      </c>
      <c r="C59" s="10">
        <v>507142742</v>
      </c>
      <c r="D59" s="10">
        <v>100</v>
      </c>
      <c r="E59" s="10" t="s">
        <v>10</v>
      </c>
      <c r="F59" s="10">
        <v>1437142</v>
      </c>
      <c r="G59" s="10" t="s">
        <v>145</v>
      </c>
      <c r="H59" s="11">
        <v>27661</v>
      </c>
      <c r="I59" s="10">
        <v>0</v>
      </c>
      <c r="J59" s="11">
        <f t="shared" si="1"/>
        <v>27661</v>
      </c>
      <c r="K59" s="12" t="e">
        <f>VLOOKUP(A59,[4]VA05!$A:$K,11,FALSE)</f>
        <v>#N/A</v>
      </c>
      <c r="L59" s="10" t="s">
        <v>12</v>
      </c>
      <c r="M59" s="10" t="s">
        <v>109</v>
      </c>
    </row>
    <row r="60" spans="1:13" x14ac:dyDescent="0.25">
      <c r="A60" s="13" t="str">
        <f t="shared" si="0"/>
        <v>50714274210</v>
      </c>
      <c r="B60" s="10">
        <v>1004054341</v>
      </c>
      <c r="C60" s="10">
        <v>507142742</v>
      </c>
      <c r="D60" s="10">
        <v>10</v>
      </c>
      <c r="E60" s="10" t="s">
        <v>10</v>
      </c>
      <c r="F60" s="10">
        <v>1437142</v>
      </c>
      <c r="G60" s="10" t="s">
        <v>145</v>
      </c>
      <c r="H60" s="11">
        <v>27661</v>
      </c>
      <c r="I60" s="11">
        <v>11900</v>
      </c>
      <c r="J60" s="11">
        <f t="shared" si="1"/>
        <v>15761</v>
      </c>
      <c r="K60" s="12">
        <f>VLOOKUP(A60,[4]VA05!$A:$K,11,FALSE)</f>
        <v>45575</v>
      </c>
      <c r="L60" s="10" t="s">
        <v>11</v>
      </c>
      <c r="M60" s="10" t="s">
        <v>155</v>
      </c>
    </row>
    <row r="61" spans="1:13" x14ac:dyDescent="0.25">
      <c r="A61" s="13" t="str">
        <f t="shared" si="0"/>
        <v>50714285110</v>
      </c>
      <c r="B61" s="10">
        <v>1004062677</v>
      </c>
      <c r="C61" s="10">
        <v>507142851</v>
      </c>
      <c r="D61" s="10">
        <v>10</v>
      </c>
      <c r="E61" s="10" t="s">
        <v>10</v>
      </c>
      <c r="F61" s="10">
        <v>1437142</v>
      </c>
      <c r="G61" s="10" t="s">
        <v>145</v>
      </c>
      <c r="H61" s="11">
        <v>38799</v>
      </c>
      <c r="I61" s="10">
        <v>0</v>
      </c>
      <c r="J61" s="11">
        <f t="shared" si="1"/>
        <v>38799</v>
      </c>
      <c r="K61" s="12">
        <f>VLOOKUP(A61,[4]VA05!$A:$K,11,FALSE)</f>
        <v>45593</v>
      </c>
      <c r="L61" s="10" t="s">
        <v>12</v>
      </c>
      <c r="M61" s="10" t="s">
        <v>162</v>
      </c>
    </row>
    <row r="62" spans="1:13" x14ac:dyDescent="0.25">
      <c r="A62" s="13" t="str">
        <f t="shared" si="0"/>
        <v>50714268230</v>
      </c>
      <c r="B62" s="10">
        <v>1004059556</v>
      </c>
      <c r="C62" s="10">
        <v>507142682</v>
      </c>
      <c r="D62" s="10">
        <v>30</v>
      </c>
      <c r="E62" s="10" t="s">
        <v>10</v>
      </c>
      <c r="F62" s="10">
        <v>1440080</v>
      </c>
      <c r="G62" s="10" t="s">
        <v>247</v>
      </c>
      <c r="H62" s="11">
        <v>10524</v>
      </c>
      <c r="I62" s="10">
        <v>0</v>
      </c>
      <c r="J62" s="11">
        <f t="shared" si="1"/>
        <v>10524</v>
      </c>
      <c r="K62" s="12">
        <f>VLOOKUP(A62,[4]VA05!$A:$K,11,FALSE)</f>
        <v>45595</v>
      </c>
      <c r="L62" s="10" t="s">
        <v>12</v>
      </c>
      <c r="M62" s="10" t="s">
        <v>176</v>
      </c>
    </row>
    <row r="63" spans="1:13" x14ac:dyDescent="0.25">
      <c r="A63" s="13" t="str">
        <f t="shared" si="0"/>
        <v>50714242450</v>
      </c>
      <c r="B63" s="10">
        <v>1004019633</v>
      </c>
      <c r="C63" s="10">
        <v>507142424</v>
      </c>
      <c r="D63" s="10">
        <v>50</v>
      </c>
      <c r="E63" s="10" t="s">
        <v>10</v>
      </c>
      <c r="F63" s="10">
        <v>1212309</v>
      </c>
      <c r="G63" s="10" t="s">
        <v>16</v>
      </c>
      <c r="H63" s="11">
        <v>30725</v>
      </c>
      <c r="I63" s="10">
        <v>0</v>
      </c>
      <c r="J63" s="11">
        <f t="shared" si="1"/>
        <v>30725</v>
      </c>
      <c r="K63" s="12" t="e">
        <f>VLOOKUP(A63,[4]VA05!$A:$K,11,FALSE)</f>
        <v>#N/A</v>
      </c>
      <c r="L63" s="10" t="s">
        <v>12</v>
      </c>
      <c r="M63" s="10" t="s">
        <v>82</v>
      </c>
    </row>
    <row r="64" spans="1:13" x14ac:dyDescent="0.25">
      <c r="A64" s="13" t="str">
        <f t="shared" si="0"/>
        <v>50714274250</v>
      </c>
      <c r="B64" s="10">
        <v>1004052512</v>
      </c>
      <c r="C64" s="10">
        <v>507142742</v>
      </c>
      <c r="D64" s="10">
        <v>50</v>
      </c>
      <c r="E64" s="10" t="s">
        <v>10</v>
      </c>
      <c r="F64" s="10">
        <v>1209351</v>
      </c>
      <c r="G64" s="10" t="s">
        <v>135</v>
      </c>
      <c r="H64" s="11">
        <v>25576</v>
      </c>
      <c r="I64" s="11">
        <v>12072</v>
      </c>
      <c r="J64" s="11">
        <f t="shared" si="1"/>
        <v>13504</v>
      </c>
      <c r="K64" s="12">
        <f>VLOOKUP(A64,[4]VA05!$A:$K,11,FALSE)</f>
        <v>45580</v>
      </c>
      <c r="L64" s="10" t="s">
        <v>18</v>
      </c>
      <c r="M64" s="10" t="s">
        <v>192</v>
      </c>
    </row>
    <row r="65" spans="1:13" x14ac:dyDescent="0.25">
      <c r="A65" s="13" t="str">
        <f t="shared" si="0"/>
        <v>50714274280</v>
      </c>
      <c r="B65" s="10">
        <v>1004052513</v>
      </c>
      <c r="C65" s="10">
        <v>507142742</v>
      </c>
      <c r="D65" s="10">
        <v>80</v>
      </c>
      <c r="E65" s="10" t="s">
        <v>10</v>
      </c>
      <c r="F65" s="10">
        <v>1209351</v>
      </c>
      <c r="G65" s="10" t="s">
        <v>135</v>
      </c>
      <c r="H65" s="11">
        <v>25576</v>
      </c>
      <c r="I65" s="10">
        <v>0</v>
      </c>
      <c r="J65" s="11">
        <f t="shared" si="1"/>
        <v>25576</v>
      </c>
      <c r="K65" s="12">
        <f>VLOOKUP(A65,[4]VA05!$A:$K,11,FALSE)</f>
        <v>45587</v>
      </c>
      <c r="L65" s="10" t="s">
        <v>56</v>
      </c>
      <c r="M65" s="10" t="s">
        <v>176</v>
      </c>
    </row>
    <row r="66" spans="1:13" x14ac:dyDescent="0.25">
      <c r="A66" s="13" t="str">
        <f t="shared" si="0"/>
        <v>507142742110</v>
      </c>
      <c r="B66" s="10">
        <v>1004052514</v>
      </c>
      <c r="C66" s="10">
        <v>507142742</v>
      </c>
      <c r="D66" s="10">
        <v>110</v>
      </c>
      <c r="E66" s="10" t="s">
        <v>10</v>
      </c>
      <c r="F66" s="10">
        <v>1209351</v>
      </c>
      <c r="G66" s="10" t="s">
        <v>135</v>
      </c>
      <c r="H66" s="11">
        <v>25576</v>
      </c>
      <c r="I66" s="10">
        <v>0</v>
      </c>
      <c r="J66" s="11">
        <f t="shared" si="1"/>
        <v>25576</v>
      </c>
      <c r="K66" s="12" t="e">
        <f>VLOOKUP(A66,[4]VA05!$A:$K,11,FALSE)</f>
        <v>#N/A</v>
      </c>
      <c r="L66" s="10" t="s">
        <v>12</v>
      </c>
      <c r="M66" s="10" t="s">
        <v>198</v>
      </c>
    </row>
    <row r="67" spans="1:13" x14ac:dyDescent="0.25">
      <c r="A67" s="13" t="str">
        <f t="shared" si="0"/>
        <v>50714285120</v>
      </c>
      <c r="B67" s="10">
        <v>1004062680</v>
      </c>
      <c r="C67" s="10">
        <v>507142851</v>
      </c>
      <c r="D67" s="10">
        <v>20</v>
      </c>
      <c r="E67" s="10" t="s">
        <v>10</v>
      </c>
      <c r="F67" s="10">
        <v>1209351</v>
      </c>
      <c r="G67" s="10" t="s">
        <v>135</v>
      </c>
      <c r="H67" s="11">
        <v>35874</v>
      </c>
      <c r="I67" s="10">
        <v>0</v>
      </c>
      <c r="J67" s="11">
        <f t="shared" si="1"/>
        <v>35874</v>
      </c>
      <c r="K67" s="12">
        <f>VLOOKUP(A67,[4]VA05!$A:$K,11,FALSE)</f>
        <v>45593</v>
      </c>
      <c r="L67" s="10" t="s">
        <v>12</v>
      </c>
      <c r="M67" s="10" t="s">
        <v>199</v>
      </c>
    </row>
    <row r="68" spans="1:13" x14ac:dyDescent="0.25">
      <c r="A68" s="13" t="str">
        <f t="shared" ref="A68:A131" si="2">C68&amp;D68</f>
        <v>50900099220</v>
      </c>
      <c r="B68" s="10">
        <v>1004021332</v>
      </c>
      <c r="C68" s="10">
        <v>509000992</v>
      </c>
      <c r="D68" s="10">
        <v>20</v>
      </c>
      <c r="E68" s="10" t="s">
        <v>10</v>
      </c>
      <c r="F68" s="10">
        <v>1279716</v>
      </c>
      <c r="G68" s="10" t="s">
        <v>54</v>
      </c>
      <c r="H68" s="11">
        <v>10299</v>
      </c>
      <c r="I68" s="10">
        <v>0</v>
      </c>
      <c r="J68" s="11">
        <f t="shared" ref="J68:J131" si="3">H68-I68</f>
        <v>10299</v>
      </c>
      <c r="K68" s="12" t="e">
        <f>VLOOKUP(A68,[4]VA05!$A:$K,11,FALSE)</f>
        <v>#N/A</v>
      </c>
      <c r="L68" s="10" t="s">
        <v>25</v>
      </c>
      <c r="M68" s="10" t="s">
        <v>66</v>
      </c>
    </row>
    <row r="69" spans="1:13" x14ac:dyDescent="0.25">
      <c r="A69" s="13" t="str">
        <f t="shared" si="2"/>
        <v>50714242410</v>
      </c>
      <c r="B69" s="10">
        <v>1004019563</v>
      </c>
      <c r="C69" s="10">
        <v>507142424</v>
      </c>
      <c r="D69" s="10">
        <v>10</v>
      </c>
      <c r="E69" s="10" t="s">
        <v>10</v>
      </c>
      <c r="F69" s="10">
        <v>1212320</v>
      </c>
      <c r="G69" s="10" t="s">
        <v>17</v>
      </c>
      <c r="H69" s="11">
        <v>19568</v>
      </c>
      <c r="I69" s="10">
        <v>0</v>
      </c>
      <c r="J69" s="11">
        <f t="shared" si="3"/>
        <v>19568</v>
      </c>
      <c r="K69" s="12" t="e">
        <f>VLOOKUP(A69,[4]VA05!$A:$K,11,FALSE)</f>
        <v>#N/A</v>
      </c>
      <c r="L69" s="10" t="s">
        <v>239</v>
      </c>
      <c r="M69" s="10" t="s">
        <v>72</v>
      </c>
    </row>
    <row r="70" spans="1:13" x14ac:dyDescent="0.25">
      <c r="A70" s="13" t="str">
        <f t="shared" si="2"/>
        <v>50714242430</v>
      </c>
      <c r="B70" s="10">
        <v>1004019564</v>
      </c>
      <c r="C70" s="10">
        <v>507142424</v>
      </c>
      <c r="D70" s="10">
        <v>30</v>
      </c>
      <c r="E70" s="10" t="s">
        <v>10</v>
      </c>
      <c r="F70" s="10">
        <v>1212320</v>
      </c>
      <c r="G70" s="10" t="s">
        <v>17</v>
      </c>
      <c r="H70" s="11">
        <v>19568</v>
      </c>
      <c r="I70" s="10">
        <v>0</v>
      </c>
      <c r="J70" s="11">
        <f t="shared" si="3"/>
        <v>19568</v>
      </c>
      <c r="K70" s="12" t="e">
        <f>VLOOKUP(A70,[4]VA05!$A:$K,11,FALSE)</f>
        <v>#N/A</v>
      </c>
      <c r="L70" s="10" t="s">
        <v>13</v>
      </c>
      <c r="M70" s="10" t="s">
        <v>69</v>
      </c>
    </row>
    <row r="71" spans="1:13" x14ac:dyDescent="0.25">
      <c r="A71" s="13" t="str">
        <f t="shared" si="2"/>
        <v>50714242450</v>
      </c>
      <c r="B71" s="10">
        <v>1004019566</v>
      </c>
      <c r="C71" s="10">
        <v>507142424</v>
      </c>
      <c r="D71" s="10">
        <v>50</v>
      </c>
      <c r="E71" s="10" t="s">
        <v>10</v>
      </c>
      <c r="F71" s="10">
        <v>1212320</v>
      </c>
      <c r="G71" s="10" t="s">
        <v>17</v>
      </c>
      <c r="H71" s="11">
        <v>30725</v>
      </c>
      <c r="I71" s="10">
        <v>0</v>
      </c>
      <c r="J71" s="11">
        <f t="shared" si="3"/>
        <v>30725</v>
      </c>
      <c r="K71" s="12" t="e">
        <f>VLOOKUP(A71,[4]VA05!$A:$K,11,FALSE)</f>
        <v>#N/A</v>
      </c>
      <c r="L71" s="10" t="s">
        <v>13</v>
      </c>
      <c r="M71" s="10" t="s">
        <v>73</v>
      </c>
    </row>
    <row r="72" spans="1:13" hidden="1" x14ac:dyDescent="0.25">
      <c r="A72" s="13" t="str">
        <f t="shared" si="2"/>
        <v>507142742110</v>
      </c>
      <c r="B72" s="10">
        <v>1004052510</v>
      </c>
      <c r="C72" s="10">
        <v>507142742</v>
      </c>
      <c r="D72" s="10">
        <v>110</v>
      </c>
      <c r="E72" s="10" t="s">
        <v>10</v>
      </c>
      <c r="F72" s="10">
        <v>1437172</v>
      </c>
      <c r="G72" s="10" t="s">
        <v>123</v>
      </c>
      <c r="H72" s="11">
        <v>25576</v>
      </c>
      <c r="I72" s="11">
        <v>25576</v>
      </c>
      <c r="J72" s="11">
        <f t="shared" si="3"/>
        <v>0</v>
      </c>
      <c r="K72" s="12" t="e">
        <f>VLOOKUP(A72,[4]VA05!$A:$K,11,FALSE)</f>
        <v>#N/A</v>
      </c>
      <c r="L72" s="10" t="s">
        <v>28</v>
      </c>
      <c r="M72" s="10" t="s">
        <v>198</v>
      </c>
    </row>
    <row r="73" spans="1:13" x14ac:dyDescent="0.25">
      <c r="A73" s="13" t="str">
        <f t="shared" si="2"/>
        <v>50714285120</v>
      </c>
      <c r="B73" s="10">
        <v>1004062192</v>
      </c>
      <c r="C73" s="10">
        <v>507142851</v>
      </c>
      <c r="D73" s="10">
        <v>20</v>
      </c>
      <c r="E73" s="10" t="s">
        <v>10</v>
      </c>
      <c r="F73" s="10">
        <v>1437172</v>
      </c>
      <c r="G73" s="10" t="s">
        <v>123</v>
      </c>
      <c r="H73" s="11">
        <v>35874</v>
      </c>
      <c r="I73" s="11">
        <v>1980</v>
      </c>
      <c r="J73" s="11">
        <f t="shared" si="3"/>
        <v>33894</v>
      </c>
      <c r="K73" s="12">
        <f>VLOOKUP(A73,[4]VA05!$A:$K,11,FALSE)</f>
        <v>45593</v>
      </c>
      <c r="L73" s="10" t="s">
        <v>18</v>
      </c>
      <c r="M73" s="10" t="s">
        <v>199</v>
      </c>
    </row>
    <row r="74" spans="1:13" x14ac:dyDescent="0.25">
      <c r="A74" s="13" t="str">
        <f t="shared" si="2"/>
        <v>50714274250</v>
      </c>
      <c r="B74" s="10">
        <v>1004064319</v>
      </c>
      <c r="C74" s="10">
        <v>507142742</v>
      </c>
      <c r="D74" s="10">
        <v>50</v>
      </c>
      <c r="E74" s="10" t="s">
        <v>10</v>
      </c>
      <c r="F74" s="10">
        <v>1437172</v>
      </c>
      <c r="G74" s="10" t="s">
        <v>123</v>
      </c>
      <c r="H74" s="11">
        <v>35874</v>
      </c>
      <c r="I74" s="10">
        <v>0</v>
      </c>
      <c r="J74" s="11">
        <f t="shared" si="3"/>
        <v>35874</v>
      </c>
      <c r="K74" s="12">
        <f>VLOOKUP(A74,[4]VA05!$A:$K,11,FALSE)</f>
        <v>45580</v>
      </c>
      <c r="L74" s="10" t="s">
        <v>12</v>
      </c>
      <c r="M74" s="10" t="s">
        <v>157</v>
      </c>
    </row>
    <row r="75" spans="1:13" x14ac:dyDescent="0.25">
      <c r="A75" s="13" t="str">
        <f t="shared" si="2"/>
        <v>50900099220</v>
      </c>
      <c r="B75" s="10">
        <v>1004016985</v>
      </c>
      <c r="C75" s="10">
        <v>509000992</v>
      </c>
      <c r="D75" s="10">
        <v>20</v>
      </c>
      <c r="E75" s="10" t="s">
        <v>10</v>
      </c>
      <c r="F75" s="10">
        <v>1279713</v>
      </c>
      <c r="G75" s="10" t="s">
        <v>55</v>
      </c>
      <c r="H75" s="11">
        <v>10299</v>
      </c>
      <c r="I75" s="10">
        <v>0</v>
      </c>
      <c r="J75" s="11">
        <f t="shared" si="3"/>
        <v>10299</v>
      </c>
      <c r="K75" s="12" t="e">
        <f>VLOOKUP(A75,[4]VA05!$A:$K,11,FALSE)</f>
        <v>#N/A</v>
      </c>
      <c r="L75" s="10" t="s">
        <v>13</v>
      </c>
      <c r="M75" s="10" t="s">
        <v>58</v>
      </c>
    </row>
    <row r="76" spans="1:13" x14ac:dyDescent="0.25">
      <c r="A76" s="13" t="str">
        <f t="shared" si="2"/>
        <v>50900099320</v>
      </c>
      <c r="B76" s="10">
        <v>1004016986</v>
      </c>
      <c r="C76" s="10">
        <v>509000993</v>
      </c>
      <c r="D76" s="10">
        <v>20</v>
      </c>
      <c r="E76" s="10" t="s">
        <v>10</v>
      </c>
      <c r="F76" s="10">
        <v>1279713</v>
      </c>
      <c r="G76" s="10" t="s">
        <v>55</v>
      </c>
      <c r="H76" s="11">
        <v>3262</v>
      </c>
      <c r="I76" s="10">
        <v>0</v>
      </c>
      <c r="J76" s="11">
        <f t="shared" si="3"/>
        <v>3262</v>
      </c>
      <c r="K76" s="12" t="e">
        <f>VLOOKUP(A76,[4]VA05!$A:$K,11,FALSE)</f>
        <v>#N/A</v>
      </c>
      <c r="L76" s="10" t="s">
        <v>12</v>
      </c>
      <c r="M76" s="10" t="s">
        <v>50</v>
      </c>
    </row>
    <row r="77" spans="1:13" x14ac:dyDescent="0.25">
      <c r="A77" s="13" t="str">
        <f t="shared" si="2"/>
        <v>50714274240</v>
      </c>
      <c r="B77" s="10">
        <v>1004049969</v>
      </c>
      <c r="C77" s="10">
        <v>507142742</v>
      </c>
      <c r="D77" s="10">
        <v>40</v>
      </c>
      <c r="E77" s="10" t="s">
        <v>10</v>
      </c>
      <c r="F77" s="10">
        <v>1209336</v>
      </c>
      <c r="G77" s="10" t="s">
        <v>124</v>
      </c>
      <c r="H77" s="11">
        <v>25576</v>
      </c>
      <c r="I77" s="11">
        <v>18422</v>
      </c>
      <c r="J77" s="11">
        <f t="shared" si="3"/>
        <v>7154</v>
      </c>
      <c r="K77" s="12">
        <f>VLOOKUP(A77,[4]VA05!$A:$K,11,FALSE)</f>
        <v>45580</v>
      </c>
      <c r="L77" s="10" t="s">
        <v>18</v>
      </c>
      <c r="M77" s="10" t="s">
        <v>157</v>
      </c>
    </row>
    <row r="78" spans="1:13" x14ac:dyDescent="0.25">
      <c r="A78" s="13" t="str">
        <f t="shared" si="2"/>
        <v>50714274270</v>
      </c>
      <c r="B78" s="10">
        <v>1004052425</v>
      </c>
      <c r="C78" s="10">
        <v>507142742</v>
      </c>
      <c r="D78" s="10">
        <v>70</v>
      </c>
      <c r="E78" s="10" t="s">
        <v>10</v>
      </c>
      <c r="F78" s="10">
        <v>1209336</v>
      </c>
      <c r="G78" s="10" t="s">
        <v>124</v>
      </c>
      <c r="H78" s="11">
        <v>25576</v>
      </c>
      <c r="I78" s="10">
        <v>0</v>
      </c>
      <c r="J78" s="11">
        <f t="shared" si="3"/>
        <v>25576</v>
      </c>
      <c r="K78" s="12">
        <f>VLOOKUP(A78,[4]VA05!$A:$K,11,FALSE)</f>
        <v>45587</v>
      </c>
      <c r="L78" s="10" t="s">
        <v>12</v>
      </c>
      <c r="M78" s="10" t="s">
        <v>199</v>
      </c>
    </row>
    <row r="79" spans="1:13" x14ac:dyDescent="0.25">
      <c r="A79" s="13" t="str">
        <f t="shared" si="2"/>
        <v>507142742100</v>
      </c>
      <c r="B79" s="10">
        <v>1004052426</v>
      </c>
      <c r="C79" s="10">
        <v>507142742</v>
      </c>
      <c r="D79" s="10">
        <v>100</v>
      </c>
      <c r="E79" s="10" t="s">
        <v>10</v>
      </c>
      <c r="F79" s="10">
        <v>1209336</v>
      </c>
      <c r="G79" s="10" t="s">
        <v>124</v>
      </c>
      <c r="H79" s="11">
        <v>25576</v>
      </c>
      <c r="I79" s="10">
        <v>0</v>
      </c>
      <c r="J79" s="11">
        <f t="shared" si="3"/>
        <v>25576</v>
      </c>
      <c r="K79" s="12" t="e">
        <f>VLOOKUP(A79,[4]VA05!$A:$K,11,FALSE)</f>
        <v>#N/A</v>
      </c>
      <c r="L79" s="10" t="s">
        <v>12</v>
      </c>
      <c r="M79" s="10" t="s">
        <v>200</v>
      </c>
    </row>
    <row r="80" spans="1:13" x14ac:dyDescent="0.25">
      <c r="A80" s="13" t="str">
        <f t="shared" si="2"/>
        <v>50714285110</v>
      </c>
      <c r="B80" s="10">
        <v>1004064146</v>
      </c>
      <c r="C80" s="10">
        <v>507142851</v>
      </c>
      <c r="D80" s="10">
        <v>10</v>
      </c>
      <c r="E80" s="10" t="s">
        <v>10</v>
      </c>
      <c r="F80" s="10">
        <v>1209336</v>
      </c>
      <c r="G80" s="10" t="s">
        <v>124</v>
      </c>
      <c r="H80" s="11">
        <v>35874</v>
      </c>
      <c r="I80" s="10">
        <v>0</v>
      </c>
      <c r="J80" s="11">
        <f t="shared" si="3"/>
        <v>35874</v>
      </c>
      <c r="K80" s="12">
        <f>VLOOKUP(A80,[4]VA05!$A:$K,11,FALSE)</f>
        <v>45593</v>
      </c>
      <c r="L80" s="10" t="s">
        <v>12</v>
      </c>
      <c r="M80" s="10" t="s">
        <v>192</v>
      </c>
    </row>
    <row r="81" spans="1:13" x14ac:dyDescent="0.25">
      <c r="A81" s="13" t="str">
        <f t="shared" si="2"/>
        <v>50714285140</v>
      </c>
      <c r="B81" s="10">
        <v>1004064317</v>
      </c>
      <c r="C81" s="10">
        <v>507142851</v>
      </c>
      <c r="D81" s="10">
        <v>40</v>
      </c>
      <c r="E81" s="10" t="s">
        <v>10</v>
      </c>
      <c r="F81" s="10">
        <v>1209336</v>
      </c>
      <c r="G81" s="10" t="s">
        <v>124</v>
      </c>
      <c r="H81" s="11">
        <v>35874</v>
      </c>
      <c r="I81" s="10">
        <v>0</v>
      </c>
      <c r="J81" s="11">
        <f t="shared" si="3"/>
        <v>35874</v>
      </c>
      <c r="K81" s="12">
        <f>VLOOKUP(A81,[4]VA05!$A:$K,11,FALSE)</f>
        <v>45601</v>
      </c>
      <c r="L81" s="10" t="s">
        <v>12</v>
      </c>
      <c r="M81" s="10" t="s">
        <v>176</v>
      </c>
    </row>
    <row r="82" spans="1:13" x14ac:dyDescent="0.25">
      <c r="A82" s="13" t="str">
        <f t="shared" si="2"/>
        <v>50714285170</v>
      </c>
      <c r="B82" s="10">
        <v>1004064318</v>
      </c>
      <c r="C82" s="10">
        <v>507142851</v>
      </c>
      <c r="D82" s="10">
        <v>70</v>
      </c>
      <c r="E82" s="10" t="s">
        <v>10</v>
      </c>
      <c r="F82" s="10">
        <v>1209336</v>
      </c>
      <c r="G82" s="10" t="s">
        <v>124</v>
      </c>
      <c r="H82" s="11">
        <v>30553</v>
      </c>
      <c r="I82" s="10">
        <v>0</v>
      </c>
      <c r="J82" s="11">
        <f t="shared" si="3"/>
        <v>30553</v>
      </c>
      <c r="K82" s="12">
        <f>VLOOKUP(A82,[4]VA05!$A:$K,11,FALSE)</f>
        <v>45608</v>
      </c>
      <c r="L82" s="10" t="s">
        <v>12</v>
      </c>
      <c r="M82" s="10" t="s">
        <v>302</v>
      </c>
    </row>
    <row r="83" spans="1:13" x14ac:dyDescent="0.25">
      <c r="A83" s="13" t="str">
        <f t="shared" si="2"/>
        <v>50714246960</v>
      </c>
      <c r="B83" s="10">
        <v>1004016982</v>
      </c>
      <c r="C83" s="10">
        <v>507142469</v>
      </c>
      <c r="D83" s="10">
        <v>60</v>
      </c>
      <c r="E83" s="10" t="s">
        <v>10</v>
      </c>
      <c r="F83" s="10">
        <v>1212321</v>
      </c>
      <c r="G83" s="10" t="s">
        <v>30</v>
      </c>
      <c r="H83" s="11">
        <v>71577</v>
      </c>
      <c r="I83" s="11">
        <v>8540</v>
      </c>
      <c r="J83" s="11">
        <f t="shared" si="3"/>
        <v>63037</v>
      </c>
      <c r="K83" s="12" t="e">
        <f>VLOOKUP(A83,[4]VA05!$A:$K,11,FALSE)</f>
        <v>#N/A</v>
      </c>
      <c r="L83" s="10" t="s">
        <v>18</v>
      </c>
      <c r="M83" s="10" t="s">
        <v>49</v>
      </c>
    </row>
    <row r="84" spans="1:13" hidden="1" x14ac:dyDescent="0.25">
      <c r="A84" s="13" t="str">
        <f t="shared" si="2"/>
        <v>50714274230</v>
      </c>
      <c r="B84" s="10">
        <v>1004052421</v>
      </c>
      <c r="C84" s="10">
        <v>507142742</v>
      </c>
      <c r="D84" s="10">
        <v>30</v>
      </c>
      <c r="E84" s="10" t="s">
        <v>10</v>
      </c>
      <c r="F84" s="10">
        <v>1209347</v>
      </c>
      <c r="G84" s="10" t="s">
        <v>136</v>
      </c>
      <c r="H84" s="11">
        <v>25576</v>
      </c>
      <c r="I84" s="11">
        <v>25576</v>
      </c>
      <c r="J84" s="11">
        <f t="shared" si="3"/>
        <v>0</v>
      </c>
      <c r="K84" s="12">
        <f>VLOOKUP(A84,[4]VA05!$A:$K,11,FALSE)</f>
        <v>45575</v>
      </c>
      <c r="L84" s="10" t="s">
        <v>28</v>
      </c>
      <c r="M84" s="10" t="s">
        <v>157</v>
      </c>
    </row>
    <row r="85" spans="1:13" x14ac:dyDescent="0.25">
      <c r="A85" s="13" t="str">
        <f t="shared" si="2"/>
        <v>50714274260</v>
      </c>
      <c r="B85" s="10">
        <v>1004052422</v>
      </c>
      <c r="C85" s="10">
        <v>507142742</v>
      </c>
      <c r="D85" s="10">
        <v>60</v>
      </c>
      <c r="E85" s="10" t="s">
        <v>10</v>
      </c>
      <c r="F85" s="10">
        <v>1209347</v>
      </c>
      <c r="G85" s="10" t="s">
        <v>136</v>
      </c>
      <c r="H85" s="11">
        <v>25576</v>
      </c>
      <c r="I85" s="11">
        <v>10104</v>
      </c>
      <c r="J85" s="11">
        <f t="shared" si="3"/>
        <v>15472</v>
      </c>
      <c r="K85" s="12">
        <f>VLOOKUP(A85,[4]VA05!$A:$K,11,FALSE)</f>
        <v>45580</v>
      </c>
      <c r="L85" s="10" t="s">
        <v>18</v>
      </c>
      <c r="M85" s="10" t="s">
        <v>192</v>
      </c>
    </row>
    <row r="86" spans="1:13" x14ac:dyDescent="0.25">
      <c r="A86" s="13" t="str">
        <f t="shared" si="2"/>
        <v>50714274290</v>
      </c>
      <c r="B86" s="10">
        <v>1004052423</v>
      </c>
      <c r="C86" s="10">
        <v>507142742</v>
      </c>
      <c r="D86" s="10">
        <v>90</v>
      </c>
      <c r="E86" s="10" t="s">
        <v>10</v>
      </c>
      <c r="F86" s="10">
        <v>1209347</v>
      </c>
      <c r="G86" s="10" t="s">
        <v>136</v>
      </c>
      <c r="H86" s="11">
        <v>25576</v>
      </c>
      <c r="I86" s="10">
        <v>0</v>
      </c>
      <c r="J86" s="11">
        <f t="shared" si="3"/>
        <v>25576</v>
      </c>
      <c r="K86" s="12">
        <f>VLOOKUP(A86,[4]VA05!$A:$K,11,FALSE)</f>
        <v>45587</v>
      </c>
      <c r="L86" s="10" t="s">
        <v>12</v>
      </c>
      <c r="M86" s="10" t="s">
        <v>176</v>
      </c>
    </row>
    <row r="87" spans="1:13" x14ac:dyDescent="0.25">
      <c r="A87" s="13" t="str">
        <f t="shared" si="2"/>
        <v>507142742120</v>
      </c>
      <c r="B87" s="10">
        <v>1004052424</v>
      </c>
      <c r="C87" s="10">
        <v>507142742</v>
      </c>
      <c r="D87" s="10">
        <v>120</v>
      </c>
      <c r="E87" s="10" t="s">
        <v>10</v>
      </c>
      <c r="F87" s="10">
        <v>1209347</v>
      </c>
      <c r="G87" s="10" t="s">
        <v>136</v>
      </c>
      <c r="H87" s="11">
        <v>25576</v>
      </c>
      <c r="I87" s="10">
        <v>0</v>
      </c>
      <c r="J87" s="11">
        <f t="shared" si="3"/>
        <v>25576</v>
      </c>
      <c r="K87" s="12" t="e">
        <f>VLOOKUP(A87,[4]VA05!$A:$K,11,FALSE)</f>
        <v>#N/A</v>
      </c>
      <c r="L87" s="10" t="s">
        <v>12</v>
      </c>
      <c r="M87" s="10" t="s">
        <v>198</v>
      </c>
    </row>
    <row r="88" spans="1:13" x14ac:dyDescent="0.25">
      <c r="A88" s="13" t="str">
        <f t="shared" si="2"/>
        <v>50714285130</v>
      </c>
      <c r="B88" s="10">
        <v>1004064316</v>
      </c>
      <c r="C88" s="10">
        <v>507142851</v>
      </c>
      <c r="D88" s="10">
        <v>30</v>
      </c>
      <c r="E88" s="10" t="s">
        <v>10</v>
      </c>
      <c r="F88" s="10">
        <v>1209347</v>
      </c>
      <c r="G88" s="10" t="s">
        <v>136</v>
      </c>
      <c r="H88" s="11">
        <v>35874</v>
      </c>
      <c r="I88" s="10">
        <v>0</v>
      </c>
      <c r="J88" s="11">
        <f t="shared" si="3"/>
        <v>35874</v>
      </c>
      <c r="K88" s="12">
        <f>VLOOKUP(A88,[4]VA05!$A:$K,11,FALSE)</f>
        <v>45593</v>
      </c>
      <c r="L88" s="10" t="s">
        <v>12</v>
      </c>
      <c r="M88" s="10" t="s">
        <v>199</v>
      </c>
    </row>
    <row r="89" spans="1:13" hidden="1" x14ac:dyDescent="0.25">
      <c r="A89" s="13" t="str">
        <f t="shared" si="2"/>
        <v>50714203150</v>
      </c>
      <c r="B89" s="10">
        <v>1003958713</v>
      </c>
      <c r="C89" s="10">
        <v>507142031</v>
      </c>
      <c r="D89" s="10">
        <v>50</v>
      </c>
      <c r="E89" s="10" t="s">
        <v>10</v>
      </c>
      <c r="F89" s="10">
        <v>1409882</v>
      </c>
      <c r="G89" s="10" t="s">
        <v>39</v>
      </c>
      <c r="H89" s="11">
        <v>45777</v>
      </c>
      <c r="I89" s="10">
        <v>0</v>
      </c>
      <c r="J89" s="11">
        <f t="shared" si="3"/>
        <v>45777</v>
      </c>
      <c r="K89" s="12" t="e">
        <f>VLOOKUP(A89,[4]VA05!$A:$K,11,FALSE)</f>
        <v>#N/A</v>
      </c>
      <c r="L89" s="10" t="s">
        <v>260</v>
      </c>
      <c r="M89" s="10" t="s">
        <v>269</v>
      </c>
    </row>
    <row r="90" spans="1:13" x14ac:dyDescent="0.25">
      <c r="A90" s="13" t="str">
        <f t="shared" si="2"/>
        <v>50714273920</v>
      </c>
      <c r="B90" s="10">
        <v>1004051714</v>
      </c>
      <c r="C90" s="10">
        <v>507142739</v>
      </c>
      <c r="D90" s="10">
        <v>20</v>
      </c>
      <c r="E90" s="10" t="s">
        <v>10</v>
      </c>
      <c r="F90" s="10">
        <v>1409882</v>
      </c>
      <c r="G90" s="10" t="s">
        <v>39</v>
      </c>
      <c r="H90" s="11">
        <v>51460</v>
      </c>
      <c r="I90" s="11">
        <v>28112</v>
      </c>
      <c r="J90" s="11">
        <f t="shared" si="3"/>
        <v>23348</v>
      </c>
      <c r="K90" s="12">
        <f>VLOOKUP(A90,[4]VA05!$A:$K,11,FALSE)</f>
        <v>45573</v>
      </c>
      <c r="L90" s="10" t="s">
        <v>11</v>
      </c>
      <c r="M90" s="10" t="s">
        <v>202</v>
      </c>
    </row>
    <row r="91" spans="1:13" x14ac:dyDescent="0.25">
      <c r="A91" s="13" t="str">
        <f t="shared" si="2"/>
        <v>50714273930</v>
      </c>
      <c r="B91" s="10">
        <v>1004062039</v>
      </c>
      <c r="C91" s="10">
        <v>507142739</v>
      </c>
      <c r="D91" s="10">
        <v>30</v>
      </c>
      <c r="E91" s="10" t="s">
        <v>10</v>
      </c>
      <c r="F91" s="10">
        <v>1409882</v>
      </c>
      <c r="G91" s="10" t="s">
        <v>39</v>
      </c>
      <c r="H91" s="11">
        <v>28729</v>
      </c>
      <c r="I91" s="10">
        <v>0</v>
      </c>
      <c r="J91" s="11">
        <f t="shared" si="3"/>
        <v>28729</v>
      </c>
      <c r="K91" s="12">
        <f>VLOOKUP(A91,[4]VA05!$A:$K,11,FALSE)</f>
        <v>45580</v>
      </c>
      <c r="L91" s="10" t="s">
        <v>12</v>
      </c>
      <c r="M91" s="10" t="s">
        <v>197</v>
      </c>
    </row>
    <row r="92" spans="1:13" x14ac:dyDescent="0.25">
      <c r="A92" s="13" t="str">
        <f t="shared" si="2"/>
        <v>50714278010</v>
      </c>
      <c r="B92" s="10">
        <v>1004062040</v>
      </c>
      <c r="C92" s="10">
        <v>507142780</v>
      </c>
      <c r="D92" s="10">
        <v>10</v>
      </c>
      <c r="E92" s="10" t="s">
        <v>10</v>
      </c>
      <c r="F92" s="10">
        <v>1409882</v>
      </c>
      <c r="G92" s="10" t="s">
        <v>39</v>
      </c>
      <c r="H92" s="11">
        <v>32518</v>
      </c>
      <c r="I92" s="10">
        <v>0</v>
      </c>
      <c r="J92" s="11">
        <f t="shared" si="3"/>
        <v>32518</v>
      </c>
      <c r="K92" s="12">
        <f>VLOOKUP(A92,[4]VA05!$A:$K,11,FALSE)</f>
        <v>45580</v>
      </c>
      <c r="L92" s="10" t="s">
        <v>12</v>
      </c>
      <c r="M92" s="10" t="s">
        <v>162</v>
      </c>
    </row>
    <row r="93" spans="1:13" x14ac:dyDescent="0.25">
      <c r="A93" s="13" t="str">
        <f t="shared" si="2"/>
        <v>50714278020</v>
      </c>
      <c r="B93" s="10">
        <v>1004064147</v>
      </c>
      <c r="C93" s="10">
        <v>507142780</v>
      </c>
      <c r="D93" s="10">
        <v>20</v>
      </c>
      <c r="E93" s="10" t="s">
        <v>10</v>
      </c>
      <c r="F93" s="10">
        <v>1409882</v>
      </c>
      <c r="G93" s="10" t="s">
        <v>39</v>
      </c>
      <c r="H93" s="11">
        <v>51460</v>
      </c>
      <c r="I93" s="10">
        <v>0</v>
      </c>
      <c r="J93" s="11">
        <f t="shared" si="3"/>
        <v>51460</v>
      </c>
      <c r="K93" s="12">
        <f>VLOOKUP(A93,[4]VA05!$A:$K,11,FALSE)</f>
        <v>45587</v>
      </c>
      <c r="L93" s="10" t="s">
        <v>12</v>
      </c>
      <c r="M93" s="10" t="s">
        <v>179</v>
      </c>
    </row>
    <row r="94" spans="1:13" x14ac:dyDescent="0.25">
      <c r="A94" s="13" t="str">
        <f t="shared" si="2"/>
        <v>50714278030</v>
      </c>
      <c r="B94" s="10">
        <v>1004064148</v>
      </c>
      <c r="C94" s="10">
        <v>507142780</v>
      </c>
      <c r="D94" s="10">
        <v>30</v>
      </c>
      <c r="E94" s="10" t="s">
        <v>10</v>
      </c>
      <c r="F94" s="10">
        <v>1409882</v>
      </c>
      <c r="G94" s="10" t="s">
        <v>39</v>
      </c>
      <c r="H94" s="11">
        <v>18627</v>
      </c>
      <c r="I94" s="10">
        <v>0</v>
      </c>
      <c r="J94" s="11">
        <f t="shared" si="3"/>
        <v>18627</v>
      </c>
      <c r="K94" s="12">
        <f>VLOOKUP(A94,[4]VA05!$A:$K,11,FALSE)</f>
        <v>45594</v>
      </c>
      <c r="L94" s="10" t="s">
        <v>12</v>
      </c>
      <c r="M94" s="10" t="s">
        <v>176</v>
      </c>
    </row>
    <row r="95" spans="1:13" x14ac:dyDescent="0.25">
      <c r="A95" s="13" t="str">
        <f t="shared" si="2"/>
        <v>50714283210</v>
      </c>
      <c r="B95" s="10">
        <v>1004064309</v>
      </c>
      <c r="C95" s="10">
        <v>507142832</v>
      </c>
      <c r="D95" s="10">
        <v>10</v>
      </c>
      <c r="E95" s="10" t="s">
        <v>10</v>
      </c>
      <c r="F95" s="10">
        <v>1409882</v>
      </c>
      <c r="G95" s="10" t="s">
        <v>39</v>
      </c>
      <c r="H95" s="11">
        <v>51460</v>
      </c>
      <c r="I95" s="10">
        <v>0</v>
      </c>
      <c r="J95" s="11">
        <f t="shared" si="3"/>
        <v>51460</v>
      </c>
      <c r="K95" s="12">
        <f>VLOOKUP(A95,[4]VA05!$A:$K,11,FALSE)</f>
        <v>45595</v>
      </c>
      <c r="L95" s="10" t="s">
        <v>12</v>
      </c>
      <c r="M95" s="10" t="s">
        <v>157</v>
      </c>
    </row>
    <row r="96" spans="1:13" x14ac:dyDescent="0.25">
      <c r="A96" s="13" t="str">
        <f t="shared" si="2"/>
        <v>50714273920</v>
      </c>
      <c r="B96" s="10">
        <v>1004056941</v>
      </c>
      <c r="C96" s="10">
        <v>507142739</v>
      </c>
      <c r="D96" s="10">
        <v>20</v>
      </c>
      <c r="E96" s="10" t="s">
        <v>10</v>
      </c>
      <c r="F96" s="10">
        <v>1409883</v>
      </c>
      <c r="G96" s="10" t="s">
        <v>40</v>
      </c>
      <c r="H96" s="11">
        <v>54066</v>
      </c>
      <c r="I96" s="11">
        <v>45078</v>
      </c>
      <c r="J96" s="11">
        <f t="shared" si="3"/>
        <v>8988</v>
      </c>
      <c r="K96" s="12">
        <f>VLOOKUP(A96,[4]VA05!$A:$K,11,FALSE)</f>
        <v>45573</v>
      </c>
      <c r="L96" s="10" t="s">
        <v>11</v>
      </c>
      <c r="M96" s="10" t="s">
        <v>194</v>
      </c>
    </row>
    <row r="97" spans="1:13" x14ac:dyDescent="0.25">
      <c r="A97" s="13" t="str">
        <f t="shared" si="2"/>
        <v>50714273930</v>
      </c>
      <c r="B97" s="10">
        <v>1004057977</v>
      </c>
      <c r="C97" s="10">
        <v>507142739</v>
      </c>
      <c r="D97" s="10">
        <v>30</v>
      </c>
      <c r="E97" s="10" t="s">
        <v>10</v>
      </c>
      <c r="F97" s="10">
        <v>1409883</v>
      </c>
      <c r="G97" s="10" t="s">
        <v>40</v>
      </c>
      <c r="H97" s="11">
        <v>30185</v>
      </c>
      <c r="I97" s="10">
        <v>0</v>
      </c>
      <c r="J97" s="11">
        <f t="shared" si="3"/>
        <v>30185</v>
      </c>
      <c r="K97" s="12">
        <f>VLOOKUP(A97,[4]VA05!$A:$K,11,FALSE)</f>
        <v>45580</v>
      </c>
      <c r="L97" s="10" t="s">
        <v>119</v>
      </c>
      <c r="M97" s="10" t="s">
        <v>155</v>
      </c>
    </row>
    <row r="98" spans="1:13" x14ac:dyDescent="0.25">
      <c r="A98" s="13" t="str">
        <f t="shared" si="2"/>
        <v>50714278010</v>
      </c>
      <c r="B98" s="10">
        <v>1004058757</v>
      </c>
      <c r="C98" s="10">
        <v>507142780</v>
      </c>
      <c r="D98" s="10">
        <v>10</v>
      </c>
      <c r="E98" s="10" t="s">
        <v>10</v>
      </c>
      <c r="F98" s="10">
        <v>1409883</v>
      </c>
      <c r="G98" s="10" t="s">
        <v>40</v>
      </c>
      <c r="H98" s="11">
        <v>34165</v>
      </c>
      <c r="I98" s="10">
        <v>0</v>
      </c>
      <c r="J98" s="11">
        <f t="shared" si="3"/>
        <v>34165</v>
      </c>
      <c r="K98" s="12">
        <f>VLOOKUP(A98,[4]VA05!$A:$K,11,FALSE)</f>
        <v>45580</v>
      </c>
      <c r="L98" s="10" t="s">
        <v>12</v>
      </c>
      <c r="M98" s="10" t="s">
        <v>195</v>
      </c>
    </row>
    <row r="99" spans="1:13" x14ac:dyDescent="0.25">
      <c r="A99" s="13" t="str">
        <f t="shared" si="2"/>
        <v>50714278020</v>
      </c>
      <c r="B99" s="10">
        <v>1004058758</v>
      </c>
      <c r="C99" s="10">
        <v>507142780</v>
      </c>
      <c r="D99" s="10">
        <v>20</v>
      </c>
      <c r="E99" s="10" t="s">
        <v>10</v>
      </c>
      <c r="F99" s="10">
        <v>1409883</v>
      </c>
      <c r="G99" s="10" t="s">
        <v>40</v>
      </c>
      <c r="H99" s="11">
        <v>54066</v>
      </c>
      <c r="I99" s="10">
        <v>0</v>
      </c>
      <c r="J99" s="11">
        <f t="shared" si="3"/>
        <v>54066</v>
      </c>
      <c r="K99" s="12">
        <f>VLOOKUP(A99,[4]VA05!$A:$K,11,FALSE)</f>
        <v>45587</v>
      </c>
      <c r="L99" s="10" t="s">
        <v>12</v>
      </c>
      <c r="M99" s="10" t="s">
        <v>195</v>
      </c>
    </row>
    <row r="100" spans="1:13" x14ac:dyDescent="0.25">
      <c r="A100" s="13" t="str">
        <f t="shared" si="2"/>
        <v>50714278030</v>
      </c>
      <c r="B100" s="10">
        <v>1004058759</v>
      </c>
      <c r="C100" s="10">
        <v>507142780</v>
      </c>
      <c r="D100" s="10">
        <v>30</v>
      </c>
      <c r="E100" s="10" t="s">
        <v>10</v>
      </c>
      <c r="F100" s="10">
        <v>1409883</v>
      </c>
      <c r="G100" s="10" t="s">
        <v>40</v>
      </c>
      <c r="H100" s="11">
        <v>19571</v>
      </c>
      <c r="I100" s="10">
        <v>0</v>
      </c>
      <c r="J100" s="11">
        <f t="shared" si="3"/>
        <v>19571</v>
      </c>
      <c r="K100" s="12">
        <f>VLOOKUP(A100,[4]VA05!$A:$K,11,FALSE)</f>
        <v>45594</v>
      </c>
      <c r="L100" s="10" t="s">
        <v>12</v>
      </c>
      <c r="M100" s="10" t="s">
        <v>192</v>
      </c>
    </row>
    <row r="101" spans="1:13" x14ac:dyDescent="0.25">
      <c r="A101" s="13" t="str">
        <f t="shared" si="2"/>
        <v>50714276530</v>
      </c>
      <c r="B101" s="10">
        <v>1004051408</v>
      </c>
      <c r="C101" s="10">
        <v>507142765</v>
      </c>
      <c r="D101" s="10">
        <v>30</v>
      </c>
      <c r="E101" s="10" t="s">
        <v>10</v>
      </c>
      <c r="F101" s="10">
        <v>1398384</v>
      </c>
      <c r="G101" s="10" t="s">
        <v>168</v>
      </c>
      <c r="H101" s="11">
        <v>34807</v>
      </c>
      <c r="I101" s="11">
        <v>14637</v>
      </c>
      <c r="J101" s="11">
        <f t="shared" si="3"/>
        <v>20170</v>
      </c>
      <c r="K101" s="12">
        <f>VLOOKUP(A101,[4]VA05!$A:$K,11,FALSE)</f>
        <v>45569</v>
      </c>
      <c r="L101" s="10" t="s">
        <v>11</v>
      </c>
      <c r="M101" s="10" t="s">
        <v>202</v>
      </c>
    </row>
    <row r="102" spans="1:13" x14ac:dyDescent="0.25">
      <c r="A102" s="13" t="str">
        <f t="shared" si="2"/>
        <v>50714276540</v>
      </c>
      <c r="B102" s="10">
        <v>1004052528</v>
      </c>
      <c r="C102" s="10">
        <v>507142765</v>
      </c>
      <c r="D102" s="10">
        <v>40</v>
      </c>
      <c r="E102" s="10" t="s">
        <v>10</v>
      </c>
      <c r="F102" s="10">
        <v>1398384</v>
      </c>
      <c r="G102" s="10" t="s">
        <v>168</v>
      </c>
      <c r="H102" s="11">
        <v>35078</v>
      </c>
      <c r="I102" s="10">
        <v>0</v>
      </c>
      <c r="J102" s="11">
        <f t="shared" si="3"/>
        <v>35078</v>
      </c>
      <c r="K102" s="12">
        <f>VLOOKUP(A102,[4]VA05!$A:$K,11,FALSE)</f>
        <v>45576</v>
      </c>
      <c r="L102" s="10" t="s">
        <v>12</v>
      </c>
      <c r="M102" s="10" t="s">
        <v>195</v>
      </c>
    </row>
    <row r="103" spans="1:13" x14ac:dyDescent="0.25">
      <c r="A103" s="13" t="str">
        <f t="shared" si="2"/>
        <v>50714276550</v>
      </c>
      <c r="B103" s="10">
        <v>1004052529</v>
      </c>
      <c r="C103" s="10">
        <v>507142765</v>
      </c>
      <c r="D103" s="10">
        <v>50</v>
      </c>
      <c r="E103" s="10" t="s">
        <v>10</v>
      </c>
      <c r="F103" s="10">
        <v>1398384</v>
      </c>
      <c r="G103" s="10" t="s">
        <v>168</v>
      </c>
      <c r="H103" s="11">
        <v>45412</v>
      </c>
      <c r="I103" s="10">
        <v>0</v>
      </c>
      <c r="J103" s="11">
        <f t="shared" si="3"/>
        <v>45412</v>
      </c>
      <c r="K103" s="12">
        <f>VLOOKUP(A103,[4]VA05!$A:$K,11,FALSE)</f>
        <v>45583</v>
      </c>
      <c r="L103" s="10" t="s">
        <v>12</v>
      </c>
      <c r="M103" s="10" t="s">
        <v>194</v>
      </c>
    </row>
    <row r="104" spans="1:13" x14ac:dyDescent="0.25">
      <c r="A104" s="13" t="str">
        <f t="shared" si="2"/>
        <v>50714276560</v>
      </c>
      <c r="B104" s="10">
        <v>1004052530</v>
      </c>
      <c r="C104" s="10">
        <v>507142765</v>
      </c>
      <c r="D104" s="10">
        <v>60</v>
      </c>
      <c r="E104" s="10" t="s">
        <v>10</v>
      </c>
      <c r="F104" s="10">
        <v>1398384</v>
      </c>
      <c r="G104" s="10" t="s">
        <v>168</v>
      </c>
      <c r="H104" s="11">
        <v>45412</v>
      </c>
      <c r="I104" s="10">
        <v>0</v>
      </c>
      <c r="J104" s="11">
        <f t="shared" si="3"/>
        <v>45412</v>
      </c>
      <c r="K104" s="12">
        <f>VLOOKUP(A104,[4]VA05!$A:$K,11,FALSE)</f>
        <v>45590</v>
      </c>
      <c r="L104" s="10" t="s">
        <v>12</v>
      </c>
      <c r="M104" s="10" t="s">
        <v>179</v>
      </c>
    </row>
    <row r="105" spans="1:13" x14ac:dyDescent="0.25">
      <c r="A105" s="13" t="str">
        <f t="shared" si="2"/>
        <v>50714276530</v>
      </c>
      <c r="B105" s="10">
        <v>1004052534</v>
      </c>
      <c r="C105" s="10">
        <v>507142765</v>
      </c>
      <c r="D105" s="10">
        <v>30</v>
      </c>
      <c r="E105" s="10" t="s">
        <v>10</v>
      </c>
      <c r="F105" s="10">
        <v>1398385</v>
      </c>
      <c r="G105" s="10" t="s">
        <v>183</v>
      </c>
      <c r="H105" s="11">
        <v>35852</v>
      </c>
      <c r="I105" s="11">
        <v>15312</v>
      </c>
      <c r="J105" s="11">
        <f t="shared" si="3"/>
        <v>20540</v>
      </c>
      <c r="K105" s="12">
        <f>VLOOKUP(A105,[4]VA05!$A:$K,11,FALSE)</f>
        <v>45569</v>
      </c>
      <c r="L105" s="10" t="s">
        <v>11</v>
      </c>
      <c r="M105" s="10" t="s">
        <v>179</v>
      </c>
    </row>
    <row r="106" spans="1:13" x14ac:dyDescent="0.25">
      <c r="A106" s="13" t="str">
        <f t="shared" si="2"/>
        <v>50714276540</v>
      </c>
      <c r="B106" s="10">
        <v>1004052535</v>
      </c>
      <c r="C106" s="10">
        <v>507142765</v>
      </c>
      <c r="D106" s="10">
        <v>40</v>
      </c>
      <c r="E106" s="10" t="s">
        <v>10</v>
      </c>
      <c r="F106" s="10">
        <v>1398385</v>
      </c>
      <c r="G106" s="10" t="s">
        <v>183</v>
      </c>
      <c r="H106" s="11">
        <v>36131</v>
      </c>
      <c r="I106" s="10">
        <v>0</v>
      </c>
      <c r="J106" s="11">
        <f t="shared" si="3"/>
        <v>36131</v>
      </c>
      <c r="K106" s="12">
        <f>VLOOKUP(A106,[4]VA05!$A:$K,11,FALSE)</f>
        <v>45576</v>
      </c>
      <c r="L106" s="10" t="s">
        <v>12</v>
      </c>
      <c r="M106" s="10" t="s">
        <v>180</v>
      </c>
    </row>
    <row r="107" spans="1:13" x14ac:dyDescent="0.25">
      <c r="A107" s="13" t="str">
        <f t="shared" si="2"/>
        <v>50714276550</v>
      </c>
      <c r="B107" s="10">
        <v>1004052536</v>
      </c>
      <c r="C107" s="10">
        <v>507142765</v>
      </c>
      <c r="D107" s="10">
        <v>50</v>
      </c>
      <c r="E107" s="10" t="s">
        <v>10</v>
      </c>
      <c r="F107" s="10">
        <v>1398385</v>
      </c>
      <c r="G107" s="10" t="s">
        <v>183</v>
      </c>
      <c r="H107" s="11">
        <v>46775</v>
      </c>
      <c r="I107" s="10">
        <v>0</v>
      </c>
      <c r="J107" s="11">
        <f t="shared" si="3"/>
        <v>46775</v>
      </c>
      <c r="K107" s="12">
        <f>VLOOKUP(A107,[4]VA05!$A:$K,11,FALSE)</f>
        <v>45583</v>
      </c>
      <c r="L107" s="10" t="s">
        <v>12</v>
      </c>
      <c r="M107" s="10" t="s">
        <v>201</v>
      </c>
    </row>
    <row r="108" spans="1:13" x14ac:dyDescent="0.25">
      <c r="A108" s="13" t="str">
        <f t="shared" si="2"/>
        <v>50714276560</v>
      </c>
      <c r="B108" s="10">
        <v>1004052537</v>
      </c>
      <c r="C108" s="10">
        <v>507142765</v>
      </c>
      <c r="D108" s="10">
        <v>60</v>
      </c>
      <c r="E108" s="10" t="s">
        <v>10</v>
      </c>
      <c r="F108" s="10">
        <v>1398385</v>
      </c>
      <c r="G108" s="10" t="s">
        <v>183</v>
      </c>
      <c r="H108" s="11">
        <v>46775</v>
      </c>
      <c r="I108" s="10">
        <v>0</v>
      </c>
      <c r="J108" s="11">
        <f t="shared" si="3"/>
        <v>46775</v>
      </c>
      <c r="K108" s="12">
        <f>VLOOKUP(A108,[4]VA05!$A:$K,11,FALSE)</f>
        <v>45590</v>
      </c>
      <c r="L108" s="10" t="s">
        <v>12</v>
      </c>
      <c r="M108" s="10" t="s">
        <v>178</v>
      </c>
    </row>
    <row r="109" spans="1:13" x14ac:dyDescent="0.25">
      <c r="A109" s="13" t="str">
        <f t="shared" si="2"/>
        <v>50714276530</v>
      </c>
      <c r="B109" s="10">
        <v>1004052540</v>
      </c>
      <c r="C109" s="10">
        <v>507142765</v>
      </c>
      <c r="D109" s="10">
        <v>30</v>
      </c>
      <c r="E109" s="10" t="s">
        <v>10</v>
      </c>
      <c r="F109" s="10">
        <v>1398386</v>
      </c>
      <c r="G109" s="10" t="s">
        <v>184</v>
      </c>
      <c r="H109" s="11">
        <v>31642</v>
      </c>
      <c r="I109" s="11">
        <v>24570</v>
      </c>
      <c r="J109" s="11">
        <f t="shared" si="3"/>
        <v>7072</v>
      </c>
      <c r="K109" s="12">
        <f>VLOOKUP(A109,[4]VA05!$A:$K,11,FALSE)</f>
        <v>45569</v>
      </c>
      <c r="L109" s="10" t="s">
        <v>18</v>
      </c>
      <c r="M109" s="10" t="s">
        <v>162</v>
      </c>
    </row>
    <row r="110" spans="1:13" x14ac:dyDescent="0.25">
      <c r="A110" s="13" t="str">
        <f t="shared" si="2"/>
        <v>50714276540</v>
      </c>
      <c r="B110" s="10">
        <v>1004052541</v>
      </c>
      <c r="C110" s="10">
        <v>507142765</v>
      </c>
      <c r="D110" s="10">
        <v>40</v>
      </c>
      <c r="E110" s="10" t="s">
        <v>10</v>
      </c>
      <c r="F110" s="10">
        <v>1398386</v>
      </c>
      <c r="G110" s="10" t="s">
        <v>184</v>
      </c>
      <c r="H110" s="11">
        <v>31889</v>
      </c>
      <c r="I110" s="10">
        <v>0</v>
      </c>
      <c r="J110" s="11">
        <f t="shared" si="3"/>
        <v>31889</v>
      </c>
      <c r="K110" s="12">
        <f>VLOOKUP(A110,[4]VA05!$A:$K,11,FALSE)</f>
        <v>45576</v>
      </c>
      <c r="L110" s="10" t="s">
        <v>12</v>
      </c>
      <c r="M110" s="10" t="s">
        <v>156</v>
      </c>
    </row>
    <row r="111" spans="1:13" x14ac:dyDescent="0.25">
      <c r="A111" s="13" t="str">
        <f t="shared" si="2"/>
        <v>50714276550</v>
      </c>
      <c r="B111" s="10">
        <v>1004052543</v>
      </c>
      <c r="C111" s="10">
        <v>507142765</v>
      </c>
      <c r="D111" s="10">
        <v>50</v>
      </c>
      <c r="E111" s="10" t="s">
        <v>10</v>
      </c>
      <c r="F111" s="10">
        <v>1398386</v>
      </c>
      <c r="G111" s="10" t="s">
        <v>184</v>
      </c>
      <c r="H111" s="11">
        <v>41283</v>
      </c>
      <c r="I111" s="10">
        <v>0</v>
      </c>
      <c r="J111" s="11">
        <f t="shared" si="3"/>
        <v>41283</v>
      </c>
      <c r="K111" s="12">
        <f>VLOOKUP(A111,[4]VA05!$A:$K,11,FALSE)</f>
        <v>45583</v>
      </c>
      <c r="L111" s="10" t="s">
        <v>12</v>
      </c>
      <c r="M111" s="10" t="s">
        <v>202</v>
      </c>
    </row>
    <row r="112" spans="1:13" x14ac:dyDescent="0.25">
      <c r="A112" s="13" t="str">
        <f t="shared" si="2"/>
        <v>50714276560</v>
      </c>
      <c r="B112" s="10">
        <v>1004052544</v>
      </c>
      <c r="C112" s="10">
        <v>507142765</v>
      </c>
      <c r="D112" s="10">
        <v>60</v>
      </c>
      <c r="E112" s="10" t="s">
        <v>10</v>
      </c>
      <c r="F112" s="10">
        <v>1398386</v>
      </c>
      <c r="G112" s="10" t="s">
        <v>184</v>
      </c>
      <c r="H112" s="11">
        <v>41283</v>
      </c>
      <c r="I112" s="10">
        <v>0</v>
      </c>
      <c r="J112" s="11">
        <f t="shared" si="3"/>
        <v>41283</v>
      </c>
      <c r="K112" s="12">
        <f>VLOOKUP(A112,[4]VA05!$A:$K,11,FALSE)</f>
        <v>45590</v>
      </c>
      <c r="L112" s="10" t="s">
        <v>12</v>
      </c>
      <c r="M112" s="10" t="s">
        <v>191</v>
      </c>
    </row>
    <row r="113" spans="1:13" x14ac:dyDescent="0.25">
      <c r="A113" s="13" t="str">
        <f t="shared" si="2"/>
        <v>50714276640</v>
      </c>
      <c r="B113" s="10">
        <v>1004064320</v>
      </c>
      <c r="C113" s="10">
        <v>507142766</v>
      </c>
      <c r="D113" s="10">
        <v>40</v>
      </c>
      <c r="E113" s="10" t="s">
        <v>10</v>
      </c>
      <c r="F113" s="10">
        <v>1398746</v>
      </c>
      <c r="G113" s="10" t="s">
        <v>213</v>
      </c>
      <c r="H113" s="11">
        <v>46405</v>
      </c>
      <c r="I113" s="11">
        <v>3664</v>
      </c>
      <c r="J113" s="11">
        <f t="shared" si="3"/>
        <v>42741</v>
      </c>
      <c r="K113" s="12">
        <f>VLOOKUP(A113,[4]VA05!$A:$K,11,FALSE)</f>
        <v>45604</v>
      </c>
      <c r="L113" s="10" t="s">
        <v>18</v>
      </c>
      <c r="M113" s="10" t="s">
        <v>193</v>
      </c>
    </row>
    <row r="114" spans="1:13" x14ac:dyDescent="0.25">
      <c r="A114" s="13" t="str">
        <f t="shared" si="2"/>
        <v>50714276630</v>
      </c>
      <c r="B114" s="10">
        <v>1004053435</v>
      </c>
      <c r="C114" s="10">
        <v>507142766</v>
      </c>
      <c r="D114" s="10">
        <v>30</v>
      </c>
      <c r="E114" s="10" t="s">
        <v>10</v>
      </c>
      <c r="F114" s="10">
        <v>1398747</v>
      </c>
      <c r="G114" s="10" t="s">
        <v>214</v>
      </c>
      <c r="H114" s="11">
        <v>31148</v>
      </c>
      <c r="I114" s="11">
        <v>22387</v>
      </c>
      <c r="J114" s="11">
        <f t="shared" si="3"/>
        <v>8761</v>
      </c>
      <c r="K114" s="12">
        <f>VLOOKUP(A114,[4]VA05!$A:$K,11,FALSE)</f>
        <v>45596</v>
      </c>
      <c r="L114" s="10" t="s">
        <v>18</v>
      </c>
      <c r="M114" s="10" t="s">
        <v>197</v>
      </c>
    </row>
    <row r="115" spans="1:13" hidden="1" x14ac:dyDescent="0.25">
      <c r="A115" s="13" t="str">
        <f t="shared" si="2"/>
        <v>50714270610</v>
      </c>
      <c r="B115" s="10">
        <v>1004052545</v>
      </c>
      <c r="C115" s="10">
        <v>507142706</v>
      </c>
      <c r="D115" s="10">
        <v>10</v>
      </c>
      <c r="E115" s="10" t="s">
        <v>10</v>
      </c>
      <c r="F115" s="10">
        <v>1152845</v>
      </c>
      <c r="G115" s="10" t="s">
        <v>185</v>
      </c>
      <c r="H115" s="11">
        <v>10262</v>
      </c>
      <c r="I115" s="11">
        <v>10262</v>
      </c>
      <c r="J115" s="11">
        <f t="shared" si="3"/>
        <v>0</v>
      </c>
      <c r="K115" s="12">
        <f>VLOOKUP(A115,[4]VA05!$A:$K,11,FALSE)</f>
        <v>45567</v>
      </c>
      <c r="L115" s="10" t="s">
        <v>34</v>
      </c>
      <c r="M115" s="10" t="s">
        <v>195</v>
      </c>
    </row>
    <row r="116" spans="1:13" x14ac:dyDescent="0.25">
      <c r="A116" s="13" t="str">
        <f t="shared" si="2"/>
        <v>50714283610</v>
      </c>
      <c r="B116" s="10">
        <v>1004058753</v>
      </c>
      <c r="C116" s="10">
        <v>507142836</v>
      </c>
      <c r="D116" s="10">
        <v>10</v>
      </c>
      <c r="E116" s="10" t="s">
        <v>10</v>
      </c>
      <c r="F116" s="10">
        <v>1152845</v>
      </c>
      <c r="G116" s="10" t="s">
        <v>185</v>
      </c>
      <c r="H116" s="11">
        <v>25821</v>
      </c>
      <c r="I116" s="11">
        <v>4372</v>
      </c>
      <c r="J116" s="11">
        <f t="shared" si="3"/>
        <v>21449</v>
      </c>
      <c r="K116" s="12">
        <f>VLOOKUP(A116,[4]VA05!$A:$K,11,FALSE)</f>
        <v>45588</v>
      </c>
      <c r="L116" s="10" t="s">
        <v>18</v>
      </c>
      <c r="M116" s="10" t="s">
        <v>216</v>
      </c>
    </row>
    <row r="117" spans="1:13" x14ac:dyDescent="0.25">
      <c r="A117" s="13" t="str">
        <f t="shared" si="2"/>
        <v>50714283610</v>
      </c>
      <c r="B117" s="10">
        <v>1004061401</v>
      </c>
      <c r="C117" s="10">
        <v>507142836</v>
      </c>
      <c r="D117" s="10">
        <v>10</v>
      </c>
      <c r="E117" s="10" t="s">
        <v>10</v>
      </c>
      <c r="F117" s="10">
        <v>1206292</v>
      </c>
      <c r="G117" s="10" t="s">
        <v>257</v>
      </c>
      <c r="H117" s="11">
        <v>29436</v>
      </c>
      <c r="I117" s="10">
        <v>0</v>
      </c>
      <c r="J117" s="11">
        <f t="shared" si="3"/>
        <v>29436</v>
      </c>
      <c r="K117" s="12">
        <f>VLOOKUP(A117,[4]VA05!$A:$K,11,FALSE)</f>
        <v>45588</v>
      </c>
      <c r="L117" s="10" t="s">
        <v>12</v>
      </c>
      <c r="M117" s="10" t="s">
        <v>157</v>
      </c>
    </row>
    <row r="118" spans="1:13" x14ac:dyDescent="0.25">
      <c r="A118" s="13" t="str">
        <f t="shared" si="2"/>
        <v>50714271310</v>
      </c>
      <c r="B118" s="10">
        <v>1004052555</v>
      </c>
      <c r="C118" s="10">
        <v>507142713</v>
      </c>
      <c r="D118" s="10">
        <v>10</v>
      </c>
      <c r="E118" s="10" t="s">
        <v>10</v>
      </c>
      <c r="F118" s="10">
        <v>1172472</v>
      </c>
      <c r="G118" s="10" t="s">
        <v>86</v>
      </c>
      <c r="H118" s="11">
        <v>10524</v>
      </c>
      <c r="I118" s="10">
        <v>246</v>
      </c>
      <c r="J118" s="11">
        <f t="shared" si="3"/>
        <v>10278</v>
      </c>
      <c r="K118" s="12">
        <f>VLOOKUP(A118,[4]VA05!$A:$K,11,FALSE)</f>
        <v>45591</v>
      </c>
      <c r="L118" s="10" t="s">
        <v>18</v>
      </c>
      <c r="M118" s="10" t="s">
        <v>203</v>
      </c>
    </row>
    <row r="119" spans="1:13" x14ac:dyDescent="0.25">
      <c r="A119" s="13" t="str">
        <f t="shared" si="2"/>
        <v>50714271340</v>
      </c>
      <c r="B119" s="10">
        <v>1004052556</v>
      </c>
      <c r="C119" s="10">
        <v>507142713</v>
      </c>
      <c r="D119" s="10">
        <v>40</v>
      </c>
      <c r="E119" s="10" t="s">
        <v>10</v>
      </c>
      <c r="F119" s="10">
        <v>1172472</v>
      </c>
      <c r="G119" s="10" t="s">
        <v>86</v>
      </c>
      <c r="H119" s="11">
        <v>10524</v>
      </c>
      <c r="I119" s="10">
        <v>0</v>
      </c>
      <c r="J119" s="11">
        <f t="shared" si="3"/>
        <v>10524</v>
      </c>
      <c r="K119" s="12">
        <f>VLOOKUP(A119,[4]VA05!$A:$K,11,FALSE)</f>
        <v>45591</v>
      </c>
      <c r="L119" s="10" t="s">
        <v>12</v>
      </c>
      <c r="M119" s="10" t="s">
        <v>203</v>
      </c>
    </row>
    <row r="120" spans="1:13" hidden="1" x14ac:dyDescent="0.25">
      <c r="A120" s="13" t="str">
        <f t="shared" si="2"/>
        <v>50714241640</v>
      </c>
      <c r="B120" s="10">
        <v>1004035739</v>
      </c>
      <c r="C120" s="10">
        <v>507142416</v>
      </c>
      <c r="D120" s="10">
        <v>40</v>
      </c>
      <c r="E120" s="10" t="s">
        <v>10</v>
      </c>
      <c r="F120" s="10">
        <v>1171177</v>
      </c>
      <c r="G120" s="10" t="s">
        <v>88</v>
      </c>
      <c r="H120" s="11">
        <v>10170</v>
      </c>
      <c r="I120" s="10">
        <v>0</v>
      </c>
      <c r="J120" s="11">
        <f t="shared" si="3"/>
        <v>10170</v>
      </c>
      <c r="K120" s="12">
        <f>VLOOKUP(A120,[4]VA05!$A:$K,11,FALSE)</f>
        <v>45573</v>
      </c>
      <c r="L120" s="10" t="s">
        <v>260</v>
      </c>
      <c r="M120" s="10" t="s">
        <v>109</v>
      </c>
    </row>
    <row r="121" spans="1:13" x14ac:dyDescent="0.25">
      <c r="A121" s="13" t="str">
        <f t="shared" si="2"/>
        <v>507142416190</v>
      </c>
      <c r="B121" s="10">
        <v>1004052561</v>
      </c>
      <c r="C121" s="10">
        <v>507142416</v>
      </c>
      <c r="D121" s="10">
        <v>190</v>
      </c>
      <c r="E121" s="10" t="s">
        <v>10</v>
      </c>
      <c r="F121" s="10">
        <v>1171177</v>
      </c>
      <c r="G121" s="10" t="s">
        <v>88</v>
      </c>
      <c r="H121" s="11">
        <v>10170</v>
      </c>
      <c r="I121" s="10">
        <v>0</v>
      </c>
      <c r="J121" s="11">
        <f t="shared" si="3"/>
        <v>10170</v>
      </c>
      <c r="K121" s="12">
        <f>VLOOKUP(A121,[4]VA05!$A:$K,11,FALSE)</f>
        <v>45583</v>
      </c>
      <c r="L121" s="10" t="s">
        <v>56</v>
      </c>
      <c r="M121" s="10" t="s">
        <v>177</v>
      </c>
    </row>
    <row r="122" spans="1:13" x14ac:dyDescent="0.25">
      <c r="A122" s="13" t="str">
        <f t="shared" si="2"/>
        <v>507142416220</v>
      </c>
      <c r="B122" s="10">
        <v>1004052563</v>
      </c>
      <c r="C122" s="10">
        <v>507142416</v>
      </c>
      <c r="D122" s="10">
        <v>220</v>
      </c>
      <c r="E122" s="10" t="s">
        <v>10</v>
      </c>
      <c r="F122" s="10">
        <v>1171177</v>
      </c>
      <c r="G122" s="10" t="s">
        <v>88</v>
      </c>
      <c r="H122" s="11">
        <v>10170</v>
      </c>
      <c r="I122" s="10">
        <v>0</v>
      </c>
      <c r="J122" s="11">
        <f t="shared" si="3"/>
        <v>10170</v>
      </c>
      <c r="K122" s="12">
        <f>VLOOKUP(A122,[4]VA05!$A:$K,11,FALSE)</f>
        <v>45587</v>
      </c>
      <c r="L122" s="10" t="s">
        <v>12</v>
      </c>
      <c r="M122" s="10" t="s">
        <v>109</v>
      </c>
    </row>
    <row r="123" spans="1:13" x14ac:dyDescent="0.25">
      <c r="A123" s="13" t="str">
        <f t="shared" si="2"/>
        <v>50714271320</v>
      </c>
      <c r="B123" s="10">
        <v>1004052564</v>
      </c>
      <c r="C123" s="10">
        <v>507142713</v>
      </c>
      <c r="D123" s="10">
        <v>20</v>
      </c>
      <c r="E123" s="10" t="s">
        <v>10</v>
      </c>
      <c r="F123" s="10">
        <v>1171177</v>
      </c>
      <c r="G123" s="10" t="s">
        <v>88</v>
      </c>
      <c r="H123" s="11">
        <v>10170</v>
      </c>
      <c r="I123" s="10">
        <v>0</v>
      </c>
      <c r="J123" s="11">
        <f t="shared" si="3"/>
        <v>10170</v>
      </c>
      <c r="K123" s="12">
        <f>VLOOKUP(A123,[4]VA05!$A:$K,11,FALSE)</f>
        <v>45591</v>
      </c>
      <c r="L123" s="10" t="s">
        <v>12</v>
      </c>
      <c r="M123" s="10" t="s">
        <v>204</v>
      </c>
    </row>
    <row r="124" spans="1:13" x14ac:dyDescent="0.25">
      <c r="A124" s="13" t="str">
        <f t="shared" si="2"/>
        <v>50714271350</v>
      </c>
      <c r="B124" s="10">
        <v>1004052565</v>
      </c>
      <c r="C124" s="10">
        <v>507142713</v>
      </c>
      <c r="D124" s="10">
        <v>50</v>
      </c>
      <c r="E124" s="10" t="s">
        <v>10</v>
      </c>
      <c r="F124" s="10">
        <v>1171177</v>
      </c>
      <c r="G124" s="10" t="s">
        <v>88</v>
      </c>
      <c r="H124" s="11">
        <v>10170</v>
      </c>
      <c r="I124" s="10">
        <v>0</v>
      </c>
      <c r="J124" s="11">
        <f t="shared" si="3"/>
        <v>10170</v>
      </c>
      <c r="K124" s="12">
        <f>VLOOKUP(A124,[4]VA05!$A:$K,11,FALSE)</f>
        <v>45591</v>
      </c>
      <c r="L124" s="10" t="s">
        <v>12</v>
      </c>
      <c r="M124" s="10" t="s">
        <v>204</v>
      </c>
    </row>
    <row r="125" spans="1:13" x14ac:dyDescent="0.25">
      <c r="A125" s="13" t="str">
        <f t="shared" si="2"/>
        <v>50714271320</v>
      </c>
      <c r="B125" s="10">
        <v>1004052612</v>
      </c>
      <c r="C125" s="10">
        <v>507142713</v>
      </c>
      <c r="D125" s="10">
        <v>20</v>
      </c>
      <c r="E125" s="10" t="s">
        <v>10</v>
      </c>
      <c r="F125" s="10">
        <v>1171178</v>
      </c>
      <c r="G125" s="10" t="s">
        <v>87</v>
      </c>
      <c r="H125" s="11">
        <v>10170</v>
      </c>
      <c r="I125" s="11">
        <v>5390</v>
      </c>
      <c r="J125" s="11">
        <f t="shared" si="3"/>
        <v>4780</v>
      </c>
      <c r="K125" s="12">
        <f>VLOOKUP(A125,[4]VA05!$A:$K,11,FALSE)</f>
        <v>45591</v>
      </c>
      <c r="L125" s="10" t="s">
        <v>18</v>
      </c>
      <c r="M125" s="10" t="s">
        <v>204</v>
      </c>
    </row>
    <row r="126" spans="1:13" x14ac:dyDescent="0.25">
      <c r="A126" s="13" t="str">
        <f t="shared" si="2"/>
        <v>50714271350</v>
      </c>
      <c r="B126" s="10">
        <v>1004052613</v>
      </c>
      <c r="C126" s="10">
        <v>507142713</v>
      </c>
      <c r="D126" s="10">
        <v>50</v>
      </c>
      <c r="E126" s="10" t="s">
        <v>10</v>
      </c>
      <c r="F126" s="10">
        <v>1171178</v>
      </c>
      <c r="G126" s="10" t="s">
        <v>87</v>
      </c>
      <c r="H126" s="11">
        <v>10170</v>
      </c>
      <c r="I126" s="10">
        <v>0</v>
      </c>
      <c r="J126" s="11">
        <f t="shared" si="3"/>
        <v>10170</v>
      </c>
      <c r="K126" s="12">
        <f>VLOOKUP(A126,[4]VA05!$A:$K,11,FALSE)</f>
        <v>45591</v>
      </c>
      <c r="L126" s="10" t="s">
        <v>12</v>
      </c>
      <c r="M126" s="10" t="s">
        <v>204</v>
      </c>
    </row>
    <row r="127" spans="1:13" x14ac:dyDescent="0.25">
      <c r="A127" s="13" t="str">
        <f t="shared" si="2"/>
        <v>50714262630</v>
      </c>
      <c r="B127" s="10">
        <v>1004052617</v>
      </c>
      <c r="C127" s="10">
        <v>507142626</v>
      </c>
      <c r="D127" s="10">
        <v>30</v>
      </c>
      <c r="E127" s="10" t="s">
        <v>10</v>
      </c>
      <c r="F127" s="10">
        <v>1172030</v>
      </c>
      <c r="G127" s="10" t="s">
        <v>112</v>
      </c>
      <c r="H127" s="11">
        <v>29055</v>
      </c>
      <c r="I127" s="10">
        <v>0</v>
      </c>
      <c r="J127" s="11">
        <f t="shared" si="3"/>
        <v>29055</v>
      </c>
      <c r="K127" s="12">
        <f>VLOOKUP(A127,[4]VA05!$A:$K,11,FALSE)</f>
        <v>45590</v>
      </c>
      <c r="L127" s="10" t="s">
        <v>12</v>
      </c>
      <c r="M127" s="10" t="s">
        <v>154</v>
      </c>
    </row>
    <row r="128" spans="1:13" x14ac:dyDescent="0.25">
      <c r="A128" s="13" t="str">
        <f t="shared" si="2"/>
        <v>50714270920</v>
      </c>
      <c r="B128" s="10">
        <v>1004061878</v>
      </c>
      <c r="C128" s="10">
        <v>507142709</v>
      </c>
      <c r="D128" s="10">
        <v>20</v>
      </c>
      <c r="E128" s="10" t="s">
        <v>10</v>
      </c>
      <c r="F128" s="10">
        <v>1172347</v>
      </c>
      <c r="G128" s="10" t="s">
        <v>237</v>
      </c>
      <c r="H128" s="11">
        <v>30393</v>
      </c>
      <c r="I128" s="11">
        <v>8472</v>
      </c>
      <c r="J128" s="11">
        <f t="shared" si="3"/>
        <v>21921</v>
      </c>
      <c r="K128" s="12">
        <f>VLOOKUP(A128,[4]VA05!$A:$K,11,FALSE)</f>
        <v>45583</v>
      </c>
      <c r="L128" s="10" t="s">
        <v>11</v>
      </c>
      <c r="M128" s="10" t="s">
        <v>162</v>
      </c>
    </row>
    <row r="129" spans="1:13" x14ac:dyDescent="0.25">
      <c r="A129" s="13" t="str">
        <f t="shared" si="2"/>
        <v>50714271020</v>
      </c>
      <c r="B129" s="10">
        <v>1004061879</v>
      </c>
      <c r="C129" s="10">
        <v>507142710</v>
      </c>
      <c r="D129" s="10">
        <v>20</v>
      </c>
      <c r="E129" s="10" t="s">
        <v>10</v>
      </c>
      <c r="F129" s="10">
        <v>1172347</v>
      </c>
      <c r="G129" s="10" t="s">
        <v>237</v>
      </c>
      <c r="H129" s="11">
        <v>30393</v>
      </c>
      <c r="I129" s="10">
        <v>0</v>
      </c>
      <c r="J129" s="11">
        <f t="shared" si="3"/>
        <v>30393</v>
      </c>
      <c r="K129" s="12">
        <f>VLOOKUP(A129,[4]VA05!$A:$K,11,FALSE)</f>
        <v>45596</v>
      </c>
      <c r="L129" s="10" t="s">
        <v>12</v>
      </c>
      <c r="M129" s="10" t="s">
        <v>199</v>
      </c>
    </row>
    <row r="130" spans="1:13" hidden="1" x14ac:dyDescent="0.25">
      <c r="A130" s="13" t="str">
        <f t="shared" si="2"/>
        <v>50714170530</v>
      </c>
      <c r="B130" s="10">
        <v>1003946987</v>
      </c>
      <c r="C130" s="10">
        <v>507141705</v>
      </c>
      <c r="D130" s="10">
        <v>30</v>
      </c>
      <c r="E130" s="10" t="s">
        <v>10</v>
      </c>
      <c r="F130" s="10">
        <v>1167579</v>
      </c>
      <c r="G130" s="10" t="s">
        <v>19</v>
      </c>
      <c r="H130" s="11">
        <v>10195</v>
      </c>
      <c r="I130" s="10">
        <v>0</v>
      </c>
      <c r="J130" s="11">
        <f t="shared" si="3"/>
        <v>10195</v>
      </c>
      <c r="K130" s="12" t="e">
        <f>VLOOKUP(A130,[4]VA05!$A:$K,11,FALSE)</f>
        <v>#N/A</v>
      </c>
      <c r="L130" s="10" t="s">
        <v>260</v>
      </c>
      <c r="M130" s="10" t="s">
        <v>270</v>
      </c>
    </row>
    <row r="131" spans="1:13" hidden="1" x14ac:dyDescent="0.25">
      <c r="A131" s="13" t="str">
        <f t="shared" si="2"/>
        <v>50714276920</v>
      </c>
      <c r="B131" s="10">
        <v>1004054833</v>
      </c>
      <c r="C131" s="10">
        <v>507142769</v>
      </c>
      <c r="D131" s="10">
        <v>20</v>
      </c>
      <c r="E131" s="10" t="s">
        <v>10</v>
      </c>
      <c r="F131" s="10">
        <v>1173995</v>
      </c>
      <c r="G131" s="10" t="s">
        <v>20</v>
      </c>
      <c r="H131" s="11">
        <v>34793</v>
      </c>
      <c r="I131" s="11">
        <v>34793</v>
      </c>
      <c r="J131" s="11">
        <f t="shared" si="3"/>
        <v>0</v>
      </c>
      <c r="K131" s="12">
        <f>VLOOKUP(A131,[4]VA05!$A:$K,11,FALSE)</f>
        <v>45575</v>
      </c>
      <c r="L131" s="10" t="s">
        <v>28</v>
      </c>
      <c r="M131" s="10" t="s">
        <v>201</v>
      </c>
    </row>
    <row r="132" spans="1:13" x14ac:dyDescent="0.25">
      <c r="A132" s="13" t="str">
        <f t="shared" ref="A132:A195" si="4">C132&amp;D132</f>
        <v>50714283520</v>
      </c>
      <c r="B132" s="10">
        <v>1004064323</v>
      </c>
      <c r="C132" s="10">
        <v>507142835</v>
      </c>
      <c r="D132" s="10">
        <v>20</v>
      </c>
      <c r="E132" s="10" t="s">
        <v>10</v>
      </c>
      <c r="F132" s="10">
        <v>1173995</v>
      </c>
      <c r="G132" s="10" t="s">
        <v>20</v>
      </c>
      <c r="H132" s="11">
        <v>11654</v>
      </c>
      <c r="I132" s="11">
        <v>8240</v>
      </c>
      <c r="J132" s="11">
        <f t="shared" ref="J132:J195" si="5">H132-I132</f>
        <v>3414</v>
      </c>
      <c r="K132" s="12">
        <f>VLOOKUP(A132,[4]VA05!$A:$K,11,FALSE)</f>
        <v>45587</v>
      </c>
      <c r="L132" s="10" t="s">
        <v>11</v>
      </c>
      <c r="M132" s="10" t="s">
        <v>179</v>
      </c>
    </row>
    <row r="133" spans="1:13" x14ac:dyDescent="0.25">
      <c r="A133" s="13" t="str">
        <f t="shared" si="4"/>
        <v>50714262610</v>
      </c>
      <c r="B133" s="10">
        <v>1004050514</v>
      </c>
      <c r="C133" s="10">
        <v>507142626</v>
      </c>
      <c r="D133" s="10">
        <v>10</v>
      </c>
      <c r="E133" s="10" t="s">
        <v>10</v>
      </c>
      <c r="F133" s="10">
        <v>1212641</v>
      </c>
      <c r="G133" s="10" t="s">
        <v>99</v>
      </c>
      <c r="H133" s="11">
        <v>25858</v>
      </c>
      <c r="I133" s="10">
        <v>0</v>
      </c>
      <c r="J133" s="11">
        <f t="shared" si="5"/>
        <v>25858</v>
      </c>
      <c r="K133" s="12">
        <f>VLOOKUP(A133,[4]VA05!$A:$K,11,FALSE)</f>
        <v>45590</v>
      </c>
      <c r="L133" s="10" t="s">
        <v>29</v>
      </c>
      <c r="M133" s="10" t="s">
        <v>202</v>
      </c>
    </row>
    <row r="134" spans="1:13" hidden="1" x14ac:dyDescent="0.25">
      <c r="A134" s="13" t="str">
        <f t="shared" si="4"/>
        <v>50714201220</v>
      </c>
      <c r="B134" s="10">
        <v>1003980075</v>
      </c>
      <c r="C134" s="10">
        <v>507142012</v>
      </c>
      <c r="D134" s="10">
        <v>20</v>
      </c>
      <c r="E134" s="10" t="s">
        <v>24</v>
      </c>
      <c r="F134" s="10">
        <v>1171484</v>
      </c>
      <c r="G134" s="10" t="s">
        <v>271</v>
      </c>
      <c r="H134" s="11">
        <v>4000</v>
      </c>
      <c r="I134" s="10">
        <v>0</v>
      </c>
      <c r="J134" s="11">
        <f t="shared" si="5"/>
        <v>4000</v>
      </c>
      <c r="K134" s="12" t="e">
        <f>VLOOKUP(A134,[4]VA05!$A:$K,11,FALSE)</f>
        <v>#N/A</v>
      </c>
      <c r="L134" s="10" t="s">
        <v>260</v>
      </c>
      <c r="M134" s="10" t="s">
        <v>272</v>
      </c>
    </row>
    <row r="135" spans="1:13" x14ac:dyDescent="0.25">
      <c r="A135" s="13" t="str">
        <f t="shared" si="4"/>
        <v>50714271010</v>
      </c>
      <c r="B135" s="10">
        <v>1004058763</v>
      </c>
      <c r="C135" s="10">
        <v>507142710</v>
      </c>
      <c r="D135" s="10">
        <v>10</v>
      </c>
      <c r="E135" s="10" t="s">
        <v>10</v>
      </c>
      <c r="F135" s="10">
        <v>1172346</v>
      </c>
      <c r="G135" s="10" t="s">
        <v>158</v>
      </c>
      <c r="H135" s="11">
        <v>34782</v>
      </c>
      <c r="I135" s="11">
        <v>3861</v>
      </c>
      <c r="J135" s="11">
        <f t="shared" si="5"/>
        <v>30921</v>
      </c>
      <c r="K135" s="12">
        <f>VLOOKUP(A135,[4]VA05!$A:$K,11,FALSE)</f>
        <v>45596</v>
      </c>
      <c r="L135" s="10" t="s">
        <v>18</v>
      </c>
      <c r="M135" s="10" t="s">
        <v>176</v>
      </c>
    </row>
    <row r="136" spans="1:13" x14ac:dyDescent="0.25">
      <c r="A136" s="13" t="str">
        <f t="shared" si="4"/>
        <v>50714276710</v>
      </c>
      <c r="B136" s="10">
        <v>1004064314</v>
      </c>
      <c r="C136" s="10">
        <v>507142767</v>
      </c>
      <c r="D136" s="10">
        <v>10</v>
      </c>
      <c r="E136" s="10" t="s">
        <v>10</v>
      </c>
      <c r="F136" s="10">
        <v>1291781</v>
      </c>
      <c r="G136" s="10" t="s">
        <v>303</v>
      </c>
      <c r="H136" s="11">
        <v>25563</v>
      </c>
      <c r="I136" s="10">
        <v>0</v>
      </c>
      <c r="J136" s="11">
        <f t="shared" si="5"/>
        <v>25563</v>
      </c>
      <c r="K136" s="12">
        <f>VLOOKUP(A136,[4]VA05!$A:$K,11,FALSE)</f>
        <v>45610</v>
      </c>
      <c r="L136" s="10" t="s">
        <v>12</v>
      </c>
      <c r="M136" s="10" t="s">
        <v>304</v>
      </c>
    </row>
    <row r="137" spans="1:13" x14ac:dyDescent="0.25">
      <c r="A137" s="13" t="str">
        <f t="shared" si="4"/>
        <v>50714276710</v>
      </c>
      <c r="B137" s="10">
        <v>1004064315</v>
      </c>
      <c r="C137" s="10">
        <v>507142767</v>
      </c>
      <c r="D137" s="10">
        <v>10</v>
      </c>
      <c r="E137" s="10" t="s">
        <v>10</v>
      </c>
      <c r="F137" s="10">
        <v>1222168</v>
      </c>
      <c r="G137" s="10" t="s">
        <v>305</v>
      </c>
      <c r="H137" s="11">
        <v>25563</v>
      </c>
      <c r="I137" s="10">
        <v>0</v>
      </c>
      <c r="J137" s="11">
        <f t="shared" si="5"/>
        <v>25563</v>
      </c>
      <c r="K137" s="12">
        <f>VLOOKUP(A137,[4]VA05!$A:$K,11,FALSE)</f>
        <v>45610</v>
      </c>
      <c r="L137" s="10" t="s">
        <v>12</v>
      </c>
      <c r="M137" s="10" t="s">
        <v>306</v>
      </c>
    </row>
    <row r="138" spans="1:13" x14ac:dyDescent="0.25">
      <c r="A138" s="13" t="str">
        <f t="shared" si="4"/>
        <v>50714239710</v>
      </c>
      <c r="B138" s="10">
        <v>1004054834</v>
      </c>
      <c r="C138" s="10">
        <v>507142397</v>
      </c>
      <c r="D138" s="10">
        <v>10</v>
      </c>
      <c r="E138" s="10" t="s">
        <v>10</v>
      </c>
      <c r="F138" s="10">
        <v>1195537</v>
      </c>
      <c r="G138" s="10" t="s">
        <v>220</v>
      </c>
      <c r="H138" s="11">
        <v>62346</v>
      </c>
      <c r="I138" s="11">
        <v>38474</v>
      </c>
      <c r="J138" s="11">
        <f t="shared" si="5"/>
        <v>23872</v>
      </c>
      <c r="K138" s="12">
        <f>VLOOKUP(A138,[4]VA05!$A:$K,11,FALSE)</f>
        <v>45579</v>
      </c>
      <c r="L138" s="10" t="s">
        <v>11</v>
      </c>
      <c r="M138" s="10" t="s">
        <v>162</v>
      </c>
    </row>
    <row r="139" spans="1:13" x14ac:dyDescent="0.25">
      <c r="A139" s="13" t="str">
        <f t="shared" si="4"/>
        <v>50714247910</v>
      </c>
      <c r="B139" s="10">
        <v>1004054835</v>
      </c>
      <c r="C139" s="10">
        <v>507142479</v>
      </c>
      <c r="D139" s="10">
        <v>10</v>
      </c>
      <c r="E139" s="10" t="s">
        <v>10</v>
      </c>
      <c r="F139" s="10">
        <v>1195537</v>
      </c>
      <c r="G139" s="10" t="s">
        <v>220</v>
      </c>
      <c r="H139" s="11">
        <v>52994</v>
      </c>
      <c r="I139" s="10">
        <v>0</v>
      </c>
      <c r="J139" s="11">
        <f t="shared" si="5"/>
        <v>52994</v>
      </c>
      <c r="K139" s="12">
        <f>VLOOKUP(A139,[4]VA05!$A:$K,11,FALSE)</f>
        <v>45587</v>
      </c>
      <c r="L139" s="10" t="s">
        <v>13</v>
      </c>
      <c r="M139" s="10" t="s">
        <v>157</v>
      </c>
    </row>
    <row r="140" spans="1:13" x14ac:dyDescent="0.25">
      <c r="A140" s="13" t="str">
        <f t="shared" si="4"/>
        <v>50714248010</v>
      </c>
      <c r="B140" s="10">
        <v>1004052386</v>
      </c>
      <c r="C140" s="10">
        <v>507142480</v>
      </c>
      <c r="D140" s="10">
        <v>10</v>
      </c>
      <c r="E140" s="10" t="s">
        <v>10</v>
      </c>
      <c r="F140" s="10">
        <v>1191883</v>
      </c>
      <c r="G140" s="10" t="s">
        <v>125</v>
      </c>
      <c r="H140" s="11">
        <v>57584</v>
      </c>
      <c r="I140" s="11">
        <v>42089</v>
      </c>
      <c r="J140" s="11">
        <f t="shared" si="5"/>
        <v>15495</v>
      </c>
      <c r="K140" s="12">
        <f>VLOOKUP(A140,[4]VA05!$A:$K,11,FALSE)</f>
        <v>45587</v>
      </c>
      <c r="L140" s="10" t="s">
        <v>11</v>
      </c>
      <c r="M140" s="10" t="s">
        <v>195</v>
      </c>
    </row>
    <row r="141" spans="1:13" hidden="1" x14ac:dyDescent="0.25">
      <c r="A141" s="13" t="str">
        <f t="shared" si="4"/>
        <v>50714248010</v>
      </c>
      <c r="B141" s="10">
        <v>1004064514</v>
      </c>
      <c r="C141" s="10">
        <v>507142480</v>
      </c>
      <c r="D141" s="10">
        <v>10</v>
      </c>
      <c r="E141" s="10" t="s">
        <v>24</v>
      </c>
      <c r="F141" s="10">
        <v>1191883</v>
      </c>
      <c r="G141" s="10" t="s">
        <v>125</v>
      </c>
      <c r="H141" s="11">
        <v>10000</v>
      </c>
      <c r="I141" s="10">
        <v>0</v>
      </c>
      <c r="J141" s="11">
        <f t="shared" si="5"/>
        <v>10000</v>
      </c>
      <c r="K141" s="12">
        <f>VLOOKUP(A141,[4]VA05!$A:$K,11,FALSE)</f>
        <v>45587</v>
      </c>
      <c r="L141" s="10" t="s">
        <v>13</v>
      </c>
      <c r="M141" s="10" t="s">
        <v>179</v>
      </c>
    </row>
    <row r="142" spans="1:13" x14ac:dyDescent="0.25">
      <c r="A142" s="13" t="str">
        <f t="shared" si="4"/>
        <v>50714248010</v>
      </c>
      <c r="B142" s="10">
        <v>1004042840</v>
      </c>
      <c r="C142" s="10">
        <v>507142480</v>
      </c>
      <c r="D142" s="10">
        <v>10</v>
      </c>
      <c r="E142" s="10" t="s">
        <v>10</v>
      </c>
      <c r="F142" s="10">
        <v>1191882</v>
      </c>
      <c r="G142" s="10" t="s">
        <v>137</v>
      </c>
      <c r="H142" s="11">
        <v>51677</v>
      </c>
      <c r="I142" s="11">
        <v>43905</v>
      </c>
      <c r="J142" s="11">
        <f t="shared" si="5"/>
        <v>7772</v>
      </c>
      <c r="K142" s="12">
        <f>VLOOKUP(A142,[4]VA05!$A:$K,11,FALSE)</f>
        <v>45587</v>
      </c>
      <c r="L142" s="10" t="s">
        <v>11</v>
      </c>
      <c r="M142" s="10" t="s">
        <v>178</v>
      </c>
    </row>
    <row r="143" spans="1:13" hidden="1" x14ac:dyDescent="0.25">
      <c r="A143" s="13" t="str">
        <f t="shared" si="4"/>
        <v>50714223250</v>
      </c>
      <c r="B143" s="10">
        <v>1004029422</v>
      </c>
      <c r="C143" s="10">
        <v>507142232</v>
      </c>
      <c r="D143" s="10">
        <v>50</v>
      </c>
      <c r="E143" s="10" t="s">
        <v>24</v>
      </c>
      <c r="F143" s="10">
        <v>1317217</v>
      </c>
      <c r="G143" s="10" t="s">
        <v>273</v>
      </c>
      <c r="H143" s="11">
        <v>12500</v>
      </c>
      <c r="I143" s="10">
        <v>0</v>
      </c>
      <c r="J143" s="11">
        <f t="shared" si="5"/>
        <v>12500</v>
      </c>
      <c r="K143" s="12" t="e">
        <f>VLOOKUP(A143,[4]VA05!$A:$K,11,FALSE)</f>
        <v>#N/A</v>
      </c>
      <c r="L143" s="10" t="s">
        <v>260</v>
      </c>
      <c r="M143" s="10" t="s">
        <v>274</v>
      </c>
    </row>
    <row r="144" spans="1:13" hidden="1" x14ac:dyDescent="0.25">
      <c r="A144" s="13" t="str">
        <f t="shared" si="4"/>
        <v>50714278320</v>
      </c>
      <c r="B144" s="10">
        <v>1004056039</v>
      </c>
      <c r="C144" s="10">
        <v>507142783</v>
      </c>
      <c r="D144" s="10">
        <v>20</v>
      </c>
      <c r="E144" s="10" t="s">
        <v>10</v>
      </c>
      <c r="F144" s="10">
        <v>1161035</v>
      </c>
      <c r="G144" s="10" t="s">
        <v>222</v>
      </c>
      <c r="H144" s="11">
        <v>25747</v>
      </c>
      <c r="I144" s="10">
        <v>0</v>
      </c>
      <c r="J144" s="11">
        <f t="shared" si="5"/>
        <v>25747</v>
      </c>
      <c r="K144" s="12">
        <f>VLOOKUP(A144,[4]VA05!$A:$K,11,FALSE)</f>
        <v>45582</v>
      </c>
      <c r="L144" s="10" t="s">
        <v>13</v>
      </c>
      <c r="M144" s="10" t="s">
        <v>202</v>
      </c>
    </row>
    <row r="145" spans="1:13" hidden="1" x14ac:dyDescent="0.25">
      <c r="A145" s="13" t="str">
        <f t="shared" si="4"/>
        <v>50714279710</v>
      </c>
      <c r="B145" s="10">
        <v>1004058006</v>
      </c>
      <c r="C145" s="10">
        <v>507142797</v>
      </c>
      <c r="D145" s="10">
        <v>10</v>
      </c>
      <c r="E145" s="10" t="s">
        <v>10</v>
      </c>
      <c r="F145" s="10">
        <v>1161417</v>
      </c>
      <c r="G145" s="10" t="s">
        <v>228</v>
      </c>
      <c r="H145" s="11">
        <v>25543</v>
      </c>
      <c r="I145" s="10">
        <v>0</v>
      </c>
      <c r="J145" s="11">
        <f t="shared" si="5"/>
        <v>25543</v>
      </c>
      <c r="K145" s="12">
        <f>VLOOKUP(A145,[4]VA05!$A:$K,11,FALSE)</f>
        <v>45588</v>
      </c>
      <c r="L145" s="10" t="s">
        <v>13</v>
      </c>
      <c r="M145" s="10" t="s">
        <v>177</v>
      </c>
    </row>
    <row r="146" spans="1:13" hidden="1" x14ac:dyDescent="0.25">
      <c r="A146" s="13" t="str">
        <f t="shared" si="4"/>
        <v>50714278110</v>
      </c>
      <c r="B146" s="10">
        <v>1004058007</v>
      </c>
      <c r="C146" s="10">
        <v>507142781</v>
      </c>
      <c r="D146" s="10">
        <v>10</v>
      </c>
      <c r="E146" s="10" t="s">
        <v>10</v>
      </c>
      <c r="F146" s="10">
        <v>1161417</v>
      </c>
      <c r="G146" s="10" t="s">
        <v>228</v>
      </c>
      <c r="H146" s="11">
        <v>5109</v>
      </c>
      <c r="I146" s="10">
        <v>0</v>
      </c>
      <c r="J146" s="11">
        <f t="shared" si="5"/>
        <v>5109</v>
      </c>
      <c r="K146" s="12">
        <f>VLOOKUP(A146,[4]VA05!$A:$K,11,FALSE)</f>
        <v>45595</v>
      </c>
      <c r="L146" s="10" t="s">
        <v>13</v>
      </c>
      <c r="M146" s="10" t="s">
        <v>196</v>
      </c>
    </row>
    <row r="147" spans="1:13" hidden="1" x14ac:dyDescent="0.25">
      <c r="A147" s="13" t="str">
        <f t="shared" si="4"/>
        <v>50714271120</v>
      </c>
      <c r="B147" s="10">
        <v>1004058008</v>
      </c>
      <c r="C147" s="10">
        <v>507142711</v>
      </c>
      <c r="D147" s="10">
        <v>20</v>
      </c>
      <c r="E147" s="10" t="s">
        <v>10</v>
      </c>
      <c r="F147" s="10">
        <v>1161417</v>
      </c>
      <c r="G147" s="10" t="s">
        <v>228</v>
      </c>
      <c r="H147" s="11">
        <v>6845</v>
      </c>
      <c r="I147" s="10">
        <v>0</v>
      </c>
      <c r="J147" s="11">
        <f t="shared" si="5"/>
        <v>6845</v>
      </c>
      <c r="K147" s="12">
        <f>VLOOKUP(A147,[4]VA05!$A:$K,11,FALSE)</f>
        <v>45565</v>
      </c>
      <c r="L147" s="10" t="s">
        <v>12</v>
      </c>
      <c r="M147" s="10" t="s">
        <v>155</v>
      </c>
    </row>
    <row r="148" spans="1:13" x14ac:dyDescent="0.25">
      <c r="A148" s="13" t="str">
        <f t="shared" si="4"/>
        <v>50714244520</v>
      </c>
      <c r="B148" s="10">
        <v>1004053208</v>
      </c>
      <c r="C148" s="10">
        <v>507142445</v>
      </c>
      <c r="D148" s="10">
        <v>20</v>
      </c>
      <c r="E148" s="10" t="s">
        <v>10</v>
      </c>
      <c r="F148" s="10">
        <v>1210955</v>
      </c>
      <c r="G148" s="10" t="s">
        <v>215</v>
      </c>
      <c r="H148" s="11">
        <v>53210</v>
      </c>
      <c r="I148" s="10">
        <v>0</v>
      </c>
      <c r="J148" s="11">
        <f t="shared" si="5"/>
        <v>53210</v>
      </c>
      <c r="K148" s="12">
        <f>VLOOKUP(A148,[4]VA05!$A:$K,11,FALSE)</f>
        <v>45595</v>
      </c>
      <c r="L148" s="10" t="s">
        <v>239</v>
      </c>
      <c r="M148" s="10" t="s">
        <v>216</v>
      </c>
    </row>
    <row r="149" spans="1:13" x14ac:dyDescent="0.25">
      <c r="A149" s="13" t="str">
        <f t="shared" si="4"/>
        <v>50714244520</v>
      </c>
      <c r="B149" s="10">
        <v>1004052416</v>
      </c>
      <c r="C149" s="10">
        <v>507142445</v>
      </c>
      <c r="D149" s="10">
        <v>20</v>
      </c>
      <c r="E149" s="10" t="s">
        <v>10</v>
      </c>
      <c r="F149" s="10">
        <v>1259266</v>
      </c>
      <c r="G149" s="10" t="s">
        <v>64</v>
      </c>
      <c r="H149" s="11">
        <v>51912</v>
      </c>
      <c r="I149" s="10">
        <v>0</v>
      </c>
      <c r="J149" s="11">
        <f t="shared" si="5"/>
        <v>51912</v>
      </c>
      <c r="K149" s="12">
        <f>VLOOKUP(A149,[4]VA05!$A:$K,11,FALSE)</f>
        <v>45595</v>
      </c>
      <c r="L149" s="10" t="s">
        <v>239</v>
      </c>
      <c r="M149" s="10" t="s">
        <v>199</v>
      </c>
    </row>
    <row r="150" spans="1:13" x14ac:dyDescent="0.25">
      <c r="A150" s="13" t="str">
        <f t="shared" si="4"/>
        <v>50714244520</v>
      </c>
      <c r="B150" s="10">
        <v>1004052417</v>
      </c>
      <c r="C150" s="10">
        <v>507142445</v>
      </c>
      <c r="D150" s="10">
        <v>20</v>
      </c>
      <c r="E150" s="10" t="s">
        <v>10</v>
      </c>
      <c r="F150" s="10">
        <v>1259265</v>
      </c>
      <c r="G150" s="10" t="s">
        <v>187</v>
      </c>
      <c r="H150" s="11">
        <v>53210</v>
      </c>
      <c r="I150" s="10">
        <v>0</v>
      </c>
      <c r="J150" s="11">
        <f t="shared" si="5"/>
        <v>53210</v>
      </c>
      <c r="K150" s="12">
        <f>VLOOKUP(A150,[4]VA05!$A:$K,11,FALSE)</f>
        <v>45595</v>
      </c>
      <c r="L150" s="10" t="s">
        <v>12</v>
      </c>
      <c r="M150" s="10" t="s">
        <v>202</v>
      </c>
    </row>
    <row r="151" spans="1:13" x14ac:dyDescent="0.25">
      <c r="A151" s="13" t="str">
        <f t="shared" si="4"/>
        <v>50714278810</v>
      </c>
      <c r="B151" s="10">
        <v>1004053488</v>
      </c>
      <c r="C151" s="10">
        <v>507142788</v>
      </c>
      <c r="D151" s="10">
        <v>10</v>
      </c>
      <c r="E151" s="10" t="s">
        <v>10</v>
      </c>
      <c r="F151" s="10">
        <v>1168128</v>
      </c>
      <c r="G151" s="10" t="s">
        <v>77</v>
      </c>
      <c r="H151" s="11">
        <v>56529</v>
      </c>
      <c r="I151" s="11">
        <v>52529</v>
      </c>
      <c r="J151" s="11">
        <f t="shared" si="5"/>
        <v>4000</v>
      </c>
      <c r="K151" s="12">
        <f>VLOOKUP(A151,[4]VA05!$A:$K,11,FALSE)</f>
        <v>45582</v>
      </c>
      <c r="L151" s="10" t="s">
        <v>18</v>
      </c>
      <c r="M151" s="10" t="s">
        <v>179</v>
      </c>
    </row>
    <row r="152" spans="1:13" x14ac:dyDescent="0.25">
      <c r="A152" s="13" t="str">
        <f t="shared" si="4"/>
        <v>50714264830</v>
      </c>
      <c r="B152" s="10">
        <v>1004062197</v>
      </c>
      <c r="C152" s="10">
        <v>507142648</v>
      </c>
      <c r="D152" s="10">
        <v>30</v>
      </c>
      <c r="E152" s="10" t="s">
        <v>10</v>
      </c>
      <c r="F152" s="10">
        <v>1168128</v>
      </c>
      <c r="G152" s="10" t="s">
        <v>77</v>
      </c>
      <c r="H152" s="11">
        <v>40343</v>
      </c>
      <c r="I152" s="10">
        <v>0</v>
      </c>
      <c r="J152" s="11">
        <f t="shared" si="5"/>
        <v>40343</v>
      </c>
      <c r="K152" s="12">
        <f>VLOOKUP(A152,[4]VA05!$A:$K,11,FALSE)</f>
        <v>45581</v>
      </c>
      <c r="L152" s="10" t="s">
        <v>12</v>
      </c>
      <c r="M152" s="10" t="s">
        <v>197</v>
      </c>
    </row>
    <row r="153" spans="1:13" x14ac:dyDescent="0.25">
      <c r="A153" s="13" t="str">
        <f t="shared" si="4"/>
        <v>50714282810</v>
      </c>
      <c r="B153" s="10">
        <v>1004062200</v>
      </c>
      <c r="C153" s="10">
        <v>507142828</v>
      </c>
      <c r="D153" s="10">
        <v>10</v>
      </c>
      <c r="E153" s="10" t="s">
        <v>10</v>
      </c>
      <c r="F153" s="10">
        <v>1168128</v>
      </c>
      <c r="G153" s="10" t="s">
        <v>77</v>
      </c>
      <c r="H153" s="11">
        <v>122842</v>
      </c>
      <c r="I153" s="10">
        <v>0</v>
      </c>
      <c r="J153" s="11">
        <f t="shared" si="5"/>
        <v>122842</v>
      </c>
      <c r="K153" s="12">
        <f>VLOOKUP(A153,[4]VA05!$A:$K,11,FALSE)</f>
        <v>45588</v>
      </c>
      <c r="L153" s="10" t="s">
        <v>12</v>
      </c>
      <c r="M153" s="10" t="s">
        <v>197</v>
      </c>
    </row>
    <row r="154" spans="1:13" hidden="1" x14ac:dyDescent="0.25">
      <c r="A154" s="13" t="str">
        <f t="shared" si="4"/>
        <v>50714264910</v>
      </c>
      <c r="B154" s="10">
        <v>1004038445</v>
      </c>
      <c r="C154" s="10">
        <v>507142649</v>
      </c>
      <c r="D154" s="10">
        <v>10</v>
      </c>
      <c r="E154" s="10" t="s">
        <v>10</v>
      </c>
      <c r="F154" s="10">
        <v>1168125</v>
      </c>
      <c r="G154" s="10" t="s">
        <v>32</v>
      </c>
      <c r="H154" s="11">
        <v>51094</v>
      </c>
      <c r="I154" s="11">
        <v>51094</v>
      </c>
      <c r="J154" s="11">
        <f t="shared" si="5"/>
        <v>0</v>
      </c>
      <c r="K154" s="12" t="e">
        <f>VLOOKUP(A154,[4]VA05!$A:$K,11,FALSE)</f>
        <v>#N/A</v>
      </c>
      <c r="L154" s="10" t="s">
        <v>28</v>
      </c>
      <c r="M154" s="10" t="s">
        <v>154</v>
      </c>
    </row>
    <row r="155" spans="1:13" x14ac:dyDescent="0.25">
      <c r="A155" s="13" t="str">
        <f t="shared" si="4"/>
        <v>50714278810</v>
      </c>
      <c r="B155" s="10">
        <v>1004062042</v>
      </c>
      <c r="C155" s="10">
        <v>507142788</v>
      </c>
      <c r="D155" s="10">
        <v>10</v>
      </c>
      <c r="E155" s="10" t="s">
        <v>10</v>
      </c>
      <c r="F155" s="10">
        <v>1168125</v>
      </c>
      <c r="G155" s="10" t="s">
        <v>32</v>
      </c>
      <c r="H155" s="11">
        <v>56529</v>
      </c>
      <c r="I155" s="11">
        <v>23963</v>
      </c>
      <c r="J155" s="11">
        <f t="shared" si="5"/>
        <v>32566</v>
      </c>
      <c r="K155" s="12">
        <f>VLOOKUP(A155,[4]VA05!$A:$K,11,FALSE)</f>
        <v>45582</v>
      </c>
      <c r="L155" s="10" t="s">
        <v>18</v>
      </c>
      <c r="M155" s="10" t="s">
        <v>193</v>
      </c>
    </row>
    <row r="156" spans="1:13" x14ac:dyDescent="0.25">
      <c r="A156" s="13" t="str">
        <f t="shared" si="4"/>
        <v>50714282810</v>
      </c>
      <c r="B156" s="10">
        <v>1004062043</v>
      </c>
      <c r="C156" s="10">
        <v>507142828</v>
      </c>
      <c r="D156" s="10">
        <v>10</v>
      </c>
      <c r="E156" s="10" t="s">
        <v>10</v>
      </c>
      <c r="F156" s="10">
        <v>1168125</v>
      </c>
      <c r="G156" s="10" t="s">
        <v>32</v>
      </c>
      <c r="H156" s="11">
        <v>122842</v>
      </c>
      <c r="I156" s="10">
        <v>0</v>
      </c>
      <c r="J156" s="11">
        <f t="shared" si="5"/>
        <v>122842</v>
      </c>
      <c r="K156" s="12">
        <f>VLOOKUP(A156,[4]VA05!$A:$K,11,FALSE)</f>
        <v>45588</v>
      </c>
      <c r="L156" s="10" t="s">
        <v>12</v>
      </c>
      <c r="M156" s="10" t="s">
        <v>197</v>
      </c>
    </row>
    <row r="157" spans="1:13" x14ac:dyDescent="0.25">
      <c r="A157" s="13" t="str">
        <f t="shared" si="4"/>
        <v>50714269110</v>
      </c>
      <c r="B157" s="10">
        <v>1004063849</v>
      </c>
      <c r="C157" s="10">
        <v>507142691</v>
      </c>
      <c r="D157" s="10">
        <v>10</v>
      </c>
      <c r="E157" s="10" t="s">
        <v>10</v>
      </c>
      <c r="F157" s="10">
        <v>1168125</v>
      </c>
      <c r="G157" s="10" t="s">
        <v>32</v>
      </c>
      <c r="H157" s="11">
        <v>51094</v>
      </c>
      <c r="I157" s="10">
        <v>0</v>
      </c>
      <c r="J157" s="11">
        <f t="shared" si="5"/>
        <v>51094</v>
      </c>
      <c r="K157" s="12">
        <f>VLOOKUP(A157,[4]VA05!$A:$K,11,FALSE)</f>
        <v>45569</v>
      </c>
      <c r="L157" s="10" t="s">
        <v>12</v>
      </c>
      <c r="M157" s="10" t="s">
        <v>202</v>
      </c>
    </row>
    <row r="158" spans="1:13" x14ac:dyDescent="0.25">
      <c r="A158" s="13" t="str">
        <f t="shared" si="4"/>
        <v>50714268810</v>
      </c>
      <c r="B158" s="10">
        <v>1004051400</v>
      </c>
      <c r="C158" s="10">
        <v>507142688</v>
      </c>
      <c r="D158" s="10">
        <v>10</v>
      </c>
      <c r="E158" s="10" t="s">
        <v>10</v>
      </c>
      <c r="F158" s="10">
        <v>1430111</v>
      </c>
      <c r="G158" s="10" t="s">
        <v>101</v>
      </c>
      <c r="H158" s="11">
        <v>122842</v>
      </c>
      <c r="I158" s="11">
        <v>86416</v>
      </c>
      <c r="J158" s="11">
        <f t="shared" si="5"/>
        <v>36426</v>
      </c>
      <c r="K158" s="12">
        <f>VLOOKUP(A158,[4]VA05!$A:$K,11,FALSE)</f>
        <v>45567</v>
      </c>
      <c r="L158" s="10" t="s">
        <v>18</v>
      </c>
      <c r="M158" s="10" t="s">
        <v>107</v>
      </c>
    </row>
    <row r="159" spans="1:13" hidden="1" x14ac:dyDescent="0.25">
      <c r="A159" s="13" t="str">
        <f t="shared" si="4"/>
        <v>50714268810</v>
      </c>
      <c r="B159" s="10">
        <v>1004065669</v>
      </c>
      <c r="C159" s="10">
        <v>507142688</v>
      </c>
      <c r="D159" s="10">
        <v>10</v>
      </c>
      <c r="E159" s="10" t="s">
        <v>24</v>
      </c>
      <c r="F159" s="10">
        <v>1430111</v>
      </c>
      <c r="G159" s="10" t="s">
        <v>101</v>
      </c>
      <c r="H159" s="11">
        <v>20000</v>
      </c>
      <c r="I159" s="10">
        <v>0</v>
      </c>
      <c r="J159" s="11">
        <f t="shared" si="5"/>
        <v>20000</v>
      </c>
      <c r="K159" s="12">
        <f>VLOOKUP(A159,[4]VA05!$A:$K,11,FALSE)</f>
        <v>45567</v>
      </c>
      <c r="L159" s="10" t="s">
        <v>13</v>
      </c>
      <c r="M159" s="10" t="s">
        <v>157</v>
      </c>
    </row>
    <row r="160" spans="1:13" x14ac:dyDescent="0.25">
      <c r="A160" s="13" t="str">
        <f t="shared" si="4"/>
        <v>50714281910</v>
      </c>
      <c r="B160" s="10">
        <v>1004062796</v>
      </c>
      <c r="C160" s="10">
        <v>507142819</v>
      </c>
      <c r="D160" s="10">
        <v>10</v>
      </c>
      <c r="E160" s="10" t="s">
        <v>10</v>
      </c>
      <c r="F160" s="10">
        <v>1402677</v>
      </c>
      <c r="G160" s="10" t="s">
        <v>296</v>
      </c>
      <c r="H160" s="11">
        <v>10871</v>
      </c>
      <c r="I160" s="10">
        <v>0</v>
      </c>
      <c r="J160" s="11">
        <f t="shared" si="5"/>
        <v>10871</v>
      </c>
      <c r="K160" s="12">
        <f>VLOOKUP(A160,[4]VA05!$A:$K,11,FALSE)</f>
        <v>45581</v>
      </c>
      <c r="L160" s="10" t="s">
        <v>12</v>
      </c>
      <c r="M160" s="10" t="s">
        <v>157</v>
      </c>
    </row>
    <row r="161" spans="1:13" x14ac:dyDescent="0.25">
      <c r="A161" s="13" t="str">
        <f t="shared" si="4"/>
        <v>50714239390</v>
      </c>
      <c r="B161" s="10">
        <v>1004032826</v>
      </c>
      <c r="C161" s="10">
        <v>507142393</v>
      </c>
      <c r="D161" s="10">
        <v>90</v>
      </c>
      <c r="E161" s="10" t="s">
        <v>10</v>
      </c>
      <c r="F161" s="10">
        <v>1416752</v>
      </c>
      <c r="G161" s="10" t="s">
        <v>52</v>
      </c>
      <c r="H161" s="11">
        <v>47012</v>
      </c>
      <c r="I161" s="11">
        <v>38740</v>
      </c>
      <c r="J161" s="11">
        <f t="shared" si="5"/>
        <v>8272</v>
      </c>
      <c r="K161" s="12" t="e">
        <f>VLOOKUP(A161,[4]VA05!$A:$K,11,FALSE)</f>
        <v>#N/A</v>
      </c>
      <c r="L161" s="10" t="s">
        <v>11</v>
      </c>
      <c r="M161" s="10" t="s">
        <v>73</v>
      </c>
    </row>
    <row r="162" spans="1:13" x14ac:dyDescent="0.25">
      <c r="A162" s="13" t="str">
        <f t="shared" si="4"/>
        <v>507142416150</v>
      </c>
      <c r="B162" s="10">
        <v>1004052419</v>
      </c>
      <c r="C162" s="10">
        <v>507142416</v>
      </c>
      <c r="D162" s="10">
        <v>150</v>
      </c>
      <c r="E162" s="10" t="s">
        <v>10</v>
      </c>
      <c r="F162" s="10">
        <v>1269350</v>
      </c>
      <c r="G162" s="10" t="s">
        <v>188</v>
      </c>
      <c r="H162" s="11">
        <v>10439</v>
      </c>
      <c r="I162" s="10">
        <v>0</v>
      </c>
      <c r="J162" s="11">
        <f t="shared" si="5"/>
        <v>10439</v>
      </c>
      <c r="K162" s="12">
        <f>VLOOKUP(A162,[4]VA05!$A:$K,11,FALSE)</f>
        <v>45576</v>
      </c>
      <c r="L162" s="10" t="s">
        <v>12</v>
      </c>
      <c r="M162" s="10" t="s">
        <v>156</v>
      </c>
    </row>
    <row r="163" spans="1:13" x14ac:dyDescent="0.25">
      <c r="A163" s="13" t="str">
        <f t="shared" si="4"/>
        <v>50714268820</v>
      </c>
      <c r="B163" s="10">
        <v>1004052420</v>
      </c>
      <c r="C163" s="10">
        <v>507142688</v>
      </c>
      <c r="D163" s="10">
        <v>20</v>
      </c>
      <c r="E163" s="10" t="s">
        <v>10</v>
      </c>
      <c r="F163" s="10">
        <v>1430096</v>
      </c>
      <c r="G163" s="10" t="s">
        <v>93</v>
      </c>
      <c r="H163" s="11">
        <v>134120</v>
      </c>
      <c r="I163" s="11">
        <v>94784</v>
      </c>
      <c r="J163" s="11">
        <f t="shared" si="5"/>
        <v>39336</v>
      </c>
      <c r="K163" s="12">
        <f>VLOOKUP(A163,[4]VA05!$A:$K,11,FALSE)</f>
        <v>45567</v>
      </c>
      <c r="L163" s="10" t="s">
        <v>18</v>
      </c>
      <c r="M163" s="10" t="s">
        <v>195</v>
      </c>
    </row>
    <row r="164" spans="1:13" x14ac:dyDescent="0.25">
      <c r="A164" s="13" t="str">
        <f t="shared" si="4"/>
        <v>50714282120</v>
      </c>
      <c r="B164" s="10">
        <v>1004062792</v>
      </c>
      <c r="C164" s="10">
        <v>507142821</v>
      </c>
      <c r="D164" s="10">
        <v>20</v>
      </c>
      <c r="E164" s="10" t="s">
        <v>10</v>
      </c>
      <c r="F164" s="10">
        <v>1153476</v>
      </c>
      <c r="G164" s="10" t="s">
        <v>297</v>
      </c>
      <c r="H164" s="11">
        <v>27862</v>
      </c>
      <c r="I164" s="10">
        <v>0</v>
      </c>
      <c r="J164" s="11">
        <f t="shared" si="5"/>
        <v>27862</v>
      </c>
      <c r="K164" s="12">
        <f>VLOOKUP(A164,[4]VA05!$A:$K,11,FALSE)</f>
        <v>45589</v>
      </c>
      <c r="L164" s="10" t="s">
        <v>12</v>
      </c>
      <c r="M164" s="10" t="s">
        <v>199</v>
      </c>
    </row>
    <row r="165" spans="1:13" x14ac:dyDescent="0.25">
      <c r="A165" s="13" t="str">
        <f t="shared" si="4"/>
        <v>50714282220</v>
      </c>
      <c r="B165" s="10">
        <v>1004062794</v>
      </c>
      <c r="C165" s="10">
        <v>507142822</v>
      </c>
      <c r="D165" s="10">
        <v>20</v>
      </c>
      <c r="E165" s="10" t="s">
        <v>10</v>
      </c>
      <c r="F165" s="10">
        <v>1153476</v>
      </c>
      <c r="G165" s="10" t="s">
        <v>297</v>
      </c>
      <c r="H165" s="11">
        <v>27862</v>
      </c>
      <c r="I165" s="10">
        <v>0</v>
      </c>
      <c r="J165" s="11">
        <f t="shared" si="5"/>
        <v>27862</v>
      </c>
      <c r="K165" s="12">
        <f>VLOOKUP(A165,[4]VA05!$A:$K,11,FALSE)</f>
        <v>45589</v>
      </c>
      <c r="L165" s="10" t="s">
        <v>12</v>
      </c>
      <c r="M165" s="10" t="s">
        <v>199</v>
      </c>
    </row>
    <row r="166" spans="1:13" x14ac:dyDescent="0.25">
      <c r="A166" s="13" t="str">
        <f t="shared" si="4"/>
        <v>50714278820</v>
      </c>
      <c r="B166" s="10">
        <v>1004058947</v>
      </c>
      <c r="C166" s="10">
        <v>507142788</v>
      </c>
      <c r="D166" s="10">
        <v>20</v>
      </c>
      <c r="E166" s="10" t="s">
        <v>10</v>
      </c>
      <c r="F166" s="10">
        <v>1187156</v>
      </c>
      <c r="G166" s="10" t="s">
        <v>80</v>
      </c>
      <c r="H166" s="11">
        <v>62884</v>
      </c>
      <c r="I166" s="11">
        <v>24138</v>
      </c>
      <c r="J166" s="11">
        <f t="shared" si="5"/>
        <v>38746</v>
      </c>
      <c r="K166" s="12">
        <f>VLOOKUP(A166,[4]VA05!$A:$K,11,FALSE)</f>
        <v>45582</v>
      </c>
      <c r="L166" s="10" t="s">
        <v>18</v>
      </c>
      <c r="M166" s="10" t="s">
        <v>157</v>
      </c>
    </row>
    <row r="167" spans="1:13" hidden="1" x14ac:dyDescent="0.25">
      <c r="A167" s="13" t="str">
        <f t="shared" si="4"/>
        <v>50714268920</v>
      </c>
      <c r="B167" s="10">
        <v>1004065418</v>
      </c>
      <c r="C167" s="10">
        <v>507142689</v>
      </c>
      <c r="D167" s="10">
        <v>20</v>
      </c>
      <c r="E167" s="10" t="s">
        <v>24</v>
      </c>
      <c r="F167" s="10">
        <v>1187156</v>
      </c>
      <c r="G167" s="10" t="s">
        <v>80</v>
      </c>
      <c r="H167" s="11">
        <v>10000</v>
      </c>
      <c r="I167" s="10">
        <v>0</v>
      </c>
      <c r="J167" s="11">
        <f t="shared" si="5"/>
        <v>10000</v>
      </c>
      <c r="K167" s="12">
        <f>VLOOKUP(A167,[4]VA05!$A:$K,11,FALSE)</f>
        <v>45558</v>
      </c>
      <c r="L167" s="10" t="s">
        <v>12</v>
      </c>
      <c r="M167" s="10" t="s">
        <v>157</v>
      </c>
    </row>
    <row r="168" spans="1:13" x14ac:dyDescent="0.25">
      <c r="A168" s="13" t="str">
        <f t="shared" si="4"/>
        <v>50714281920</v>
      </c>
      <c r="B168" s="10">
        <v>1004062795</v>
      </c>
      <c r="C168" s="10">
        <v>507142819</v>
      </c>
      <c r="D168" s="10">
        <v>20</v>
      </c>
      <c r="E168" s="10" t="s">
        <v>10</v>
      </c>
      <c r="F168" s="10">
        <v>1402742</v>
      </c>
      <c r="G168" s="10" t="s">
        <v>298</v>
      </c>
      <c r="H168" s="11">
        <v>11758</v>
      </c>
      <c r="I168" s="10">
        <v>0</v>
      </c>
      <c r="J168" s="11">
        <f t="shared" si="5"/>
        <v>11758</v>
      </c>
      <c r="K168" s="12">
        <f>VLOOKUP(A168,[4]VA05!$A:$K,11,FALSE)</f>
        <v>45581</v>
      </c>
      <c r="L168" s="10" t="s">
        <v>12</v>
      </c>
      <c r="M168" s="10" t="s">
        <v>179</v>
      </c>
    </row>
    <row r="169" spans="1:13" hidden="1" x14ac:dyDescent="0.25">
      <c r="A169" s="13" t="str">
        <f t="shared" si="4"/>
        <v>50714208240</v>
      </c>
      <c r="B169" s="10">
        <v>1003985006</v>
      </c>
      <c r="C169" s="10">
        <v>507142082</v>
      </c>
      <c r="D169" s="10">
        <v>40</v>
      </c>
      <c r="E169" s="10" t="s">
        <v>24</v>
      </c>
      <c r="F169" s="10">
        <v>1171152</v>
      </c>
      <c r="G169" s="10" t="s">
        <v>275</v>
      </c>
      <c r="H169" s="11">
        <v>27812</v>
      </c>
      <c r="I169" s="10">
        <v>0</v>
      </c>
      <c r="J169" s="11">
        <f t="shared" si="5"/>
        <v>27812</v>
      </c>
      <c r="K169" s="12" t="e">
        <f>VLOOKUP(A169,[4]VA05!$A:$K,11,FALSE)</f>
        <v>#N/A</v>
      </c>
      <c r="L169" s="10" t="s">
        <v>260</v>
      </c>
      <c r="M169" s="10" t="s">
        <v>276</v>
      </c>
    </row>
    <row r="170" spans="1:13" x14ac:dyDescent="0.25">
      <c r="A170" s="13" t="str">
        <f t="shared" si="4"/>
        <v>507142416140</v>
      </c>
      <c r="B170" s="10">
        <v>1004051396</v>
      </c>
      <c r="C170" s="10">
        <v>507142416</v>
      </c>
      <c r="D170" s="10">
        <v>140</v>
      </c>
      <c r="E170" s="10" t="s">
        <v>10</v>
      </c>
      <c r="F170" s="10">
        <v>1269354</v>
      </c>
      <c r="G170" s="10" t="s">
        <v>169</v>
      </c>
      <c r="H170" s="11">
        <v>10217</v>
      </c>
      <c r="I170" s="10">
        <v>0</v>
      </c>
      <c r="J170" s="11">
        <f t="shared" si="5"/>
        <v>10217</v>
      </c>
      <c r="K170" s="12">
        <f>VLOOKUP(A170,[4]VA05!$A:$K,11,FALSE)</f>
        <v>45576</v>
      </c>
      <c r="L170" s="10" t="s">
        <v>25</v>
      </c>
      <c r="M170" s="10" t="s">
        <v>162</v>
      </c>
    </row>
    <row r="171" spans="1:13" x14ac:dyDescent="0.25">
      <c r="A171" s="13" t="str">
        <f t="shared" si="4"/>
        <v>507142416120</v>
      </c>
      <c r="B171" s="10">
        <v>1004058990</v>
      </c>
      <c r="C171" s="10">
        <v>507142416</v>
      </c>
      <c r="D171" s="10">
        <v>120</v>
      </c>
      <c r="E171" s="10" t="s">
        <v>10</v>
      </c>
      <c r="F171" s="10">
        <v>1255973</v>
      </c>
      <c r="G171" s="10" t="s">
        <v>238</v>
      </c>
      <c r="H171" s="11">
        <v>10217</v>
      </c>
      <c r="I171" s="10">
        <v>0</v>
      </c>
      <c r="J171" s="11">
        <f t="shared" si="5"/>
        <v>10217</v>
      </c>
      <c r="K171" s="12">
        <f>VLOOKUP(A171,[4]VA05!$A:$K,11,FALSE)</f>
        <v>45573</v>
      </c>
      <c r="L171" s="10" t="s">
        <v>12</v>
      </c>
      <c r="M171" s="10" t="s">
        <v>194</v>
      </c>
    </row>
    <row r="172" spans="1:13" x14ac:dyDescent="0.25">
      <c r="A172" s="13" t="str">
        <f t="shared" si="4"/>
        <v>50714271370</v>
      </c>
      <c r="B172" s="10">
        <v>1004042923</v>
      </c>
      <c r="C172" s="10">
        <v>507142713</v>
      </c>
      <c r="D172" s="10">
        <v>70</v>
      </c>
      <c r="E172" s="10" t="s">
        <v>10</v>
      </c>
      <c r="F172" s="10">
        <v>1256197</v>
      </c>
      <c r="G172" s="10" t="s">
        <v>139</v>
      </c>
      <c r="H172" s="11">
        <v>10217</v>
      </c>
      <c r="I172" s="10">
        <v>0</v>
      </c>
      <c r="J172" s="11">
        <f t="shared" si="5"/>
        <v>10217</v>
      </c>
      <c r="K172" s="12">
        <f>VLOOKUP(A172,[4]VA05!$A:$K,11,FALSE)</f>
        <v>45591</v>
      </c>
      <c r="L172" s="10" t="s">
        <v>13</v>
      </c>
      <c r="M172" s="10" t="s">
        <v>142</v>
      </c>
    </row>
    <row r="173" spans="1:13" x14ac:dyDescent="0.25">
      <c r="A173" s="13" t="str">
        <f t="shared" si="4"/>
        <v>50714278810</v>
      </c>
      <c r="B173" s="10">
        <v>1004052623</v>
      </c>
      <c r="C173" s="10">
        <v>507142788</v>
      </c>
      <c r="D173" s="10">
        <v>10</v>
      </c>
      <c r="E173" s="10" t="s">
        <v>10</v>
      </c>
      <c r="F173" s="10">
        <v>1168127</v>
      </c>
      <c r="G173" s="10" t="s">
        <v>21</v>
      </c>
      <c r="H173" s="11">
        <v>56529</v>
      </c>
      <c r="I173" s="11">
        <v>11500</v>
      </c>
      <c r="J173" s="11">
        <f t="shared" si="5"/>
        <v>45029</v>
      </c>
      <c r="K173" s="12">
        <f>VLOOKUP(A173,[4]VA05!$A:$K,11,FALSE)</f>
        <v>45582</v>
      </c>
      <c r="L173" s="10" t="s">
        <v>18</v>
      </c>
      <c r="M173" s="10" t="s">
        <v>157</v>
      </c>
    </row>
    <row r="174" spans="1:13" x14ac:dyDescent="0.25">
      <c r="A174" s="13" t="str">
        <f t="shared" si="4"/>
        <v>50714271380</v>
      </c>
      <c r="B174" s="10">
        <v>1004052624</v>
      </c>
      <c r="C174" s="10">
        <v>507142713</v>
      </c>
      <c r="D174" s="10">
        <v>80</v>
      </c>
      <c r="E174" s="10" t="s">
        <v>10</v>
      </c>
      <c r="F174" s="10">
        <v>1168127</v>
      </c>
      <c r="G174" s="10" t="s">
        <v>21</v>
      </c>
      <c r="H174" s="11">
        <v>10217</v>
      </c>
      <c r="I174" s="10">
        <v>0</v>
      </c>
      <c r="J174" s="11">
        <f t="shared" si="5"/>
        <v>10217</v>
      </c>
      <c r="K174" s="12">
        <f>VLOOKUP(A174,[4]VA05!$A:$K,11,FALSE)</f>
        <v>45591</v>
      </c>
      <c r="L174" s="10" t="s">
        <v>12</v>
      </c>
      <c r="M174" s="10" t="s">
        <v>204</v>
      </c>
    </row>
    <row r="175" spans="1:13" hidden="1" x14ac:dyDescent="0.25">
      <c r="A175" s="13" t="str">
        <f t="shared" si="4"/>
        <v>50714281910</v>
      </c>
      <c r="B175" s="10">
        <v>1004062726</v>
      </c>
      <c r="C175" s="10">
        <v>507142819</v>
      </c>
      <c r="D175" s="10">
        <v>10</v>
      </c>
      <c r="E175" s="10" t="s">
        <v>10</v>
      </c>
      <c r="F175" s="10">
        <v>1168127</v>
      </c>
      <c r="G175" s="10" t="s">
        <v>21</v>
      </c>
      <c r="H175" s="11">
        <v>10871</v>
      </c>
      <c r="I175" s="11">
        <v>10871</v>
      </c>
      <c r="J175" s="11">
        <f t="shared" si="5"/>
        <v>0</v>
      </c>
      <c r="K175" s="12">
        <f>VLOOKUP(A175,[4]VA05!$A:$K,11,FALSE)</f>
        <v>45581</v>
      </c>
      <c r="L175" s="10" t="s">
        <v>28</v>
      </c>
      <c r="M175" s="10" t="s">
        <v>157</v>
      </c>
    </row>
    <row r="176" spans="1:13" x14ac:dyDescent="0.25">
      <c r="A176" s="13" t="str">
        <f t="shared" si="4"/>
        <v>50714282010</v>
      </c>
      <c r="B176" s="10">
        <v>1004062727</v>
      </c>
      <c r="C176" s="10">
        <v>507142820</v>
      </c>
      <c r="D176" s="10">
        <v>10</v>
      </c>
      <c r="E176" s="10" t="s">
        <v>10</v>
      </c>
      <c r="F176" s="10">
        <v>1168127</v>
      </c>
      <c r="G176" s="10" t="s">
        <v>21</v>
      </c>
      <c r="H176" s="11">
        <v>26091</v>
      </c>
      <c r="I176" s="10">
        <v>0</v>
      </c>
      <c r="J176" s="11">
        <f t="shared" si="5"/>
        <v>26091</v>
      </c>
      <c r="K176" s="12">
        <f>VLOOKUP(A176,[4]VA05!$A:$K,11,FALSE)</f>
        <v>45587</v>
      </c>
      <c r="L176" s="10" t="s">
        <v>12</v>
      </c>
      <c r="M176" s="10" t="s">
        <v>177</v>
      </c>
    </row>
    <row r="177" spans="1:13" x14ac:dyDescent="0.25">
      <c r="A177" s="13" t="str">
        <f t="shared" si="4"/>
        <v>50714282110</v>
      </c>
      <c r="B177" s="10">
        <v>1004062728</v>
      </c>
      <c r="C177" s="10">
        <v>507142821</v>
      </c>
      <c r="D177" s="10">
        <v>10</v>
      </c>
      <c r="E177" s="10" t="s">
        <v>10</v>
      </c>
      <c r="F177" s="10">
        <v>1168127</v>
      </c>
      <c r="G177" s="10" t="s">
        <v>21</v>
      </c>
      <c r="H177" s="11">
        <v>14571</v>
      </c>
      <c r="I177" s="10">
        <v>0</v>
      </c>
      <c r="J177" s="11">
        <f t="shared" si="5"/>
        <v>14571</v>
      </c>
      <c r="K177" s="12">
        <f>VLOOKUP(A177,[4]VA05!$A:$K,11,FALSE)</f>
        <v>45589</v>
      </c>
      <c r="L177" s="10" t="s">
        <v>12</v>
      </c>
      <c r="M177" s="10" t="s">
        <v>199</v>
      </c>
    </row>
    <row r="178" spans="1:13" x14ac:dyDescent="0.25">
      <c r="A178" s="13" t="str">
        <f t="shared" si="4"/>
        <v>50714282210</v>
      </c>
      <c r="B178" s="10">
        <v>1004062789</v>
      </c>
      <c r="C178" s="10">
        <v>507142822</v>
      </c>
      <c r="D178" s="10">
        <v>10</v>
      </c>
      <c r="E178" s="10" t="s">
        <v>10</v>
      </c>
      <c r="F178" s="10">
        <v>1168127</v>
      </c>
      <c r="G178" s="10" t="s">
        <v>21</v>
      </c>
      <c r="H178" s="11">
        <v>26091</v>
      </c>
      <c r="I178" s="10">
        <v>0</v>
      </c>
      <c r="J178" s="11">
        <f t="shared" si="5"/>
        <v>26091</v>
      </c>
      <c r="K178" s="12">
        <f>VLOOKUP(A178,[4]VA05!$A:$K,11,FALSE)</f>
        <v>45589</v>
      </c>
      <c r="L178" s="10" t="s">
        <v>12</v>
      </c>
      <c r="M178" s="10" t="s">
        <v>199</v>
      </c>
    </row>
    <row r="179" spans="1:13" x14ac:dyDescent="0.25">
      <c r="A179" s="13" t="str">
        <f t="shared" si="4"/>
        <v>50714282310</v>
      </c>
      <c r="B179" s="10">
        <v>1004062791</v>
      </c>
      <c r="C179" s="10">
        <v>507142823</v>
      </c>
      <c r="D179" s="10">
        <v>10</v>
      </c>
      <c r="E179" s="10" t="s">
        <v>10</v>
      </c>
      <c r="F179" s="10">
        <v>1168127</v>
      </c>
      <c r="G179" s="10" t="s">
        <v>21</v>
      </c>
      <c r="H179" s="11">
        <v>26091</v>
      </c>
      <c r="I179" s="10">
        <v>0</v>
      </c>
      <c r="J179" s="11">
        <f t="shared" si="5"/>
        <v>26091</v>
      </c>
      <c r="K179" s="12">
        <f>VLOOKUP(A179,[4]VA05!$A:$K,11,FALSE)</f>
        <v>45589</v>
      </c>
      <c r="L179" s="10" t="s">
        <v>12</v>
      </c>
      <c r="M179" s="10" t="s">
        <v>109</v>
      </c>
    </row>
    <row r="180" spans="1:13" x14ac:dyDescent="0.25">
      <c r="A180" s="13" t="str">
        <f t="shared" si="4"/>
        <v>507142416150</v>
      </c>
      <c r="B180" s="10">
        <v>1004051561</v>
      </c>
      <c r="C180" s="10">
        <v>507142416</v>
      </c>
      <c r="D180" s="10">
        <v>150</v>
      </c>
      <c r="E180" s="10" t="s">
        <v>10</v>
      </c>
      <c r="F180" s="10">
        <v>1269318</v>
      </c>
      <c r="G180" s="10" t="s">
        <v>170</v>
      </c>
      <c r="H180" s="11">
        <v>10217</v>
      </c>
      <c r="I180" s="10">
        <v>0</v>
      </c>
      <c r="J180" s="11">
        <f t="shared" si="5"/>
        <v>10217</v>
      </c>
      <c r="K180" s="12">
        <f>VLOOKUP(A180,[4]VA05!$A:$K,11,FALSE)</f>
        <v>45576</v>
      </c>
      <c r="L180" s="10" t="s">
        <v>56</v>
      </c>
      <c r="M180" s="10" t="s">
        <v>162</v>
      </c>
    </row>
    <row r="181" spans="1:13" x14ac:dyDescent="0.25">
      <c r="A181" s="13" t="str">
        <f t="shared" si="4"/>
        <v>507142416130</v>
      </c>
      <c r="B181" s="10">
        <v>1004058014</v>
      </c>
      <c r="C181" s="10">
        <v>507142416</v>
      </c>
      <c r="D181" s="10">
        <v>130</v>
      </c>
      <c r="E181" s="10" t="s">
        <v>10</v>
      </c>
      <c r="F181" s="10">
        <v>1255976</v>
      </c>
      <c r="G181" s="10" t="s">
        <v>229</v>
      </c>
      <c r="H181" s="11">
        <v>10217</v>
      </c>
      <c r="I181" s="10">
        <v>0</v>
      </c>
      <c r="J181" s="11">
        <f t="shared" si="5"/>
        <v>10217</v>
      </c>
      <c r="K181" s="12">
        <f>VLOOKUP(A181,[4]VA05!$A:$K,11,FALSE)</f>
        <v>45573</v>
      </c>
      <c r="L181" s="10" t="s">
        <v>56</v>
      </c>
      <c r="M181" s="10" t="s">
        <v>194</v>
      </c>
    </row>
    <row r="182" spans="1:13" x14ac:dyDescent="0.25">
      <c r="A182" s="13" t="str">
        <f t="shared" si="4"/>
        <v>50714271380</v>
      </c>
      <c r="B182" s="10">
        <v>1004058015</v>
      </c>
      <c r="C182" s="10">
        <v>507142713</v>
      </c>
      <c r="D182" s="10">
        <v>80</v>
      </c>
      <c r="E182" s="10" t="s">
        <v>10</v>
      </c>
      <c r="F182" s="10">
        <v>1256193</v>
      </c>
      <c r="G182" s="10" t="s">
        <v>230</v>
      </c>
      <c r="H182" s="11">
        <v>10217</v>
      </c>
      <c r="I182" s="10">
        <v>0</v>
      </c>
      <c r="J182" s="11">
        <f t="shared" si="5"/>
        <v>10217</v>
      </c>
      <c r="K182" s="12">
        <f>VLOOKUP(A182,[4]VA05!$A:$K,11,FALSE)</f>
        <v>45591</v>
      </c>
      <c r="L182" s="10" t="s">
        <v>12</v>
      </c>
      <c r="M182" s="10" t="s">
        <v>204</v>
      </c>
    </row>
    <row r="183" spans="1:13" x14ac:dyDescent="0.25">
      <c r="A183" s="13" t="str">
        <f t="shared" si="4"/>
        <v>50714282210</v>
      </c>
      <c r="B183" s="10">
        <v>1004062956</v>
      </c>
      <c r="C183" s="10">
        <v>507142822</v>
      </c>
      <c r="D183" s="10">
        <v>10</v>
      </c>
      <c r="E183" s="10" t="s">
        <v>10</v>
      </c>
      <c r="F183" s="10">
        <v>1153314</v>
      </c>
      <c r="G183" s="10" t="s">
        <v>60</v>
      </c>
      <c r="H183" s="11">
        <v>26091</v>
      </c>
      <c r="I183" s="10">
        <v>0</v>
      </c>
      <c r="J183" s="11">
        <f t="shared" si="5"/>
        <v>26091</v>
      </c>
      <c r="K183" s="12">
        <f>VLOOKUP(A183,[4]VA05!$A:$K,11,FALSE)</f>
        <v>45589</v>
      </c>
      <c r="L183" s="10" t="s">
        <v>12</v>
      </c>
      <c r="M183" s="10" t="s">
        <v>203</v>
      </c>
    </row>
    <row r="184" spans="1:13" x14ac:dyDescent="0.25">
      <c r="A184" s="13" t="str">
        <f t="shared" si="4"/>
        <v>50714282110</v>
      </c>
      <c r="B184" s="10">
        <v>1004062957</v>
      </c>
      <c r="C184" s="10">
        <v>507142821</v>
      </c>
      <c r="D184" s="10">
        <v>10</v>
      </c>
      <c r="E184" s="10" t="s">
        <v>10</v>
      </c>
      <c r="F184" s="10">
        <v>1153314</v>
      </c>
      <c r="G184" s="10" t="s">
        <v>60</v>
      </c>
      <c r="H184" s="11">
        <v>26091</v>
      </c>
      <c r="I184" s="10">
        <v>0</v>
      </c>
      <c r="J184" s="11">
        <f t="shared" si="5"/>
        <v>26091</v>
      </c>
      <c r="K184" s="12">
        <f>VLOOKUP(A184,[4]VA05!$A:$K,11,FALSE)</f>
        <v>45589</v>
      </c>
      <c r="L184" s="10" t="s">
        <v>12</v>
      </c>
      <c r="M184" s="10" t="s">
        <v>203</v>
      </c>
    </row>
    <row r="185" spans="1:13" x14ac:dyDescent="0.25">
      <c r="A185" s="13" t="str">
        <f t="shared" si="4"/>
        <v>50714239390</v>
      </c>
      <c r="B185" s="10">
        <v>1004032825</v>
      </c>
      <c r="C185" s="10">
        <v>507142393</v>
      </c>
      <c r="D185" s="10">
        <v>90</v>
      </c>
      <c r="E185" s="10" t="s">
        <v>10</v>
      </c>
      <c r="F185" s="10">
        <v>1416751</v>
      </c>
      <c r="G185" s="10" t="s">
        <v>57</v>
      </c>
      <c r="H185" s="11">
        <v>45642</v>
      </c>
      <c r="I185" s="10">
        <v>0</v>
      </c>
      <c r="J185" s="11">
        <f t="shared" si="5"/>
        <v>45642</v>
      </c>
      <c r="K185" s="12" t="e">
        <f>VLOOKUP(A185,[4]VA05!$A:$K,11,FALSE)</f>
        <v>#N/A</v>
      </c>
      <c r="L185" s="10" t="s">
        <v>12</v>
      </c>
      <c r="M185" s="10" t="s">
        <v>73</v>
      </c>
    </row>
    <row r="186" spans="1:13" hidden="1" x14ac:dyDescent="0.25">
      <c r="A186" s="13" t="str">
        <f t="shared" si="4"/>
        <v>50714256730</v>
      </c>
      <c r="B186" s="10">
        <v>1004052387</v>
      </c>
      <c r="C186" s="10">
        <v>507142567</v>
      </c>
      <c r="D186" s="10">
        <v>30</v>
      </c>
      <c r="E186" s="10" t="s">
        <v>10</v>
      </c>
      <c r="F186" s="10">
        <v>1171801</v>
      </c>
      <c r="G186" s="10" t="s">
        <v>71</v>
      </c>
      <c r="H186" s="11">
        <v>16066</v>
      </c>
      <c r="I186" s="11">
        <v>16066</v>
      </c>
      <c r="J186" s="11">
        <f t="shared" si="5"/>
        <v>0</v>
      </c>
      <c r="K186" s="12">
        <f>VLOOKUP(A186,[4]VA05!$A:$K,11,FALSE)</f>
        <v>45561</v>
      </c>
      <c r="L186" s="10" t="s">
        <v>28</v>
      </c>
      <c r="M186" s="10" t="s">
        <v>155</v>
      </c>
    </row>
    <row r="187" spans="1:13" x14ac:dyDescent="0.25">
      <c r="A187" s="13" t="str">
        <f t="shared" si="4"/>
        <v>50714256520</v>
      </c>
      <c r="B187" s="10">
        <v>1004052388</v>
      </c>
      <c r="C187" s="10">
        <v>507142565</v>
      </c>
      <c r="D187" s="10">
        <v>20</v>
      </c>
      <c r="E187" s="10" t="s">
        <v>10</v>
      </c>
      <c r="F187" s="10">
        <v>1171801</v>
      </c>
      <c r="G187" s="10" t="s">
        <v>71</v>
      </c>
      <c r="H187" s="11">
        <v>79905</v>
      </c>
      <c r="I187" s="11">
        <v>6060</v>
      </c>
      <c r="J187" s="11">
        <f t="shared" si="5"/>
        <v>73845</v>
      </c>
      <c r="K187" s="12">
        <f>VLOOKUP(A187,[4]VA05!$A:$K,11,FALSE)</f>
        <v>45580</v>
      </c>
      <c r="L187" s="10" t="s">
        <v>11</v>
      </c>
      <c r="M187" s="10" t="s">
        <v>180</v>
      </c>
    </row>
    <row r="188" spans="1:13" hidden="1" x14ac:dyDescent="0.25">
      <c r="A188" s="13" t="str">
        <f t="shared" si="4"/>
        <v>50714187310</v>
      </c>
      <c r="B188" s="10">
        <v>1003935029</v>
      </c>
      <c r="C188" s="10">
        <v>507141873</v>
      </c>
      <c r="D188" s="10">
        <v>10</v>
      </c>
      <c r="E188" s="10" t="s">
        <v>10</v>
      </c>
      <c r="F188" s="10">
        <v>1411092</v>
      </c>
      <c r="G188" s="10" t="s">
        <v>277</v>
      </c>
      <c r="H188" s="11">
        <v>30900</v>
      </c>
      <c r="I188" s="10">
        <v>0</v>
      </c>
      <c r="J188" s="11">
        <f t="shared" si="5"/>
        <v>30900</v>
      </c>
      <c r="K188" s="12" t="e">
        <f>VLOOKUP(A188,[4]VA05!$A:$K,11,FALSE)</f>
        <v>#N/A</v>
      </c>
      <c r="L188" s="10" t="s">
        <v>278</v>
      </c>
      <c r="M188" s="10" t="s">
        <v>279</v>
      </c>
    </row>
    <row r="189" spans="1:13" hidden="1" x14ac:dyDescent="0.25">
      <c r="A189" s="13" t="str">
        <f t="shared" si="4"/>
        <v>50714276210</v>
      </c>
      <c r="B189" s="10">
        <v>1004062062</v>
      </c>
      <c r="C189" s="10">
        <v>507142762</v>
      </c>
      <c r="D189" s="10">
        <v>10</v>
      </c>
      <c r="E189" s="10" t="s">
        <v>24</v>
      </c>
      <c r="F189" s="10">
        <v>1162016</v>
      </c>
      <c r="G189" s="10" t="s">
        <v>172</v>
      </c>
      <c r="H189" s="11">
        <v>10000</v>
      </c>
      <c r="I189" s="10">
        <v>0</v>
      </c>
      <c r="J189" s="11">
        <f t="shared" si="5"/>
        <v>10000</v>
      </c>
      <c r="K189" s="12">
        <f>VLOOKUP(A189,[4]VA05!$A:$K,11,FALSE)</f>
        <v>45570</v>
      </c>
      <c r="L189" s="10" t="s">
        <v>29</v>
      </c>
      <c r="M189" s="10" t="s">
        <v>162</v>
      </c>
    </row>
    <row r="190" spans="1:13" x14ac:dyDescent="0.25">
      <c r="A190" s="13" t="str">
        <f t="shared" si="4"/>
        <v>50714263610</v>
      </c>
      <c r="B190" s="10">
        <v>1004040222</v>
      </c>
      <c r="C190" s="10">
        <v>507142636</v>
      </c>
      <c r="D190" s="10">
        <v>10</v>
      </c>
      <c r="E190" s="10" t="s">
        <v>10</v>
      </c>
      <c r="F190" s="10">
        <v>1437043</v>
      </c>
      <c r="G190" s="10" t="s">
        <v>115</v>
      </c>
      <c r="H190" s="11">
        <v>51125</v>
      </c>
      <c r="I190" s="11">
        <v>43670</v>
      </c>
      <c r="J190" s="11">
        <f t="shared" si="5"/>
        <v>7455</v>
      </c>
      <c r="K190" s="12">
        <f>VLOOKUP(A190,[4]VA05!$A:$K,11,FALSE)</f>
        <v>45566</v>
      </c>
      <c r="L190" s="10" t="s">
        <v>11</v>
      </c>
      <c r="M190" s="10" t="s">
        <v>116</v>
      </c>
    </row>
    <row r="191" spans="1:13" hidden="1" x14ac:dyDescent="0.25">
      <c r="A191" s="13" t="str">
        <f t="shared" si="4"/>
        <v>50714276210</v>
      </c>
      <c r="B191" s="10">
        <v>1004051398</v>
      </c>
      <c r="C191" s="10">
        <v>507142762</v>
      </c>
      <c r="D191" s="10">
        <v>10</v>
      </c>
      <c r="E191" s="10" t="s">
        <v>10</v>
      </c>
      <c r="F191" s="10">
        <v>1162012</v>
      </c>
      <c r="G191" s="10" t="s">
        <v>173</v>
      </c>
      <c r="H191" s="11">
        <v>40900</v>
      </c>
      <c r="I191" s="11">
        <v>40900</v>
      </c>
      <c r="J191" s="11">
        <f t="shared" si="5"/>
        <v>0</v>
      </c>
      <c r="K191" s="12">
        <f>VLOOKUP(A191,[4]VA05!$A:$K,11,FALSE)</f>
        <v>45570</v>
      </c>
      <c r="L191" s="10" t="s">
        <v>34</v>
      </c>
      <c r="M191" s="10" t="s">
        <v>178</v>
      </c>
    </row>
    <row r="192" spans="1:13" hidden="1" x14ac:dyDescent="0.25">
      <c r="A192" s="13" t="str">
        <f t="shared" si="4"/>
        <v>50714194510</v>
      </c>
      <c r="B192" s="10">
        <v>1003974005</v>
      </c>
      <c r="C192" s="10">
        <v>507141945</v>
      </c>
      <c r="D192" s="10">
        <v>10</v>
      </c>
      <c r="E192" s="10" t="s">
        <v>24</v>
      </c>
      <c r="F192" s="10">
        <v>1193564</v>
      </c>
      <c r="G192" s="10" t="s">
        <v>280</v>
      </c>
      <c r="H192" s="11">
        <v>5113</v>
      </c>
      <c r="I192" s="10">
        <v>0</v>
      </c>
      <c r="J192" s="11">
        <f t="shared" si="5"/>
        <v>5113</v>
      </c>
      <c r="K192" s="12" t="e">
        <f>VLOOKUP(A192,[4]VA05!$A:$K,11,FALSE)</f>
        <v>#N/A</v>
      </c>
      <c r="L192" s="10" t="s">
        <v>260</v>
      </c>
      <c r="M192" s="10" t="s">
        <v>281</v>
      </c>
    </row>
    <row r="193" spans="1:13" hidden="1" x14ac:dyDescent="0.25">
      <c r="A193" s="13" t="str">
        <f t="shared" si="4"/>
        <v>50714263850</v>
      </c>
      <c r="B193" s="10">
        <v>1004049841</v>
      </c>
      <c r="C193" s="10">
        <v>507142638</v>
      </c>
      <c r="D193" s="10">
        <v>50</v>
      </c>
      <c r="E193" s="10" t="s">
        <v>10</v>
      </c>
      <c r="F193" s="10">
        <v>1361170</v>
      </c>
      <c r="G193" s="10" t="s">
        <v>103</v>
      </c>
      <c r="H193" s="11">
        <v>27540</v>
      </c>
      <c r="I193" s="11">
        <v>27540</v>
      </c>
      <c r="J193" s="11">
        <f t="shared" si="5"/>
        <v>0</v>
      </c>
      <c r="K193" s="12">
        <f>VLOOKUP(A193,[4]VA05!$A:$K,11,FALSE)</f>
        <v>45560</v>
      </c>
      <c r="L193" s="10" t="s">
        <v>307</v>
      </c>
      <c r="M193" s="10" t="s">
        <v>143</v>
      </c>
    </row>
    <row r="194" spans="1:13" x14ac:dyDescent="0.25">
      <c r="A194" s="13" t="str">
        <f t="shared" si="4"/>
        <v>50714263850</v>
      </c>
      <c r="B194" s="10">
        <v>1004049843</v>
      </c>
      <c r="C194" s="10">
        <v>507142638</v>
      </c>
      <c r="D194" s="10">
        <v>50</v>
      </c>
      <c r="E194" s="10" t="s">
        <v>10</v>
      </c>
      <c r="F194" s="10">
        <v>1361170</v>
      </c>
      <c r="G194" s="10" t="s">
        <v>103</v>
      </c>
      <c r="H194" s="11">
        <v>27270</v>
      </c>
      <c r="I194" s="11">
        <v>17280</v>
      </c>
      <c r="J194" s="11">
        <f t="shared" si="5"/>
        <v>9990</v>
      </c>
      <c r="K194" s="12">
        <f>VLOOKUP(A194,[4]VA05!$A:$K,11,FALSE)</f>
        <v>45560</v>
      </c>
      <c r="L194" s="10" t="s">
        <v>132</v>
      </c>
      <c r="M194" s="10" t="s">
        <v>143</v>
      </c>
    </row>
    <row r="195" spans="1:13" x14ac:dyDescent="0.25">
      <c r="A195" s="13" t="str">
        <f t="shared" si="4"/>
        <v>50714273810</v>
      </c>
      <c r="B195" s="10">
        <v>1004051551</v>
      </c>
      <c r="C195" s="10">
        <v>507142738</v>
      </c>
      <c r="D195" s="10">
        <v>10</v>
      </c>
      <c r="E195" s="10" t="s">
        <v>10</v>
      </c>
      <c r="F195" s="10">
        <v>1361170</v>
      </c>
      <c r="G195" s="10" t="s">
        <v>103</v>
      </c>
      <c r="H195" s="11">
        <v>27540</v>
      </c>
      <c r="I195" s="10">
        <v>0</v>
      </c>
      <c r="J195" s="11">
        <f t="shared" si="5"/>
        <v>27540</v>
      </c>
      <c r="K195" s="12">
        <f>VLOOKUP(A195,[4]VA05!$A:$K,11,FALSE)</f>
        <v>45567</v>
      </c>
      <c r="L195" s="10" t="s">
        <v>12</v>
      </c>
      <c r="M195" s="10" t="s">
        <v>180</v>
      </c>
    </row>
    <row r="196" spans="1:13" x14ac:dyDescent="0.25">
      <c r="A196" s="13" t="str">
        <f t="shared" ref="A196:A259" si="6">C196&amp;D196</f>
        <v>50714273810</v>
      </c>
      <c r="B196" s="10">
        <v>1004051552</v>
      </c>
      <c r="C196" s="10">
        <v>507142738</v>
      </c>
      <c r="D196" s="10">
        <v>10</v>
      </c>
      <c r="E196" s="10" t="s">
        <v>10</v>
      </c>
      <c r="F196" s="10">
        <v>1361170</v>
      </c>
      <c r="G196" s="10" t="s">
        <v>103</v>
      </c>
      <c r="H196" s="11">
        <v>27540</v>
      </c>
      <c r="I196" s="10">
        <v>0</v>
      </c>
      <c r="J196" s="11">
        <f t="shared" ref="J196:J259" si="7">H196-I196</f>
        <v>27540</v>
      </c>
      <c r="K196" s="12">
        <f>VLOOKUP(A196,[4]VA05!$A:$K,11,FALSE)</f>
        <v>45567</v>
      </c>
      <c r="L196" s="10" t="s">
        <v>12</v>
      </c>
      <c r="M196" s="10" t="s">
        <v>180</v>
      </c>
    </row>
    <row r="197" spans="1:13" x14ac:dyDescent="0.25">
      <c r="A197" s="13" t="str">
        <f t="shared" si="6"/>
        <v>50714273810</v>
      </c>
      <c r="B197" s="10">
        <v>1004051553</v>
      </c>
      <c r="C197" s="10">
        <v>507142738</v>
      </c>
      <c r="D197" s="10">
        <v>10</v>
      </c>
      <c r="E197" s="10" t="s">
        <v>10</v>
      </c>
      <c r="F197" s="10">
        <v>1361170</v>
      </c>
      <c r="G197" s="10" t="s">
        <v>103</v>
      </c>
      <c r="H197" s="11">
        <v>27540</v>
      </c>
      <c r="I197" s="10">
        <v>0</v>
      </c>
      <c r="J197" s="11">
        <f t="shared" si="7"/>
        <v>27540</v>
      </c>
      <c r="K197" s="12">
        <f>VLOOKUP(A197,[4]VA05!$A:$K,11,FALSE)</f>
        <v>45567</v>
      </c>
      <c r="L197" s="10" t="s">
        <v>12</v>
      </c>
      <c r="M197" s="10" t="s">
        <v>180</v>
      </c>
    </row>
    <row r="198" spans="1:13" x14ac:dyDescent="0.25">
      <c r="A198" s="13" t="str">
        <f t="shared" si="6"/>
        <v>50714273810</v>
      </c>
      <c r="B198" s="10">
        <v>1004051554</v>
      </c>
      <c r="C198" s="10">
        <v>507142738</v>
      </c>
      <c r="D198" s="10">
        <v>10</v>
      </c>
      <c r="E198" s="10" t="s">
        <v>10</v>
      </c>
      <c r="F198" s="10">
        <v>1361170</v>
      </c>
      <c r="G198" s="10" t="s">
        <v>103</v>
      </c>
      <c r="H198" s="11">
        <v>27540</v>
      </c>
      <c r="I198" s="10">
        <v>0</v>
      </c>
      <c r="J198" s="11">
        <f t="shared" si="7"/>
        <v>27540</v>
      </c>
      <c r="K198" s="12">
        <f>VLOOKUP(A198,[4]VA05!$A:$K,11,FALSE)</f>
        <v>45567</v>
      </c>
      <c r="L198" s="10" t="s">
        <v>12</v>
      </c>
      <c r="M198" s="10" t="s">
        <v>180</v>
      </c>
    </row>
    <row r="199" spans="1:13" x14ac:dyDescent="0.25">
      <c r="A199" s="13" t="str">
        <f t="shared" si="6"/>
        <v>50714269230</v>
      </c>
      <c r="B199" s="10">
        <v>1004059598</v>
      </c>
      <c r="C199" s="10">
        <v>507142692</v>
      </c>
      <c r="D199" s="10">
        <v>30</v>
      </c>
      <c r="E199" s="10" t="s">
        <v>10</v>
      </c>
      <c r="F199" s="10">
        <v>1367372</v>
      </c>
      <c r="G199" s="10" t="s">
        <v>62</v>
      </c>
      <c r="H199" s="11">
        <v>25110</v>
      </c>
      <c r="I199" s="11">
        <v>13396</v>
      </c>
      <c r="J199" s="11">
        <f t="shared" si="7"/>
        <v>11714</v>
      </c>
      <c r="K199" s="12">
        <f>VLOOKUP(A199,[4]VA05!$A:$K,11,FALSE)</f>
        <v>45567</v>
      </c>
      <c r="L199" s="10" t="s">
        <v>34</v>
      </c>
      <c r="M199" s="10" t="s">
        <v>197</v>
      </c>
    </row>
    <row r="200" spans="1:13" x14ac:dyDescent="0.25">
      <c r="A200" s="13" t="str">
        <f t="shared" si="6"/>
        <v>50714269230</v>
      </c>
      <c r="B200" s="10">
        <v>1004059599</v>
      </c>
      <c r="C200" s="10">
        <v>507142692</v>
      </c>
      <c r="D200" s="10">
        <v>30</v>
      </c>
      <c r="E200" s="10" t="s">
        <v>10</v>
      </c>
      <c r="F200" s="10">
        <v>1367372</v>
      </c>
      <c r="G200" s="10" t="s">
        <v>62</v>
      </c>
      <c r="H200" s="11">
        <v>25110</v>
      </c>
      <c r="I200" s="11"/>
      <c r="J200" s="11">
        <f t="shared" si="7"/>
        <v>25110</v>
      </c>
      <c r="K200" s="12">
        <f>VLOOKUP(A200,[4]VA05!$A:$K,11,FALSE)</f>
        <v>45567</v>
      </c>
      <c r="L200" s="10" t="s">
        <v>310</v>
      </c>
      <c r="M200" s="10" t="s">
        <v>178</v>
      </c>
    </row>
    <row r="201" spans="1:13" x14ac:dyDescent="0.25">
      <c r="A201" s="13" t="str">
        <f t="shared" si="6"/>
        <v>50714269230</v>
      </c>
      <c r="B201" s="10">
        <v>1004059600</v>
      </c>
      <c r="C201" s="10">
        <v>507142692</v>
      </c>
      <c r="D201" s="10">
        <v>30</v>
      </c>
      <c r="E201" s="10" t="s">
        <v>10</v>
      </c>
      <c r="F201" s="10">
        <v>1367372</v>
      </c>
      <c r="G201" s="10" t="s">
        <v>62</v>
      </c>
      <c r="H201" s="11">
        <v>25110</v>
      </c>
      <c r="I201" s="11"/>
      <c r="J201" s="11">
        <f t="shared" si="7"/>
        <v>25110</v>
      </c>
      <c r="K201" s="12">
        <f>VLOOKUP(A201,[4]VA05!$A:$K,11,FALSE)</f>
        <v>45567</v>
      </c>
      <c r="L201" s="10" t="s">
        <v>234</v>
      </c>
      <c r="M201" s="10" t="s">
        <v>178</v>
      </c>
    </row>
    <row r="202" spans="1:13" x14ac:dyDescent="0.25">
      <c r="A202" s="13" t="str">
        <f t="shared" si="6"/>
        <v>50714269230</v>
      </c>
      <c r="B202" s="10">
        <v>1004059601</v>
      </c>
      <c r="C202" s="10">
        <v>507142692</v>
      </c>
      <c r="D202" s="10">
        <v>30</v>
      </c>
      <c r="E202" s="10" t="s">
        <v>10</v>
      </c>
      <c r="F202" s="10">
        <v>1367372</v>
      </c>
      <c r="G202" s="10" t="s">
        <v>62</v>
      </c>
      <c r="H202" s="11">
        <v>24570</v>
      </c>
      <c r="I202" s="11"/>
      <c r="J202" s="11">
        <f t="shared" si="7"/>
        <v>24570</v>
      </c>
      <c r="K202" s="12">
        <f>VLOOKUP(A202,[4]VA05!$A:$K,11,FALSE)</f>
        <v>45567</v>
      </c>
      <c r="L202" s="10" t="s">
        <v>235</v>
      </c>
      <c r="M202" s="10" t="s">
        <v>178</v>
      </c>
    </row>
    <row r="203" spans="1:13" hidden="1" x14ac:dyDescent="0.25">
      <c r="A203" s="13" t="str">
        <f t="shared" si="6"/>
        <v>50714208620</v>
      </c>
      <c r="B203" s="10">
        <v>1003976459</v>
      </c>
      <c r="C203" s="10">
        <v>507142086</v>
      </c>
      <c r="D203" s="10">
        <v>20</v>
      </c>
      <c r="E203" s="10" t="s">
        <v>10</v>
      </c>
      <c r="F203" s="10">
        <v>1361175</v>
      </c>
      <c r="G203" s="10" t="s">
        <v>22</v>
      </c>
      <c r="H203" s="11">
        <v>28350</v>
      </c>
      <c r="I203" s="10">
        <v>0</v>
      </c>
      <c r="J203" s="11">
        <f t="shared" si="7"/>
        <v>28350</v>
      </c>
      <c r="K203" s="12" t="e">
        <f>VLOOKUP(A203,[4]VA05!$A:$K,11,FALSE)</f>
        <v>#N/A</v>
      </c>
      <c r="L203" s="10" t="s">
        <v>260</v>
      </c>
      <c r="M203" s="10" t="s">
        <v>282</v>
      </c>
    </row>
    <row r="204" spans="1:13" hidden="1" x14ac:dyDescent="0.25">
      <c r="A204" s="13" t="str">
        <f t="shared" si="6"/>
        <v>50714208620</v>
      </c>
      <c r="B204" s="10">
        <v>1003976460</v>
      </c>
      <c r="C204" s="10">
        <v>507142086</v>
      </c>
      <c r="D204" s="10">
        <v>20</v>
      </c>
      <c r="E204" s="10" t="s">
        <v>10</v>
      </c>
      <c r="F204" s="10">
        <v>1361175</v>
      </c>
      <c r="G204" s="10" t="s">
        <v>22</v>
      </c>
      <c r="H204" s="11">
        <v>28350</v>
      </c>
      <c r="I204" s="10">
        <v>0</v>
      </c>
      <c r="J204" s="11">
        <f t="shared" si="7"/>
        <v>28350</v>
      </c>
      <c r="K204" s="12" t="e">
        <f>VLOOKUP(A204,[4]VA05!$A:$K,11,FALSE)</f>
        <v>#N/A</v>
      </c>
      <c r="L204" s="10" t="s">
        <v>260</v>
      </c>
      <c r="M204" s="10" t="s">
        <v>282</v>
      </c>
    </row>
    <row r="205" spans="1:13" hidden="1" x14ac:dyDescent="0.25">
      <c r="A205" s="13" t="str">
        <f t="shared" si="6"/>
        <v>50714208640</v>
      </c>
      <c r="B205" s="10">
        <v>1003976464</v>
      </c>
      <c r="C205" s="10">
        <v>507142086</v>
      </c>
      <c r="D205" s="10">
        <v>40</v>
      </c>
      <c r="E205" s="10" t="s">
        <v>10</v>
      </c>
      <c r="F205" s="10">
        <v>1361175</v>
      </c>
      <c r="G205" s="10" t="s">
        <v>22</v>
      </c>
      <c r="H205" s="11">
        <v>28350</v>
      </c>
      <c r="I205" s="10">
        <v>0</v>
      </c>
      <c r="J205" s="11">
        <f t="shared" si="7"/>
        <v>28350</v>
      </c>
      <c r="K205" s="12" t="e">
        <f>VLOOKUP(A205,[4]VA05!$A:$K,11,FALSE)</f>
        <v>#N/A</v>
      </c>
      <c r="L205" s="10" t="s">
        <v>260</v>
      </c>
      <c r="M205" s="10" t="s">
        <v>269</v>
      </c>
    </row>
    <row r="206" spans="1:13" hidden="1" x14ac:dyDescent="0.25">
      <c r="A206" s="13" t="str">
        <f t="shared" si="6"/>
        <v>50714208640</v>
      </c>
      <c r="B206" s="10">
        <v>1003976465</v>
      </c>
      <c r="C206" s="10">
        <v>507142086</v>
      </c>
      <c r="D206" s="10">
        <v>40</v>
      </c>
      <c r="E206" s="10" t="s">
        <v>10</v>
      </c>
      <c r="F206" s="10">
        <v>1361175</v>
      </c>
      <c r="G206" s="10" t="s">
        <v>22</v>
      </c>
      <c r="H206" s="11">
        <v>28350</v>
      </c>
      <c r="I206" s="10">
        <v>0</v>
      </c>
      <c r="J206" s="11">
        <f t="shared" si="7"/>
        <v>28350</v>
      </c>
      <c r="K206" s="12" t="e">
        <f>VLOOKUP(A206,[4]VA05!$A:$K,11,FALSE)</f>
        <v>#N/A</v>
      </c>
      <c r="L206" s="10" t="s">
        <v>260</v>
      </c>
      <c r="M206" s="10" t="s">
        <v>269</v>
      </c>
    </row>
    <row r="207" spans="1:13" hidden="1" x14ac:dyDescent="0.25">
      <c r="A207" s="13" t="str">
        <f t="shared" si="6"/>
        <v>50714208640</v>
      </c>
      <c r="B207" s="10">
        <v>1003976466</v>
      </c>
      <c r="C207" s="10">
        <v>507142086</v>
      </c>
      <c r="D207" s="10">
        <v>40</v>
      </c>
      <c r="E207" s="10" t="s">
        <v>10</v>
      </c>
      <c r="F207" s="10">
        <v>1361175</v>
      </c>
      <c r="G207" s="10" t="s">
        <v>22</v>
      </c>
      <c r="H207" s="11">
        <v>28350</v>
      </c>
      <c r="I207" s="10">
        <v>0</v>
      </c>
      <c r="J207" s="11">
        <f t="shared" si="7"/>
        <v>28350</v>
      </c>
      <c r="K207" s="12" t="e">
        <f>VLOOKUP(A207,[4]VA05!$A:$K,11,FALSE)</f>
        <v>#N/A</v>
      </c>
      <c r="L207" s="10" t="s">
        <v>260</v>
      </c>
      <c r="M207" s="10" t="s">
        <v>269</v>
      </c>
    </row>
    <row r="208" spans="1:13" hidden="1" x14ac:dyDescent="0.25">
      <c r="A208" s="13" t="str">
        <f t="shared" si="6"/>
        <v>50714208640</v>
      </c>
      <c r="B208" s="10">
        <v>1003976467</v>
      </c>
      <c r="C208" s="10">
        <v>507142086</v>
      </c>
      <c r="D208" s="10">
        <v>40</v>
      </c>
      <c r="E208" s="10" t="s">
        <v>10</v>
      </c>
      <c r="F208" s="10">
        <v>1361175</v>
      </c>
      <c r="G208" s="10" t="s">
        <v>22</v>
      </c>
      <c r="H208" s="11">
        <v>31590</v>
      </c>
      <c r="I208" s="10">
        <v>0</v>
      </c>
      <c r="J208" s="11">
        <f t="shared" si="7"/>
        <v>31590</v>
      </c>
      <c r="K208" s="12" t="e">
        <f>VLOOKUP(A208,[4]VA05!$A:$K,11,FALSE)</f>
        <v>#N/A</v>
      </c>
      <c r="L208" s="10" t="s">
        <v>260</v>
      </c>
      <c r="M208" s="10" t="s">
        <v>269</v>
      </c>
    </row>
    <row r="209" spans="1:13" hidden="1" x14ac:dyDescent="0.25">
      <c r="A209" s="13" t="str">
        <f t="shared" si="6"/>
        <v>50714208660</v>
      </c>
      <c r="B209" s="10">
        <v>1003976468</v>
      </c>
      <c r="C209" s="10">
        <v>507142086</v>
      </c>
      <c r="D209" s="10">
        <v>60</v>
      </c>
      <c r="E209" s="10" t="s">
        <v>10</v>
      </c>
      <c r="F209" s="10">
        <v>1361175</v>
      </c>
      <c r="G209" s="10" t="s">
        <v>22</v>
      </c>
      <c r="H209" s="11">
        <v>28350</v>
      </c>
      <c r="I209" s="10">
        <v>0</v>
      </c>
      <c r="J209" s="11">
        <f t="shared" si="7"/>
        <v>28350</v>
      </c>
      <c r="K209" s="12" t="e">
        <f>VLOOKUP(A209,[4]VA05!$A:$K,11,FALSE)</f>
        <v>#N/A</v>
      </c>
      <c r="L209" s="10" t="s">
        <v>260</v>
      </c>
      <c r="M209" s="10" t="s">
        <v>283</v>
      </c>
    </row>
    <row r="210" spans="1:13" hidden="1" x14ac:dyDescent="0.25">
      <c r="A210" s="13" t="str">
        <f t="shared" si="6"/>
        <v>50714208660</v>
      </c>
      <c r="B210" s="10">
        <v>1003976469</v>
      </c>
      <c r="C210" s="10">
        <v>507142086</v>
      </c>
      <c r="D210" s="10">
        <v>60</v>
      </c>
      <c r="E210" s="10" t="s">
        <v>10</v>
      </c>
      <c r="F210" s="10">
        <v>1361175</v>
      </c>
      <c r="G210" s="10" t="s">
        <v>22</v>
      </c>
      <c r="H210" s="11">
        <v>28350</v>
      </c>
      <c r="I210" s="10">
        <v>0</v>
      </c>
      <c r="J210" s="11">
        <f t="shared" si="7"/>
        <v>28350</v>
      </c>
      <c r="K210" s="12" t="e">
        <f>VLOOKUP(A210,[4]VA05!$A:$K,11,FALSE)</f>
        <v>#N/A</v>
      </c>
      <c r="L210" s="10" t="s">
        <v>260</v>
      </c>
      <c r="M210" s="10" t="s">
        <v>283</v>
      </c>
    </row>
    <row r="211" spans="1:13" hidden="1" x14ac:dyDescent="0.25">
      <c r="A211" s="13" t="str">
        <f t="shared" si="6"/>
        <v>50714208660</v>
      </c>
      <c r="B211" s="10">
        <v>1003976470</v>
      </c>
      <c r="C211" s="10">
        <v>507142086</v>
      </c>
      <c r="D211" s="10">
        <v>60</v>
      </c>
      <c r="E211" s="10" t="s">
        <v>10</v>
      </c>
      <c r="F211" s="10">
        <v>1361175</v>
      </c>
      <c r="G211" s="10" t="s">
        <v>22</v>
      </c>
      <c r="H211" s="11">
        <v>28350</v>
      </c>
      <c r="I211" s="10">
        <v>0</v>
      </c>
      <c r="J211" s="11">
        <f t="shared" si="7"/>
        <v>28350</v>
      </c>
      <c r="K211" s="12" t="e">
        <f>VLOOKUP(A211,[4]VA05!$A:$K,11,FALSE)</f>
        <v>#N/A</v>
      </c>
      <c r="L211" s="10" t="s">
        <v>260</v>
      </c>
      <c r="M211" s="10" t="s">
        <v>283</v>
      </c>
    </row>
    <row r="212" spans="1:13" hidden="1" x14ac:dyDescent="0.25">
      <c r="A212" s="13" t="str">
        <f t="shared" si="6"/>
        <v>50714208660</v>
      </c>
      <c r="B212" s="10">
        <v>1003976471</v>
      </c>
      <c r="C212" s="10">
        <v>507142086</v>
      </c>
      <c r="D212" s="10">
        <v>60</v>
      </c>
      <c r="E212" s="10" t="s">
        <v>10</v>
      </c>
      <c r="F212" s="10">
        <v>1361175</v>
      </c>
      <c r="G212" s="10" t="s">
        <v>22</v>
      </c>
      <c r="H212" s="11">
        <v>25110</v>
      </c>
      <c r="I212" s="10">
        <v>0</v>
      </c>
      <c r="J212" s="11">
        <f t="shared" si="7"/>
        <v>25110</v>
      </c>
      <c r="K212" s="12" t="e">
        <f>VLOOKUP(A212,[4]VA05!$A:$K,11,FALSE)</f>
        <v>#N/A</v>
      </c>
      <c r="L212" s="10" t="s">
        <v>260</v>
      </c>
      <c r="M212" s="10" t="s">
        <v>283</v>
      </c>
    </row>
    <row r="213" spans="1:13" x14ac:dyDescent="0.25">
      <c r="A213" s="13" t="str">
        <f t="shared" si="6"/>
        <v>50714263860</v>
      </c>
      <c r="B213" s="10">
        <v>1004049845</v>
      </c>
      <c r="C213" s="10">
        <v>507142638</v>
      </c>
      <c r="D213" s="10">
        <v>60</v>
      </c>
      <c r="E213" s="10" t="s">
        <v>10</v>
      </c>
      <c r="F213" s="10">
        <v>1361175</v>
      </c>
      <c r="G213" s="10" t="s">
        <v>22</v>
      </c>
      <c r="H213" s="11">
        <v>36850</v>
      </c>
      <c r="I213" s="11">
        <v>25926</v>
      </c>
      <c r="J213" s="11">
        <f t="shared" si="7"/>
        <v>10924</v>
      </c>
      <c r="K213" s="12">
        <f>VLOOKUP(A213,[4]VA05!$A:$K,11,FALSE)</f>
        <v>45560</v>
      </c>
      <c r="L213" s="10" t="s">
        <v>233</v>
      </c>
      <c r="M213" s="10" t="s">
        <v>143</v>
      </c>
    </row>
    <row r="214" spans="1:13" x14ac:dyDescent="0.25">
      <c r="A214" s="13" t="str">
        <f t="shared" si="6"/>
        <v>50714263860</v>
      </c>
      <c r="B214" s="10">
        <v>1004049846</v>
      </c>
      <c r="C214" s="10">
        <v>507142638</v>
      </c>
      <c r="D214" s="10">
        <v>60</v>
      </c>
      <c r="E214" s="10" t="s">
        <v>10</v>
      </c>
      <c r="F214" s="10">
        <v>1361175</v>
      </c>
      <c r="G214" s="10" t="s">
        <v>22</v>
      </c>
      <c r="H214" s="11">
        <v>36190</v>
      </c>
      <c r="I214" s="11"/>
      <c r="J214" s="11">
        <f t="shared" si="7"/>
        <v>36190</v>
      </c>
      <c r="K214" s="12">
        <f>VLOOKUP(A214,[4]VA05!$A:$K,11,FALSE)</f>
        <v>45560</v>
      </c>
      <c r="L214" s="10" t="s">
        <v>311</v>
      </c>
      <c r="M214" s="10" t="s">
        <v>97</v>
      </c>
    </row>
    <row r="215" spans="1:13" x14ac:dyDescent="0.25">
      <c r="A215" s="13" t="str">
        <f t="shared" si="6"/>
        <v>50714273820</v>
      </c>
      <c r="B215" s="10">
        <v>1004064517</v>
      </c>
      <c r="C215" s="10">
        <v>507142738</v>
      </c>
      <c r="D215" s="10">
        <v>20</v>
      </c>
      <c r="E215" s="10" t="s">
        <v>10</v>
      </c>
      <c r="F215" s="10">
        <v>1361175</v>
      </c>
      <c r="G215" s="10" t="s">
        <v>22</v>
      </c>
      <c r="H215" s="11">
        <v>36936</v>
      </c>
      <c r="I215" s="10">
        <v>0</v>
      </c>
      <c r="J215" s="11">
        <f t="shared" si="7"/>
        <v>36936</v>
      </c>
      <c r="K215" s="12">
        <f>VLOOKUP(A215,[4]VA05!$A:$K,11,FALSE)</f>
        <v>45567</v>
      </c>
      <c r="L215" s="10" t="s">
        <v>29</v>
      </c>
      <c r="M215" s="10" t="s">
        <v>179</v>
      </c>
    </row>
    <row r="216" spans="1:13" x14ac:dyDescent="0.25">
      <c r="A216" s="13" t="str">
        <f t="shared" si="6"/>
        <v>50714273820</v>
      </c>
      <c r="B216" s="10">
        <v>1004064518</v>
      </c>
      <c r="C216" s="10">
        <v>507142738</v>
      </c>
      <c r="D216" s="10">
        <v>20</v>
      </c>
      <c r="E216" s="10" t="s">
        <v>10</v>
      </c>
      <c r="F216" s="10">
        <v>1361175</v>
      </c>
      <c r="G216" s="10" t="s">
        <v>22</v>
      </c>
      <c r="H216" s="11">
        <v>36936</v>
      </c>
      <c r="I216" s="10">
        <v>0</v>
      </c>
      <c r="J216" s="11">
        <f t="shared" si="7"/>
        <v>36936</v>
      </c>
      <c r="K216" s="12">
        <f>VLOOKUP(A216,[4]VA05!$A:$K,11,FALSE)</f>
        <v>45567</v>
      </c>
      <c r="L216" s="10" t="s">
        <v>29</v>
      </c>
      <c r="M216" s="10" t="s">
        <v>179</v>
      </c>
    </row>
    <row r="217" spans="1:13" x14ac:dyDescent="0.25">
      <c r="A217" s="13" t="str">
        <f t="shared" si="6"/>
        <v>50714273820</v>
      </c>
      <c r="B217" s="10">
        <v>1004064519</v>
      </c>
      <c r="C217" s="10">
        <v>507142738</v>
      </c>
      <c r="D217" s="10">
        <v>20</v>
      </c>
      <c r="E217" s="10" t="s">
        <v>10</v>
      </c>
      <c r="F217" s="10">
        <v>1361175</v>
      </c>
      <c r="G217" s="10" t="s">
        <v>22</v>
      </c>
      <c r="H217" s="11">
        <v>36288</v>
      </c>
      <c r="I217" s="10">
        <v>0</v>
      </c>
      <c r="J217" s="11">
        <f t="shared" si="7"/>
        <v>36288</v>
      </c>
      <c r="K217" s="12">
        <f>VLOOKUP(A217,[4]VA05!$A:$K,11,FALSE)</f>
        <v>45567</v>
      </c>
      <c r="L217" s="10" t="s">
        <v>12</v>
      </c>
      <c r="M217" s="10" t="s">
        <v>179</v>
      </c>
    </row>
    <row r="218" spans="1:13" x14ac:dyDescent="0.25">
      <c r="A218" s="13" t="str">
        <f t="shared" si="6"/>
        <v>50714279020</v>
      </c>
      <c r="B218" s="10">
        <v>1004064520</v>
      </c>
      <c r="C218" s="10">
        <v>507142790</v>
      </c>
      <c r="D218" s="10">
        <v>20</v>
      </c>
      <c r="E218" s="10" t="s">
        <v>10</v>
      </c>
      <c r="F218" s="10">
        <v>1361175</v>
      </c>
      <c r="G218" s="10" t="s">
        <v>22</v>
      </c>
      <c r="H218" s="11">
        <v>36936</v>
      </c>
      <c r="I218" s="10">
        <v>0</v>
      </c>
      <c r="J218" s="11">
        <f t="shared" si="7"/>
        <v>36936</v>
      </c>
      <c r="K218" s="12">
        <f>VLOOKUP(A218,[4]VA05!$A:$K,11,FALSE)</f>
        <v>45583</v>
      </c>
      <c r="L218" s="10" t="s">
        <v>12</v>
      </c>
      <c r="M218" s="10" t="s">
        <v>193</v>
      </c>
    </row>
    <row r="219" spans="1:13" x14ac:dyDescent="0.25">
      <c r="A219" s="13" t="str">
        <f t="shared" si="6"/>
        <v>50714279020</v>
      </c>
      <c r="B219" s="10">
        <v>1004064521</v>
      </c>
      <c r="C219" s="10">
        <v>507142790</v>
      </c>
      <c r="D219" s="10">
        <v>20</v>
      </c>
      <c r="E219" s="10" t="s">
        <v>10</v>
      </c>
      <c r="F219" s="10">
        <v>1361175</v>
      </c>
      <c r="G219" s="10" t="s">
        <v>22</v>
      </c>
      <c r="H219" s="11">
        <v>36936</v>
      </c>
      <c r="I219" s="10">
        <v>0</v>
      </c>
      <c r="J219" s="11">
        <f t="shared" si="7"/>
        <v>36936</v>
      </c>
      <c r="K219" s="12">
        <f>VLOOKUP(A219,[4]VA05!$A:$K,11,FALSE)</f>
        <v>45583</v>
      </c>
      <c r="L219" s="10" t="s">
        <v>12</v>
      </c>
      <c r="M219" s="10" t="s">
        <v>193</v>
      </c>
    </row>
    <row r="220" spans="1:13" x14ac:dyDescent="0.25">
      <c r="A220" s="13" t="str">
        <f t="shared" si="6"/>
        <v>50714279020</v>
      </c>
      <c r="B220" s="10">
        <v>1004064522</v>
      </c>
      <c r="C220" s="10">
        <v>507142790</v>
      </c>
      <c r="D220" s="10">
        <v>20</v>
      </c>
      <c r="E220" s="10" t="s">
        <v>10</v>
      </c>
      <c r="F220" s="10">
        <v>1361175</v>
      </c>
      <c r="G220" s="10" t="s">
        <v>22</v>
      </c>
      <c r="H220" s="11">
        <v>36288</v>
      </c>
      <c r="I220" s="10">
        <v>0</v>
      </c>
      <c r="J220" s="11">
        <f t="shared" si="7"/>
        <v>36288</v>
      </c>
      <c r="K220" s="12">
        <f>VLOOKUP(A220,[4]VA05!$A:$K,11,FALSE)</f>
        <v>45583</v>
      </c>
      <c r="L220" s="10" t="s">
        <v>12</v>
      </c>
      <c r="M220" s="10" t="s">
        <v>193</v>
      </c>
    </row>
    <row r="221" spans="1:13" x14ac:dyDescent="0.25">
      <c r="A221" s="13" t="str">
        <f t="shared" si="6"/>
        <v>50714269240</v>
      </c>
      <c r="B221" s="10">
        <v>1004060928</v>
      </c>
      <c r="C221" s="10">
        <v>507142692</v>
      </c>
      <c r="D221" s="10">
        <v>40</v>
      </c>
      <c r="E221" s="10" t="s">
        <v>10</v>
      </c>
      <c r="F221" s="10">
        <v>1367370</v>
      </c>
      <c r="G221" s="10" t="s">
        <v>63</v>
      </c>
      <c r="H221" s="11">
        <v>32400</v>
      </c>
      <c r="I221" s="11">
        <v>9838</v>
      </c>
      <c r="J221" s="11">
        <f t="shared" si="7"/>
        <v>22562</v>
      </c>
      <c r="K221" s="12">
        <f>VLOOKUP(A221,[4]VA05!$A:$K,11,FALSE)</f>
        <v>45567</v>
      </c>
      <c r="L221" s="10" t="s">
        <v>34</v>
      </c>
      <c r="M221" s="10" t="s">
        <v>178</v>
      </c>
    </row>
    <row r="222" spans="1:13" x14ac:dyDescent="0.25">
      <c r="A222" s="13" t="str">
        <f t="shared" si="6"/>
        <v>50714269240</v>
      </c>
      <c r="B222" s="10">
        <v>1004061129</v>
      </c>
      <c r="C222" s="10">
        <v>507142692</v>
      </c>
      <c r="D222" s="10">
        <v>40</v>
      </c>
      <c r="E222" s="10" t="s">
        <v>10</v>
      </c>
      <c r="F222" s="10">
        <v>1367370</v>
      </c>
      <c r="G222" s="10" t="s">
        <v>63</v>
      </c>
      <c r="H222" s="11">
        <v>34400</v>
      </c>
      <c r="I222" s="11"/>
      <c r="J222" s="11">
        <f t="shared" si="7"/>
        <v>34400</v>
      </c>
      <c r="K222" s="12">
        <f>VLOOKUP(A222,[4]VA05!$A:$K,11,FALSE)</f>
        <v>45567</v>
      </c>
      <c r="L222" s="10" t="s">
        <v>235</v>
      </c>
      <c r="M222" s="10" t="s">
        <v>178</v>
      </c>
    </row>
    <row r="223" spans="1:13" hidden="1" x14ac:dyDescent="0.25">
      <c r="A223" s="13" t="str">
        <f t="shared" si="6"/>
        <v>50714200350</v>
      </c>
      <c r="B223" s="10">
        <v>1003967868</v>
      </c>
      <c r="C223" s="10">
        <v>507142003</v>
      </c>
      <c r="D223" s="10">
        <v>50</v>
      </c>
      <c r="E223" s="10" t="s">
        <v>10</v>
      </c>
      <c r="F223" s="10">
        <v>1361213</v>
      </c>
      <c r="G223" s="10" t="s">
        <v>23</v>
      </c>
      <c r="H223" s="11">
        <v>74809</v>
      </c>
      <c r="I223" s="10">
        <v>0</v>
      </c>
      <c r="J223" s="11">
        <f t="shared" si="7"/>
        <v>74809</v>
      </c>
      <c r="K223" s="12" t="e">
        <f>VLOOKUP(A223,[4]VA05!$A:$K,11,FALSE)</f>
        <v>#N/A</v>
      </c>
      <c r="L223" s="10" t="s">
        <v>260</v>
      </c>
      <c r="M223" s="10" t="s">
        <v>284</v>
      </c>
    </row>
    <row r="224" spans="1:13" x14ac:dyDescent="0.25">
      <c r="A224" s="13" t="str">
        <f t="shared" si="6"/>
        <v>50714263850</v>
      </c>
      <c r="B224" s="10">
        <v>1004043126</v>
      </c>
      <c r="C224" s="10">
        <v>507142638</v>
      </c>
      <c r="D224" s="10">
        <v>50</v>
      </c>
      <c r="E224" s="10" t="s">
        <v>10</v>
      </c>
      <c r="F224" s="10">
        <v>1361213</v>
      </c>
      <c r="G224" s="10" t="s">
        <v>23</v>
      </c>
      <c r="H224" s="11">
        <v>113187</v>
      </c>
      <c r="I224" s="11">
        <v>62840</v>
      </c>
      <c r="J224" s="11">
        <f t="shared" si="7"/>
        <v>50347</v>
      </c>
      <c r="K224" s="12">
        <f>VLOOKUP(A224,[4]VA05!$A:$K,11,FALSE)</f>
        <v>45560</v>
      </c>
      <c r="L224" s="10" t="s">
        <v>18</v>
      </c>
      <c r="M224" s="10" t="s">
        <v>178</v>
      </c>
    </row>
    <row r="225" spans="1:13" x14ac:dyDescent="0.25">
      <c r="A225" s="13" t="str">
        <f t="shared" si="6"/>
        <v>50714273810</v>
      </c>
      <c r="B225" s="10">
        <v>1004053617</v>
      </c>
      <c r="C225" s="10">
        <v>507142738</v>
      </c>
      <c r="D225" s="10">
        <v>10</v>
      </c>
      <c r="E225" s="10" t="s">
        <v>10</v>
      </c>
      <c r="F225" s="10">
        <v>1361213</v>
      </c>
      <c r="G225" s="10" t="s">
        <v>23</v>
      </c>
      <c r="H225" s="11">
        <v>113468</v>
      </c>
      <c r="I225" s="10">
        <v>0</v>
      </c>
      <c r="J225" s="11">
        <f t="shared" si="7"/>
        <v>113468</v>
      </c>
      <c r="K225" s="12">
        <f>VLOOKUP(A225,[4]VA05!$A:$K,11,FALSE)</f>
        <v>45567</v>
      </c>
      <c r="L225" s="10" t="s">
        <v>12</v>
      </c>
      <c r="M225" s="10" t="s">
        <v>130</v>
      </c>
    </row>
    <row r="226" spans="1:13" x14ac:dyDescent="0.25">
      <c r="A226" s="13" t="str">
        <f t="shared" si="6"/>
        <v>50714279010</v>
      </c>
      <c r="B226" s="10">
        <v>1004053618</v>
      </c>
      <c r="C226" s="10">
        <v>507142790</v>
      </c>
      <c r="D226" s="10">
        <v>10</v>
      </c>
      <c r="E226" s="10" t="s">
        <v>10</v>
      </c>
      <c r="F226" s="10">
        <v>1361213</v>
      </c>
      <c r="G226" s="10" t="s">
        <v>23</v>
      </c>
      <c r="H226" s="11">
        <v>113465</v>
      </c>
      <c r="I226" s="10">
        <v>0</v>
      </c>
      <c r="J226" s="11">
        <f t="shared" si="7"/>
        <v>113465</v>
      </c>
      <c r="K226" s="12">
        <f>VLOOKUP(A226,[4]VA05!$A:$K,11,FALSE)</f>
        <v>45583</v>
      </c>
      <c r="L226" s="10" t="s">
        <v>12</v>
      </c>
      <c r="M226" s="10" t="s">
        <v>180</v>
      </c>
    </row>
    <row r="227" spans="1:13" x14ac:dyDescent="0.25">
      <c r="A227" s="13" t="str">
        <f t="shared" si="6"/>
        <v>50714269230</v>
      </c>
      <c r="B227" s="10">
        <v>1004062502</v>
      </c>
      <c r="C227" s="10">
        <v>507142692</v>
      </c>
      <c r="D227" s="10">
        <v>30</v>
      </c>
      <c r="E227" s="10" t="s">
        <v>10</v>
      </c>
      <c r="F227" s="10">
        <v>1361213</v>
      </c>
      <c r="G227" s="10" t="s">
        <v>23</v>
      </c>
      <c r="H227" s="11">
        <v>102900</v>
      </c>
      <c r="I227" s="10">
        <v>0</v>
      </c>
      <c r="J227" s="11">
        <f t="shared" si="7"/>
        <v>102900</v>
      </c>
      <c r="K227" s="12">
        <f>VLOOKUP(A227,[4]VA05!$A:$K,11,FALSE)</f>
        <v>45567</v>
      </c>
      <c r="L227" s="10" t="s">
        <v>12</v>
      </c>
      <c r="M227" s="10" t="s">
        <v>162</v>
      </c>
    </row>
    <row r="228" spans="1:13" x14ac:dyDescent="0.25">
      <c r="A228" s="13" t="str">
        <f t="shared" si="6"/>
        <v>50714283110</v>
      </c>
      <c r="B228" s="10">
        <v>1004062504</v>
      </c>
      <c r="C228" s="10">
        <v>507142831</v>
      </c>
      <c r="D228" s="10">
        <v>10</v>
      </c>
      <c r="E228" s="10" t="s">
        <v>10</v>
      </c>
      <c r="F228" s="10">
        <v>1361213</v>
      </c>
      <c r="G228" s="10" t="s">
        <v>23</v>
      </c>
      <c r="H228" s="11">
        <v>51727</v>
      </c>
      <c r="I228" s="10">
        <v>0</v>
      </c>
      <c r="J228" s="11">
        <f t="shared" si="7"/>
        <v>51727</v>
      </c>
      <c r="K228" s="12">
        <f>VLOOKUP(A228,[4]VA05!$A:$K,11,FALSE)</f>
        <v>45587</v>
      </c>
      <c r="L228" s="10" t="s">
        <v>12</v>
      </c>
      <c r="M228" s="10" t="s">
        <v>179</v>
      </c>
    </row>
    <row r="229" spans="1:13" hidden="1" x14ac:dyDescent="0.25">
      <c r="A229" s="13" t="str">
        <f t="shared" si="6"/>
        <v>50714263750</v>
      </c>
      <c r="B229" s="10">
        <v>1004053626</v>
      </c>
      <c r="C229" s="10">
        <v>507142637</v>
      </c>
      <c r="D229" s="10">
        <v>50</v>
      </c>
      <c r="E229" s="10" t="s">
        <v>10</v>
      </c>
      <c r="F229" s="10">
        <v>1408740</v>
      </c>
      <c r="G229" s="10" t="s">
        <v>104</v>
      </c>
      <c r="H229" s="11">
        <v>27540</v>
      </c>
      <c r="I229" s="11">
        <v>27540</v>
      </c>
      <c r="J229" s="11">
        <f t="shared" si="7"/>
        <v>0</v>
      </c>
      <c r="K229" s="12">
        <f>VLOOKUP(A229,[4]VA05!$A:$K,11,FALSE)</f>
        <v>45572</v>
      </c>
      <c r="L229" s="10" t="s">
        <v>233</v>
      </c>
      <c r="M229" s="10" t="s">
        <v>154</v>
      </c>
    </row>
    <row r="230" spans="1:13" hidden="1" x14ac:dyDescent="0.25">
      <c r="A230" s="13" t="str">
        <f t="shared" si="6"/>
        <v>50714263750</v>
      </c>
      <c r="B230" s="10">
        <v>1004053627</v>
      </c>
      <c r="C230" s="10">
        <v>507142637</v>
      </c>
      <c r="D230" s="10">
        <v>50</v>
      </c>
      <c r="E230" s="10" t="s">
        <v>10</v>
      </c>
      <c r="F230" s="10">
        <v>1408740</v>
      </c>
      <c r="G230" s="10" t="s">
        <v>104</v>
      </c>
      <c r="H230" s="11">
        <v>27540</v>
      </c>
      <c r="I230" s="11">
        <v>27540</v>
      </c>
      <c r="J230" s="11">
        <f t="shared" si="7"/>
        <v>0</v>
      </c>
      <c r="K230" s="12">
        <f>VLOOKUP(A230,[4]VA05!$A:$K,11,FALSE)</f>
        <v>45572</v>
      </c>
      <c r="L230" s="10" t="s">
        <v>233</v>
      </c>
      <c r="M230" s="10" t="s">
        <v>194</v>
      </c>
    </row>
    <row r="231" spans="1:13" hidden="1" x14ac:dyDescent="0.25">
      <c r="A231" s="13" t="str">
        <f t="shared" si="6"/>
        <v>50714263750</v>
      </c>
      <c r="B231" s="10">
        <v>1004053628</v>
      </c>
      <c r="C231" s="10">
        <v>507142637</v>
      </c>
      <c r="D231" s="10">
        <v>50</v>
      </c>
      <c r="E231" s="10" t="s">
        <v>10</v>
      </c>
      <c r="F231" s="10">
        <v>1408740</v>
      </c>
      <c r="G231" s="10" t="s">
        <v>104</v>
      </c>
      <c r="H231" s="11">
        <v>27540</v>
      </c>
      <c r="I231" s="11">
        <v>27540</v>
      </c>
      <c r="J231" s="11">
        <f t="shared" si="7"/>
        <v>0</v>
      </c>
      <c r="K231" s="12">
        <f>VLOOKUP(A231,[4]VA05!$A:$K,11,FALSE)</f>
        <v>45572</v>
      </c>
      <c r="L231" s="10" t="s">
        <v>34</v>
      </c>
      <c r="M231" s="10" t="s">
        <v>178</v>
      </c>
    </row>
    <row r="232" spans="1:13" hidden="1" x14ac:dyDescent="0.25">
      <c r="A232" s="13" t="str">
        <f t="shared" si="6"/>
        <v>50714269810</v>
      </c>
      <c r="B232" s="10">
        <v>1004061888</v>
      </c>
      <c r="C232" s="10">
        <v>507142698</v>
      </c>
      <c r="D232" s="10">
        <v>10</v>
      </c>
      <c r="E232" s="10" t="s">
        <v>10</v>
      </c>
      <c r="F232" s="10">
        <v>1408740</v>
      </c>
      <c r="G232" s="10" t="s">
        <v>104</v>
      </c>
      <c r="H232" s="11">
        <v>27540</v>
      </c>
      <c r="I232" s="11">
        <v>27540</v>
      </c>
      <c r="J232" s="11">
        <f t="shared" si="7"/>
        <v>0</v>
      </c>
      <c r="K232" s="12">
        <f>VLOOKUP(A232,[4]VA05!$A:$K,11,FALSE)</f>
        <v>45553</v>
      </c>
      <c r="L232" s="10" t="s">
        <v>11</v>
      </c>
      <c r="M232" s="10" t="s">
        <v>202</v>
      </c>
    </row>
    <row r="233" spans="1:13" x14ac:dyDescent="0.25">
      <c r="A233" s="13" t="str">
        <f t="shared" si="6"/>
        <v>50714269810</v>
      </c>
      <c r="B233" s="10">
        <v>1004062029</v>
      </c>
      <c r="C233" s="10">
        <v>507142698</v>
      </c>
      <c r="D233" s="10">
        <v>10</v>
      </c>
      <c r="E233" s="10" t="s">
        <v>10</v>
      </c>
      <c r="F233" s="10">
        <v>1408740</v>
      </c>
      <c r="G233" s="10" t="s">
        <v>104</v>
      </c>
      <c r="H233" s="11">
        <v>27540</v>
      </c>
      <c r="I233" s="11">
        <v>9652</v>
      </c>
      <c r="J233" s="11">
        <f t="shared" si="7"/>
        <v>17888</v>
      </c>
      <c r="K233" s="12">
        <f>VLOOKUP(A233,[4]VA05!$A:$K,11,FALSE)</f>
        <v>45553</v>
      </c>
      <c r="L233" s="10" t="s">
        <v>11</v>
      </c>
      <c r="M233" s="10" t="s">
        <v>202</v>
      </c>
    </row>
    <row r="234" spans="1:13" x14ac:dyDescent="0.25">
      <c r="A234" s="13" t="str">
        <f t="shared" si="6"/>
        <v>50714269810</v>
      </c>
      <c r="B234" s="10">
        <v>1004062030</v>
      </c>
      <c r="C234" s="10">
        <v>507142698</v>
      </c>
      <c r="D234" s="10">
        <v>10</v>
      </c>
      <c r="E234" s="10" t="s">
        <v>10</v>
      </c>
      <c r="F234" s="10">
        <v>1408740</v>
      </c>
      <c r="G234" s="10" t="s">
        <v>104</v>
      </c>
      <c r="H234" s="11">
        <v>27540</v>
      </c>
      <c r="I234" s="10">
        <v>0</v>
      </c>
      <c r="J234" s="11">
        <f t="shared" si="7"/>
        <v>27540</v>
      </c>
      <c r="K234" s="12">
        <f>VLOOKUP(A234,[4]VA05!$A:$K,11,FALSE)</f>
        <v>45553</v>
      </c>
      <c r="L234" s="10" t="s">
        <v>240</v>
      </c>
      <c r="M234" s="10" t="s">
        <v>202</v>
      </c>
    </row>
    <row r="235" spans="1:13" x14ac:dyDescent="0.25">
      <c r="A235" s="13" t="str">
        <f t="shared" si="6"/>
        <v>50714269830</v>
      </c>
      <c r="B235" s="10">
        <v>1004062031</v>
      </c>
      <c r="C235" s="10">
        <v>507142698</v>
      </c>
      <c r="D235" s="10">
        <v>30</v>
      </c>
      <c r="E235" s="10" t="s">
        <v>10</v>
      </c>
      <c r="F235" s="10">
        <v>1408740</v>
      </c>
      <c r="G235" s="10" t="s">
        <v>104</v>
      </c>
      <c r="H235" s="11">
        <v>27540</v>
      </c>
      <c r="I235" s="10">
        <v>0</v>
      </c>
      <c r="J235" s="11">
        <f t="shared" si="7"/>
        <v>27540</v>
      </c>
      <c r="K235" s="12">
        <f>VLOOKUP(A235,[4]VA05!$A:$K,11,FALSE)</f>
        <v>45567</v>
      </c>
      <c r="L235" s="10" t="s">
        <v>12</v>
      </c>
      <c r="M235" s="10" t="s">
        <v>197</v>
      </c>
    </row>
    <row r="236" spans="1:13" x14ac:dyDescent="0.25">
      <c r="A236" s="13" t="str">
        <f t="shared" si="6"/>
        <v>50714269830</v>
      </c>
      <c r="B236" s="10">
        <v>1004062032</v>
      </c>
      <c r="C236" s="10">
        <v>507142698</v>
      </c>
      <c r="D236" s="10">
        <v>30</v>
      </c>
      <c r="E236" s="10" t="s">
        <v>10</v>
      </c>
      <c r="F236" s="10">
        <v>1408740</v>
      </c>
      <c r="G236" s="10" t="s">
        <v>104</v>
      </c>
      <c r="H236" s="11">
        <v>27540</v>
      </c>
      <c r="I236" s="10">
        <v>0</v>
      </c>
      <c r="J236" s="11">
        <f t="shared" si="7"/>
        <v>27540</v>
      </c>
      <c r="K236" s="12">
        <f>VLOOKUP(A236,[4]VA05!$A:$K,11,FALSE)</f>
        <v>45567</v>
      </c>
      <c r="L236" s="10" t="s">
        <v>12</v>
      </c>
      <c r="M236" s="10" t="s">
        <v>197</v>
      </c>
    </row>
    <row r="237" spans="1:13" x14ac:dyDescent="0.25">
      <c r="A237" s="13" t="str">
        <f t="shared" si="6"/>
        <v>50714269830</v>
      </c>
      <c r="B237" s="10">
        <v>1004062033</v>
      </c>
      <c r="C237" s="10">
        <v>507142698</v>
      </c>
      <c r="D237" s="10">
        <v>30</v>
      </c>
      <c r="E237" s="10" t="s">
        <v>10</v>
      </c>
      <c r="F237" s="10">
        <v>1408740</v>
      </c>
      <c r="G237" s="10" t="s">
        <v>104</v>
      </c>
      <c r="H237" s="11">
        <v>27540</v>
      </c>
      <c r="I237" s="10">
        <v>0</v>
      </c>
      <c r="J237" s="11">
        <f t="shared" si="7"/>
        <v>27540</v>
      </c>
      <c r="K237" s="12">
        <f>VLOOKUP(A237,[4]VA05!$A:$K,11,FALSE)</f>
        <v>45567</v>
      </c>
      <c r="L237" s="10" t="s">
        <v>12</v>
      </c>
      <c r="M237" s="10" t="s">
        <v>197</v>
      </c>
    </row>
    <row r="238" spans="1:13" x14ac:dyDescent="0.25">
      <c r="A238" s="13" t="str">
        <f t="shared" si="6"/>
        <v>50714269830</v>
      </c>
      <c r="B238" s="10">
        <v>1004062034</v>
      </c>
      <c r="C238" s="10">
        <v>507142698</v>
      </c>
      <c r="D238" s="10">
        <v>30</v>
      </c>
      <c r="E238" s="10" t="s">
        <v>10</v>
      </c>
      <c r="F238" s="10">
        <v>1408740</v>
      </c>
      <c r="G238" s="10" t="s">
        <v>104</v>
      </c>
      <c r="H238" s="11">
        <v>27270</v>
      </c>
      <c r="I238" s="10">
        <v>0</v>
      </c>
      <c r="J238" s="11">
        <f t="shared" si="7"/>
        <v>27270</v>
      </c>
      <c r="K238" s="12">
        <f>VLOOKUP(A238,[4]VA05!$A:$K,11,FALSE)</f>
        <v>45567</v>
      </c>
      <c r="L238" s="10" t="s">
        <v>12</v>
      </c>
      <c r="M238" s="10" t="s">
        <v>197</v>
      </c>
    </row>
    <row r="239" spans="1:13" x14ac:dyDescent="0.25">
      <c r="A239" s="13" t="str">
        <f t="shared" si="6"/>
        <v>50714208810</v>
      </c>
      <c r="B239" s="10">
        <v>1003976472</v>
      </c>
      <c r="C239" s="10">
        <v>507142088</v>
      </c>
      <c r="D239" s="10">
        <v>10</v>
      </c>
      <c r="E239" s="10" t="s">
        <v>10</v>
      </c>
      <c r="F239" s="10">
        <v>1408739</v>
      </c>
      <c r="G239" s="10" t="s">
        <v>37</v>
      </c>
      <c r="H239" s="11">
        <v>28350</v>
      </c>
      <c r="I239" s="10">
        <v>0</v>
      </c>
      <c r="J239" s="11">
        <f t="shared" si="7"/>
        <v>28350</v>
      </c>
      <c r="K239" s="12" t="e">
        <f>VLOOKUP(A239,[4]VA05!$A:$K,11,FALSE)</f>
        <v>#N/A</v>
      </c>
      <c r="L239" s="10" t="s">
        <v>285</v>
      </c>
      <c r="M239" s="10" t="s">
        <v>282</v>
      </c>
    </row>
    <row r="240" spans="1:13" x14ac:dyDescent="0.25">
      <c r="A240" s="13" t="str">
        <f t="shared" si="6"/>
        <v>50714208810</v>
      </c>
      <c r="B240" s="10">
        <v>1003976473</v>
      </c>
      <c r="C240" s="10">
        <v>507142088</v>
      </c>
      <c r="D240" s="10">
        <v>10</v>
      </c>
      <c r="E240" s="10" t="s">
        <v>10</v>
      </c>
      <c r="F240" s="10">
        <v>1408739</v>
      </c>
      <c r="G240" s="10" t="s">
        <v>37</v>
      </c>
      <c r="H240" s="11">
        <v>28350</v>
      </c>
      <c r="I240" s="10">
        <v>0</v>
      </c>
      <c r="J240" s="11">
        <f t="shared" si="7"/>
        <v>28350</v>
      </c>
      <c r="K240" s="12" t="e">
        <f>VLOOKUP(A240,[4]VA05!$A:$K,11,FALSE)</f>
        <v>#N/A</v>
      </c>
      <c r="L240" s="10" t="s">
        <v>285</v>
      </c>
      <c r="M240" s="10" t="s">
        <v>282</v>
      </c>
    </row>
    <row r="241" spans="1:13" hidden="1" x14ac:dyDescent="0.25">
      <c r="A241" s="13" t="str">
        <f t="shared" si="6"/>
        <v>50714208810</v>
      </c>
      <c r="B241" s="10">
        <v>1003976474</v>
      </c>
      <c r="C241" s="10">
        <v>507142088</v>
      </c>
      <c r="D241" s="10">
        <v>10</v>
      </c>
      <c r="E241" s="10" t="s">
        <v>10</v>
      </c>
      <c r="F241" s="10">
        <v>1408739</v>
      </c>
      <c r="G241" s="10" t="s">
        <v>37</v>
      </c>
      <c r="H241" s="11">
        <v>28350</v>
      </c>
      <c r="I241" s="10">
        <v>0</v>
      </c>
      <c r="J241" s="11">
        <f t="shared" si="7"/>
        <v>28350</v>
      </c>
      <c r="K241" s="12" t="e">
        <f>VLOOKUP(A241,[4]VA05!$A:$K,11,FALSE)</f>
        <v>#N/A</v>
      </c>
      <c r="L241" s="10" t="s">
        <v>260</v>
      </c>
      <c r="M241" s="10" t="s">
        <v>282</v>
      </c>
    </row>
    <row r="242" spans="1:13" hidden="1" x14ac:dyDescent="0.25">
      <c r="A242" s="13" t="str">
        <f t="shared" si="6"/>
        <v>50714208810</v>
      </c>
      <c r="B242" s="10">
        <v>1003976475</v>
      </c>
      <c r="C242" s="10">
        <v>507142088</v>
      </c>
      <c r="D242" s="10">
        <v>10</v>
      </c>
      <c r="E242" s="10" t="s">
        <v>10</v>
      </c>
      <c r="F242" s="10">
        <v>1408739</v>
      </c>
      <c r="G242" s="10" t="s">
        <v>37</v>
      </c>
      <c r="H242" s="11">
        <v>28350</v>
      </c>
      <c r="I242" s="10">
        <v>0</v>
      </c>
      <c r="J242" s="11">
        <f t="shared" si="7"/>
        <v>28350</v>
      </c>
      <c r="K242" s="12" t="e">
        <f>VLOOKUP(A242,[4]VA05!$A:$K,11,FALSE)</f>
        <v>#N/A</v>
      </c>
      <c r="L242" s="10" t="s">
        <v>260</v>
      </c>
      <c r="M242" s="10" t="s">
        <v>282</v>
      </c>
    </row>
    <row r="243" spans="1:13" hidden="1" x14ac:dyDescent="0.25">
      <c r="A243" s="13" t="str">
        <f t="shared" si="6"/>
        <v>50714208810</v>
      </c>
      <c r="B243" s="10">
        <v>1003976476</v>
      </c>
      <c r="C243" s="10">
        <v>507142088</v>
      </c>
      <c r="D243" s="10">
        <v>10</v>
      </c>
      <c r="E243" s="10" t="s">
        <v>10</v>
      </c>
      <c r="F243" s="10">
        <v>1408739</v>
      </c>
      <c r="G243" s="10" t="s">
        <v>37</v>
      </c>
      <c r="H243" s="11">
        <v>28350</v>
      </c>
      <c r="I243" s="10">
        <v>0</v>
      </c>
      <c r="J243" s="11">
        <f t="shared" si="7"/>
        <v>28350</v>
      </c>
      <c r="K243" s="12" t="e">
        <f>VLOOKUP(A243,[4]VA05!$A:$K,11,FALSE)</f>
        <v>#N/A</v>
      </c>
      <c r="L243" s="10" t="s">
        <v>260</v>
      </c>
      <c r="M243" s="10" t="s">
        <v>282</v>
      </c>
    </row>
    <row r="244" spans="1:13" hidden="1" x14ac:dyDescent="0.25">
      <c r="A244" s="13" t="str">
        <f t="shared" si="6"/>
        <v>50714208810</v>
      </c>
      <c r="B244" s="10">
        <v>1003976477</v>
      </c>
      <c r="C244" s="10">
        <v>507142088</v>
      </c>
      <c r="D244" s="10">
        <v>10</v>
      </c>
      <c r="E244" s="10" t="s">
        <v>10</v>
      </c>
      <c r="F244" s="10">
        <v>1408739</v>
      </c>
      <c r="G244" s="10" t="s">
        <v>37</v>
      </c>
      <c r="H244" s="11">
        <v>22410</v>
      </c>
      <c r="I244" s="10">
        <v>0</v>
      </c>
      <c r="J244" s="11">
        <f t="shared" si="7"/>
        <v>22410</v>
      </c>
      <c r="K244" s="12" t="e">
        <f>VLOOKUP(A244,[4]VA05!$A:$K,11,FALSE)</f>
        <v>#N/A</v>
      </c>
      <c r="L244" s="10" t="s">
        <v>260</v>
      </c>
      <c r="M244" s="10" t="s">
        <v>282</v>
      </c>
    </row>
    <row r="245" spans="1:13" hidden="1" x14ac:dyDescent="0.25">
      <c r="A245" s="13" t="str">
        <f t="shared" si="6"/>
        <v>50714208830</v>
      </c>
      <c r="B245" s="10">
        <v>1003976478</v>
      </c>
      <c r="C245" s="10">
        <v>507142088</v>
      </c>
      <c r="D245" s="10">
        <v>30</v>
      </c>
      <c r="E245" s="10" t="s">
        <v>10</v>
      </c>
      <c r="F245" s="10">
        <v>1408739</v>
      </c>
      <c r="G245" s="10" t="s">
        <v>37</v>
      </c>
      <c r="H245" s="11">
        <v>28350</v>
      </c>
      <c r="I245" s="10">
        <v>0</v>
      </c>
      <c r="J245" s="11">
        <f t="shared" si="7"/>
        <v>28350</v>
      </c>
      <c r="K245" s="12" t="e">
        <f>VLOOKUP(A245,[4]VA05!$A:$K,11,FALSE)</f>
        <v>#N/A</v>
      </c>
      <c r="L245" s="10" t="s">
        <v>260</v>
      </c>
      <c r="M245" s="10" t="s">
        <v>286</v>
      </c>
    </row>
    <row r="246" spans="1:13" hidden="1" x14ac:dyDescent="0.25">
      <c r="A246" s="13" t="str">
        <f t="shared" si="6"/>
        <v>50714208830</v>
      </c>
      <c r="B246" s="10">
        <v>1003976479</v>
      </c>
      <c r="C246" s="10">
        <v>507142088</v>
      </c>
      <c r="D246" s="10">
        <v>30</v>
      </c>
      <c r="E246" s="10" t="s">
        <v>10</v>
      </c>
      <c r="F246" s="10">
        <v>1408739</v>
      </c>
      <c r="G246" s="10" t="s">
        <v>37</v>
      </c>
      <c r="H246" s="11">
        <v>28350</v>
      </c>
      <c r="I246" s="10">
        <v>0</v>
      </c>
      <c r="J246" s="11">
        <f t="shared" si="7"/>
        <v>28350</v>
      </c>
      <c r="K246" s="12" t="e">
        <f>VLOOKUP(A246,[4]VA05!$A:$K,11,FALSE)</f>
        <v>#N/A</v>
      </c>
      <c r="L246" s="10" t="s">
        <v>260</v>
      </c>
      <c r="M246" s="10" t="s">
        <v>286</v>
      </c>
    </row>
    <row r="247" spans="1:13" hidden="1" x14ac:dyDescent="0.25">
      <c r="A247" s="13" t="str">
        <f t="shared" si="6"/>
        <v>50714208830</v>
      </c>
      <c r="B247" s="10">
        <v>1003976480</v>
      </c>
      <c r="C247" s="10">
        <v>507142088</v>
      </c>
      <c r="D247" s="10">
        <v>30</v>
      </c>
      <c r="E247" s="10" t="s">
        <v>10</v>
      </c>
      <c r="F247" s="10">
        <v>1408739</v>
      </c>
      <c r="G247" s="10" t="s">
        <v>37</v>
      </c>
      <c r="H247" s="11">
        <v>28350</v>
      </c>
      <c r="I247" s="10">
        <v>0</v>
      </c>
      <c r="J247" s="11">
        <f t="shared" si="7"/>
        <v>28350</v>
      </c>
      <c r="K247" s="12" t="e">
        <f>VLOOKUP(A247,[4]VA05!$A:$K,11,FALSE)</f>
        <v>#N/A</v>
      </c>
      <c r="L247" s="10" t="s">
        <v>260</v>
      </c>
      <c r="M247" s="10" t="s">
        <v>286</v>
      </c>
    </row>
    <row r="248" spans="1:13" hidden="1" x14ac:dyDescent="0.25">
      <c r="A248" s="13" t="str">
        <f t="shared" si="6"/>
        <v>50714208830</v>
      </c>
      <c r="B248" s="10">
        <v>1003976481</v>
      </c>
      <c r="C248" s="10">
        <v>507142088</v>
      </c>
      <c r="D248" s="10">
        <v>30</v>
      </c>
      <c r="E248" s="10" t="s">
        <v>10</v>
      </c>
      <c r="F248" s="10">
        <v>1408739</v>
      </c>
      <c r="G248" s="10" t="s">
        <v>37</v>
      </c>
      <c r="H248" s="11">
        <v>25110</v>
      </c>
      <c r="I248" s="10">
        <v>0</v>
      </c>
      <c r="J248" s="11">
        <f t="shared" si="7"/>
        <v>25110</v>
      </c>
      <c r="K248" s="12" t="e">
        <f>VLOOKUP(A248,[4]VA05!$A:$K,11,FALSE)</f>
        <v>#N/A</v>
      </c>
      <c r="L248" s="10" t="s">
        <v>260</v>
      </c>
      <c r="M248" s="10" t="s">
        <v>286</v>
      </c>
    </row>
    <row r="249" spans="1:13" hidden="1" x14ac:dyDescent="0.25">
      <c r="A249" s="13" t="str">
        <f t="shared" si="6"/>
        <v>50714238420</v>
      </c>
      <c r="B249" s="10">
        <v>1004037415</v>
      </c>
      <c r="C249" s="10">
        <v>507142384</v>
      </c>
      <c r="D249" s="10">
        <v>20</v>
      </c>
      <c r="E249" s="10" t="s">
        <v>10</v>
      </c>
      <c r="F249" s="10">
        <v>1408739</v>
      </c>
      <c r="G249" s="10" t="s">
        <v>37</v>
      </c>
      <c r="H249" s="11">
        <v>25640</v>
      </c>
      <c r="I249" s="10">
        <v>0</v>
      </c>
      <c r="J249" s="11">
        <f t="shared" si="7"/>
        <v>25640</v>
      </c>
      <c r="K249" s="12" t="e">
        <f>VLOOKUP(A249,[4]VA05!$A:$K,11,FALSE)</f>
        <v>#N/A</v>
      </c>
      <c r="L249" s="10" t="s">
        <v>260</v>
      </c>
      <c r="M249" s="10" t="s">
        <v>287</v>
      </c>
    </row>
    <row r="250" spans="1:13" hidden="1" x14ac:dyDescent="0.25">
      <c r="A250" s="13" t="str">
        <f t="shared" si="6"/>
        <v>50714238420</v>
      </c>
      <c r="B250" s="10">
        <v>1004037416</v>
      </c>
      <c r="C250" s="10">
        <v>507142384</v>
      </c>
      <c r="D250" s="10">
        <v>20</v>
      </c>
      <c r="E250" s="10" t="s">
        <v>10</v>
      </c>
      <c r="F250" s="10">
        <v>1408739</v>
      </c>
      <c r="G250" s="10" t="s">
        <v>37</v>
      </c>
      <c r="H250" s="11">
        <v>26200</v>
      </c>
      <c r="I250" s="10">
        <v>0</v>
      </c>
      <c r="J250" s="11">
        <f t="shared" si="7"/>
        <v>26200</v>
      </c>
      <c r="K250" s="12" t="e">
        <f>VLOOKUP(A250,[4]VA05!$A:$K,11,FALSE)</f>
        <v>#N/A</v>
      </c>
      <c r="L250" s="10" t="s">
        <v>260</v>
      </c>
      <c r="M250" s="10" t="s">
        <v>287</v>
      </c>
    </row>
    <row r="251" spans="1:13" hidden="1" x14ac:dyDescent="0.25">
      <c r="A251" s="13" t="str">
        <f t="shared" si="6"/>
        <v>50714269820</v>
      </c>
      <c r="B251" s="10">
        <v>1004059594</v>
      </c>
      <c r="C251" s="10">
        <v>507142698</v>
      </c>
      <c r="D251" s="10">
        <v>20</v>
      </c>
      <c r="E251" s="10" t="s">
        <v>10</v>
      </c>
      <c r="F251" s="10">
        <v>1408739</v>
      </c>
      <c r="G251" s="10" t="s">
        <v>37</v>
      </c>
      <c r="H251" s="11">
        <v>27864</v>
      </c>
      <c r="I251" s="11">
        <v>27864</v>
      </c>
      <c r="J251" s="11">
        <f t="shared" si="7"/>
        <v>0</v>
      </c>
      <c r="K251" s="12">
        <f>VLOOKUP(A251,[4]VA05!$A:$K,11,FALSE)</f>
        <v>45553</v>
      </c>
      <c r="L251" s="10" t="s">
        <v>118</v>
      </c>
      <c r="M251" s="10" t="s">
        <v>194</v>
      </c>
    </row>
    <row r="252" spans="1:13" hidden="1" x14ac:dyDescent="0.25">
      <c r="A252" s="13" t="str">
        <f t="shared" si="6"/>
        <v>50714269820</v>
      </c>
      <c r="B252" s="10">
        <v>1004059595</v>
      </c>
      <c r="C252" s="10">
        <v>507142698</v>
      </c>
      <c r="D252" s="10">
        <v>20</v>
      </c>
      <c r="E252" s="10" t="s">
        <v>10</v>
      </c>
      <c r="F252" s="10">
        <v>1408739</v>
      </c>
      <c r="G252" s="10" t="s">
        <v>37</v>
      </c>
      <c r="H252" s="11">
        <v>27864</v>
      </c>
      <c r="I252" s="11">
        <v>27864</v>
      </c>
      <c r="J252" s="11">
        <f t="shared" si="7"/>
        <v>0</v>
      </c>
      <c r="K252" s="12">
        <f>VLOOKUP(A252,[4]VA05!$A:$K,11,FALSE)</f>
        <v>45553</v>
      </c>
      <c r="L252" s="10" t="s">
        <v>118</v>
      </c>
      <c r="M252" s="10" t="s">
        <v>156</v>
      </c>
    </row>
    <row r="253" spans="1:13" x14ac:dyDescent="0.25">
      <c r="A253" s="13" t="str">
        <f t="shared" si="6"/>
        <v>50714269820</v>
      </c>
      <c r="B253" s="10">
        <v>1004059596</v>
      </c>
      <c r="C253" s="10">
        <v>507142698</v>
      </c>
      <c r="D253" s="10">
        <v>20</v>
      </c>
      <c r="E253" s="10" t="s">
        <v>10</v>
      </c>
      <c r="F253" s="10">
        <v>1408739</v>
      </c>
      <c r="G253" s="10" t="s">
        <v>37</v>
      </c>
      <c r="H253" s="11">
        <v>27864</v>
      </c>
      <c r="I253" s="11">
        <v>6354</v>
      </c>
      <c r="J253" s="11">
        <f t="shared" si="7"/>
        <v>21510</v>
      </c>
      <c r="K253" s="12">
        <f>VLOOKUP(A253,[4]VA05!$A:$K,11,FALSE)</f>
        <v>45553</v>
      </c>
      <c r="L253" s="10" t="s">
        <v>310</v>
      </c>
      <c r="M253" s="10" t="s">
        <v>179</v>
      </c>
    </row>
    <row r="254" spans="1:13" x14ac:dyDescent="0.25">
      <c r="A254" s="13" t="str">
        <f t="shared" si="6"/>
        <v>50714269820</v>
      </c>
      <c r="B254" s="10">
        <v>1004059597</v>
      </c>
      <c r="C254" s="10">
        <v>507142698</v>
      </c>
      <c r="D254" s="10">
        <v>20</v>
      </c>
      <c r="E254" s="10" t="s">
        <v>10</v>
      </c>
      <c r="F254" s="10">
        <v>1408739</v>
      </c>
      <c r="G254" s="10" t="s">
        <v>37</v>
      </c>
      <c r="H254" s="11">
        <v>26568</v>
      </c>
      <c r="I254" s="11"/>
      <c r="J254" s="11">
        <f t="shared" si="7"/>
        <v>26568</v>
      </c>
      <c r="K254" s="12">
        <f>VLOOKUP(A254,[4]VA05!$A:$K,11,FALSE)</f>
        <v>45553</v>
      </c>
      <c r="L254" s="10" t="s">
        <v>120</v>
      </c>
      <c r="M254" s="10" t="s">
        <v>179</v>
      </c>
    </row>
    <row r="255" spans="1:13" x14ac:dyDescent="0.25">
      <c r="A255" s="13" t="str">
        <f t="shared" si="6"/>
        <v>50714269840</v>
      </c>
      <c r="B255" s="10">
        <v>1004062035</v>
      </c>
      <c r="C255" s="10">
        <v>507142698</v>
      </c>
      <c r="D255" s="10">
        <v>40</v>
      </c>
      <c r="E255" s="10" t="s">
        <v>10</v>
      </c>
      <c r="F255" s="10">
        <v>1408739</v>
      </c>
      <c r="G255" s="10" t="s">
        <v>37</v>
      </c>
      <c r="H255" s="11">
        <v>27864</v>
      </c>
      <c r="I255" s="10">
        <v>0</v>
      </c>
      <c r="J255" s="11">
        <f t="shared" si="7"/>
        <v>27864</v>
      </c>
      <c r="K255" s="12">
        <f>VLOOKUP(A255,[4]VA05!$A:$K,11,FALSE)</f>
        <v>45567</v>
      </c>
      <c r="L255" s="10" t="s">
        <v>12</v>
      </c>
      <c r="M255" s="10" t="s">
        <v>197</v>
      </c>
    </row>
    <row r="256" spans="1:13" x14ac:dyDescent="0.25">
      <c r="A256" s="13" t="str">
        <f t="shared" si="6"/>
        <v>50714269840</v>
      </c>
      <c r="B256" s="10">
        <v>1004062036</v>
      </c>
      <c r="C256" s="10">
        <v>507142698</v>
      </c>
      <c r="D256" s="10">
        <v>40</v>
      </c>
      <c r="E256" s="10" t="s">
        <v>10</v>
      </c>
      <c r="F256" s="10">
        <v>1408739</v>
      </c>
      <c r="G256" s="10" t="s">
        <v>37</v>
      </c>
      <c r="H256" s="11">
        <v>27864</v>
      </c>
      <c r="I256" s="10">
        <v>0</v>
      </c>
      <c r="J256" s="11">
        <f t="shared" si="7"/>
        <v>27864</v>
      </c>
      <c r="K256" s="12">
        <f>VLOOKUP(A256,[4]VA05!$A:$K,11,FALSE)</f>
        <v>45567</v>
      </c>
      <c r="L256" s="10" t="s">
        <v>12</v>
      </c>
      <c r="M256" s="10" t="s">
        <v>197</v>
      </c>
    </row>
    <row r="257" spans="1:13" x14ac:dyDescent="0.25">
      <c r="A257" s="13" t="str">
        <f t="shared" si="6"/>
        <v>50714269840</v>
      </c>
      <c r="B257" s="10">
        <v>1004062037</v>
      </c>
      <c r="C257" s="10">
        <v>507142698</v>
      </c>
      <c r="D257" s="10">
        <v>40</v>
      </c>
      <c r="E257" s="10" t="s">
        <v>10</v>
      </c>
      <c r="F257" s="10">
        <v>1408739</v>
      </c>
      <c r="G257" s="10" t="s">
        <v>37</v>
      </c>
      <c r="H257" s="11">
        <v>27864</v>
      </c>
      <c r="I257" s="10">
        <v>0</v>
      </c>
      <c r="J257" s="11">
        <f t="shared" si="7"/>
        <v>27864</v>
      </c>
      <c r="K257" s="12">
        <f>VLOOKUP(A257,[4]VA05!$A:$K,11,FALSE)</f>
        <v>45567</v>
      </c>
      <c r="L257" s="10" t="s">
        <v>12</v>
      </c>
      <c r="M257" s="10" t="s">
        <v>197</v>
      </c>
    </row>
    <row r="258" spans="1:13" x14ac:dyDescent="0.25">
      <c r="A258" s="13" t="str">
        <f t="shared" si="6"/>
        <v>50714269840</v>
      </c>
      <c r="B258" s="10">
        <v>1004062038</v>
      </c>
      <c r="C258" s="10">
        <v>507142698</v>
      </c>
      <c r="D258" s="10">
        <v>40</v>
      </c>
      <c r="E258" s="10" t="s">
        <v>10</v>
      </c>
      <c r="F258" s="10">
        <v>1408739</v>
      </c>
      <c r="G258" s="10" t="s">
        <v>37</v>
      </c>
      <c r="H258" s="11">
        <v>26298</v>
      </c>
      <c r="I258" s="10">
        <v>0</v>
      </c>
      <c r="J258" s="11">
        <f t="shared" si="7"/>
        <v>26298</v>
      </c>
      <c r="K258" s="12">
        <f>VLOOKUP(A258,[4]VA05!$A:$K,11,FALSE)</f>
        <v>45567</v>
      </c>
      <c r="L258" s="10" t="s">
        <v>12</v>
      </c>
      <c r="M258" s="10" t="s">
        <v>197</v>
      </c>
    </row>
    <row r="259" spans="1:13" x14ac:dyDescent="0.25">
      <c r="A259" s="13" t="str">
        <f t="shared" si="6"/>
        <v>50714222020</v>
      </c>
      <c r="B259" s="10">
        <v>1003984115</v>
      </c>
      <c r="C259" s="10">
        <v>507142220</v>
      </c>
      <c r="D259" s="10">
        <v>20</v>
      </c>
      <c r="E259" s="10" t="s">
        <v>10</v>
      </c>
      <c r="F259" s="10">
        <v>1420373</v>
      </c>
      <c r="G259" s="10" t="s">
        <v>288</v>
      </c>
      <c r="H259" s="11">
        <v>25272</v>
      </c>
      <c r="I259" s="10">
        <v>0</v>
      </c>
      <c r="J259" s="11">
        <f t="shared" si="7"/>
        <v>25272</v>
      </c>
      <c r="K259" s="12" t="e">
        <f>VLOOKUP(A259,[4]VA05!$A:$K,11,FALSE)</f>
        <v>#N/A</v>
      </c>
      <c r="L259" s="10" t="s">
        <v>285</v>
      </c>
      <c r="M259" s="10" t="s">
        <v>283</v>
      </c>
    </row>
    <row r="260" spans="1:13" x14ac:dyDescent="0.25">
      <c r="A260" s="13" t="str">
        <f t="shared" ref="A260:A287" si="8">C260&amp;D260</f>
        <v>50714269810</v>
      </c>
      <c r="B260" s="10">
        <v>1004062505</v>
      </c>
      <c r="C260" s="10">
        <v>507142698</v>
      </c>
      <c r="D260" s="10">
        <v>10</v>
      </c>
      <c r="E260" s="10" t="s">
        <v>10</v>
      </c>
      <c r="F260" s="10">
        <v>1408742</v>
      </c>
      <c r="G260" s="10" t="s">
        <v>38</v>
      </c>
      <c r="H260" s="11">
        <v>70103</v>
      </c>
      <c r="I260" s="10">
        <v>0</v>
      </c>
      <c r="J260" s="11">
        <f t="shared" ref="J260:J287" si="9">H260-I260</f>
        <v>70103</v>
      </c>
      <c r="K260" s="12">
        <f>VLOOKUP(A260,[4]VA05!$A:$K,11,FALSE)</f>
        <v>45553</v>
      </c>
      <c r="L260" s="10" t="s">
        <v>27</v>
      </c>
      <c r="M260" s="10" t="s">
        <v>162</v>
      </c>
    </row>
    <row r="261" spans="1:13" x14ac:dyDescent="0.25">
      <c r="A261" s="13" t="str">
        <f t="shared" si="8"/>
        <v>50714269830</v>
      </c>
      <c r="B261" s="10">
        <v>1004062506</v>
      </c>
      <c r="C261" s="10">
        <v>507142698</v>
      </c>
      <c r="D261" s="10">
        <v>30</v>
      </c>
      <c r="E261" s="10" t="s">
        <v>10</v>
      </c>
      <c r="F261" s="10">
        <v>1408742</v>
      </c>
      <c r="G261" s="10" t="s">
        <v>38</v>
      </c>
      <c r="H261" s="11">
        <v>113190</v>
      </c>
      <c r="I261" s="11">
        <v>33980</v>
      </c>
      <c r="J261" s="11">
        <f t="shared" si="9"/>
        <v>79210</v>
      </c>
      <c r="K261" s="12">
        <f>VLOOKUP(A261,[4]VA05!$A:$K,11,FALSE)</f>
        <v>45567</v>
      </c>
      <c r="L261" s="10" t="s">
        <v>18</v>
      </c>
      <c r="M261" s="10" t="s">
        <v>202</v>
      </c>
    </row>
    <row r="262" spans="1:13" x14ac:dyDescent="0.25">
      <c r="A262" s="13" t="str">
        <f t="shared" si="8"/>
        <v>50714283710</v>
      </c>
      <c r="B262" s="10">
        <v>1004062507</v>
      </c>
      <c r="C262" s="10">
        <v>507142837</v>
      </c>
      <c r="D262" s="10">
        <v>10</v>
      </c>
      <c r="E262" s="10" t="s">
        <v>10</v>
      </c>
      <c r="F262" s="10">
        <v>1408742</v>
      </c>
      <c r="G262" s="10" t="s">
        <v>38</v>
      </c>
      <c r="H262" s="11">
        <v>113465</v>
      </c>
      <c r="I262" s="10">
        <v>0</v>
      </c>
      <c r="J262" s="11">
        <f t="shared" si="9"/>
        <v>113465</v>
      </c>
      <c r="K262" s="12">
        <f>VLOOKUP(A262,[4]VA05!$A:$K,11,FALSE)</f>
        <v>45587</v>
      </c>
      <c r="L262" s="10" t="s">
        <v>12</v>
      </c>
      <c r="M262" s="10" t="s">
        <v>162</v>
      </c>
    </row>
    <row r="263" spans="1:13" x14ac:dyDescent="0.25">
      <c r="A263" s="13" t="str">
        <f t="shared" si="8"/>
        <v>50714275730</v>
      </c>
      <c r="B263" s="10">
        <v>1004054926</v>
      </c>
      <c r="C263" s="10">
        <v>507142757</v>
      </c>
      <c r="D263" s="10">
        <v>30</v>
      </c>
      <c r="E263" s="10" t="s">
        <v>10</v>
      </c>
      <c r="F263" s="10">
        <v>1411702</v>
      </c>
      <c r="G263" s="10" t="s">
        <v>221</v>
      </c>
      <c r="H263" s="11">
        <v>126758</v>
      </c>
      <c r="I263" s="11">
        <v>114316</v>
      </c>
      <c r="J263" s="11">
        <f t="shared" si="9"/>
        <v>12442</v>
      </c>
      <c r="K263" s="12">
        <f>VLOOKUP(A263,[4]VA05!$A:$K,11,FALSE)</f>
        <v>45574</v>
      </c>
      <c r="L263" s="10" t="s">
        <v>18</v>
      </c>
      <c r="M263" s="10" t="s">
        <v>178</v>
      </c>
    </row>
    <row r="264" spans="1:13" x14ac:dyDescent="0.25">
      <c r="A264" s="13" t="str">
        <f t="shared" si="8"/>
        <v>50714275750</v>
      </c>
      <c r="B264" s="10">
        <v>1004054927</v>
      </c>
      <c r="C264" s="10">
        <v>507142757</v>
      </c>
      <c r="D264" s="10">
        <v>50</v>
      </c>
      <c r="E264" s="10" t="s">
        <v>10</v>
      </c>
      <c r="F264" s="10">
        <v>1411702</v>
      </c>
      <c r="G264" s="10" t="s">
        <v>221</v>
      </c>
      <c r="H264" s="11">
        <v>63514</v>
      </c>
      <c r="I264" s="10">
        <v>0</v>
      </c>
      <c r="J264" s="11">
        <f t="shared" si="9"/>
        <v>63514</v>
      </c>
      <c r="K264" s="12">
        <f>VLOOKUP(A264,[4]VA05!$A:$K,11,FALSE)</f>
        <v>45587</v>
      </c>
      <c r="L264" s="10" t="s">
        <v>56</v>
      </c>
      <c r="M264" s="10" t="s">
        <v>156</v>
      </c>
    </row>
    <row r="265" spans="1:13" x14ac:dyDescent="0.25">
      <c r="A265" s="13" t="str">
        <f t="shared" si="8"/>
        <v>50714275670</v>
      </c>
      <c r="B265" s="10">
        <v>1004052383</v>
      </c>
      <c r="C265" s="10">
        <v>507142756</v>
      </c>
      <c r="D265" s="10">
        <v>70</v>
      </c>
      <c r="E265" s="10" t="s">
        <v>10</v>
      </c>
      <c r="F265" s="10">
        <v>1411902</v>
      </c>
      <c r="G265" s="10" t="s">
        <v>151</v>
      </c>
      <c r="H265" s="11">
        <v>126758</v>
      </c>
      <c r="I265" s="11">
        <v>65070</v>
      </c>
      <c r="J265" s="11">
        <f t="shared" si="9"/>
        <v>61688</v>
      </c>
      <c r="K265" s="12">
        <f>VLOOKUP(A265,[4]VA05!$A:$K,11,FALSE)</f>
        <v>45582</v>
      </c>
      <c r="L265" s="10" t="s">
        <v>18</v>
      </c>
      <c r="M265" s="10" t="s">
        <v>201</v>
      </c>
    </row>
    <row r="266" spans="1:13" x14ac:dyDescent="0.25">
      <c r="A266" s="13" t="str">
        <f t="shared" si="8"/>
        <v>50714275690</v>
      </c>
      <c r="B266" s="10">
        <v>1004052384</v>
      </c>
      <c r="C266" s="10">
        <v>507142756</v>
      </c>
      <c r="D266" s="10">
        <v>90</v>
      </c>
      <c r="E266" s="10" t="s">
        <v>10</v>
      </c>
      <c r="F266" s="10">
        <v>1411902</v>
      </c>
      <c r="G266" s="10" t="s">
        <v>151</v>
      </c>
      <c r="H266" s="11">
        <v>68920</v>
      </c>
      <c r="I266" s="10">
        <v>0</v>
      </c>
      <c r="J266" s="11">
        <f t="shared" si="9"/>
        <v>68920</v>
      </c>
      <c r="K266" s="12">
        <f>VLOOKUP(A266,[4]VA05!$A:$K,11,FALSE)</f>
        <v>45588</v>
      </c>
      <c r="L266" s="10" t="s">
        <v>12</v>
      </c>
      <c r="M266" s="10" t="s">
        <v>194</v>
      </c>
    </row>
    <row r="267" spans="1:13" x14ac:dyDescent="0.25">
      <c r="A267" s="13" t="str">
        <f t="shared" si="8"/>
        <v>50714275740</v>
      </c>
      <c r="B267" s="10">
        <v>1004052374</v>
      </c>
      <c r="C267" s="10">
        <v>507142757</v>
      </c>
      <c r="D267" s="10">
        <v>40</v>
      </c>
      <c r="E267" s="10" t="s">
        <v>10</v>
      </c>
      <c r="F267" s="10">
        <v>1411705</v>
      </c>
      <c r="G267" s="10" t="s">
        <v>189</v>
      </c>
      <c r="H267" s="11">
        <v>129220</v>
      </c>
      <c r="I267" s="11">
        <v>102915</v>
      </c>
      <c r="J267" s="11">
        <f t="shared" si="9"/>
        <v>26305</v>
      </c>
      <c r="K267" s="12">
        <f>VLOOKUP(A267,[4]VA05!$A:$K,11,FALSE)</f>
        <v>45574</v>
      </c>
      <c r="L267" s="10" t="s">
        <v>18</v>
      </c>
      <c r="M267" s="10" t="s">
        <v>197</v>
      </c>
    </row>
    <row r="268" spans="1:13" x14ac:dyDescent="0.25">
      <c r="A268" s="13" t="str">
        <f t="shared" si="8"/>
        <v>50714275760</v>
      </c>
      <c r="B268" s="10">
        <v>1004052375</v>
      </c>
      <c r="C268" s="10">
        <v>507142757</v>
      </c>
      <c r="D268" s="10">
        <v>60</v>
      </c>
      <c r="E268" s="10" t="s">
        <v>10</v>
      </c>
      <c r="F268" s="10">
        <v>1411705</v>
      </c>
      <c r="G268" s="10" t="s">
        <v>189</v>
      </c>
      <c r="H268" s="11">
        <v>64748</v>
      </c>
      <c r="I268" s="10">
        <v>0</v>
      </c>
      <c r="J268" s="11">
        <f t="shared" si="9"/>
        <v>64748</v>
      </c>
      <c r="K268" s="12">
        <f>VLOOKUP(A268,[4]VA05!$A:$K,11,FALSE)</f>
        <v>45587</v>
      </c>
      <c r="L268" s="10" t="s">
        <v>12</v>
      </c>
      <c r="M268" s="10" t="s">
        <v>156</v>
      </c>
    </row>
    <row r="269" spans="1:13" x14ac:dyDescent="0.25">
      <c r="A269" s="13" t="str">
        <f t="shared" si="8"/>
        <v>50714275780</v>
      </c>
      <c r="B269" s="10">
        <v>1004052376</v>
      </c>
      <c r="C269" s="10">
        <v>507142757</v>
      </c>
      <c r="D269" s="10">
        <v>80</v>
      </c>
      <c r="E269" s="10" t="s">
        <v>10</v>
      </c>
      <c r="F269" s="10">
        <v>1411705</v>
      </c>
      <c r="G269" s="10" t="s">
        <v>189</v>
      </c>
      <c r="H269" s="11">
        <v>23145</v>
      </c>
      <c r="I269" s="10">
        <v>0</v>
      </c>
      <c r="J269" s="11">
        <f t="shared" si="9"/>
        <v>23145</v>
      </c>
      <c r="K269" s="12">
        <f>VLOOKUP(A269,[4]VA05!$A:$K,11,FALSE)</f>
        <v>45594</v>
      </c>
      <c r="L269" s="10" t="s">
        <v>12</v>
      </c>
      <c r="M269" s="10" t="s">
        <v>176</v>
      </c>
    </row>
    <row r="270" spans="1:13" x14ac:dyDescent="0.25">
      <c r="A270" s="13" t="str">
        <f t="shared" si="8"/>
        <v>50714275680</v>
      </c>
      <c r="B270" s="10">
        <v>1004052371</v>
      </c>
      <c r="C270" s="10">
        <v>507142756</v>
      </c>
      <c r="D270" s="10">
        <v>80</v>
      </c>
      <c r="E270" s="10" t="s">
        <v>10</v>
      </c>
      <c r="F270" s="10">
        <v>1411900</v>
      </c>
      <c r="G270" s="10" t="s">
        <v>152</v>
      </c>
      <c r="H270" s="11">
        <v>129220</v>
      </c>
      <c r="I270" s="11">
        <v>79710</v>
      </c>
      <c r="J270" s="11">
        <f t="shared" si="9"/>
        <v>49510</v>
      </c>
      <c r="K270" s="12">
        <f>VLOOKUP(A270,[4]VA05!$A:$K,11,FALSE)</f>
        <v>45582</v>
      </c>
      <c r="L270" s="10" t="s">
        <v>11</v>
      </c>
      <c r="M270" s="10" t="s">
        <v>180</v>
      </c>
    </row>
    <row r="271" spans="1:13" x14ac:dyDescent="0.25">
      <c r="A271" s="13" t="str">
        <f t="shared" si="8"/>
        <v>507142756100</v>
      </c>
      <c r="B271" s="10">
        <v>1004052372</v>
      </c>
      <c r="C271" s="10">
        <v>507142756</v>
      </c>
      <c r="D271" s="10">
        <v>100</v>
      </c>
      <c r="E271" s="10" t="s">
        <v>10</v>
      </c>
      <c r="F271" s="10">
        <v>1411900</v>
      </c>
      <c r="G271" s="10" t="s">
        <v>152</v>
      </c>
      <c r="H271" s="11">
        <v>70258</v>
      </c>
      <c r="I271" s="10">
        <v>0</v>
      </c>
      <c r="J271" s="11">
        <f t="shared" si="9"/>
        <v>70258</v>
      </c>
      <c r="K271" s="12">
        <f>VLOOKUP(A271,[4]VA05!$A:$K,11,FALSE)</f>
        <v>45588</v>
      </c>
      <c r="L271" s="10" t="s">
        <v>12</v>
      </c>
      <c r="M271" s="10" t="s">
        <v>178</v>
      </c>
    </row>
    <row r="272" spans="1:13" x14ac:dyDescent="0.25">
      <c r="A272" s="13" t="str">
        <f t="shared" si="8"/>
        <v>50714275730</v>
      </c>
      <c r="B272" s="10">
        <v>1004052378</v>
      </c>
      <c r="C272" s="10">
        <v>507142757</v>
      </c>
      <c r="D272" s="10">
        <v>30</v>
      </c>
      <c r="E272" s="10" t="s">
        <v>10</v>
      </c>
      <c r="F272" s="10">
        <v>1411703</v>
      </c>
      <c r="G272" s="10" t="s">
        <v>190</v>
      </c>
      <c r="H272" s="11">
        <v>123066</v>
      </c>
      <c r="I272" s="11">
        <v>26176</v>
      </c>
      <c r="J272" s="11">
        <f t="shared" si="9"/>
        <v>96890</v>
      </c>
      <c r="K272" s="12">
        <f>VLOOKUP(A272,[4]VA05!$A:$K,11,FALSE)</f>
        <v>45574</v>
      </c>
      <c r="L272" s="10" t="s">
        <v>18</v>
      </c>
      <c r="M272" s="10" t="s">
        <v>202</v>
      </c>
    </row>
    <row r="273" spans="1:13" x14ac:dyDescent="0.25">
      <c r="A273" s="13" t="str">
        <f t="shared" si="8"/>
        <v>50714275750</v>
      </c>
      <c r="B273" s="10">
        <v>1004052379</v>
      </c>
      <c r="C273" s="10">
        <v>507142757</v>
      </c>
      <c r="D273" s="10">
        <v>50</v>
      </c>
      <c r="E273" s="10" t="s">
        <v>10</v>
      </c>
      <c r="F273" s="10">
        <v>1411703</v>
      </c>
      <c r="G273" s="10" t="s">
        <v>190</v>
      </c>
      <c r="H273" s="11">
        <v>61664</v>
      </c>
      <c r="I273" s="10">
        <v>0</v>
      </c>
      <c r="J273" s="11">
        <f t="shared" si="9"/>
        <v>61664</v>
      </c>
      <c r="K273" s="12">
        <f>VLOOKUP(A273,[4]VA05!$A:$K,11,FALSE)</f>
        <v>45587</v>
      </c>
      <c r="L273" s="10" t="s">
        <v>12</v>
      </c>
      <c r="M273" s="10" t="s">
        <v>156</v>
      </c>
    </row>
    <row r="274" spans="1:13" x14ac:dyDescent="0.25">
      <c r="A274" s="13" t="str">
        <f t="shared" si="8"/>
        <v>50714275770</v>
      </c>
      <c r="B274" s="10">
        <v>1004052380</v>
      </c>
      <c r="C274" s="10">
        <v>507142757</v>
      </c>
      <c r="D274" s="10">
        <v>70</v>
      </c>
      <c r="E274" s="10" t="s">
        <v>10</v>
      </c>
      <c r="F274" s="10">
        <v>1411703</v>
      </c>
      <c r="G274" s="10" t="s">
        <v>190</v>
      </c>
      <c r="H274" s="11">
        <v>22042</v>
      </c>
      <c r="I274" s="10">
        <v>0</v>
      </c>
      <c r="J274" s="11">
        <f t="shared" si="9"/>
        <v>22042</v>
      </c>
      <c r="K274" s="12">
        <f>VLOOKUP(A274,[4]VA05!$A:$K,11,FALSE)</f>
        <v>45594</v>
      </c>
      <c r="L274" s="10" t="s">
        <v>12</v>
      </c>
      <c r="M274" s="10" t="s">
        <v>176</v>
      </c>
    </row>
    <row r="275" spans="1:13" x14ac:dyDescent="0.25">
      <c r="A275" s="13" t="str">
        <f t="shared" si="8"/>
        <v>50714275670</v>
      </c>
      <c r="B275" s="10">
        <v>1004052381</v>
      </c>
      <c r="C275" s="10">
        <v>507142756</v>
      </c>
      <c r="D275" s="10">
        <v>70</v>
      </c>
      <c r="E275" s="10" t="s">
        <v>10</v>
      </c>
      <c r="F275" s="10">
        <v>1411901</v>
      </c>
      <c r="G275" s="10" t="s">
        <v>153</v>
      </c>
      <c r="H275" s="11">
        <v>123066</v>
      </c>
      <c r="I275" s="11">
        <v>28424</v>
      </c>
      <c r="J275" s="11">
        <f t="shared" si="9"/>
        <v>94642</v>
      </c>
      <c r="K275" s="12">
        <f>VLOOKUP(A275,[4]VA05!$A:$K,11,FALSE)</f>
        <v>45582</v>
      </c>
      <c r="L275" s="10" t="s">
        <v>18</v>
      </c>
      <c r="M275" s="10" t="s">
        <v>154</v>
      </c>
    </row>
    <row r="276" spans="1:13" x14ac:dyDescent="0.25">
      <c r="A276" s="13" t="str">
        <f t="shared" si="8"/>
        <v>50714275690</v>
      </c>
      <c r="B276" s="10">
        <v>1004052382</v>
      </c>
      <c r="C276" s="10">
        <v>507142756</v>
      </c>
      <c r="D276" s="10">
        <v>90</v>
      </c>
      <c r="E276" s="10" t="s">
        <v>10</v>
      </c>
      <c r="F276" s="10">
        <v>1411901</v>
      </c>
      <c r="G276" s="10" t="s">
        <v>153</v>
      </c>
      <c r="H276" s="11">
        <v>66912</v>
      </c>
      <c r="I276" s="10">
        <v>0</v>
      </c>
      <c r="J276" s="11">
        <f t="shared" si="9"/>
        <v>66912</v>
      </c>
      <c r="K276" s="12">
        <f>VLOOKUP(A276,[4]VA05!$A:$K,11,FALSE)</f>
        <v>45588</v>
      </c>
      <c r="L276" s="10" t="s">
        <v>12</v>
      </c>
      <c r="M276" s="10" t="s">
        <v>156</v>
      </c>
    </row>
    <row r="277" spans="1:13" x14ac:dyDescent="0.25">
      <c r="A277" s="13" t="str">
        <f t="shared" si="8"/>
        <v>507142416230</v>
      </c>
      <c r="B277" s="10">
        <v>1004053609</v>
      </c>
      <c r="C277" s="10">
        <v>507142416</v>
      </c>
      <c r="D277" s="10">
        <v>230</v>
      </c>
      <c r="E277" s="10" t="s">
        <v>10</v>
      </c>
      <c r="F277" s="10">
        <v>1172059</v>
      </c>
      <c r="G277" s="10" t="s">
        <v>59</v>
      </c>
      <c r="H277" s="11">
        <v>10195</v>
      </c>
      <c r="I277" s="11">
        <v>1476</v>
      </c>
      <c r="J277" s="11">
        <f t="shared" si="9"/>
        <v>8719</v>
      </c>
      <c r="K277" s="12">
        <f>VLOOKUP(A277,[4]VA05!$A:$K,11,FALSE)</f>
        <v>45587</v>
      </c>
      <c r="L277" s="10" t="s">
        <v>11</v>
      </c>
      <c r="M277" s="10" t="s">
        <v>191</v>
      </c>
    </row>
    <row r="278" spans="1:13" x14ac:dyDescent="0.25">
      <c r="A278" s="13" t="str">
        <f t="shared" si="8"/>
        <v>50714271330</v>
      </c>
      <c r="B278" s="10">
        <v>1004063620</v>
      </c>
      <c r="C278" s="10">
        <v>507142713</v>
      </c>
      <c r="D278" s="10">
        <v>30</v>
      </c>
      <c r="E278" s="10" t="s">
        <v>10</v>
      </c>
      <c r="F278" s="10">
        <v>1172059</v>
      </c>
      <c r="G278" s="10" t="s">
        <v>59</v>
      </c>
      <c r="H278" s="11">
        <v>10195</v>
      </c>
      <c r="I278" s="10">
        <v>0</v>
      </c>
      <c r="J278" s="11">
        <f t="shared" si="9"/>
        <v>10195</v>
      </c>
      <c r="K278" s="12">
        <f>VLOOKUP(A278,[4]VA05!$A:$K,11,FALSE)</f>
        <v>45591</v>
      </c>
      <c r="L278" s="10" t="s">
        <v>12</v>
      </c>
      <c r="M278" s="10" t="s">
        <v>207</v>
      </c>
    </row>
    <row r="279" spans="1:13" x14ac:dyDescent="0.25">
      <c r="A279" s="13" t="str">
        <f t="shared" si="8"/>
        <v>50714271360</v>
      </c>
      <c r="B279" s="10">
        <v>1004063621</v>
      </c>
      <c r="C279" s="10">
        <v>507142713</v>
      </c>
      <c r="D279" s="10">
        <v>60</v>
      </c>
      <c r="E279" s="10" t="s">
        <v>10</v>
      </c>
      <c r="F279" s="10">
        <v>1172059</v>
      </c>
      <c r="G279" s="10" t="s">
        <v>59</v>
      </c>
      <c r="H279" s="11">
        <v>10195</v>
      </c>
      <c r="I279" s="10">
        <v>0</v>
      </c>
      <c r="J279" s="11">
        <f t="shared" si="9"/>
        <v>10195</v>
      </c>
      <c r="K279" s="12">
        <f>VLOOKUP(A279,[4]VA05!$A:$K,11,FALSE)</f>
        <v>45591</v>
      </c>
      <c r="L279" s="10" t="s">
        <v>12</v>
      </c>
      <c r="M279" s="10" t="s">
        <v>207</v>
      </c>
    </row>
    <row r="280" spans="1:13" hidden="1" x14ac:dyDescent="0.25">
      <c r="A280" s="13" t="str">
        <f t="shared" si="8"/>
        <v>50714268040</v>
      </c>
      <c r="B280" s="10">
        <v>1004053551</v>
      </c>
      <c r="C280" s="10">
        <v>507142680</v>
      </c>
      <c r="D280" s="10">
        <v>40</v>
      </c>
      <c r="E280" s="10" t="s">
        <v>10</v>
      </c>
      <c r="F280" s="10">
        <v>1167435</v>
      </c>
      <c r="G280" s="10" t="s">
        <v>26</v>
      </c>
      <c r="H280" s="11">
        <v>25287</v>
      </c>
      <c r="I280" s="11">
        <v>25287</v>
      </c>
      <c r="J280" s="11">
        <f t="shared" si="9"/>
        <v>0</v>
      </c>
      <c r="K280" s="12">
        <f>VLOOKUP(A280,[4]VA05!$A:$K,11,FALSE)</f>
        <v>45572</v>
      </c>
      <c r="L280" s="10" t="s">
        <v>28</v>
      </c>
      <c r="M280" s="10" t="s">
        <v>156</v>
      </c>
    </row>
    <row r="281" spans="1:13" x14ac:dyDescent="0.25">
      <c r="A281" s="13" t="str">
        <f t="shared" si="8"/>
        <v>50714275420</v>
      </c>
      <c r="B281" s="10">
        <v>1004053562</v>
      </c>
      <c r="C281" s="10">
        <v>507142754</v>
      </c>
      <c r="D281" s="10">
        <v>20</v>
      </c>
      <c r="E281" s="10" t="s">
        <v>10</v>
      </c>
      <c r="F281" s="10">
        <v>1167435</v>
      </c>
      <c r="G281" s="10" t="s">
        <v>26</v>
      </c>
      <c r="H281" s="11">
        <v>20390</v>
      </c>
      <c r="I281" s="10">
        <v>0</v>
      </c>
      <c r="J281" s="11">
        <f t="shared" si="9"/>
        <v>20390</v>
      </c>
      <c r="K281" s="12">
        <f>VLOOKUP(A281,[4]VA05!$A:$K,11,FALSE)</f>
        <v>45611</v>
      </c>
      <c r="L281" s="10" t="s">
        <v>12</v>
      </c>
      <c r="M281" s="10" t="s">
        <v>217</v>
      </c>
    </row>
    <row r="282" spans="1:13" x14ac:dyDescent="0.25">
      <c r="A282" s="13" t="str">
        <f t="shared" si="8"/>
        <v>50714276930</v>
      </c>
      <c r="B282" s="10">
        <v>1004053564</v>
      </c>
      <c r="C282" s="10">
        <v>507142769</v>
      </c>
      <c r="D282" s="10">
        <v>30</v>
      </c>
      <c r="E282" s="10" t="s">
        <v>10</v>
      </c>
      <c r="F282" s="10">
        <v>1167435</v>
      </c>
      <c r="G282" s="10" t="s">
        <v>26</v>
      </c>
      <c r="H282" s="11">
        <v>30683</v>
      </c>
      <c r="I282" s="10">
        <v>0</v>
      </c>
      <c r="J282" s="11">
        <f t="shared" si="9"/>
        <v>30683</v>
      </c>
      <c r="K282" s="12">
        <f>VLOOKUP(A282,[4]VA05!$A:$K,11,FALSE)</f>
        <v>45575</v>
      </c>
      <c r="L282" s="10" t="s">
        <v>25</v>
      </c>
      <c r="M282" s="10" t="s">
        <v>157</v>
      </c>
    </row>
    <row r="283" spans="1:13" x14ac:dyDescent="0.25">
      <c r="A283" s="13" t="str">
        <f t="shared" si="8"/>
        <v>50714283530</v>
      </c>
      <c r="B283" s="10">
        <v>1004060455</v>
      </c>
      <c r="C283" s="10">
        <v>507142835</v>
      </c>
      <c r="D283" s="10">
        <v>30</v>
      </c>
      <c r="E283" s="10" t="s">
        <v>10</v>
      </c>
      <c r="F283" s="10">
        <v>1167435</v>
      </c>
      <c r="G283" s="10" t="s">
        <v>26</v>
      </c>
      <c r="H283" s="11">
        <v>10277</v>
      </c>
      <c r="I283" s="10">
        <v>0</v>
      </c>
      <c r="J283" s="11">
        <f t="shared" si="9"/>
        <v>10277</v>
      </c>
      <c r="K283" s="12">
        <f>VLOOKUP(A283,[4]VA05!$A:$K,11,FALSE)</f>
        <v>45587</v>
      </c>
      <c r="L283" s="10" t="s">
        <v>12</v>
      </c>
      <c r="M283" s="10" t="s">
        <v>109</v>
      </c>
    </row>
    <row r="284" spans="1:13" x14ac:dyDescent="0.25">
      <c r="A284" s="13" t="str">
        <f t="shared" si="8"/>
        <v>50714226530</v>
      </c>
      <c r="B284" s="10">
        <v>1004060456</v>
      </c>
      <c r="C284" s="10">
        <v>507142265</v>
      </c>
      <c r="D284" s="10">
        <v>30</v>
      </c>
      <c r="E284" s="10" t="s">
        <v>10</v>
      </c>
      <c r="F284" s="10">
        <v>1170825</v>
      </c>
      <c r="G284" s="10" t="s">
        <v>252</v>
      </c>
      <c r="H284" s="11">
        <v>40524</v>
      </c>
      <c r="I284" s="10">
        <v>0</v>
      </c>
      <c r="J284" s="11">
        <f t="shared" si="9"/>
        <v>40524</v>
      </c>
      <c r="K284" s="12">
        <f>VLOOKUP(A284,[4]VA05!$A:$K,11,FALSE)</f>
        <v>45576</v>
      </c>
      <c r="L284" s="10" t="s">
        <v>12</v>
      </c>
      <c r="M284" s="10" t="s">
        <v>194</v>
      </c>
    </row>
    <row r="285" spans="1:13" x14ac:dyDescent="0.25">
      <c r="A285" s="13" t="str">
        <f t="shared" si="8"/>
        <v>50714262620</v>
      </c>
      <c r="B285" s="10">
        <v>1004060457</v>
      </c>
      <c r="C285" s="10">
        <v>507142626</v>
      </c>
      <c r="D285" s="10">
        <v>20</v>
      </c>
      <c r="E285" s="10" t="s">
        <v>10</v>
      </c>
      <c r="F285" s="10">
        <v>1170825</v>
      </c>
      <c r="G285" s="10" t="s">
        <v>252</v>
      </c>
      <c r="H285" s="11">
        <v>25425</v>
      </c>
      <c r="I285" s="10">
        <v>0</v>
      </c>
      <c r="J285" s="11">
        <f t="shared" si="9"/>
        <v>25425</v>
      </c>
      <c r="K285" s="12">
        <f>VLOOKUP(A285,[4]VA05!$A:$K,11,FALSE)</f>
        <v>45590</v>
      </c>
      <c r="L285" s="10" t="s">
        <v>12</v>
      </c>
      <c r="M285" s="10" t="s">
        <v>199</v>
      </c>
    </row>
    <row r="286" spans="1:13" x14ac:dyDescent="0.25">
      <c r="A286" s="13" t="str">
        <f t="shared" si="8"/>
        <v>50714270930</v>
      </c>
      <c r="B286" s="10">
        <v>1004060458</v>
      </c>
      <c r="C286" s="10">
        <v>507142709</v>
      </c>
      <c r="D286" s="10">
        <v>30</v>
      </c>
      <c r="E286" s="10" t="s">
        <v>10</v>
      </c>
      <c r="F286" s="10">
        <v>1170825</v>
      </c>
      <c r="G286" s="10" t="s">
        <v>252</v>
      </c>
      <c r="H286" s="11">
        <v>30393</v>
      </c>
      <c r="I286" s="10">
        <v>0</v>
      </c>
      <c r="J286" s="11">
        <f t="shared" si="9"/>
        <v>30393</v>
      </c>
      <c r="K286" s="12">
        <f>VLOOKUP(A286,[4]VA05!$A:$K,11,FALSE)</f>
        <v>45583</v>
      </c>
      <c r="L286" s="10" t="s">
        <v>12</v>
      </c>
      <c r="M286" s="10" t="s">
        <v>179</v>
      </c>
    </row>
    <row r="287" spans="1:13" x14ac:dyDescent="0.25">
      <c r="A287" s="13" t="str">
        <f t="shared" si="8"/>
        <v>50714271030</v>
      </c>
      <c r="B287" s="10">
        <v>1004060459</v>
      </c>
      <c r="C287" s="10">
        <v>507142710</v>
      </c>
      <c r="D287" s="10">
        <v>30</v>
      </c>
      <c r="E287" s="10" t="s">
        <v>10</v>
      </c>
      <c r="F287" s="10">
        <v>1170825</v>
      </c>
      <c r="G287" s="10" t="s">
        <v>252</v>
      </c>
      <c r="H287" s="11">
        <v>30393</v>
      </c>
      <c r="I287" s="10">
        <v>0</v>
      </c>
      <c r="J287" s="11">
        <f t="shared" si="9"/>
        <v>30393</v>
      </c>
      <c r="K287" s="12">
        <f>VLOOKUP(A287,[4]VA05!$A:$K,11,FALSE)</f>
        <v>45596</v>
      </c>
      <c r="L287" s="10" t="s">
        <v>12</v>
      </c>
      <c r="M287" s="10" t="s">
        <v>207</v>
      </c>
    </row>
  </sheetData>
  <autoFilter ref="A2:M287" xr:uid="{B3CFF722-20E6-4F29-AAF5-4714283BE7CA}">
    <filterColumn colId="4">
      <filters>
        <filter val="ZTEC"/>
      </filters>
    </filterColumn>
    <filterColumn colId="11">
      <filters>
        <filter val="CRTD MSPT BASC BCRQ CNC  SETC"/>
        <filter val="CRTD MSPT BCRQ BNAS CNC  SETC"/>
        <filter val="CRTD MSPT BCRQ CNC  SETC"/>
        <filter val="REL  MSPT DLV  PRC  BASC BCRQ GMPS SETC"/>
        <filter val="REL  MSPT PCNF DLV  PRC  BASC BCRQ GMPS*"/>
        <filter val="REL  MSPT PCNF PRC  BASC BCRQ GMPS PDLV*"/>
        <filter val="REL  MSPT PCNF PRC  BASC BCRQ SETC"/>
        <filter val="REL  MSPT PRC  BASC BCRQ GMPS PDLV SETC"/>
        <filter val="REL  MSPT PRC  BASC BCRQ GMPS RESA SETC"/>
        <filter val="REL  MSPT PRC  BASC BCRQ GMPS SETC"/>
        <filter val="REL  MSPT PRC  BASC BCRQ SETC"/>
        <filter val="REL  MSPT PRT  DLV  PRC  BASC BCRQ GMPS*"/>
        <filter val="REL  MSPT PRT  PCNF DLV  PRC  BASC BCRQ*"/>
        <filter val="REL  MSPT PRT  PCNF PRC  BASC BCRQ GMPS*"/>
        <filter val="REL  MSPT PRT  PRC  BASC BCRQ GMPS PDLV*"/>
        <filter val="REL  MSPT PRT  PRC  BASC BCRQ GMPS RESA*"/>
        <filter val="REL  MSPT PRT  PRC  BASC BCRQ GMPS SETC"/>
        <filter val="REL  MSPT PRT  PRC  BASC BCRQ SETC"/>
        <filter val="REL  MSPT PRT  PRC  DLFL BASC BCRQ SETC"/>
        <filter val="REL  PCNF DLV  PRC  BASC BCRQ GMPS MACM*"/>
        <filter val="REL  PPRT PCNF PRC  BASC BCRQ GMPS MACM*"/>
        <filter val="REL  PRT  PCNF DLV  PRC  BASC BCRQ GMPS*"/>
        <filter val="REL  PRT  PCNF PRC  BASC BCRQ GMPS MACM*"/>
        <filter val="REL  PRT  PRC  BASC BCRQ GMPS MACM PDLV*"/>
      </filters>
    </filterColumn>
  </autoFilter>
  <pageMargins left="0.2" right="0.2" top="0.25" bottom="0.25" header="0.05" footer="0.05"/>
  <pageSetup scale="108" orientation="landscape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2ADC-D6C3-4723-B2D9-BB83DCDDAB48}">
  <dimension ref="A1:V227"/>
  <sheetViews>
    <sheetView topLeftCell="A82" workbookViewId="0">
      <selection activeCell="K3" sqref="K3"/>
    </sheetView>
  </sheetViews>
  <sheetFormatPr defaultRowHeight="15" x14ac:dyDescent="0.25"/>
  <cols>
    <col min="2" max="2" width="12.42578125" bestFit="1" customWidth="1"/>
    <col min="3" max="3" width="11.28515625" bestFit="1" customWidth="1"/>
    <col min="4" max="4" width="4.42578125" bestFit="1" customWidth="1"/>
    <col min="5" max="5" width="6.42578125" bestFit="1" customWidth="1"/>
    <col min="6" max="6" width="9" bestFit="1" customWidth="1"/>
    <col min="7" max="7" width="41" customWidth="1"/>
    <col min="8" max="8" width="10.140625" bestFit="1" customWidth="1"/>
    <col min="9" max="9" width="8.5703125" customWidth="1"/>
    <col min="10" max="10" width="8.85546875" customWidth="1"/>
    <col min="11" max="11" width="8" customWidth="1"/>
    <col min="12" max="12" width="5" customWidth="1"/>
    <col min="13" max="13" width="11.28515625" bestFit="1" customWidth="1"/>
    <col min="16" max="17" width="9.140625" style="13"/>
    <col min="22" max="22" width="9.140625" style="13"/>
  </cols>
  <sheetData>
    <row r="1" spans="1:13" s="13" customFormat="1" ht="23.25" x14ac:dyDescent="0.35">
      <c r="B1" s="1" t="s">
        <v>312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VLOOKUP(A3,[4]VA05!$A:$K,11,FALSE)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VLOOKUP(A4,[4]VA05!$A:$K,11,FALSE)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1">
        <v>2320</v>
      </c>
      <c r="J5" s="11">
        <f t="shared" si="1"/>
        <v>8791</v>
      </c>
      <c r="K5" s="12">
        <f>VLOOKUP(A5,[4]VA05!$A:$K,11,FALSE)</f>
        <v>45593</v>
      </c>
      <c r="L5" s="10" t="s">
        <v>11</v>
      </c>
      <c r="M5" s="10" t="s">
        <v>157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VLOOKUP(A6,[4]VA05!$A:$K,11,FALSE)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VLOOKUP(A7,[4]VA05!$A:$K,11,FALSE)</f>
        <v>45593</v>
      </c>
      <c r="L7" s="10" t="s">
        <v>13</v>
      </c>
      <c r="M7" s="10" t="s">
        <v>157</v>
      </c>
    </row>
    <row r="8" spans="1:13" x14ac:dyDescent="0.25">
      <c r="A8" s="13" t="str">
        <f t="shared" si="0"/>
        <v>50714156910</v>
      </c>
      <c r="B8" s="10">
        <v>1004003998</v>
      </c>
      <c r="C8" s="10">
        <v>507141569</v>
      </c>
      <c r="D8" s="10">
        <v>10</v>
      </c>
      <c r="E8" s="10" t="s">
        <v>10</v>
      </c>
      <c r="F8" s="10">
        <v>1175312</v>
      </c>
      <c r="G8" s="10" t="s">
        <v>51</v>
      </c>
      <c r="H8" s="11">
        <v>25845</v>
      </c>
      <c r="I8" s="10">
        <v>0</v>
      </c>
      <c r="J8" s="11">
        <f t="shared" si="1"/>
        <v>25845</v>
      </c>
      <c r="K8" s="12">
        <f>VLOOKUP(A8,[4]VA05!$A:$K,11,FALSE)</f>
        <v>45611</v>
      </c>
      <c r="L8" s="10" t="s">
        <v>117</v>
      </c>
      <c r="M8" s="10" t="s">
        <v>78</v>
      </c>
    </row>
    <row r="9" spans="1:13" x14ac:dyDescent="0.25">
      <c r="A9" s="13" t="str">
        <f t="shared" si="0"/>
        <v>50714156910</v>
      </c>
      <c r="B9" s="10">
        <v>1004017074</v>
      </c>
      <c r="C9" s="10">
        <v>507141569</v>
      </c>
      <c r="D9" s="10">
        <v>10</v>
      </c>
      <c r="E9" s="10" t="s">
        <v>10</v>
      </c>
      <c r="F9" s="10">
        <v>1175311</v>
      </c>
      <c r="G9" s="10" t="s">
        <v>67</v>
      </c>
      <c r="H9" s="11">
        <v>25845</v>
      </c>
      <c r="I9" s="10">
        <v>0</v>
      </c>
      <c r="J9" s="11">
        <f t="shared" si="1"/>
        <v>25845</v>
      </c>
      <c r="K9" s="12">
        <f>VLOOKUP(A9,[4]VA05!$A:$K,11,FALSE)</f>
        <v>45611</v>
      </c>
      <c r="L9" s="10" t="s">
        <v>12</v>
      </c>
      <c r="M9" s="10" t="s">
        <v>50</v>
      </c>
    </row>
    <row r="10" spans="1:13" x14ac:dyDescent="0.25">
      <c r="A10" s="13" t="str">
        <f t="shared" si="0"/>
        <v>50714270810</v>
      </c>
      <c r="B10" s="10">
        <v>1004052045</v>
      </c>
      <c r="C10" s="10">
        <v>507142708</v>
      </c>
      <c r="D10" s="10">
        <v>10</v>
      </c>
      <c r="E10" s="10" t="s">
        <v>10</v>
      </c>
      <c r="F10" s="10">
        <v>1215664</v>
      </c>
      <c r="G10" s="10" t="s">
        <v>90</v>
      </c>
      <c r="H10" s="11">
        <v>11159</v>
      </c>
      <c r="I10" s="10">
        <v>0</v>
      </c>
      <c r="J10" s="11">
        <f t="shared" si="1"/>
        <v>11159</v>
      </c>
      <c r="K10" s="12">
        <f>VLOOKUP(A10,[4]VA05!$A:$K,11,FALSE)</f>
        <v>45588</v>
      </c>
      <c r="L10" s="10" t="s">
        <v>13</v>
      </c>
      <c r="M10" s="10" t="s">
        <v>191</v>
      </c>
    </row>
    <row r="11" spans="1:13" x14ac:dyDescent="0.25">
      <c r="A11" s="13" t="str">
        <f t="shared" si="0"/>
        <v>50714282710</v>
      </c>
      <c r="B11" s="10">
        <v>1004061191</v>
      </c>
      <c r="C11" s="10">
        <v>507142827</v>
      </c>
      <c r="D11" s="10">
        <v>10</v>
      </c>
      <c r="E11" s="10" t="s">
        <v>10</v>
      </c>
      <c r="F11" s="10">
        <v>1411198</v>
      </c>
      <c r="G11" s="10" t="s">
        <v>41</v>
      </c>
      <c r="H11" s="11">
        <v>28402</v>
      </c>
      <c r="I11" s="11">
        <v>14919</v>
      </c>
      <c r="J11" s="11">
        <f t="shared" si="1"/>
        <v>13483</v>
      </c>
      <c r="K11" s="12">
        <f>VLOOKUP(A11,[4]VA05!$A:$K,11,FALSE)</f>
        <v>45588</v>
      </c>
      <c r="L11" s="10" t="s">
        <v>11</v>
      </c>
      <c r="M11" s="10" t="s">
        <v>157</v>
      </c>
    </row>
    <row r="12" spans="1:13" x14ac:dyDescent="0.25">
      <c r="A12" s="13" t="str">
        <f t="shared" si="0"/>
        <v>50714270810</v>
      </c>
      <c r="B12" s="10">
        <v>1004052046</v>
      </c>
      <c r="C12" s="10">
        <v>507142708</v>
      </c>
      <c r="D12" s="10">
        <v>10</v>
      </c>
      <c r="E12" s="10" t="s">
        <v>10</v>
      </c>
      <c r="F12" s="10">
        <v>1215668</v>
      </c>
      <c r="G12" s="10" t="s">
        <v>108</v>
      </c>
      <c r="H12" s="11">
        <v>11349</v>
      </c>
      <c r="I12" s="10">
        <v>0</v>
      </c>
      <c r="J12" s="11">
        <f t="shared" si="1"/>
        <v>11349</v>
      </c>
      <c r="K12" s="12">
        <f>VLOOKUP(A12,[4]VA05!$A:$K,11,FALSE)</f>
        <v>45588</v>
      </c>
      <c r="L12" s="10" t="s">
        <v>13</v>
      </c>
      <c r="M12" s="10" t="s">
        <v>192</v>
      </c>
    </row>
    <row r="13" spans="1:13" x14ac:dyDescent="0.25">
      <c r="A13" s="13" t="str">
        <f t="shared" si="0"/>
        <v>50714283810</v>
      </c>
      <c r="B13" s="10">
        <v>1004061192</v>
      </c>
      <c r="C13" s="10">
        <v>507142838</v>
      </c>
      <c r="D13" s="10">
        <v>10</v>
      </c>
      <c r="E13" s="10" t="s">
        <v>10</v>
      </c>
      <c r="F13" s="10">
        <v>1171797</v>
      </c>
      <c r="G13" s="10" t="s">
        <v>255</v>
      </c>
      <c r="H13" s="11">
        <v>31141</v>
      </c>
      <c r="I13" s="10">
        <v>0</v>
      </c>
      <c r="J13" s="11">
        <f t="shared" si="1"/>
        <v>31141</v>
      </c>
      <c r="K13" s="12">
        <f>VLOOKUP(A13,[4]VA05!$A:$K,11,FALSE)</f>
        <v>45593</v>
      </c>
      <c r="L13" s="10" t="s">
        <v>12</v>
      </c>
      <c r="M13" s="10" t="s">
        <v>162</v>
      </c>
    </row>
    <row r="14" spans="1:13" x14ac:dyDescent="0.25">
      <c r="A14" s="13" t="str">
        <f t="shared" si="0"/>
        <v>50714270810</v>
      </c>
      <c r="B14" s="10">
        <v>1004052048</v>
      </c>
      <c r="C14" s="10">
        <v>507142708</v>
      </c>
      <c r="D14" s="10">
        <v>10</v>
      </c>
      <c r="E14" s="10" t="s">
        <v>10</v>
      </c>
      <c r="F14" s="10">
        <v>1215666</v>
      </c>
      <c r="G14" s="10" t="s">
        <v>182</v>
      </c>
      <c r="H14" s="11">
        <v>11159</v>
      </c>
      <c r="I14" s="10">
        <v>0</v>
      </c>
      <c r="J14" s="11">
        <f t="shared" si="1"/>
        <v>11159</v>
      </c>
      <c r="K14" s="12">
        <f>VLOOKUP(A14,[4]VA05!$A:$K,11,FALSE)</f>
        <v>45588</v>
      </c>
      <c r="L14" s="10" t="s">
        <v>13</v>
      </c>
      <c r="M14" s="10" t="s">
        <v>191</v>
      </c>
    </row>
    <row r="15" spans="1:13" x14ac:dyDescent="0.25">
      <c r="A15" s="13" t="str">
        <f t="shared" si="0"/>
        <v>50714282710</v>
      </c>
      <c r="B15" s="10">
        <v>1004063656</v>
      </c>
      <c r="C15" s="10">
        <v>507142827</v>
      </c>
      <c r="D15" s="10">
        <v>10</v>
      </c>
      <c r="E15" s="10" t="s">
        <v>10</v>
      </c>
      <c r="F15" s="10">
        <v>1411194</v>
      </c>
      <c r="G15" s="10" t="s">
        <v>46</v>
      </c>
      <c r="H15" s="11">
        <v>20598</v>
      </c>
      <c r="I15" s="11">
        <v>16054</v>
      </c>
      <c r="J15" s="11">
        <f t="shared" si="1"/>
        <v>4544</v>
      </c>
      <c r="K15" s="12">
        <f>VLOOKUP(A15,[4]VA05!$A:$K,11,FALSE)</f>
        <v>45588</v>
      </c>
      <c r="L15" s="10" t="s">
        <v>18</v>
      </c>
      <c r="M15" s="10" t="s">
        <v>177</v>
      </c>
    </row>
    <row r="16" spans="1:13" x14ac:dyDescent="0.25">
      <c r="A16" s="13" t="str">
        <f t="shared" si="0"/>
        <v>50714282720</v>
      </c>
      <c r="B16" s="10">
        <v>1004063657</v>
      </c>
      <c r="C16" s="10">
        <v>507142827</v>
      </c>
      <c r="D16" s="10">
        <v>20</v>
      </c>
      <c r="E16" s="10" t="s">
        <v>10</v>
      </c>
      <c r="F16" s="10">
        <v>1411194</v>
      </c>
      <c r="G16" s="10" t="s">
        <v>46</v>
      </c>
      <c r="H16" s="11">
        <v>10054</v>
      </c>
      <c r="I16" s="10">
        <v>0</v>
      </c>
      <c r="J16" s="11">
        <f t="shared" si="1"/>
        <v>10054</v>
      </c>
      <c r="K16" s="12">
        <f>VLOOKUP(A16,[4]VA05!$A:$K,11,FALSE)</f>
        <v>45594</v>
      </c>
      <c r="L16" s="10" t="s">
        <v>12</v>
      </c>
      <c r="M16" s="10" t="s">
        <v>204</v>
      </c>
    </row>
    <row r="17" spans="1:13" x14ac:dyDescent="0.25">
      <c r="A17" s="13" t="str">
        <f t="shared" si="0"/>
        <v>50714282510</v>
      </c>
      <c r="B17" s="10">
        <v>1004061393</v>
      </c>
      <c r="C17" s="10">
        <v>507142825</v>
      </c>
      <c r="D17" s="10">
        <v>10</v>
      </c>
      <c r="E17" s="10" t="s">
        <v>10</v>
      </c>
      <c r="F17" s="10">
        <v>1173944</v>
      </c>
      <c r="G17" s="10" t="s">
        <v>91</v>
      </c>
      <c r="H17" s="11">
        <v>21855</v>
      </c>
      <c r="I17" s="11">
        <v>5407</v>
      </c>
      <c r="J17" s="11">
        <f t="shared" si="1"/>
        <v>16448</v>
      </c>
      <c r="K17" s="12">
        <f>VLOOKUP(A17,[4]VA05!$A:$K,11,FALSE)</f>
        <v>45589</v>
      </c>
      <c r="L17" s="10" t="s">
        <v>18</v>
      </c>
      <c r="M17" s="10" t="s">
        <v>191</v>
      </c>
    </row>
    <row r="18" spans="1:13" x14ac:dyDescent="0.25">
      <c r="A18" s="13" t="str">
        <f t="shared" si="0"/>
        <v>50714282910</v>
      </c>
      <c r="B18" s="10">
        <v>1004061394</v>
      </c>
      <c r="C18" s="10">
        <v>507142829</v>
      </c>
      <c r="D18" s="10">
        <v>10</v>
      </c>
      <c r="E18" s="10" t="s">
        <v>10</v>
      </c>
      <c r="F18" s="10">
        <v>1173944</v>
      </c>
      <c r="G18" s="10" t="s">
        <v>91</v>
      </c>
      <c r="H18" s="11">
        <v>11020</v>
      </c>
      <c r="I18" s="10">
        <v>0</v>
      </c>
      <c r="J18" s="11">
        <f t="shared" si="1"/>
        <v>11020</v>
      </c>
      <c r="K18" s="12">
        <f>VLOOKUP(A18,[4]VA05!$A:$K,11,FALSE)</f>
        <v>45582</v>
      </c>
      <c r="L18" s="10" t="s">
        <v>12</v>
      </c>
      <c r="M18" s="10" t="s">
        <v>179</v>
      </c>
    </row>
    <row r="19" spans="1:13" x14ac:dyDescent="0.25">
      <c r="A19" s="13" t="str">
        <f t="shared" si="0"/>
        <v>50714283810</v>
      </c>
      <c r="B19" s="10">
        <v>1004061390</v>
      </c>
      <c r="C19" s="10">
        <v>507142838</v>
      </c>
      <c r="D19" s="10">
        <v>10</v>
      </c>
      <c r="E19" s="10" t="s">
        <v>10</v>
      </c>
      <c r="F19" s="10">
        <v>1276494</v>
      </c>
      <c r="G19" s="10" t="s">
        <v>256</v>
      </c>
      <c r="H19" s="11">
        <v>27035</v>
      </c>
      <c r="I19" s="10">
        <v>0</v>
      </c>
      <c r="J19" s="11">
        <f t="shared" si="1"/>
        <v>27035</v>
      </c>
      <c r="K19" s="12">
        <f>VLOOKUP(A19,[4]VA05!$A:$K,11,FALSE)</f>
        <v>45593</v>
      </c>
      <c r="L19" s="10" t="s">
        <v>12</v>
      </c>
      <c r="M19" s="10" t="s">
        <v>191</v>
      </c>
    </row>
    <row r="20" spans="1:13" x14ac:dyDescent="0.25">
      <c r="A20" s="13" t="str">
        <f t="shared" si="0"/>
        <v>50714274010</v>
      </c>
      <c r="B20" s="10">
        <v>1004052269</v>
      </c>
      <c r="C20" s="10">
        <v>507142740</v>
      </c>
      <c r="D20" s="10">
        <v>10</v>
      </c>
      <c r="E20" s="10" t="s">
        <v>10</v>
      </c>
      <c r="F20" s="10">
        <v>1173947</v>
      </c>
      <c r="G20" s="10" t="s">
        <v>36</v>
      </c>
      <c r="H20" s="11">
        <v>12384</v>
      </c>
      <c r="I20" s="11">
        <v>2060</v>
      </c>
      <c r="J20" s="11">
        <f t="shared" si="1"/>
        <v>10324</v>
      </c>
      <c r="K20" s="12">
        <f>VLOOKUP(A20,[4]VA05!$A:$K,11,FALSE)</f>
        <v>45573</v>
      </c>
      <c r="L20" s="10" t="s">
        <v>18</v>
      </c>
      <c r="M20" s="10" t="s">
        <v>192</v>
      </c>
    </row>
    <row r="21" spans="1:13" x14ac:dyDescent="0.25">
      <c r="A21" s="13" t="str">
        <f t="shared" si="0"/>
        <v>50714277910</v>
      </c>
      <c r="B21" s="10">
        <v>1004052270</v>
      </c>
      <c r="C21" s="10">
        <v>507142779</v>
      </c>
      <c r="D21" s="10">
        <v>10</v>
      </c>
      <c r="E21" s="10" t="s">
        <v>10</v>
      </c>
      <c r="F21" s="10">
        <v>1173947</v>
      </c>
      <c r="G21" s="10" t="s">
        <v>36</v>
      </c>
      <c r="H21" s="11">
        <v>11922</v>
      </c>
      <c r="I21" s="10">
        <v>0</v>
      </c>
      <c r="J21" s="11">
        <f t="shared" si="1"/>
        <v>11922</v>
      </c>
      <c r="K21" s="12">
        <f>VLOOKUP(A21,[4]VA05!$A:$K,11,FALSE)</f>
        <v>45580</v>
      </c>
      <c r="L21" s="10" t="s">
        <v>12</v>
      </c>
      <c r="M21" s="10" t="s">
        <v>194</v>
      </c>
    </row>
    <row r="22" spans="1:13" x14ac:dyDescent="0.25">
      <c r="A22" s="13" t="str">
        <f t="shared" si="0"/>
        <v>50714278410</v>
      </c>
      <c r="B22" s="10">
        <v>1004052271</v>
      </c>
      <c r="C22" s="10">
        <v>507142784</v>
      </c>
      <c r="D22" s="10">
        <v>10</v>
      </c>
      <c r="E22" s="10" t="s">
        <v>10</v>
      </c>
      <c r="F22" s="10">
        <v>1173947</v>
      </c>
      <c r="G22" s="10" t="s">
        <v>36</v>
      </c>
      <c r="H22" s="11">
        <v>12384</v>
      </c>
      <c r="I22" s="10">
        <v>0</v>
      </c>
      <c r="J22" s="11">
        <f t="shared" si="1"/>
        <v>12384</v>
      </c>
      <c r="K22" s="12">
        <f>VLOOKUP(A22,[4]VA05!$A:$K,11,FALSE)</f>
        <v>45580</v>
      </c>
      <c r="L22" s="10" t="s">
        <v>12</v>
      </c>
      <c r="M22" s="10" t="s">
        <v>97</v>
      </c>
    </row>
    <row r="23" spans="1:13" x14ac:dyDescent="0.25">
      <c r="A23" s="13" t="str">
        <f t="shared" si="0"/>
        <v>50714282510</v>
      </c>
      <c r="B23" s="10">
        <v>1004061395</v>
      </c>
      <c r="C23" s="10">
        <v>507142825</v>
      </c>
      <c r="D23" s="10">
        <v>10</v>
      </c>
      <c r="E23" s="10" t="s">
        <v>10</v>
      </c>
      <c r="F23" s="10">
        <v>1173947</v>
      </c>
      <c r="G23" s="10" t="s">
        <v>36</v>
      </c>
      <c r="H23" s="11">
        <v>23842</v>
      </c>
      <c r="I23" s="10">
        <v>0</v>
      </c>
      <c r="J23" s="11">
        <f t="shared" si="1"/>
        <v>23842</v>
      </c>
      <c r="K23" s="12">
        <f>VLOOKUP(A23,[4]VA05!$A:$K,11,FALSE)</f>
        <v>45589</v>
      </c>
      <c r="L23" s="10" t="s">
        <v>12</v>
      </c>
      <c r="M23" s="10" t="s">
        <v>179</v>
      </c>
    </row>
    <row r="24" spans="1:13" x14ac:dyDescent="0.25">
      <c r="A24" s="13" t="str">
        <f t="shared" si="0"/>
        <v>50714277910</v>
      </c>
      <c r="B24" s="10">
        <v>1004053448</v>
      </c>
      <c r="C24" s="10">
        <v>507142779</v>
      </c>
      <c r="D24" s="10">
        <v>10</v>
      </c>
      <c r="E24" s="10" t="s">
        <v>10</v>
      </c>
      <c r="F24" s="10">
        <v>1171793</v>
      </c>
      <c r="G24" s="10" t="s">
        <v>33</v>
      </c>
      <c r="H24" s="11">
        <v>10792</v>
      </c>
      <c r="I24" s="10">
        <v>0</v>
      </c>
      <c r="J24" s="11">
        <f t="shared" si="1"/>
        <v>10792</v>
      </c>
      <c r="K24" s="12">
        <f>VLOOKUP(A24,[4]VA05!$A:$K,11,FALSE)</f>
        <v>45580</v>
      </c>
      <c r="L24" s="10" t="s">
        <v>12</v>
      </c>
      <c r="M24" s="10" t="s">
        <v>162</v>
      </c>
    </row>
    <row r="25" spans="1:13" x14ac:dyDescent="0.25">
      <c r="A25" s="13" t="str">
        <f t="shared" si="0"/>
        <v>50714278410</v>
      </c>
      <c r="B25" s="10">
        <v>1004061396</v>
      </c>
      <c r="C25" s="10">
        <v>507142784</v>
      </c>
      <c r="D25" s="10">
        <v>10</v>
      </c>
      <c r="E25" s="10" t="s">
        <v>10</v>
      </c>
      <c r="F25" s="10">
        <v>1171793</v>
      </c>
      <c r="G25" s="10" t="s">
        <v>33</v>
      </c>
      <c r="H25" s="11">
        <v>10882</v>
      </c>
      <c r="I25" s="10">
        <v>0</v>
      </c>
      <c r="J25" s="11">
        <f t="shared" si="1"/>
        <v>10882</v>
      </c>
      <c r="K25" s="12">
        <f>VLOOKUP(A25,[4]VA05!$A:$K,11,FALSE)</f>
        <v>45580</v>
      </c>
      <c r="L25" s="10" t="s">
        <v>12</v>
      </c>
      <c r="M25" s="10" t="s">
        <v>162</v>
      </c>
    </row>
    <row r="26" spans="1:13" x14ac:dyDescent="0.25">
      <c r="A26" s="13" t="str">
        <f t="shared" si="0"/>
        <v>50714282510</v>
      </c>
      <c r="B26" s="10">
        <v>1004061397</v>
      </c>
      <c r="C26" s="10">
        <v>507142825</v>
      </c>
      <c r="D26" s="10">
        <v>10</v>
      </c>
      <c r="E26" s="10" t="s">
        <v>10</v>
      </c>
      <c r="F26" s="10">
        <v>1171793</v>
      </c>
      <c r="G26" s="10" t="s">
        <v>33</v>
      </c>
      <c r="H26" s="11">
        <v>21582</v>
      </c>
      <c r="I26" s="10">
        <v>0</v>
      </c>
      <c r="J26" s="11">
        <f t="shared" si="1"/>
        <v>21582</v>
      </c>
      <c r="K26" s="12">
        <f>VLOOKUP(A26,[4]VA05!$A:$K,11,FALSE)</f>
        <v>45589</v>
      </c>
      <c r="L26" s="10" t="s">
        <v>12</v>
      </c>
      <c r="M26" s="10" t="s">
        <v>191</v>
      </c>
    </row>
    <row r="27" spans="1:13" x14ac:dyDescent="0.25">
      <c r="A27" s="13" t="str">
        <f t="shared" si="0"/>
        <v>50714282910</v>
      </c>
      <c r="B27" s="10">
        <v>1004061398</v>
      </c>
      <c r="C27" s="10">
        <v>507142829</v>
      </c>
      <c r="D27" s="10">
        <v>10</v>
      </c>
      <c r="E27" s="10" t="s">
        <v>10</v>
      </c>
      <c r="F27" s="10">
        <v>1171793</v>
      </c>
      <c r="G27" s="10" t="s">
        <v>33</v>
      </c>
      <c r="H27" s="11">
        <v>10882</v>
      </c>
      <c r="I27" s="10">
        <v>0</v>
      </c>
      <c r="J27" s="11">
        <f t="shared" si="1"/>
        <v>10882</v>
      </c>
      <c r="K27" s="12">
        <f>VLOOKUP(A27,[4]VA05!$A:$K,11,FALSE)</f>
        <v>45582</v>
      </c>
      <c r="L27" s="10" t="s">
        <v>12</v>
      </c>
      <c r="M27" s="10" t="s">
        <v>157</v>
      </c>
    </row>
    <row r="28" spans="1:13" hidden="1" x14ac:dyDescent="0.25">
      <c r="A28" s="13" t="str">
        <f t="shared" si="0"/>
        <v>50714227020</v>
      </c>
      <c r="B28" s="10">
        <v>1004057063</v>
      </c>
      <c r="C28" s="10">
        <v>507142270</v>
      </c>
      <c r="D28" s="10">
        <v>20</v>
      </c>
      <c r="E28" s="10" t="s">
        <v>10</v>
      </c>
      <c r="F28" s="10">
        <v>1187765</v>
      </c>
      <c r="G28" s="10" t="s">
        <v>147</v>
      </c>
      <c r="H28" s="11">
        <v>17325</v>
      </c>
      <c r="I28" s="11">
        <v>17325</v>
      </c>
      <c r="J28" s="11">
        <f t="shared" si="1"/>
        <v>0</v>
      </c>
      <c r="K28" s="12">
        <f>VLOOKUP(A28,[4]VA05!$A:$K,11,FALSE)</f>
        <v>45565</v>
      </c>
      <c r="L28" s="10" t="s">
        <v>34</v>
      </c>
      <c r="M28" s="10" t="s">
        <v>195</v>
      </c>
    </row>
    <row r="29" spans="1:13" x14ac:dyDescent="0.25">
      <c r="A29" s="13" t="str">
        <f t="shared" si="0"/>
        <v>50714272510</v>
      </c>
      <c r="B29" s="10">
        <v>1004060450</v>
      </c>
      <c r="C29" s="10">
        <v>507142725</v>
      </c>
      <c r="D29" s="10">
        <v>10</v>
      </c>
      <c r="E29" s="10" t="s">
        <v>10</v>
      </c>
      <c r="F29" s="10">
        <v>1420608</v>
      </c>
      <c r="G29" s="10" t="s">
        <v>110</v>
      </c>
      <c r="H29" s="11">
        <v>16376</v>
      </c>
      <c r="I29" s="11">
        <v>13027</v>
      </c>
      <c r="J29" s="11">
        <f t="shared" si="1"/>
        <v>3349</v>
      </c>
      <c r="K29" s="12">
        <f>VLOOKUP(A29,[4]VA05!$A:$K,11,FALSE)</f>
        <v>45573</v>
      </c>
      <c r="L29" s="10" t="s">
        <v>18</v>
      </c>
      <c r="M29" s="10" t="s">
        <v>162</v>
      </c>
    </row>
    <row r="30" spans="1:13" hidden="1" x14ac:dyDescent="0.25">
      <c r="A30" s="13" t="str">
        <f t="shared" si="0"/>
        <v>50714278610</v>
      </c>
      <c r="B30" s="10">
        <v>1004059422</v>
      </c>
      <c r="C30" s="10">
        <v>507142786</v>
      </c>
      <c r="D30" s="10">
        <v>10</v>
      </c>
      <c r="E30" s="10" t="s">
        <v>10</v>
      </c>
      <c r="F30" s="10">
        <v>1149455</v>
      </c>
      <c r="G30" s="10" t="s">
        <v>44</v>
      </c>
      <c r="H30" s="11">
        <v>27228</v>
      </c>
      <c r="I30" s="11">
        <v>27228</v>
      </c>
      <c r="J30" s="11">
        <f t="shared" si="1"/>
        <v>0</v>
      </c>
      <c r="K30" s="12">
        <f>VLOOKUP(A30,[4]VA05!$A:$K,11,FALSE)</f>
        <v>45581</v>
      </c>
      <c r="L30" s="10" t="s">
        <v>28</v>
      </c>
      <c r="M30" s="10" t="s">
        <v>194</v>
      </c>
    </row>
    <row r="31" spans="1:13" hidden="1" x14ac:dyDescent="0.25">
      <c r="A31" s="13" t="str">
        <f t="shared" si="0"/>
        <v>50714265120</v>
      </c>
      <c r="B31" s="10">
        <v>1004059425</v>
      </c>
      <c r="C31" s="10">
        <v>507142651</v>
      </c>
      <c r="D31" s="10">
        <v>20</v>
      </c>
      <c r="E31" s="10" t="s">
        <v>24</v>
      </c>
      <c r="F31" s="10">
        <v>1149455</v>
      </c>
      <c r="G31" s="10" t="s">
        <v>44</v>
      </c>
      <c r="H31" s="11">
        <v>10000</v>
      </c>
      <c r="I31" s="10">
        <v>0</v>
      </c>
      <c r="J31" s="11">
        <f t="shared" si="1"/>
        <v>10000</v>
      </c>
      <c r="K31" s="12" t="e">
        <f>VLOOKUP(A31,[4]VA05!$A:$K,11,FALSE)</f>
        <v>#N/A</v>
      </c>
      <c r="L31" s="10" t="s">
        <v>13</v>
      </c>
      <c r="M31" s="10" t="s">
        <v>154</v>
      </c>
    </row>
    <row r="32" spans="1:13" x14ac:dyDescent="0.25">
      <c r="A32" s="13" t="str">
        <f t="shared" si="0"/>
        <v>50714235110</v>
      </c>
      <c r="B32" s="10">
        <v>1004042803</v>
      </c>
      <c r="C32" s="10">
        <v>507142351</v>
      </c>
      <c r="D32" s="10">
        <v>10</v>
      </c>
      <c r="E32" s="10" t="s">
        <v>10</v>
      </c>
      <c r="F32" s="10">
        <v>1192909</v>
      </c>
      <c r="G32" s="10" t="s">
        <v>35</v>
      </c>
      <c r="H32" s="11">
        <v>16753</v>
      </c>
      <c r="I32" s="11">
        <v>9187</v>
      </c>
      <c r="J32" s="11">
        <f t="shared" si="1"/>
        <v>7566</v>
      </c>
      <c r="K32" s="12">
        <f>VLOOKUP(A32,[4]VA05!$A:$K,11,FALSE)</f>
        <v>45545</v>
      </c>
      <c r="L32" s="10" t="s">
        <v>18</v>
      </c>
      <c r="M32" s="10" t="s">
        <v>111</v>
      </c>
    </row>
    <row r="33" spans="1:13" x14ac:dyDescent="0.25">
      <c r="A33" s="13" t="str">
        <f t="shared" si="0"/>
        <v>50714272510</v>
      </c>
      <c r="B33" s="10">
        <v>1004060387</v>
      </c>
      <c r="C33" s="10">
        <v>507142725</v>
      </c>
      <c r="D33" s="10">
        <v>10</v>
      </c>
      <c r="E33" s="10" t="s">
        <v>10</v>
      </c>
      <c r="F33" s="10">
        <v>1420609</v>
      </c>
      <c r="G33" s="10" t="s">
        <v>133</v>
      </c>
      <c r="H33" s="11">
        <v>16868</v>
      </c>
      <c r="I33" s="11">
        <v>13728</v>
      </c>
      <c r="J33" s="11">
        <f t="shared" si="1"/>
        <v>3140</v>
      </c>
      <c r="K33" s="12">
        <f>VLOOKUP(A33,[4]VA05!$A:$K,11,FALSE)</f>
        <v>45573</v>
      </c>
      <c r="L33" s="10" t="s">
        <v>18</v>
      </c>
      <c r="M33" s="10" t="s">
        <v>162</v>
      </c>
    </row>
    <row r="34" spans="1:13" x14ac:dyDescent="0.25">
      <c r="A34" s="13" t="str">
        <f t="shared" si="0"/>
        <v>50714273410</v>
      </c>
      <c r="B34" s="10">
        <v>1004054830</v>
      </c>
      <c r="C34" s="10">
        <v>507142734</v>
      </c>
      <c r="D34" s="10">
        <v>10</v>
      </c>
      <c r="E34" s="10" t="s">
        <v>10</v>
      </c>
      <c r="F34" s="10">
        <v>1193508</v>
      </c>
      <c r="G34" s="10" t="s">
        <v>134</v>
      </c>
      <c r="H34" s="11">
        <v>16753</v>
      </c>
      <c r="I34" s="11">
        <v>13900</v>
      </c>
      <c r="J34" s="11">
        <f t="shared" si="1"/>
        <v>2853</v>
      </c>
      <c r="K34" s="12">
        <f>VLOOKUP(A34,[4]VA05!$A:$K,11,FALSE)</f>
        <v>45572</v>
      </c>
      <c r="L34" s="10" t="s">
        <v>18</v>
      </c>
      <c r="M34" s="10" t="s">
        <v>195</v>
      </c>
    </row>
    <row r="35" spans="1:13" x14ac:dyDescent="0.25">
      <c r="A35" s="13" t="str">
        <f t="shared" si="0"/>
        <v>50714274310</v>
      </c>
      <c r="B35" s="10">
        <v>1004054831</v>
      </c>
      <c r="C35" s="10">
        <v>507142743</v>
      </c>
      <c r="D35" s="10">
        <v>10</v>
      </c>
      <c r="E35" s="10" t="s">
        <v>10</v>
      </c>
      <c r="F35" s="10">
        <v>1193508</v>
      </c>
      <c r="G35" s="10" t="s">
        <v>134</v>
      </c>
      <c r="H35" s="11">
        <v>16753</v>
      </c>
      <c r="I35" s="10">
        <v>0</v>
      </c>
      <c r="J35" s="11">
        <f t="shared" si="1"/>
        <v>16753</v>
      </c>
      <c r="K35" s="12">
        <f>VLOOKUP(A35,[4]VA05!$A:$K,11,FALSE)</f>
        <v>45575</v>
      </c>
      <c r="L35" s="10" t="s">
        <v>27</v>
      </c>
      <c r="M35" s="10" t="s">
        <v>195</v>
      </c>
    </row>
    <row r="36" spans="1:13" x14ac:dyDescent="0.25">
      <c r="A36" s="13" t="str">
        <f t="shared" si="0"/>
        <v>50714258410</v>
      </c>
      <c r="B36" s="10">
        <v>1004025718</v>
      </c>
      <c r="C36" s="10">
        <v>507142584</v>
      </c>
      <c r="D36" s="10">
        <v>10</v>
      </c>
      <c r="E36" s="10" t="s">
        <v>10</v>
      </c>
      <c r="F36" s="10">
        <v>1192705</v>
      </c>
      <c r="G36" s="10" t="s">
        <v>45</v>
      </c>
      <c r="H36" s="11">
        <v>29915</v>
      </c>
      <c r="I36" s="11">
        <v>15280</v>
      </c>
      <c r="J36" s="11">
        <f t="shared" si="1"/>
        <v>14635</v>
      </c>
      <c r="K36" s="12">
        <f>VLOOKUP(A36,[4]VA05!$A:$K,11,FALSE)</f>
        <v>45572</v>
      </c>
      <c r="L36" s="10" t="s">
        <v>18</v>
      </c>
      <c r="M36" s="10" t="s">
        <v>66</v>
      </c>
    </row>
    <row r="37" spans="1:13" x14ac:dyDescent="0.25">
      <c r="A37" s="13" t="str">
        <f t="shared" si="0"/>
        <v>50714272410</v>
      </c>
      <c r="B37" s="10">
        <v>1004051405</v>
      </c>
      <c r="C37" s="10">
        <v>507142724</v>
      </c>
      <c r="D37" s="10">
        <v>10</v>
      </c>
      <c r="E37" s="10" t="s">
        <v>10</v>
      </c>
      <c r="F37" s="10">
        <v>1233459</v>
      </c>
      <c r="G37" s="10" t="s">
        <v>121</v>
      </c>
      <c r="H37" s="11">
        <v>10299</v>
      </c>
      <c r="I37" s="11">
        <v>4122</v>
      </c>
      <c r="J37" s="11">
        <f t="shared" si="1"/>
        <v>6177</v>
      </c>
      <c r="K37" s="12">
        <f>VLOOKUP(A37,[4]VA05!$A:$K,11,FALSE)</f>
        <v>45594</v>
      </c>
      <c r="L37" s="10" t="s">
        <v>18</v>
      </c>
      <c r="M37" s="10" t="s">
        <v>193</v>
      </c>
    </row>
    <row r="38" spans="1:13" x14ac:dyDescent="0.25">
      <c r="A38" s="13" t="str">
        <f t="shared" si="0"/>
        <v>50714272410</v>
      </c>
      <c r="B38" s="10">
        <v>1004058756</v>
      </c>
      <c r="C38" s="10">
        <v>507142724</v>
      </c>
      <c r="D38" s="10">
        <v>10</v>
      </c>
      <c r="E38" s="10" t="s">
        <v>10</v>
      </c>
      <c r="F38" s="10">
        <v>1233477</v>
      </c>
      <c r="G38" s="10" t="s">
        <v>236</v>
      </c>
      <c r="H38" s="11">
        <v>11006</v>
      </c>
      <c r="I38" s="10">
        <v>0</v>
      </c>
      <c r="J38" s="11">
        <f t="shared" si="1"/>
        <v>11006</v>
      </c>
      <c r="K38" s="12">
        <f>VLOOKUP(A38,[4]VA05!$A:$K,11,FALSE)</f>
        <v>45594</v>
      </c>
      <c r="L38" s="10" t="s">
        <v>12</v>
      </c>
      <c r="M38" s="10" t="s">
        <v>109</v>
      </c>
    </row>
    <row r="39" spans="1:13" hidden="1" x14ac:dyDescent="0.25">
      <c r="A39" s="13" t="str">
        <f t="shared" si="0"/>
        <v>50714274240</v>
      </c>
      <c r="B39" s="10">
        <v>1004052518</v>
      </c>
      <c r="C39" s="10">
        <v>507142742</v>
      </c>
      <c r="D39" s="10">
        <v>40</v>
      </c>
      <c r="E39" s="10" t="s">
        <v>10</v>
      </c>
      <c r="F39" s="10">
        <v>1209335</v>
      </c>
      <c r="G39" s="10" t="s">
        <v>150</v>
      </c>
      <c r="H39" s="11">
        <v>35876</v>
      </c>
      <c r="I39" s="11">
        <v>35876</v>
      </c>
      <c r="J39" s="11">
        <f t="shared" si="1"/>
        <v>0</v>
      </c>
      <c r="K39" s="12">
        <f>VLOOKUP(A39,[4]VA05!$A:$K,11,FALSE)</f>
        <v>45580</v>
      </c>
      <c r="L39" s="10" t="s">
        <v>113</v>
      </c>
      <c r="M39" s="10" t="s">
        <v>162</v>
      </c>
    </row>
    <row r="40" spans="1:13" x14ac:dyDescent="0.25">
      <c r="A40" s="13" t="str">
        <f t="shared" si="0"/>
        <v>50714274270</v>
      </c>
      <c r="B40" s="10">
        <v>1004052519</v>
      </c>
      <c r="C40" s="10">
        <v>507142742</v>
      </c>
      <c r="D40" s="10">
        <v>70</v>
      </c>
      <c r="E40" s="10" t="s">
        <v>10</v>
      </c>
      <c r="F40" s="10">
        <v>1209335</v>
      </c>
      <c r="G40" s="10" t="s">
        <v>150</v>
      </c>
      <c r="H40" s="11">
        <v>25576</v>
      </c>
      <c r="I40" s="10">
        <v>644</v>
      </c>
      <c r="J40" s="11">
        <f t="shared" si="1"/>
        <v>24932</v>
      </c>
      <c r="K40" s="12">
        <f>VLOOKUP(A40,[4]VA05!$A:$K,11,FALSE)</f>
        <v>45587</v>
      </c>
      <c r="L40" s="10" t="s">
        <v>11</v>
      </c>
      <c r="M40" s="10" t="s">
        <v>109</v>
      </c>
    </row>
    <row r="41" spans="1:13" x14ac:dyDescent="0.25">
      <c r="A41" s="13" t="str">
        <f t="shared" si="0"/>
        <v>507142742100</v>
      </c>
      <c r="B41" s="10">
        <v>1004052522</v>
      </c>
      <c r="C41" s="10">
        <v>507142742</v>
      </c>
      <c r="D41" s="10">
        <v>100</v>
      </c>
      <c r="E41" s="10" t="s">
        <v>10</v>
      </c>
      <c r="F41" s="10">
        <v>1209335</v>
      </c>
      <c r="G41" s="10" t="s">
        <v>150</v>
      </c>
      <c r="H41" s="11">
        <v>25576</v>
      </c>
      <c r="I41" s="10">
        <v>0</v>
      </c>
      <c r="J41" s="11">
        <f t="shared" si="1"/>
        <v>25576</v>
      </c>
      <c r="K41" s="12" t="e">
        <f>VLOOKUP(A41,[4]VA05!$A:$K,11,FALSE)</f>
        <v>#N/A</v>
      </c>
      <c r="L41" s="10" t="s">
        <v>12</v>
      </c>
      <c r="M41" s="10" t="s">
        <v>196</v>
      </c>
    </row>
    <row r="42" spans="1:13" x14ac:dyDescent="0.25">
      <c r="A42" s="13" t="str">
        <f t="shared" si="0"/>
        <v>50714285110</v>
      </c>
      <c r="B42" s="10">
        <v>1004062669</v>
      </c>
      <c r="C42" s="10">
        <v>507142851</v>
      </c>
      <c r="D42" s="10">
        <v>10</v>
      </c>
      <c r="E42" s="10" t="s">
        <v>10</v>
      </c>
      <c r="F42" s="10">
        <v>1209335</v>
      </c>
      <c r="G42" s="10" t="s">
        <v>150</v>
      </c>
      <c r="H42" s="11">
        <v>35874</v>
      </c>
      <c r="I42" s="10">
        <v>0</v>
      </c>
      <c r="J42" s="11">
        <f t="shared" si="1"/>
        <v>35874</v>
      </c>
      <c r="K42" s="12">
        <f>VLOOKUP(A42,[4]VA05!$A:$K,11,FALSE)</f>
        <v>45593</v>
      </c>
      <c r="L42" s="10" t="s">
        <v>12</v>
      </c>
      <c r="M42" s="10" t="s">
        <v>157</v>
      </c>
    </row>
    <row r="43" spans="1:13" x14ac:dyDescent="0.25">
      <c r="A43" s="13" t="str">
        <f t="shared" si="0"/>
        <v>50714268230</v>
      </c>
      <c r="B43" s="10">
        <v>1004062670</v>
      </c>
      <c r="C43" s="10">
        <v>507142682</v>
      </c>
      <c r="D43" s="10">
        <v>30</v>
      </c>
      <c r="E43" s="10" t="s">
        <v>10</v>
      </c>
      <c r="F43" s="10">
        <v>1440079</v>
      </c>
      <c r="G43" s="10" t="s">
        <v>292</v>
      </c>
      <c r="H43" s="11">
        <v>10217</v>
      </c>
      <c r="I43" s="10">
        <v>0</v>
      </c>
      <c r="J43" s="11">
        <f t="shared" si="1"/>
        <v>10217</v>
      </c>
      <c r="K43" s="12">
        <f>VLOOKUP(A43,[4]VA05!$A:$K,11,FALSE)</f>
        <v>45595</v>
      </c>
      <c r="L43" s="10" t="s">
        <v>12</v>
      </c>
      <c r="M43" s="10" t="s">
        <v>204</v>
      </c>
    </row>
    <row r="44" spans="1:13" x14ac:dyDescent="0.25">
      <c r="A44" s="13" t="str">
        <f t="shared" si="0"/>
        <v>50714274240</v>
      </c>
      <c r="B44" s="10">
        <v>1004052625</v>
      </c>
      <c r="C44" s="10">
        <v>507142742</v>
      </c>
      <c r="D44" s="10">
        <v>40</v>
      </c>
      <c r="E44" s="10" t="s">
        <v>10</v>
      </c>
      <c r="F44" s="10">
        <v>1437142</v>
      </c>
      <c r="G44" s="10" t="s">
        <v>145</v>
      </c>
      <c r="H44" s="11">
        <v>38800</v>
      </c>
      <c r="I44" s="10">
        <v>0</v>
      </c>
      <c r="J44" s="11">
        <f t="shared" si="1"/>
        <v>38800</v>
      </c>
      <c r="K44" s="12">
        <f>VLOOKUP(A44,[4]VA05!$A:$K,11,FALSE)</f>
        <v>45580</v>
      </c>
      <c r="L44" s="10" t="s">
        <v>12</v>
      </c>
      <c r="M44" s="10" t="s">
        <v>197</v>
      </c>
    </row>
    <row r="45" spans="1:13" x14ac:dyDescent="0.25">
      <c r="A45" s="13" t="str">
        <f t="shared" si="0"/>
        <v>50714274270</v>
      </c>
      <c r="B45" s="10">
        <v>1004052626</v>
      </c>
      <c r="C45" s="10">
        <v>507142742</v>
      </c>
      <c r="D45" s="10">
        <v>70</v>
      </c>
      <c r="E45" s="10" t="s">
        <v>10</v>
      </c>
      <c r="F45" s="10">
        <v>1437142</v>
      </c>
      <c r="G45" s="10" t="s">
        <v>145</v>
      </c>
      <c r="H45" s="11">
        <v>40825</v>
      </c>
      <c r="I45" s="10">
        <v>0</v>
      </c>
      <c r="J45" s="11">
        <f t="shared" si="1"/>
        <v>40825</v>
      </c>
      <c r="K45" s="12">
        <f>VLOOKUP(A45,[4]VA05!$A:$K,11,FALSE)</f>
        <v>45587</v>
      </c>
      <c r="L45" s="10" t="s">
        <v>12</v>
      </c>
      <c r="M45" s="10" t="s">
        <v>162</v>
      </c>
    </row>
    <row r="46" spans="1:13" x14ac:dyDescent="0.25">
      <c r="A46" s="13" t="str">
        <f t="shared" si="0"/>
        <v>507142742100</v>
      </c>
      <c r="B46" s="10">
        <v>1004052627</v>
      </c>
      <c r="C46" s="10">
        <v>507142742</v>
      </c>
      <c r="D46" s="10">
        <v>100</v>
      </c>
      <c r="E46" s="10" t="s">
        <v>10</v>
      </c>
      <c r="F46" s="10">
        <v>1437142</v>
      </c>
      <c r="G46" s="10" t="s">
        <v>145</v>
      </c>
      <c r="H46" s="11">
        <v>27661</v>
      </c>
      <c r="I46" s="10">
        <v>0</v>
      </c>
      <c r="J46" s="11">
        <f t="shared" si="1"/>
        <v>27661</v>
      </c>
      <c r="K46" s="12" t="e">
        <f>VLOOKUP(A46,[4]VA05!$A:$K,11,FALSE)</f>
        <v>#N/A</v>
      </c>
      <c r="L46" s="10" t="s">
        <v>12</v>
      </c>
      <c r="M46" s="10" t="s">
        <v>109</v>
      </c>
    </row>
    <row r="47" spans="1:13" x14ac:dyDescent="0.25">
      <c r="A47" s="13" t="str">
        <f t="shared" si="0"/>
        <v>50714274210</v>
      </c>
      <c r="B47" s="10">
        <v>1004054341</v>
      </c>
      <c r="C47" s="10">
        <v>507142742</v>
      </c>
      <c r="D47" s="10">
        <v>10</v>
      </c>
      <c r="E47" s="10" t="s">
        <v>10</v>
      </c>
      <c r="F47" s="10">
        <v>1437142</v>
      </c>
      <c r="G47" s="10" t="s">
        <v>145</v>
      </c>
      <c r="H47" s="11">
        <v>27661</v>
      </c>
      <c r="I47" s="11">
        <v>15316</v>
      </c>
      <c r="J47" s="11">
        <f t="shared" si="1"/>
        <v>12345</v>
      </c>
      <c r="K47" s="12">
        <f>VLOOKUP(A47,[4]VA05!$A:$K,11,FALSE)</f>
        <v>45575</v>
      </c>
      <c r="L47" s="10" t="s">
        <v>11</v>
      </c>
      <c r="M47" s="10" t="s">
        <v>178</v>
      </c>
    </row>
    <row r="48" spans="1:13" x14ac:dyDescent="0.25">
      <c r="A48" s="13" t="str">
        <f t="shared" si="0"/>
        <v>50714285110</v>
      </c>
      <c r="B48" s="10">
        <v>1004062677</v>
      </c>
      <c r="C48" s="10">
        <v>507142851</v>
      </c>
      <c r="D48" s="10">
        <v>10</v>
      </c>
      <c r="E48" s="10" t="s">
        <v>10</v>
      </c>
      <c r="F48" s="10">
        <v>1437142</v>
      </c>
      <c r="G48" s="10" t="s">
        <v>145</v>
      </c>
      <c r="H48" s="11">
        <v>38799</v>
      </c>
      <c r="I48" s="10">
        <v>0</v>
      </c>
      <c r="J48" s="11">
        <f t="shared" si="1"/>
        <v>38799</v>
      </c>
      <c r="K48" s="12">
        <f>VLOOKUP(A48,[4]VA05!$A:$K,11,FALSE)</f>
        <v>45593</v>
      </c>
      <c r="L48" s="10" t="s">
        <v>12</v>
      </c>
      <c r="M48" s="10" t="s">
        <v>162</v>
      </c>
    </row>
    <row r="49" spans="1:13" x14ac:dyDescent="0.25">
      <c r="A49" s="13" t="str">
        <f t="shared" si="0"/>
        <v>50714268230</v>
      </c>
      <c r="B49" s="10">
        <v>1004059556</v>
      </c>
      <c r="C49" s="10">
        <v>507142682</v>
      </c>
      <c r="D49" s="10">
        <v>30</v>
      </c>
      <c r="E49" s="10" t="s">
        <v>10</v>
      </c>
      <c r="F49" s="10">
        <v>1440080</v>
      </c>
      <c r="G49" s="10" t="s">
        <v>247</v>
      </c>
      <c r="H49" s="11">
        <v>10524</v>
      </c>
      <c r="I49" s="10">
        <v>0</v>
      </c>
      <c r="J49" s="11">
        <f t="shared" si="1"/>
        <v>10524</v>
      </c>
      <c r="K49" s="12">
        <f>VLOOKUP(A49,[4]VA05!$A:$K,11,FALSE)</f>
        <v>45595</v>
      </c>
      <c r="L49" s="10" t="s">
        <v>12</v>
      </c>
      <c r="M49" s="10" t="s">
        <v>176</v>
      </c>
    </row>
    <row r="50" spans="1:13" x14ac:dyDescent="0.25">
      <c r="A50" s="13" t="str">
        <f t="shared" si="0"/>
        <v>50714242450</v>
      </c>
      <c r="B50" s="10">
        <v>1004019633</v>
      </c>
      <c r="C50" s="10">
        <v>507142424</v>
      </c>
      <c r="D50" s="10">
        <v>50</v>
      </c>
      <c r="E50" s="10" t="s">
        <v>10</v>
      </c>
      <c r="F50" s="10">
        <v>1212309</v>
      </c>
      <c r="G50" s="10" t="s">
        <v>16</v>
      </c>
      <c r="H50" s="11">
        <v>30725</v>
      </c>
      <c r="I50" s="10">
        <v>0</v>
      </c>
      <c r="J50" s="11">
        <f t="shared" si="1"/>
        <v>30725</v>
      </c>
      <c r="K50" s="12" t="e">
        <f>VLOOKUP(A50,[4]VA05!$A:$K,11,FALSE)</f>
        <v>#N/A</v>
      </c>
      <c r="L50" s="10" t="s">
        <v>12</v>
      </c>
      <c r="M50" s="10" t="s">
        <v>82</v>
      </c>
    </row>
    <row r="51" spans="1:13" hidden="1" x14ac:dyDescent="0.25">
      <c r="A51" s="13" t="str">
        <f t="shared" si="0"/>
        <v>50714274250</v>
      </c>
      <c r="B51" s="10">
        <v>1004052512</v>
      </c>
      <c r="C51" s="10">
        <v>507142742</v>
      </c>
      <c r="D51" s="10">
        <v>50</v>
      </c>
      <c r="E51" s="10" t="s">
        <v>10</v>
      </c>
      <c r="F51" s="10">
        <v>1209351</v>
      </c>
      <c r="G51" s="10" t="s">
        <v>135</v>
      </c>
      <c r="H51" s="11">
        <v>25576</v>
      </c>
      <c r="I51" s="11">
        <v>25576</v>
      </c>
      <c r="J51" s="11">
        <f t="shared" si="1"/>
        <v>0</v>
      </c>
      <c r="K51" s="12">
        <f>VLOOKUP(A51,[4]VA05!$A:$K,11,FALSE)</f>
        <v>45580</v>
      </c>
      <c r="L51" s="10" t="s">
        <v>28</v>
      </c>
      <c r="M51" s="10" t="s">
        <v>192</v>
      </c>
    </row>
    <row r="52" spans="1:13" x14ac:dyDescent="0.25">
      <c r="A52" s="13" t="str">
        <f t="shared" si="0"/>
        <v>50714274280</v>
      </c>
      <c r="B52" s="10">
        <v>1004052513</v>
      </c>
      <c r="C52" s="10">
        <v>507142742</v>
      </c>
      <c r="D52" s="10">
        <v>80</v>
      </c>
      <c r="E52" s="10" t="s">
        <v>10</v>
      </c>
      <c r="F52" s="10">
        <v>1209351</v>
      </c>
      <c r="G52" s="10" t="s">
        <v>135</v>
      </c>
      <c r="H52" s="11">
        <v>25576</v>
      </c>
      <c r="I52" s="11">
        <v>5180</v>
      </c>
      <c r="J52" s="11">
        <f t="shared" si="1"/>
        <v>20396</v>
      </c>
      <c r="K52" s="12">
        <f>VLOOKUP(A52,[4]VA05!$A:$K,11,FALSE)</f>
        <v>45587</v>
      </c>
      <c r="L52" s="10" t="s">
        <v>18</v>
      </c>
      <c r="M52" s="10" t="s">
        <v>176</v>
      </c>
    </row>
    <row r="53" spans="1:13" x14ac:dyDescent="0.25">
      <c r="A53" s="13" t="str">
        <f t="shared" si="0"/>
        <v>507142742110</v>
      </c>
      <c r="B53" s="10">
        <v>1004052514</v>
      </c>
      <c r="C53" s="10">
        <v>507142742</v>
      </c>
      <c r="D53" s="10">
        <v>110</v>
      </c>
      <c r="E53" s="10" t="s">
        <v>10</v>
      </c>
      <c r="F53" s="10">
        <v>1209351</v>
      </c>
      <c r="G53" s="10" t="s">
        <v>135</v>
      </c>
      <c r="H53" s="11">
        <v>25576</v>
      </c>
      <c r="I53" s="10">
        <v>0</v>
      </c>
      <c r="J53" s="11">
        <f t="shared" si="1"/>
        <v>25576</v>
      </c>
      <c r="K53" s="12" t="e">
        <f>VLOOKUP(A53,[4]VA05!$A:$K,11,FALSE)</f>
        <v>#N/A</v>
      </c>
      <c r="L53" s="10" t="s">
        <v>12</v>
      </c>
      <c r="M53" s="10" t="s">
        <v>198</v>
      </c>
    </row>
    <row r="54" spans="1:13" x14ac:dyDescent="0.25">
      <c r="A54" s="13" t="str">
        <f t="shared" si="0"/>
        <v>50714285120</v>
      </c>
      <c r="B54" s="10">
        <v>1004062680</v>
      </c>
      <c r="C54" s="10">
        <v>507142851</v>
      </c>
      <c r="D54" s="10">
        <v>20</v>
      </c>
      <c r="E54" s="10" t="s">
        <v>10</v>
      </c>
      <c r="F54" s="10">
        <v>1209351</v>
      </c>
      <c r="G54" s="10" t="s">
        <v>135</v>
      </c>
      <c r="H54" s="11">
        <v>35874</v>
      </c>
      <c r="I54" s="10">
        <v>0</v>
      </c>
      <c r="J54" s="11">
        <f t="shared" si="1"/>
        <v>35874</v>
      </c>
      <c r="K54" s="12">
        <f>VLOOKUP(A54,[4]VA05!$A:$K,11,FALSE)</f>
        <v>45593</v>
      </c>
      <c r="L54" s="10" t="s">
        <v>12</v>
      </c>
      <c r="M54" s="10" t="s">
        <v>199</v>
      </c>
    </row>
    <row r="55" spans="1:13" x14ac:dyDescent="0.25">
      <c r="A55" s="13" t="str">
        <f t="shared" si="0"/>
        <v>50900099220</v>
      </c>
      <c r="B55" s="10">
        <v>1004021332</v>
      </c>
      <c r="C55" s="10">
        <v>509000992</v>
      </c>
      <c r="D55" s="10">
        <v>20</v>
      </c>
      <c r="E55" s="10" t="s">
        <v>10</v>
      </c>
      <c r="F55" s="10">
        <v>1279716</v>
      </c>
      <c r="G55" s="10" t="s">
        <v>54</v>
      </c>
      <c r="H55" s="11">
        <v>10299</v>
      </c>
      <c r="I55" s="10">
        <v>0</v>
      </c>
      <c r="J55" s="11">
        <f t="shared" si="1"/>
        <v>10299</v>
      </c>
      <c r="K55" s="12" t="e">
        <f>VLOOKUP(A55,[4]VA05!$A:$K,11,FALSE)</f>
        <v>#N/A</v>
      </c>
      <c r="L55" s="10" t="s">
        <v>25</v>
      </c>
      <c r="M55" s="10" t="s">
        <v>66</v>
      </c>
    </row>
    <row r="56" spans="1:13" x14ac:dyDescent="0.25">
      <c r="A56" s="13" t="str">
        <f t="shared" si="0"/>
        <v>50714242410</v>
      </c>
      <c r="B56" s="10">
        <v>1004019563</v>
      </c>
      <c r="C56" s="10">
        <v>507142424</v>
      </c>
      <c r="D56" s="10">
        <v>10</v>
      </c>
      <c r="E56" s="10" t="s">
        <v>10</v>
      </c>
      <c r="F56" s="10">
        <v>1212320</v>
      </c>
      <c r="G56" s="10" t="s">
        <v>17</v>
      </c>
      <c r="H56" s="11">
        <v>19568</v>
      </c>
      <c r="I56" s="10">
        <v>0</v>
      </c>
      <c r="J56" s="11">
        <f t="shared" si="1"/>
        <v>19568</v>
      </c>
      <c r="K56" s="12" t="e">
        <f>VLOOKUP(A56,[4]VA05!$A:$K,11,FALSE)</f>
        <v>#N/A</v>
      </c>
      <c r="L56" s="10" t="s">
        <v>239</v>
      </c>
      <c r="M56" s="10" t="s">
        <v>72</v>
      </c>
    </row>
    <row r="57" spans="1:13" x14ac:dyDescent="0.25">
      <c r="A57" s="13" t="str">
        <f t="shared" si="0"/>
        <v>50714242430</v>
      </c>
      <c r="B57" s="10">
        <v>1004019564</v>
      </c>
      <c r="C57" s="10">
        <v>507142424</v>
      </c>
      <c r="D57" s="10">
        <v>30</v>
      </c>
      <c r="E57" s="10" t="s">
        <v>10</v>
      </c>
      <c r="F57" s="10">
        <v>1212320</v>
      </c>
      <c r="G57" s="10" t="s">
        <v>17</v>
      </c>
      <c r="H57" s="11">
        <v>19568</v>
      </c>
      <c r="I57" s="10">
        <v>0</v>
      </c>
      <c r="J57" s="11">
        <f t="shared" si="1"/>
        <v>19568</v>
      </c>
      <c r="K57" s="12" t="e">
        <f>VLOOKUP(A57,[4]VA05!$A:$K,11,FALSE)</f>
        <v>#N/A</v>
      </c>
      <c r="L57" s="10" t="s">
        <v>13</v>
      </c>
      <c r="M57" s="10" t="s">
        <v>69</v>
      </c>
    </row>
    <row r="58" spans="1:13" x14ac:dyDescent="0.25">
      <c r="A58" s="13" t="str">
        <f t="shared" si="0"/>
        <v>50714242450</v>
      </c>
      <c r="B58" s="10">
        <v>1004019566</v>
      </c>
      <c r="C58" s="10">
        <v>507142424</v>
      </c>
      <c r="D58" s="10">
        <v>50</v>
      </c>
      <c r="E58" s="10" t="s">
        <v>10</v>
      </c>
      <c r="F58" s="10">
        <v>1212320</v>
      </c>
      <c r="G58" s="10" t="s">
        <v>17</v>
      </c>
      <c r="H58" s="11">
        <v>30725</v>
      </c>
      <c r="I58" s="10">
        <v>0</v>
      </c>
      <c r="J58" s="11">
        <f t="shared" si="1"/>
        <v>30725</v>
      </c>
      <c r="K58" s="12" t="e">
        <f>VLOOKUP(A58,[4]VA05!$A:$K,11,FALSE)</f>
        <v>#N/A</v>
      </c>
      <c r="L58" s="10" t="s">
        <v>13</v>
      </c>
      <c r="M58" s="10" t="s">
        <v>73</v>
      </c>
    </row>
    <row r="59" spans="1:13" x14ac:dyDescent="0.25">
      <c r="A59" s="13" t="str">
        <f t="shared" si="0"/>
        <v>50714285120</v>
      </c>
      <c r="B59" s="10">
        <v>1004062192</v>
      </c>
      <c r="C59" s="10">
        <v>507142851</v>
      </c>
      <c r="D59" s="10">
        <v>20</v>
      </c>
      <c r="E59" s="10" t="s">
        <v>10</v>
      </c>
      <c r="F59" s="10">
        <v>1437172</v>
      </c>
      <c r="G59" s="10" t="s">
        <v>123</v>
      </c>
      <c r="H59" s="11">
        <v>35874</v>
      </c>
      <c r="I59" s="11">
        <v>16762</v>
      </c>
      <c r="J59" s="11">
        <f t="shared" si="1"/>
        <v>19112</v>
      </c>
      <c r="K59" s="12">
        <f>VLOOKUP(A59,[4]VA05!$A:$K,11,FALSE)</f>
        <v>45593</v>
      </c>
      <c r="L59" s="10" t="s">
        <v>18</v>
      </c>
      <c r="M59" s="10" t="s">
        <v>199</v>
      </c>
    </row>
    <row r="60" spans="1:13" x14ac:dyDescent="0.25">
      <c r="A60" s="13" t="str">
        <f t="shared" si="0"/>
        <v>50714274250</v>
      </c>
      <c r="B60" s="10">
        <v>1004064319</v>
      </c>
      <c r="C60" s="10">
        <v>507142742</v>
      </c>
      <c r="D60" s="10">
        <v>50</v>
      </c>
      <c r="E60" s="10" t="s">
        <v>10</v>
      </c>
      <c r="F60" s="10">
        <v>1437172</v>
      </c>
      <c r="G60" s="10" t="s">
        <v>123</v>
      </c>
      <c r="H60" s="11">
        <v>35874</v>
      </c>
      <c r="I60" s="10">
        <v>0</v>
      </c>
      <c r="J60" s="11">
        <f t="shared" si="1"/>
        <v>35874</v>
      </c>
      <c r="K60" s="12">
        <f>VLOOKUP(A60,[4]VA05!$A:$K,11,FALSE)</f>
        <v>45580</v>
      </c>
      <c r="L60" s="10" t="s">
        <v>12</v>
      </c>
      <c r="M60" s="10" t="s">
        <v>157</v>
      </c>
    </row>
    <row r="61" spans="1:13" x14ac:dyDescent="0.25">
      <c r="A61" s="13" t="str">
        <f t="shared" si="0"/>
        <v>50900099220</v>
      </c>
      <c r="B61" s="10">
        <v>1004016985</v>
      </c>
      <c r="C61" s="10">
        <v>509000992</v>
      </c>
      <c r="D61" s="10">
        <v>20</v>
      </c>
      <c r="E61" s="10" t="s">
        <v>10</v>
      </c>
      <c r="F61" s="10">
        <v>1279713</v>
      </c>
      <c r="G61" s="10" t="s">
        <v>55</v>
      </c>
      <c r="H61" s="11">
        <v>10299</v>
      </c>
      <c r="I61" s="10">
        <v>0</v>
      </c>
      <c r="J61" s="11">
        <f t="shared" si="1"/>
        <v>10299</v>
      </c>
      <c r="K61" s="12" t="e">
        <f>VLOOKUP(A61,[4]VA05!$A:$K,11,FALSE)</f>
        <v>#N/A</v>
      </c>
      <c r="L61" s="10" t="s">
        <v>13</v>
      </c>
      <c r="M61" s="10" t="s">
        <v>58</v>
      </c>
    </row>
    <row r="62" spans="1:13" x14ac:dyDescent="0.25">
      <c r="A62" s="13" t="str">
        <f t="shared" si="0"/>
        <v>50900099320</v>
      </c>
      <c r="B62" s="10">
        <v>1004016986</v>
      </c>
      <c r="C62" s="10">
        <v>509000993</v>
      </c>
      <c r="D62" s="10">
        <v>20</v>
      </c>
      <c r="E62" s="10" t="s">
        <v>10</v>
      </c>
      <c r="F62" s="10">
        <v>1279713</v>
      </c>
      <c r="G62" s="10" t="s">
        <v>55</v>
      </c>
      <c r="H62" s="11">
        <v>3262</v>
      </c>
      <c r="I62" s="10">
        <v>0</v>
      </c>
      <c r="J62" s="11">
        <f t="shared" si="1"/>
        <v>3262</v>
      </c>
      <c r="K62" s="12" t="e">
        <f>VLOOKUP(A62,[4]VA05!$A:$K,11,FALSE)</f>
        <v>#N/A</v>
      </c>
      <c r="L62" s="10" t="s">
        <v>12</v>
      </c>
      <c r="M62" s="10" t="s">
        <v>50</v>
      </c>
    </row>
    <row r="63" spans="1:13" x14ac:dyDescent="0.25">
      <c r="A63" s="13" t="str">
        <f t="shared" si="0"/>
        <v>50714274270</v>
      </c>
      <c r="B63" s="10">
        <v>1004052425</v>
      </c>
      <c r="C63" s="10">
        <v>507142742</v>
      </c>
      <c r="D63" s="10">
        <v>70</v>
      </c>
      <c r="E63" s="10" t="s">
        <v>10</v>
      </c>
      <c r="F63" s="10">
        <v>1209336</v>
      </c>
      <c r="G63" s="10" t="s">
        <v>124</v>
      </c>
      <c r="H63" s="11">
        <v>25576</v>
      </c>
      <c r="I63" s="11">
        <v>5860</v>
      </c>
      <c r="J63" s="11">
        <f t="shared" si="1"/>
        <v>19716</v>
      </c>
      <c r="K63" s="12">
        <f>VLOOKUP(A63,[4]VA05!$A:$K,11,FALSE)</f>
        <v>45587</v>
      </c>
      <c r="L63" s="10" t="s">
        <v>18</v>
      </c>
      <c r="M63" s="10" t="s">
        <v>199</v>
      </c>
    </row>
    <row r="64" spans="1:13" x14ac:dyDescent="0.25">
      <c r="A64" s="13" t="str">
        <f t="shared" si="0"/>
        <v>507142742100</v>
      </c>
      <c r="B64" s="10">
        <v>1004052426</v>
      </c>
      <c r="C64" s="10">
        <v>507142742</v>
      </c>
      <c r="D64" s="10">
        <v>100</v>
      </c>
      <c r="E64" s="10" t="s">
        <v>10</v>
      </c>
      <c r="F64" s="10">
        <v>1209336</v>
      </c>
      <c r="G64" s="10" t="s">
        <v>124</v>
      </c>
      <c r="H64" s="11">
        <v>25576</v>
      </c>
      <c r="I64" s="10">
        <v>0</v>
      </c>
      <c r="J64" s="11">
        <f t="shared" si="1"/>
        <v>25576</v>
      </c>
      <c r="K64" s="12" t="e">
        <f>VLOOKUP(A64,[4]VA05!$A:$K,11,FALSE)</f>
        <v>#N/A</v>
      </c>
      <c r="L64" s="10" t="s">
        <v>12</v>
      </c>
      <c r="M64" s="10" t="s">
        <v>200</v>
      </c>
    </row>
    <row r="65" spans="1:13" x14ac:dyDescent="0.25">
      <c r="A65" s="13" t="str">
        <f t="shared" si="0"/>
        <v>50714285110</v>
      </c>
      <c r="B65" s="10">
        <v>1004064146</v>
      </c>
      <c r="C65" s="10">
        <v>507142851</v>
      </c>
      <c r="D65" s="10">
        <v>10</v>
      </c>
      <c r="E65" s="10" t="s">
        <v>10</v>
      </c>
      <c r="F65" s="10">
        <v>1209336</v>
      </c>
      <c r="G65" s="10" t="s">
        <v>124</v>
      </c>
      <c r="H65" s="11">
        <v>35874</v>
      </c>
      <c r="I65" s="10">
        <v>0</v>
      </c>
      <c r="J65" s="11">
        <f t="shared" si="1"/>
        <v>35874</v>
      </c>
      <c r="K65" s="12">
        <f>VLOOKUP(A65,[4]VA05!$A:$K,11,FALSE)</f>
        <v>45593</v>
      </c>
      <c r="L65" s="10" t="s">
        <v>12</v>
      </c>
      <c r="M65" s="10" t="s">
        <v>192</v>
      </c>
    </row>
    <row r="66" spans="1:13" x14ac:dyDescent="0.25">
      <c r="A66" s="13" t="str">
        <f t="shared" si="0"/>
        <v>50714285140</v>
      </c>
      <c r="B66" s="10">
        <v>1004064317</v>
      </c>
      <c r="C66" s="10">
        <v>507142851</v>
      </c>
      <c r="D66" s="10">
        <v>40</v>
      </c>
      <c r="E66" s="10" t="s">
        <v>10</v>
      </c>
      <c r="F66" s="10">
        <v>1209336</v>
      </c>
      <c r="G66" s="10" t="s">
        <v>124</v>
      </c>
      <c r="H66" s="11">
        <v>35874</v>
      </c>
      <c r="I66" s="10">
        <v>0</v>
      </c>
      <c r="J66" s="11">
        <f t="shared" si="1"/>
        <v>35874</v>
      </c>
      <c r="K66" s="12">
        <f>VLOOKUP(A66,[4]VA05!$A:$K,11,FALSE)</f>
        <v>45601</v>
      </c>
      <c r="L66" s="10" t="s">
        <v>12</v>
      </c>
      <c r="M66" s="10" t="s">
        <v>176</v>
      </c>
    </row>
    <row r="67" spans="1:13" x14ac:dyDescent="0.25">
      <c r="A67" s="13" t="str">
        <f t="shared" si="0"/>
        <v>50714285170</v>
      </c>
      <c r="B67" s="10">
        <v>1004064318</v>
      </c>
      <c r="C67" s="10">
        <v>507142851</v>
      </c>
      <c r="D67" s="10">
        <v>70</v>
      </c>
      <c r="E67" s="10" t="s">
        <v>10</v>
      </c>
      <c r="F67" s="10">
        <v>1209336</v>
      </c>
      <c r="G67" s="10" t="s">
        <v>124</v>
      </c>
      <c r="H67" s="11">
        <v>30553</v>
      </c>
      <c r="I67" s="10">
        <v>0</v>
      </c>
      <c r="J67" s="11">
        <f t="shared" si="1"/>
        <v>30553</v>
      </c>
      <c r="K67" s="12">
        <f>VLOOKUP(A67,[4]VA05!$A:$K,11,FALSE)</f>
        <v>45608</v>
      </c>
      <c r="L67" s="10" t="s">
        <v>12</v>
      </c>
      <c r="M67" s="10" t="s">
        <v>302</v>
      </c>
    </row>
    <row r="68" spans="1:13" x14ac:dyDescent="0.25">
      <c r="A68" s="13" t="str">
        <f t="shared" ref="A68:A131" si="2">C68&amp;D68</f>
        <v>50714246960</v>
      </c>
      <c r="B68" s="10">
        <v>1004016982</v>
      </c>
      <c r="C68" s="10">
        <v>507142469</v>
      </c>
      <c r="D68" s="10">
        <v>60</v>
      </c>
      <c r="E68" s="10" t="s">
        <v>10</v>
      </c>
      <c r="F68" s="10">
        <v>1212321</v>
      </c>
      <c r="G68" s="10" t="s">
        <v>30</v>
      </c>
      <c r="H68" s="11">
        <v>71577</v>
      </c>
      <c r="I68" s="11">
        <v>8540</v>
      </c>
      <c r="J68" s="11">
        <f t="shared" ref="J68:J131" si="3">H68-I68</f>
        <v>63037</v>
      </c>
      <c r="K68" s="12" t="e">
        <f>VLOOKUP(A68,[4]VA05!$A:$K,11,FALSE)</f>
        <v>#N/A</v>
      </c>
      <c r="L68" s="10" t="s">
        <v>18</v>
      </c>
      <c r="M68" s="10" t="s">
        <v>49</v>
      </c>
    </row>
    <row r="69" spans="1:13" hidden="1" x14ac:dyDescent="0.25">
      <c r="A69" s="13" t="str">
        <f t="shared" si="2"/>
        <v>50714274230</v>
      </c>
      <c r="B69" s="10">
        <v>1004052421</v>
      </c>
      <c r="C69" s="10">
        <v>507142742</v>
      </c>
      <c r="D69" s="10">
        <v>30</v>
      </c>
      <c r="E69" s="10" t="s">
        <v>10</v>
      </c>
      <c r="F69" s="10">
        <v>1209347</v>
      </c>
      <c r="G69" s="10" t="s">
        <v>136</v>
      </c>
      <c r="H69" s="11">
        <v>25576</v>
      </c>
      <c r="I69" s="11">
        <v>25576</v>
      </c>
      <c r="J69" s="11">
        <f t="shared" si="3"/>
        <v>0</v>
      </c>
      <c r="K69" s="12">
        <f>VLOOKUP(A69,[4]VA05!$A:$K,11,FALSE)</f>
        <v>45575</v>
      </c>
      <c r="L69" s="10" t="s">
        <v>28</v>
      </c>
      <c r="M69" s="10" t="s">
        <v>157</v>
      </c>
    </row>
    <row r="70" spans="1:13" hidden="1" x14ac:dyDescent="0.25">
      <c r="A70" s="13" t="str">
        <f t="shared" si="2"/>
        <v>50714274260</v>
      </c>
      <c r="B70" s="10">
        <v>1004052422</v>
      </c>
      <c r="C70" s="10">
        <v>507142742</v>
      </c>
      <c r="D70" s="10">
        <v>60</v>
      </c>
      <c r="E70" s="10" t="s">
        <v>10</v>
      </c>
      <c r="F70" s="10">
        <v>1209347</v>
      </c>
      <c r="G70" s="10" t="s">
        <v>136</v>
      </c>
      <c r="H70" s="11">
        <v>25576</v>
      </c>
      <c r="I70" s="11">
        <v>25576</v>
      </c>
      <c r="J70" s="11">
        <f t="shared" si="3"/>
        <v>0</v>
      </c>
      <c r="K70" s="12">
        <f>VLOOKUP(A70,[4]VA05!$A:$K,11,FALSE)</f>
        <v>45580</v>
      </c>
      <c r="L70" s="10" t="s">
        <v>113</v>
      </c>
      <c r="M70" s="10" t="s">
        <v>192</v>
      </c>
    </row>
    <row r="71" spans="1:13" hidden="1" x14ac:dyDescent="0.25">
      <c r="A71" s="13" t="str">
        <f t="shared" si="2"/>
        <v>50714274290</v>
      </c>
      <c r="B71" s="10">
        <v>1004052423</v>
      </c>
      <c r="C71" s="10">
        <v>507142742</v>
      </c>
      <c r="D71" s="10">
        <v>90</v>
      </c>
      <c r="E71" s="10" t="s">
        <v>10</v>
      </c>
      <c r="F71" s="10">
        <v>1209347</v>
      </c>
      <c r="G71" s="10" t="s">
        <v>136</v>
      </c>
      <c r="H71" s="11">
        <v>25576</v>
      </c>
      <c r="I71" s="11">
        <v>25576</v>
      </c>
      <c r="J71" s="11">
        <f t="shared" si="3"/>
        <v>0</v>
      </c>
      <c r="K71" s="12">
        <f>VLOOKUP(A71,[4]VA05!$A:$K,11,FALSE)</f>
        <v>45587</v>
      </c>
      <c r="L71" s="10" t="s">
        <v>113</v>
      </c>
      <c r="M71" s="10" t="s">
        <v>176</v>
      </c>
    </row>
    <row r="72" spans="1:13" x14ac:dyDescent="0.25">
      <c r="A72" s="13" t="str">
        <f t="shared" si="2"/>
        <v>507142742120</v>
      </c>
      <c r="B72" s="10">
        <v>1004052424</v>
      </c>
      <c r="C72" s="10">
        <v>507142742</v>
      </c>
      <c r="D72" s="10">
        <v>120</v>
      </c>
      <c r="E72" s="10" t="s">
        <v>10</v>
      </c>
      <c r="F72" s="10">
        <v>1209347</v>
      </c>
      <c r="G72" s="10" t="s">
        <v>136</v>
      </c>
      <c r="H72" s="11">
        <v>25576</v>
      </c>
      <c r="I72" s="11">
        <v>2400</v>
      </c>
      <c r="J72" s="11">
        <f t="shared" si="3"/>
        <v>23176</v>
      </c>
      <c r="K72" s="12" t="e">
        <f>VLOOKUP(A72,[4]VA05!$A:$K,11,FALSE)</f>
        <v>#N/A</v>
      </c>
      <c r="L72" s="10" t="s">
        <v>18</v>
      </c>
      <c r="M72" s="10" t="s">
        <v>198</v>
      </c>
    </row>
    <row r="73" spans="1:13" x14ac:dyDescent="0.25">
      <c r="A73" s="13" t="str">
        <f t="shared" si="2"/>
        <v>50714285130</v>
      </c>
      <c r="B73" s="10">
        <v>1004064316</v>
      </c>
      <c r="C73" s="10">
        <v>507142851</v>
      </c>
      <c r="D73" s="10">
        <v>30</v>
      </c>
      <c r="E73" s="10" t="s">
        <v>10</v>
      </c>
      <c r="F73" s="10">
        <v>1209347</v>
      </c>
      <c r="G73" s="10" t="s">
        <v>136</v>
      </c>
      <c r="H73" s="11">
        <v>35874</v>
      </c>
      <c r="I73" s="10">
        <v>0</v>
      </c>
      <c r="J73" s="11">
        <f t="shared" si="3"/>
        <v>35874</v>
      </c>
      <c r="K73" s="12">
        <f>VLOOKUP(A73,[4]VA05!$A:$K,11,FALSE)</f>
        <v>45593</v>
      </c>
      <c r="L73" s="10" t="s">
        <v>12</v>
      </c>
      <c r="M73" s="10" t="s">
        <v>199</v>
      </c>
    </row>
    <row r="74" spans="1:13" x14ac:dyDescent="0.25">
      <c r="A74" s="13" t="str">
        <f t="shared" si="2"/>
        <v>50714273920</v>
      </c>
      <c r="B74" s="10">
        <v>1004051714</v>
      </c>
      <c r="C74" s="10">
        <v>507142739</v>
      </c>
      <c r="D74" s="10">
        <v>20</v>
      </c>
      <c r="E74" s="10" t="s">
        <v>10</v>
      </c>
      <c r="F74" s="10">
        <v>1409882</v>
      </c>
      <c r="G74" s="10" t="s">
        <v>39</v>
      </c>
      <c r="H74" s="11">
        <v>51460</v>
      </c>
      <c r="I74" s="11">
        <v>49454</v>
      </c>
      <c r="J74" s="11">
        <f t="shared" si="3"/>
        <v>2006</v>
      </c>
      <c r="K74" s="12">
        <f>VLOOKUP(A74,[4]VA05!$A:$K,11,FALSE)</f>
        <v>45573</v>
      </c>
      <c r="L74" s="10" t="s">
        <v>11</v>
      </c>
      <c r="M74" s="10" t="s">
        <v>202</v>
      </c>
    </row>
    <row r="75" spans="1:13" x14ac:dyDescent="0.25">
      <c r="A75" s="13" t="str">
        <f t="shared" si="2"/>
        <v>50714273930</v>
      </c>
      <c r="B75" s="10">
        <v>1004062039</v>
      </c>
      <c r="C75" s="10">
        <v>507142739</v>
      </c>
      <c r="D75" s="10">
        <v>30</v>
      </c>
      <c r="E75" s="10" t="s">
        <v>10</v>
      </c>
      <c r="F75" s="10">
        <v>1409882</v>
      </c>
      <c r="G75" s="10" t="s">
        <v>39</v>
      </c>
      <c r="H75" s="11">
        <v>28729</v>
      </c>
      <c r="I75" s="10">
        <v>0</v>
      </c>
      <c r="J75" s="11">
        <f t="shared" si="3"/>
        <v>28729</v>
      </c>
      <c r="K75" s="12">
        <f>VLOOKUP(A75,[4]VA05!$A:$K,11,FALSE)</f>
        <v>45580</v>
      </c>
      <c r="L75" s="10" t="s">
        <v>12</v>
      </c>
      <c r="M75" s="10" t="s">
        <v>197</v>
      </c>
    </row>
    <row r="76" spans="1:13" x14ac:dyDescent="0.25">
      <c r="A76" s="13" t="str">
        <f t="shared" si="2"/>
        <v>50714278010</v>
      </c>
      <c r="B76" s="10">
        <v>1004062040</v>
      </c>
      <c r="C76" s="10">
        <v>507142780</v>
      </c>
      <c r="D76" s="10">
        <v>10</v>
      </c>
      <c r="E76" s="10" t="s">
        <v>10</v>
      </c>
      <c r="F76" s="10">
        <v>1409882</v>
      </c>
      <c r="G76" s="10" t="s">
        <v>39</v>
      </c>
      <c r="H76" s="11">
        <v>32518</v>
      </c>
      <c r="I76" s="10">
        <v>0</v>
      </c>
      <c r="J76" s="11">
        <f t="shared" si="3"/>
        <v>32518</v>
      </c>
      <c r="K76" s="12">
        <f>VLOOKUP(A76,[4]VA05!$A:$K,11,FALSE)</f>
        <v>45580</v>
      </c>
      <c r="L76" s="10" t="s">
        <v>12</v>
      </c>
      <c r="M76" s="10" t="s">
        <v>162</v>
      </c>
    </row>
    <row r="77" spans="1:13" x14ac:dyDescent="0.25">
      <c r="A77" s="13" t="str">
        <f t="shared" si="2"/>
        <v>50714278020</v>
      </c>
      <c r="B77" s="10">
        <v>1004064147</v>
      </c>
      <c r="C77" s="10">
        <v>507142780</v>
      </c>
      <c r="D77" s="10">
        <v>20</v>
      </c>
      <c r="E77" s="10" t="s">
        <v>10</v>
      </c>
      <c r="F77" s="10">
        <v>1409882</v>
      </c>
      <c r="G77" s="10" t="s">
        <v>39</v>
      </c>
      <c r="H77" s="11">
        <v>51460</v>
      </c>
      <c r="I77" s="10">
        <v>0</v>
      </c>
      <c r="J77" s="11">
        <f t="shared" si="3"/>
        <v>51460</v>
      </c>
      <c r="K77" s="12">
        <f>VLOOKUP(A77,[4]VA05!$A:$K,11,FALSE)</f>
        <v>45587</v>
      </c>
      <c r="L77" s="10" t="s">
        <v>12</v>
      </c>
      <c r="M77" s="10" t="s">
        <v>179</v>
      </c>
    </row>
    <row r="78" spans="1:13" x14ac:dyDescent="0.25">
      <c r="A78" s="13" t="str">
        <f t="shared" si="2"/>
        <v>50714278030</v>
      </c>
      <c r="B78" s="10">
        <v>1004064148</v>
      </c>
      <c r="C78" s="10">
        <v>507142780</v>
      </c>
      <c r="D78" s="10">
        <v>30</v>
      </c>
      <c r="E78" s="10" t="s">
        <v>10</v>
      </c>
      <c r="F78" s="10">
        <v>1409882</v>
      </c>
      <c r="G78" s="10" t="s">
        <v>39</v>
      </c>
      <c r="H78" s="11">
        <v>18627</v>
      </c>
      <c r="I78" s="10">
        <v>0</v>
      </c>
      <c r="J78" s="11">
        <f t="shared" si="3"/>
        <v>18627</v>
      </c>
      <c r="K78" s="12">
        <f>VLOOKUP(A78,[4]VA05!$A:$K,11,FALSE)</f>
        <v>45594</v>
      </c>
      <c r="L78" s="10" t="s">
        <v>12</v>
      </c>
      <c r="M78" s="10" t="s">
        <v>176</v>
      </c>
    </row>
    <row r="79" spans="1:13" x14ac:dyDescent="0.25">
      <c r="A79" s="13" t="str">
        <f t="shared" si="2"/>
        <v>50714283210</v>
      </c>
      <c r="B79" s="10">
        <v>1004064309</v>
      </c>
      <c r="C79" s="10">
        <v>507142832</v>
      </c>
      <c r="D79" s="10">
        <v>10</v>
      </c>
      <c r="E79" s="10" t="s">
        <v>10</v>
      </c>
      <c r="F79" s="10">
        <v>1409882</v>
      </c>
      <c r="G79" s="10" t="s">
        <v>39</v>
      </c>
      <c r="H79" s="11">
        <v>51460</v>
      </c>
      <c r="I79" s="10">
        <v>0</v>
      </c>
      <c r="J79" s="11">
        <f t="shared" si="3"/>
        <v>51460</v>
      </c>
      <c r="K79" s="12">
        <f>VLOOKUP(A79,[4]VA05!$A:$K,11,FALSE)</f>
        <v>45595</v>
      </c>
      <c r="L79" s="10" t="s">
        <v>12</v>
      </c>
      <c r="M79" s="10" t="s">
        <v>157</v>
      </c>
    </row>
    <row r="80" spans="1:13" x14ac:dyDescent="0.25">
      <c r="A80" s="13" t="str">
        <f t="shared" si="2"/>
        <v>50714273920</v>
      </c>
      <c r="B80" s="10">
        <v>1004056941</v>
      </c>
      <c r="C80" s="10">
        <v>507142739</v>
      </c>
      <c r="D80" s="10">
        <v>20</v>
      </c>
      <c r="E80" s="10" t="s">
        <v>10</v>
      </c>
      <c r="F80" s="10">
        <v>1409883</v>
      </c>
      <c r="G80" s="10" t="s">
        <v>40</v>
      </c>
      <c r="H80" s="11">
        <v>54066</v>
      </c>
      <c r="I80" s="11">
        <v>45078</v>
      </c>
      <c r="J80" s="11">
        <f t="shared" si="3"/>
        <v>8988</v>
      </c>
      <c r="K80" s="12">
        <f>VLOOKUP(A80,[4]VA05!$A:$K,11,FALSE)</f>
        <v>45573</v>
      </c>
      <c r="L80" s="10" t="s">
        <v>11</v>
      </c>
      <c r="M80" s="10" t="s">
        <v>194</v>
      </c>
    </row>
    <row r="81" spans="1:13" x14ac:dyDescent="0.25">
      <c r="A81" s="13" t="str">
        <f t="shared" si="2"/>
        <v>50714273930</v>
      </c>
      <c r="B81" s="10">
        <v>1004057977</v>
      </c>
      <c r="C81" s="10">
        <v>507142739</v>
      </c>
      <c r="D81" s="10">
        <v>30</v>
      </c>
      <c r="E81" s="10" t="s">
        <v>10</v>
      </c>
      <c r="F81" s="10">
        <v>1409883</v>
      </c>
      <c r="G81" s="10" t="s">
        <v>40</v>
      </c>
      <c r="H81" s="11">
        <v>30185</v>
      </c>
      <c r="I81" s="10">
        <v>0</v>
      </c>
      <c r="J81" s="11">
        <f t="shared" si="3"/>
        <v>30185</v>
      </c>
      <c r="K81" s="12">
        <f>VLOOKUP(A81,[4]VA05!$A:$K,11,FALSE)</f>
        <v>45580</v>
      </c>
      <c r="L81" s="10" t="s">
        <v>119</v>
      </c>
      <c r="M81" s="10" t="s">
        <v>155</v>
      </c>
    </row>
    <row r="82" spans="1:13" x14ac:dyDescent="0.25">
      <c r="A82" s="13" t="str">
        <f t="shared" si="2"/>
        <v>50714278010</v>
      </c>
      <c r="B82" s="10">
        <v>1004058757</v>
      </c>
      <c r="C82" s="10">
        <v>507142780</v>
      </c>
      <c r="D82" s="10">
        <v>10</v>
      </c>
      <c r="E82" s="10" t="s">
        <v>10</v>
      </c>
      <c r="F82" s="10">
        <v>1409883</v>
      </c>
      <c r="G82" s="10" t="s">
        <v>40</v>
      </c>
      <c r="H82" s="11">
        <v>34165</v>
      </c>
      <c r="I82" s="10">
        <v>0</v>
      </c>
      <c r="J82" s="11">
        <f t="shared" si="3"/>
        <v>34165</v>
      </c>
      <c r="K82" s="12">
        <f>VLOOKUP(A82,[4]VA05!$A:$K,11,FALSE)</f>
        <v>45580</v>
      </c>
      <c r="L82" s="10" t="s">
        <v>12</v>
      </c>
      <c r="M82" s="10" t="s">
        <v>195</v>
      </c>
    </row>
    <row r="83" spans="1:13" x14ac:dyDescent="0.25">
      <c r="A83" s="13" t="str">
        <f t="shared" si="2"/>
        <v>50714278020</v>
      </c>
      <c r="B83" s="10">
        <v>1004058758</v>
      </c>
      <c r="C83" s="10">
        <v>507142780</v>
      </c>
      <c r="D83" s="10">
        <v>20</v>
      </c>
      <c r="E83" s="10" t="s">
        <v>10</v>
      </c>
      <c r="F83" s="10">
        <v>1409883</v>
      </c>
      <c r="G83" s="10" t="s">
        <v>40</v>
      </c>
      <c r="H83" s="11">
        <v>54066</v>
      </c>
      <c r="I83" s="10">
        <v>0</v>
      </c>
      <c r="J83" s="11">
        <f t="shared" si="3"/>
        <v>54066</v>
      </c>
      <c r="K83" s="12">
        <f>VLOOKUP(A83,[4]VA05!$A:$K,11,FALSE)</f>
        <v>45587</v>
      </c>
      <c r="L83" s="10" t="s">
        <v>12</v>
      </c>
      <c r="M83" s="10" t="s">
        <v>195</v>
      </c>
    </row>
    <row r="84" spans="1:13" x14ac:dyDescent="0.25">
      <c r="A84" s="13" t="str">
        <f t="shared" si="2"/>
        <v>50714278030</v>
      </c>
      <c r="B84" s="10">
        <v>1004058759</v>
      </c>
      <c r="C84" s="10">
        <v>507142780</v>
      </c>
      <c r="D84" s="10">
        <v>30</v>
      </c>
      <c r="E84" s="10" t="s">
        <v>10</v>
      </c>
      <c r="F84" s="10">
        <v>1409883</v>
      </c>
      <c r="G84" s="10" t="s">
        <v>40</v>
      </c>
      <c r="H84" s="11">
        <v>19571</v>
      </c>
      <c r="I84" s="10">
        <v>0</v>
      </c>
      <c r="J84" s="11">
        <f t="shared" si="3"/>
        <v>19571</v>
      </c>
      <c r="K84" s="12">
        <f>VLOOKUP(A84,[4]VA05!$A:$K,11,FALSE)</f>
        <v>45594</v>
      </c>
      <c r="L84" s="10" t="s">
        <v>12</v>
      </c>
      <c r="M84" s="10" t="s">
        <v>192</v>
      </c>
    </row>
    <row r="85" spans="1:13" x14ac:dyDescent="0.25">
      <c r="A85" s="13" t="str">
        <f t="shared" si="2"/>
        <v>50714276530</v>
      </c>
      <c r="B85" s="10">
        <v>1004051408</v>
      </c>
      <c r="C85" s="10">
        <v>507142765</v>
      </c>
      <c r="D85" s="10">
        <v>30</v>
      </c>
      <c r="E85" s="10" t="s">
        <v>10</v>
      </c>
      <c r="F85" s="10">
        <v>1398384</v>
      </c>
      <c r="G85" s="10" t="s">
        <v>168</v>
      </c>
      <c r="H85" s="11">
        <v>34807</v>
      </c>
      <c r="I85" s="11">
        <v>29247</v>
      </c>
      <c r="J85" s="11">
        <f t="shared" si="3"/>
        <v>5560</v>
      </c>
      <c r="K85" s="12">
        <f>VLOOKUP(A85,[4]VA05!$A:$K,11,FALSE)</f>
        <v>45569</v>
      </c>
      <c r="L85" s="10" t="s">
        <v>11</v>
      </c>
      <c r="M85" s="10" t="s">
        <v>202</v>
      </c>
    </row>
    <row r="86" spans="1:13" x14ac:dyDescent="0.25">
      <c r="A86" s="13" t="str">
        <f t="shared" si="2"/>
        <v>50714276540</v>
      </c>
      <c r="B86" s="10">
        <v>1004052528</v>
      </c>
      <c r="C86" s="10">
        <v>507142765</v>
      </c>
      <c r="D86" s="10">
        <v>40</v>
      </c>
      <c r="E86" s="10" t="s">
        <v>10</v>
      </c>
      <c r="F86" s="10">
        <v>1398384</v>
      </c>
      <c r="G86" s="10" t="s">
        <v>168</v>
      </c>
      <c r="H86" s="11">
        <v>35078</v>
      </c>
      <c r="I86" s="10">
        <v>0</v>
      </c>
      <c r="J86" s="11">
        <f t="shared" si="3"/>
        <v>35078</v>
      </c>
      <c r="K86" s="12">
        <f>VLOOKUP(A86,[4]VA05!$A:$K,11,FALSE)</f>
        <v>45576</v>
      </c>
      <c r="L86" s="10" t="s">
        <v>12</v>
      </c>
      <c r="M86" s="10" t="s">
        <v>195</v>
      </c>
    </row>
    <row r="87" spans="1:13" x14ac:dyDescent="0.25">
      <c r="A87" s="13" t="str">
        <f t="shared" si="2"/>
        <v>50714276550</v>
      </c>
      <c r="B87" s="10">
        <v>1004052529</v>
      </c>
      <c r="C87" s="10">
        <v>507142765</v>
      </c>
      <c r="D87" s="10">
        <v>50</v>
      </c>
      <c r="E87" s="10" t="s">
        <v>10</v>
      </c>
      <c r="F87" s="10">
        <v>1398384</v>
      </c>
      <c r="G87" s="10" t="s">
        <v>168</v>
      </c>
      <c r="H87" s="11">
        <v>45412</v>
      </c>
      <c r="I87" s="10">
        <v>0</v>
      </c>
      <c r="J87" s="11">
        <f t="shared" si="3"/>
        <v>45412</v>
      </c>
      <c r="K87" s="12">
        <f>VLOOKUP(A87,[4]VA05!$A:$K,11,FALSE)</f>
        <v>45583</v>
      </c>
      <c r="L87" s="10" t="s">
        <v>12</v>
      </c>
      <c r="M87" s="10" t="s">
        <v>194</v>
      </c>
    </row>
    <row r="88" spans="1:13" x14ac:dyDescent="0.25">
      <c r="A88" s="13" t="str">
        <f t="shared" si="2"/>
        <v>50714276560</v>
      </c>
      <c r="B88" s="10">
        <v>1004052530</v>
      </c>
      <c r="C88" s="10">
        <v>507142765</v>
      </c>
      <c r="D88" s="10">
        <v>60</v>
      </c>
      <c r="E88" s="10" t="s">
        <v>10</v>
      </c>
      <c r="F88" s="10">
        <v>1398384</v>
      </c>
      <c r="G88" s="10" t="s">
        <v>168</v>
      </c>
      <c r="H88" s="11">
        <v>45412</v>
      </c>
      <c r="I88" s="10">
        <v>0</v>
      </c>
      <c r="J88" s="11">
        <f t="shared" si="3"/>
        <v>45412</v>
      </c>
      <c r="K88" s="12">
        <f>VLOOKUP(A88,[4]VA05!$A:$K,11,FALSE)</f>
        <v>45590</v>
      </c>
      <c r="L88" s="10" t="s">
        <v>12</v>
      </c>
      <c r="M88" s="10" t="s">
        <v>179</v>
      </c>
    </row>
    <row r="89" spans="1:13" x14ac:dyDescent="0.25">
      <c r="A89" s="13" t="str">
        <f t="shared" si="2"/>
        <v>50714276530</v>
      </c>
      <c r="B89" s="10">
        <v>1004052534</v>
      </c>
      <c r="C89" s="10">
        <v>507142765</v>
      </c>
      <c r="D89" s="10">
        <v>30</v>
      </c>
      <c r="E89" s="10" t="s">
        <v>10</v>
      </c>
      <c r="F89" s="10">
        <v>1398385</v>
      </c>
      <c r="G89" s="10" t="s">
        <v>183</v>
      </c>
      <c r="H89" s="11">
        <v>35852</v>
      </c>
      <c r="I89" s="11">
        <v>26822</v>
      </c>
      <c r="J89" s="11">
        <f t="shared" si="3"/>
        <v>9030</v>
      </c>
      <c r="K89" s="12">
        <f>VLOOKUP(A89,[4]VA05!$A:$K,11,FALSE)</f>
        <v>45569</v>
      </c>
      <c r="L89" s="10" t="s">
        <v>11</v>
      </c>
      <c r="M89" s="10" t="s">
        <v>179</v>
      </c>
    </row>
    <row r="90" spans="1:13" x14ac:dyDescent="0.25">
      <c r="A90" s="13" t="str">
        <f t="shared" si="2"/>
        <v>50714276540</v>
      </c>
      <c r="B90" s="10">
        <v>1004052535</v>
      </c>
      <c r="C90" s="10">
        <v>507142765</v>
      </c>
      <c r="D90" s="10">
        <v>40</v>
      </c>
      <c r="E90" s="10" t="s">
        <v>10</v>
      </c>
      <c r="F90" s="10">
        <v>1398385</v>
      </c>
      <c r="G90" s="10" t="s">
        <v>183</v>
      </c>
      <c r="H90" s="11">
        <v>36131</v>
      </c>
      <c r="I90" s="10">
        <v>0</v>
      </c>
      <c r="J90" s="11">
        <f t="shared" si="3"/>
        <v>36131</v>
      </c>
      <c r="K90" s="12">
        <f>VLOOKUP(A90,[4]VA05!$A:$K,11,FALSE)</f>
        <v>45576</v>
      </c>
      <c r="L90" s="10" t="s">
        <v>12</v>
      </c>
      <c r="M90" s="10" t="s">
        <v>180</v>
      </c>
    </row>
    <row r="91" spans="1:13" x14ac:dyDescent="0.25">
      <c r="A91" s="13" t="str">
        <f t="shared" si="2"/>
        <v>50714276550</v>
      </c>
      <c r="B91" s="10">
        <v>1004052536</v>
      </c>
      <c r="C91" s="10">
        <v>507142765</v>
      </c>
      <c r="D91" s="10">
        <v>50</v>
      </c>
      <c r="E91" s="10" t="s">
        <v>10</v>
      </c>
      <c r="F91" s="10">
        <v>1398385</v>
      </c>
      <c r="G91" s="10" t="s">
        <v>183</v>
      </c>
      <c r="H91" s="11">
        <v>46775</v>
      </c>
      <c r="I91" s="10">
        <v>0</v>
      </c>
      <c r="J91" s="11">
        <f t="shared" si="3"/>
        <v>46775</v>
      </c>
      <c r="K91" s="12">
        <f>VLOOKUP(A91,[4]VA05!$A:$K,11,FALSE)</f>
        <v>45583</v>
      </c>
      <c r="L91" s="10" t="s">
        <v>12</v>
      </c>
      <c r="M91" s="10" t="s">
        <v>201</v>
      </c>
    </row>
    <row r="92" spans="1:13" x14ac:dyDescent="0.25">
      <c r="A92" s="13" t="str">
        <f t="shared" si="2"/>
        <v>50714276560</v>
      </c>
      <c r="B92" s="10">
        <v>1004052537</v>
      </c>
      <c r="C92" s="10">
        <v>507142765</v>
      </c>
      <c r="D92" s="10">
        <v>60</v>
      </c>
      <c r="E92" s="10" t="s">
        <v>10</v>
      </c>
      <c r="F92" s="10">
        <v>1398385</v>
      </c>
      <c r="G92" s="10" t="s">
        <v>183</v>
      </c>
      <c r="H92" s="11">
        <v>46775</v>
      </c>
      <c r="I92" s="10">
        <v>0</v>
      </c>
      <c r="J92" s="11">
        <f t="shared" si="3"/>
        <v>46775</v>
      </c>
      <c r="K92" s="12">
        <f>VLOOKUP(A92,[4]VA05!$A:$K,11,FALSE)</f>
        <v>45590</v>
      </c>
      <c r="L92" s="10" t="s">
        <v>12</v>
      </c>
      <c r="M92" s="10" t="s">
        <v>178</v>
      </c>
    </row>
    <row r="93" spans="1:13" x14ac:dyDescent="0.25">
      <c r="A93" s="13" t="str">
        <f t="shared" si="2"/>
        <v>50714276540</v>
      </c>
      <c r="B93" s="10">
        <v>1004052541</v>
      </c>
      <c r="C93" s="10">
        <v>507142765</v>
      </c>
      <c r="D93" s="10">
        <v>40</v>
      </c>
      <c r="E93" s="10" t="s">
        <v>10</v>
      </c>
      <c r="F93" s="10">
        <v>1398386</v>
      </c>
      <c r="G93" s="10" t="s">
        <v>184</v>
      </c>
      <c r="H93" s="11">
        <v>31889</v>
      </c>
      <c r="I93" s="11">
        <v>8880</v>
      </c>
      <c r="J93" s="11">
        <f t="shared" si="3"/>
        <v>23009</v>
      </c>
      <c r="K93" s="12">
        <f>VLOOKUP(A93,[4]VA05!$A:$K,11,FALSE)</f>
        <v>45576</v>
      </c>
      <c r="L93" s="10" t="s">
        <v>18</v>
      </c>
      <c r="M93" s="10" t="s">
        <v>192</v>
      </c>
    </row>
    <row r="94" spans="1:13" x14ac:dyDescent="0.25">
      <c r="A94" s="13" t="str">
        <f t="shared" si="2"/>
        <v>50714276550</v>
      </c>
      <c r="B94" s="10">
        <v>1004052543</v>
      </c>
      <c r="C94" s="10">
        <v>507142765</v>
      </c>
      <c r="D94" s="10">
        <v>50</v>
      </c>
      <c r="E94" s="10" t="s">
        <v>10</v>
      </c>
      <c r="F94" s="10">
        <v>1398386</v>
      </c>
      <c r="G94" s="10" t="s">
        <v>184</v>
      </c>
      <c r="H94" s="11">
        <v>41283</v>
      </c>
      <c r="I94" s="10">
        <v>0</v>
      </c>
      <c r="J94" s="11">
        <f t="shared" si="3"/>
        <v>41283</v>
      </c>
      <c r="K94" s="12">
        <f>VLOOKUP(A94,[4]VA05!$A:$K,11,FALSE)</f>
        <v>45583</v>
      </c>
      <c r="L94" s="10" t="s">
        <v>12</v>
      </c>
      <c r="M94" s="10" t="s">
        <v>202</v>
      </c>
    </row>
    <row r="95" spans="1:13" x14ac:dyDescent="0.25">
      <c r="A95" s="13" t="str">
        <f t="shared" si="2"/>
        <v>50714276560</v>
      </c>
      <c r="B95" s="10">
        <v>1004052544</v>
      </c>
      <c r="C95" s="10">
        <v>507142765</v>
      </c>
      <c r="D95" s="10">
        <v>60</v>
      </c>
      <c r="E95" s="10" t="s">
        <v>10</v>
      </c>
      <c r="F95" s="10">
        <v>1398386</v>
      </c>
      <c r="G95" s="10" t="s">
        <v>184</v>
      </c>
      <c r="H95" s="11">
        <v>41283</v>
      </c>
      <c r="I95" s="10">
        <v>0</v>
      </c>
      <c r="J95" s="11">
        <f t="shared" si="3"/>
        <v>41283</v>
      </c>
      <c r="K95" s="12">
        <f>VLOOKUP(A95,[4]VA05!$A:$K,11,FALSE)</f>
        <v>45590</v>
      </c>
      <c r="L95" s="10" t="s">
        <v>12</v>
      </c>
      <c r="M95" s="10" t="s">
        <v>191</v>
      </c>
    </row>
    <row r="96" spans="1:13" x14ac:dyDescent="0.25">
      <c r="A96" s="13" t="str">
        <f t="shared" si="2"/>
        <v>50714276640</v>
      </c>
      <c r="B96" s="10">
        <v>1004064320</v>
      </c>
      <c r="C96" s="10">
        <v>507142766</v>
      </c>
      <c r="D96" s="10">
        <v>40</v>
      </c>
      <c r="E96" s="10" t="s">
        <v>10</v>
      </c>
      <c r="F96" s="10">
        <v>1398746</v>
      </c>
      <c r="G96" s="10" t="s">
        <v>213</v>
      </c>
      <c r="H96" s="11">
        <v>46405</v>
      </c>
      <c r="I96" s="11">
        <v>3664</v>
      </c>
      <c r="J96" s="11">
        <f t="shared" si="3"/>
        <v>42741</v>
      </c>
      <c r="K96" s="12">
        <f>VLOOKUP(A96,[4]VA05!$A:$K,11,FALSE)</f>
        <v>45604</v>
      </c>
      <c r="L96" s="10" t="s">
        <v>18</v>
      </c>
      <c r="M96" s="10" t="s">
        <v>193</v>
      </c>
    </row>
    <row r="97" spans="1:13" x14ac:dyDescent="0.25">
      <c r="A97" s="13" t="str">
        <f t="shared" si="2"/>
        <v>50714276630</v>
      </c>
      <c r="B97" s="10">
        <v>1004053435</v>
      </c>
      <c r="C97" s="10">
        <v>507142766</v>
      </c>
      <c r="D97" s="10">
        <v>30</v>
      </c>
      <c r="E97" s="10" t="s">
        <v>10</v>
      </c>
      <c r="F97" s="10">
        <v>1398747</v>
      </c>
      <c r="G97" s="10" t="s">
        <v>214</v>
      </c>
      <c r="H97" s="11">
        <v>31148</v>
      </c>
      <c r="I97" s="11">
        <v>22387</v>
      </c>
      <c r="J97" s="11">
        <f t="shared" si="3"/>
        <v>8761</v>
      </c>
      <c r="K97" s="12">
        <f>VLOOKUP(A97,[4]VA05!$A:$K,11,FALSE)</f>
        <v>45596</v>
      </c>
      <c r="L97" s="10" t="s">
        <v>18</v>
      </c>
      <c r="M97" s="10" t="s">
        <v>197</v>
      </c>
    </row>
    <row r="98" spans="1:13" x14ac:dyDescent="0.25">
      <c r="A98" s="13" t="str">
        <f t="shared" si="2"/>
        <v>50714283610</v>
      </c>
      <c r="B98" s="10">
        <v>1004058753</v>
      </c>
      <c r="C98" s="10">
        <v>507142836</v>
      </c>
      <c r="D98" s="10">
        <v>10</v>
      </c>
      <c r="E98" s="10" t="s">
        <v>10</v>
      </c>
      <c r="F98" s="10">
        <v>1152845</v>
      </c>
      <c r="G98" s="10" t="s">
        <v>185</v>
      </c>
      <c r="H98" s="11">
        <v>25821</v>
      </c>
      <c r="I98" s="11">
        <v>17250</v>
      </c>
      <c r="J98" s="11">
        <f t="shared" si="3"/>
        <v>8571</v>
      </c>
      <c r="K98" s="12">
        <f>VLOOKUP(A98,[4]VA05!$A:$K,11,FALSE)</f>
        <v>45588</v>
      </c>
      <c r="L98" s="10" t="s">
        <v>18</v>
      </c>
      <c r="M98" s="10" t="s">
        <v>216</v>
      </c>
    </row>
    <row r="99" spans="1:13" x14ac:dyDescent="0.25">
      <c r="A99" s="13" t="str">
        <f t="shared" si="2"/>
        <v>50714283610</v>
      </c>
      <c r="B99" s="10">
        <v>1004061401</v>
      </c>
      <c r="C99" s="10">
        <v>507142836</v>
      </c>
      <c r="D99" s="10">
        <v>10</v>
      </c>
      <c r="E99" s="10" t="s">
        <v>10</v>
      </c>
      <c r="F99" s="10">
        <v>1206292</v>
      </c>
      <c r="G99" s="10" t="s">
        <v>257</v>
      </c>
      <c r="H99" s="11">
        <v>29436</v>
      </c>
      <c r="I99" s="10">
        <v>0</v>
      </c>
      <c r="J99" s="11">
        <f t="shared" si="3"/>
        <v>29436</v>
      </c>
      <c r="K99" s="12">
        <f>VLOOKUP(A99,[4]VA05!$A:$K,11,FALSE)</f>
        <v>45588</v>
      </c>
      <c r="L99" s="10" t="s">
        <v>12</v>
      </c>
      <c r="M99" s="10" t="s">
        <v>157</v>
      </c>
    </row>
    <row r="100" spans="1:13" x14ac:dyDescent="0.25">
      <c r="A100" s="13" t="str">
        <f t="shared" si="2"/>
        <v>50714271310</v>
      </c>
      <c r="B100" s="10">
        <v>1004052555</v>
      </c>
      <c r="C100" s="10">
        <v>507142713</v>
      </c>
      <c r="D100" s="10">
        <v>10</v>
      </c>
      <c r="E100" s="10" t="s">
        <v>10</v>
      </c>
      <c r="F100" s="10">
        <v>1172472</v>
      </c>
      <c r="G100" s="10" t="s">
        <v>86</v>
      </c>
      <c r="H100" s="11">
        <v>10524</v>
      </c>
      <c r="I100" s="10">
        <v>246</v>
      </c>
      <c r="J100" s="11">
        <f t="shared" si="3"/>
        <v>10278</v>
      </c>
      <c r="K100" s="12">
        <f>VLOOKUP(A100,[4]VA05!$A:$K,11,FALSE)</f>
        <v>45591</v>
      </c>
      <c r="L100" s="10" t="s">
        <v>18</v>
      </c>
      <c r="M100" s="10" t="s">
        <v>203</v>
      </c>
    </row>
    <row r="101" spans="1:13" x14ac:dyDescent="0.25">
      <c r="A101" s="13" t="str">
        <f t="shared" si="2"/>
        <v>50714271340</v>
      </c>
      <c r="B101" s="10">
        <v>1004052556</v>
      </c>
      <c r="C101" s="10">
        <v>507142713</v>
      </c>
      <c r="D101" s="10">
        <v>40</v>
      </c>
      <c r="E101" s="10" t="s">
        <v>10</v>
      </c>
      <c r="F101" s="10">
        <v>1172472</v>
      </c>
      <c r="G101" s="10" t="s">
        <v>86</v>
      </c>
      <c r="H101" s="11">
        <v>10524</v>
      </c>
      <c r="I101" s="10">
        <v>0</v>
      </c>
      <c r="J101" s="11">
        <f t="shared" si="3"/>
        <v>10524</v>
      </c>
      <c r="K101" s="12">
        <f>VLOOKUP(A101,[4]VA05!$A:$K,11,FALSE)</f>
        <v>45591</v>
      </c>
      <c r="L101" s="10" t="s">
        <v>12</v>
      </c>
      <c r="M101" s="10" t="s">
        <v>203</v>
      </c>
    </row>
    <row r="102" spans="1:13" x14ac:dyDescent="0.25">
      <c r="A102" s="13" t="str">
        <f t="shared" si="2"/>
        <v>507142416190</v>
      </c>
      <c r="B102" s="10">
        <v>1004052561</v>
      </c>
      <c r="C102" s="10">
        <v>507142416</v>
      </c>
      <c r="D102" s="10">
        <v>190</v>
      </c>
      <c r="E102" s="10" t="s">
        <v>10</v>
      </c>
      <c r="F102" s="10">
        <v>1171177</v>
      </c>
      <c r="G102" s="10" t="s">
        <v>88</v>
      </c>
      <c r="H102" s="11">
        <v>10170</v>
      </c>
      <c r="I102" s="11">
        <v>1056</v>
      </c>
      <c r="J102" s="11">
        <f t="shared" si="3"/>
        <v>9114</v>
      </c>
      <c r="K102" s="12">
        <f>VLOOKUP(A102,[4]VA05!$A:$K,11,FALSE)</f>
        <v>45583</v>
      </c>
      <c r="L102" s="10" t="s">
        <v>18</v>
      </c>
      <c r="M102" s="10" t="s">
        <v>177</v>
      </c>
    </row>
    <row r="103" spans="1:13" x14ac:dyDescent="0.25">
      <c r="A103" s="13" t="str">
        <f t="shared" si="2"/>
        <v>507142416220</v>
      </c>
      <c r="B103" s="10">
        <v>1004052563</v>
      </c>
      <c r="C103" s="10">
        <v>507142416</v>
      </c>
      <c r="D103" s="10">
        <v>220</v>
      </c>
      <c r="E103" s="10" t="s">
        <v>10</v>
      </c>
      <c r="F103" s="10">
        <v>1171177</v>
      </c>
      <c r="G103" s="10" t="s">
        <v>88</v>
      </c>
      <c r="H103" s="11">
        <v>10170</v>
      </c>
      <c r="I103" s="10">
        <v>0</v>
      </c>
      <c r="J103" s="11">
        <f t="shared" si="3"/>
        <v>10170</v>
      </c>
      <c r="K103" s="12">
        <f>VLOOKUP(A103,[4]VA05!$A:$K,11,FALSE)</f>
        <v>45587</v>
      </c>
      <c r="L103" s="10" t="s">
        <v>12</v>
      </c>
      <c r="M103" s="10" t="s">
        <v>109</v>
      </c>
    </row>
    <row r="104" spans="1:13" x14ac:dyDescent="0.25">
      <c r="A104" s="13" t="str">
        <f t="shared" si="2"/>
        <v>50714271320</v>
      </c>
      <c r="B104" s="10">
        <v>1004052564</v>
      </c>
      <c r="C104" s="10">
        <v>507142713</v>
      </c>
      <c r="D104" s="10">
        <v>20</v>
      </c>
      <c r="E104" s="10" t="s">
        <v>10</v>
      </c>
      <c r="F104" s="10">
        <v>1171177</v>
      </c>
      <c r="G104" s="10" t="s">
        <v>88</v>
      </c>
      <c r="H104" s="11">
        <v>10170</v>
      </c>
      <c r="I104" s="10">
        <v>0</v>
      </c>
      <c r="J104" s="11">
        <f t="shared" si="3"/>
        <v>10170</v>
      </c>
      <c r="K104" s="12">
        <f>VLOOKUP(A104,[4]VA05!$A:$K,11,FALSE)</f>
        <v>45591</v>
      </c>
      <c r="L104" s="10" t="s">
        <v>12</v>
      </c>
      <c r="M104" s="10" t="s">
        <v>204</v>
      </c>
    </row>
    <row r="105" spans="1:13" x14ac:dyDescent="0.25">
      <c r="A105" s="13" t="str">
        <f t="shared" si="2"/>
        <v>50714271350</v>
      </c>
      <c r="B105" s="10">
        <v>1004052565</v>
      </c>
      <c r="C105" s="10">
        <v>507142713</v>
      </c>
      <c r="D105" s="10">
        <v>50</v>
      </c>
      <c r="E105" s="10" t="s">
        <v>10</v>
      </c>
      <c r="F105" s="10">
        <v>1171177</v>
      </c>
      <c r="G105" s="10" t="s">
        <v>88</v>
      </c>
      <c r="H105" s="11">
        <v>10170</v>
      </c>
      <c r="I105" s="10">
        <v>0</v>
      </c>
      <c r="J105" s="11">
        <f t="shared" si="3"/>
        <v>10170</v>
      </c>
      <c r="K105" s="12">
        <f>VLOOKUP(A105,[4]VA05!$A:$K,11,FALSE)</f>
        <v>45591</v>
      </c>
      <c r="L105" s="10" t="s">
        <v>12</v>
      </c>
      <c r="M105" s="10" t="s">
        <v>204</v>
      </c>
    </row>
    <row r="106" spans="1:13" x14ac:dyDescent="0.25">
      <c r="A106" s="13" t="str">
        <f t="shared" si="2"/>
        <v>50714271320</v>
      </c>
      <c r="B106" s="10">
        <v>1004052612</v>
      </c>
      <c r="C106" s="10">
        <v>507142713</v>
      </c>
      <c r="D106" s="10">
        <v>20</v>
      </c>
      <c r="E106" s="10" t="s">
        <v>10</v>
      </c>
      <c r="F106" s="10">
        <v>1171178</v>
      </c>
      <c r="G106" s="10" t="s">
        <v>87</v>
      </c>
      <c r="H106" s="11">
        <v>10170</v>
      </c>
      <c r="I106" s="11">
        <v>5390</v>
      </c>
      <c r="J106" s="11">
        <f t="shared" si="3"/>
        <v>4780</v>
      </c>
      <c r="K106" s="12">
        <f>VLOOKUP(A106,[4]VA05!$A:$K,11,FALSE)</f>
        <v>45591</v>
      </c>
      <c r="L106" s="10" t="s">
        <v>18</v>
      </c>
      <c r="M106" s="10" t="s">
        <v>204</v>
      </c>
    </row>
    <row r="107" spans="1:13" x14ac:dyDescent="0.25">
      <c r="A107" s="13" t="str">
        <f t="shared" si="2"/>
        <v>50714271350</v>
      </c>
      <c r="B107" s="10">
        <v>1004052613</v>
      </c>
      <c r="C107" s="10">
        <v>507142713</v>
      </c>
      <c r="D107" s="10">
        <v>50</v>
      </c>
      <c r="E107" s="10" t="s">
        <v>10</v>
      </c>
      <c r="F107" s="10">
        <v>1171178</v>
      </c>
      <c r="G107" s="10" t="s">
        <v>87</v>
      </c>
      <c r="H107" s="11">
        <v>10170</v>
      </c>
      <c r="I107" s="10">
        <v>0</v>
      </c>
      <c r="J107" s="11">
        <f t="shared" si="3"/>
        <v>10170</v>
      </c>
      <c r="K107" s="12">
        <f>VLOOKUP(A107,[4]VA05!$A:$K,11,FALSE)</f>
        <v>45591</v>
      </c>
      <c r="L107" s="10" t="s">
        <v>12</v>
      </c>
      <c r="M107" s="10" t="s">
        <v>204</v>
      </c>
    </row>
    <row r="108" spans="1:13" x14ac:dyDescent="0.25">
      <c r="A108" s="13" t="str">
        <f t="shared" si="2"/>
        <v>50714262630</v>
      </c>
      <c r="B108" s="10">
        <v>1004052617</v>
      </c>
      <c r="C108" s="10">
        <v>507142626</v>
      </c>
      <c r="D108" s="10">
        <v>30</v>
      </c>
      <c r="E108" s="10" t="s">
        <v>10</v>
      </c>
      <c r="F108" s="10">
        <v>1172030</v>
      </c>
      <c r="G108" s="10" t="s">
        <v>112</v>
      </c>
      <c r="H108" s="11">
        <v>29055</v>
      </c>
      <c r="I108" s="10">
        <v>608</v>
      </c>
      <c r="J108" s="11">
        <f t="shared" si="3"/>
        <v>28447</v>
      </c>
      <c r="K108" s="12">
        <f>VLOOKUP(A108,[4]VA05!$A:$K,11,FALSE)</f>
        <v>45590</v>
      </c>
      <c r="L108" s="10" t="s">
        <v>18</v>
      </c>
      <c r="M108" s="10" t="s">
        <v>192</v>
      </c>
    </row>
    <row r="109" spans="1:13" hidden="1" x14ac:dyDescent="0.25">
      <c r="A109" s="13" t="str">
        <f t="shared" si="2"/>
        <v>50714270920</v>
      </c>
      <c r="B109" s="10">
        <v>1004061878</v>
      </c>
      <c r="C109" s="10">
        <v>507142709</v>
      </c>
      <c r="D109" s="10">
        <v>20</v>
      </c>
      <c r="E109" s="10" t="s">
        <v>10</v>
      </c>
      <c r="F109" s="10">
        <v>1172347</v>
      </c>
      <c r="G109" s="10" t="s">
        <v>237</v>
      </c>
      <c r="H109" s="11">
        <v>30393</v>
      </c>
      <c r="I109" s="11">
        <v>30393</v>
      </c>
      <c r="J109" s="11">
        <f t="shared" si="3"/>
        <v>0</v>
      </c>
      <c r="K109" s="12">
        <f>VLOOKUP(A109,[4]VA05!$A:$K,11,FALSE)</f>
        <v>45583</v>
      </c>
      <c r="L109" s="10" t="s">
        <v>232</v>
      </c>
      <c r="M109" s="10" t="s">
        <v>162</v>
      </c>
    </row>
    <row r="110" spans="1:13" x14ac:dyDescent="0.25">
      <c r="A110" s="13" t="str">
        <f t="shared" si="2"/>
        <v>50714271020</v>
      </c>
      <c r="B110" s="10">
        <v>1004061879</v>
      </c>
      <c r="C110" s="10">
        <v>507142710</v>
      </c>
      <c r="D110" s="10">
        <v>20</v>
      </c>
      <c r="E110" s="10" t="s">
        <v>10</v>
      </c>
      <c r="F110" s="10">
        <v>1172347</v>
      </c>
      <c r="G110" s="10" t="s">
        <v>237</v>
      </c>
      <c r="H110" s="11">
        <v>30393</v>
      </c>
      <c r="I110" s="10">
        <v>0</v>
      </c>
      <c r="J110" s="11">
        <f t="shared" si="3"/>
        <v>30393</v>
      </c>
      <c r="K110" s="12">
        <f>VLOOKUP(A110,[4]VA05!$A:$K,11,FALSE)</f>
        <v>45596</v>
      </c>
      <c r="L110" s="10" t="s">
        <v>12</v>
      </c>
      <c r="M110" s="10" t="s">
        <v>199</v>
      </c>
    </row>
    <row r="111" spans="1:13" x14ac:dyDescent="0.25">
      <c r="A111" s="13" t="str">
        <f t="shared" si="2"/>
        <v>50714262610</v>
      </c>
      <c r="B111" s="10">
        <v>1004050514</v>
      </c>
      <c r="C111" s="10">
        <v>507142626</v>
      </c>
      <c r="D111" s="10">
        <v>10</v>
      </c>
      <c r="E111" s="10" t="s">
        <v>10</v>
      </c>
      <c r="F111" s="10">
        <v>1212641</v>
      </c>
      <c r="G111" s="10" t="s">
        <v>99</v>
      </c>
      <c r="H111" s="11">
        <v>25858</v>
      </c>
      <c r="I111" s="11">
        <v>11440</v>
      </c>
      <c r="J111" s="11">
        <f t="shared" si="3"/>
        <v>14418</v>
      </c>
      <c r="K111" s="12">
        <f>VLOOKUP(A111,[4]VA05!$A:$K,11,FALSE)</f>
        <v>45590</v>
      </c>
      <c r="L111" s="10" t="s">
        <v>11</v>
      </c>
      <c r="M111" s="10" t="s">
        <v>202</v>
      </c>
    </row>
    <row r="112" spans="1:13" x14ac:dyDescent="0.25">
      <c r="A112" s="13" t="str">
        <f t="shared" si="2"/>
        <v>50714271010</v>
      </c>
      <c r="B112" s="10">
        <v>1004058763</v>
      </c>
      <c r="C112" s="10">
        <v>507142710</v>
      </c>
      <c r="D112" s="10">
        <v>10</v>
      </c>
      <c r="E112" s="10" t="s">
        <v>10</v>
      </c>
      <c r="F112" s="10">
        <v>1172346</v>
      </c>
      <c r="G112" s="10" t="s">
        <v>158</v>
      </c>
      <c r="H112" s="11">
        <v>34782</v>
      </c>
      <c r="I112" s="11">
        <v>12981</v>
      </c>
      <c r="J112" s="11">
        <f t="shared" si="3"/>
        <v>21801</v>
      </c>
      <c r="K112" s="12">
        <f>VLOOKUP(A112,[4]VA05!$A:$K,11,FALSE)</f>
        <v>45596</v>
      </c>
      <c r="L112" s="10" t="s">
        <v>18</v>
      </c>
      <c r="M112" s="10" t="s">
        <v>176</v>
      </c>
    </row>
    <row r="113" spans="1:13" x14ac:dyDescent="0.25">
      <c r="A113" s="13" t="str">
        <f t="shared" si="2"/>
        <v>50714276710</v>
      </c>
      <c r="B113" s="10">
        <v>1004064314</v>
      </c>
      <c r="C113" s="10">
        <v>507142767</v>
      </c>
      <c r="D113" s="10">
        <v>10</v>
      </c>
      <c r="E113" s="10" t="s">
        <v>10</v>
      </c>
      <c r="F113" s="10">
        <v>1291781</v>
      </c>
      <c r="G113" s="10" t="s">
        <v>303</v>
      </c>
      <c r="H113" s="11">
        <v>25563</v>
      </c>
      <c r="I113" s="10">
        <v>0</v>
      </c>
      <c r="J113" s="11">
        <f t="shared" si="3"/>
        <v>25563</v>
      </c>
      <c r="K113" s="12">
        <f>VLOOKUP(A113,[4]VA05!$A:$K,11,FALSE)</f>
        <v>45610</v>
      </c>
      <c r="L113" s="10" t="s">
        <v>12</v>
      </c>
      <c r="M113" s="10" t="s">
        <v>304</v>
      </c>
    </row>
    <row r="114" spans="1:13" x14ac:dyDescent="0.25">
      <c r="A114" s="13" t="str">
        <f t="shared" si="2"/>
        <v>50714276710</v>
      </c>
      <c r="B114" s="10">
        <v>1004064315</v>
      </c>
      <c r="C114" s="10">
        <v>507142767</v>
      </c>
      <c r="D114" s="10">
        <v>10</v>
      </c>
      <c r="E114" s="10" t="s">
        <v>10</v>
      </c>
      <c r="F114" s="10">
        <v>1222168</v>
      </c>
      <c r="G114" s="10" t="s">
        <v>305</v>
      </c>
      <c r="H114" s="11">
        <v>25563</v>
      </c>
      <c r="I114" s="10">
        <v>0</v>
      </c>
      <c r="J114" s="11">
        <f t="shared" si="3"/>
        <v>25563</v>
      </c>
      <c r="K114" s="12">
        <f>VLOOKUP(A114,[4]VA05!$A:$K,11,FALSE)</f>
        <v>45610</v>
      </c>
      <c r="L114" s="10" t="s">
        <v>12</v>
      </c>
      <c r="M114" s="10" t="s">
        <v>306</v>
      </c>
    </row>
    <row r="115" spans="1:13" x14ac:dyDescent="0.25">
      <c r="A115" s="13" t="str">
        <f t="shared" si="2"/>
        <v>50714239710</v>
      </c>
      <c r="B115" s="10">
        <v>1004054834</v>
      </c>
      <c r="C115" s="10">
        <v>507142397</v>
      </c>
      <c r="D115" s="10">
        <v>10</v>
      </c>
      <c r="E115" s="10" t="s">
        <v>10</v>
      </c>
      <c r="F115" s="10">
        <v>1195537</v>
      </c>
      <c r="G115" s="10" t="s">
        <v>220</v>
      </c>
      <c r="H115" s="11">
        <v>62346</v>
      </c>
      <c r="I115" s="11">
        <v>45274</v>
      </c>
      <c r="J115" s="11">
        <f t="shared" si="3"/>
        <v>17072</v>
      </c>
      <c r="K115" s="12">
        <f>VLOOKUP(A115,[4]VA05!$A:$K,11,FALSE)</f>
        <v>45579</v>
      </c>
      <c r="L115" s="10" t="s">
        <v>11</v>
      </c>
      <c r="M115" s="10" t="s">
        <v>162</v>
      </c>
    </row>
    <row r="116" spans="1:13" x14ac:dyDescent="0.25">
      <c r="A116" s="13" t="str">
        <f t="shared" si="2"/>
        <v>50714247910</v>
      </c>
      <c r="B116" s="10">
        <v>1004054835</v>
      </c>
      <c r="C116" s="10">
        <v>507142479</v>
      </c>
      <c r="D116" s="10">
        <v>10</v>
      </c>
      <c r="E116" s="10" t="s">
        <v>10</v>
      </c>
      <c r="F116" s="10">
        <v>1195537</v>
      </c>
      <c r="G116" s="10" t="s">
        <v>220</v>
      </c>
      <c r="H116" s="11">
        <v>52994</v>
      </c>
      <c r="I116" s="10">
        <v>0</v>
      </c>
      <c r="J116" s="11">
        <f t="shared" si="3"/>
        <v>52994</v>
      </c>
      <c r="K116" s="12">
        <f>VLOOKUP(A116,[4]VA05!$A:$K,11,FALSE)</f>
        <v>45587</v>
      </c>
      <c r="L116" s="10" t="s">
        <v>13</v>
      </c>
      <c r="M116" s="10" t="s">
        <v>157</v>
      </c>
    </row>
    <row r="117" spans="1:13" x14ac:dyDescent="0.25">
      <c r="A117" s="13" t="str">
        <f t="shared" si="2"/>
        <v>50714248010</v>
      </c>
      <c r="B117" s="10">
        <v>1004052386</v>
      </c>
      <c r="C117" s="10">
        <v>507142480</v>
      </c>
      <c r="D117" s="10">
        <v>10</v>
      </c>
      <c r="E117" s="10" t="s">
        <v>10</v>
      </c>
      <c r="F117" s="10">
        <v>1191883</v>
      </c>
      <c r="G117" s="10" t="s">
        <v>125</v>
      </c>
      <c r="H117" s="11">
        <v>57584</v>
      </c>
      <c r="I117" s="11">
        <v>52126</v>
      </c>
      <c r="J117" s="11">
        <f t="shared" si="3"/>
        <v>5458</v>
      </c>
      <c r="K117" s="12">
        <f>VLOOKUP(A117,[4]VA05!$A:$K,11,FALSE)</f>
        <v>45587</v>
      </c>
      <c r="L117" s="10" t="s">
        <v>11</v>
      </c>
      <c r="M117" s="10" t="s">
        <v>195</v>
      </c>
    </row>
    <row r="118" spans="1:13" x14ac:dyDescent="0.25">
      <c r="A118" s="13" t="str">
        <f t="shared" si="2"/>
        <v>50714248010</v>
      </c>
      <c r="B118" s="10">
        <v>1004042840</v>
      </c>
      <c r="C118" s="10">
        <v>507142480</v>
      </c>
      <c r="D118" s="10">
        <v>10</v>
      </c>
      <c r="E118" s="10" t="s">
        <v>10</v>
      </c>
      <c r="F118" s="10">
        <v>1191882</v>
      </c>
      <c r="G118" s="10" t="s">
        <v>137</v>
      </c>
      <c r="H118" s="11">
        <v>51677</v>
      </c>
      <c r="I118" s="11">
        <v>43905</v>
      </c>
      <c r="J118" s="11">
        <f t="shared" si="3"/>
        <v>7772</v>
      </c>
      <c r="K118" s="12">
        <f>VLOOKUP(A118,[4]VA05!$A:$K,11,FALSE)</f>
        <v>45587</v>
      </c>
      <c r="L118" s="10" t="s">
        <v>11</v>
      </c>
      <c r="M118" s="10" t="s">
        <v>178</v>
      </c>
    </row>
    <row r="119" spans="1:13" x14ac:dyDescent="0.25">
      <c r="A119" s="13" t="str">
        <f t="shared" si="2"/>
        <v>50714278320</v>
      </c>
      <c r="B119" s="10">
        <v>1004056039</v>
      </c>
      <c r="C119" s="10">
        <v>507142783</v>
      </c>
      <c r="D119" s="10">
        <v>20</v>
      </c>
      <c r="E119" s="10" t="s">
        <v>10</v>
      </c>
      <c r="F119" s="10">
        <v>1161035</v>
      </c>
      <c r="G119" s="10" t="s">
        <v>222</v>
      </c>
      <c r="H119" s="11">
        <v>25747</v>
      </c>
      <c r="I119" s="10">
        <v>0</v>
      </c>
      <c r="J119" s="11">
        <f t="shared" si="3"/>
        <v>25747</v>
      </c>
      <c r="K119" s="12">
        <f>VLOOKUP(A119,[4]VA05!$A:$K,11,FALSE)</f>
        <v>45582</v>
      </c>
      <c r="L119" s="10" t="s">
        <v>13</v>
      </c>
      <c r="M119" s="10" t="s">
        <v>202</v>
      </c>
    </row>
    <row r="120" spans="1:13" x14ac:dyDescent="0.25">
      <c r="A120" s="13" t="str">
        <f t="shared" si="2"/>
        <v>50714279710</v>
      </c>
      <c r="B120" s="10">
        <v>1004058006</v>
      </c>
      <c r="C120" s="10">
        <v>507142797</v>
      </c>
      <c r="D120" s="10">
        <v>10</v>
      </c>
      <c r="E120" s="10" t="s">
        <v>10</v>
      </c>
      <c r="F120" s="10">
        <v>1161417</v>
      </c>
      <c r="G120" s="10" t="s">
        <v>228</v>
      </c>
      <c r="H120" s="11">
        <v>25543</v>
      </c>
      <c r="I120" s="10">
        <v>0</v>
      </c>
      <c r="J120" s="11">
        <f t="shared" si="3"/>
        <v>25543</v>
      </c>
      <c r="K120" s="12">
        <f>VLOOKUP(A120,[4]VA05!$A:$K,11,FALSE)</f>
        <v>45588</v>
      </c>
      <c r="L120" s="10" t="s">
        <v>13</v>
      </c>
      <c r="M120" s="10" t="s">
        <v>177</v>
      </c>
    </row>
    <row r="121" spans="1:13" x14ac:dyDescent="0.25">
      <c r="A121" s="13" t="str">
        <f t="shared" si="2"/>
        <v>50714278110</v>
      </c>
      <c r="B121" s="10">
        <v>1004058007</v>
      </c>
      <c r="C121" s="10">
        <v>507142781</v>
      </c>
      <c r="D121" s="10">
        <v>10</v>
      </c>
      <c r="E121" s="10" t="s">
        <v>10</v>
      </c>
      <c r="F121" s="10">
        <v>1161417</v>
      </c>
      <c r="G121" s="10" t="s">
        <v>228</v>
      </c>
      <c r="H121" s="11">
        <v>5109</v>
      </c>
      <c r="I121" s="10">
        <v>0</v>
      </c>
      <c r="J121" s="11">
        <f t="shared" si="3"/>
        <v>5109</v>
      </c>
      <c r="K121" s="12">
        <f>VLOOKUP(A121,[4]VA05!$A:$K,11,FALSE)</f>
        <v>45595</v>
      </c>
      <c r="L121" s="10" t="s">
        <v>13</v>
      </c>
      <c r="M121" s="10" t="s">
        <v>196</v>
      </c>
    </row>
    <row r="122" spans="1:13" x14ac:dyDescent="0.25">
      <c r="A122" s="13" t="str">
        <f t="shared" si="2"/>
        <v>50714271120</v>
      </c>
      <c r="B122" s="10">
        <v>1004058008</v>
      </c>
      <c r="C122" s="10">
        <v>507142711</v>
      </c>
      <c r="D122" s="10">
        <v>20</v>
      </c>
      <c r="E122" s="10" t="s">
        <v>10</v>
      </c>
      <c r="F122" s="10">
        <v>1161417</v>
      </c>
      <c r="G122" s="10" t="s">
        <v>228</v>
      </c>
      <c r="H122" s="11">
        <v>6845</v>
      </c>
      <c r="I122" s="10">
        <v>0</v>
      </c>
      <c r="J122" s="11">
        <f t="shared" si="3"/>
        <v>6845</v>
      </c>
      <c r="K122" s="12">
        <f>VLOOKUP(A122,[4]VA05!$A:$K,11,FALSE)</f>
        <v>45565</v>
      </c>
      <c r="L122" s="10" t="s">
        <v>12</v>
      </c>
      <c r="M122" s="10" t="s">
        <v>155</v>
      </c>
    </row>
    <row r="123" spans="1:13" x14ac:dyDescent="0.25">
      <c r="A123" s="13" t="str">
        <f t="shared" si="2"/>
        <v>50714244520</v>
      </c>
      <c r="B123" s="10">
        <v>1004053208</v>
      </c>
      <c r="C123" s="10">
        <v>507142445</v>
      </c>
      <c r="D123" s="10">
        <v>20</v>
      </c>
      <c r="E123" s="10" t="s">
        <v>10</v>
      </c>
      <c r="F123" s="10">
        <v>1210955</v>
      </c>
      <c r="G123" s="10" t="s">
        <v>215</v>
      </c>
      <c r="H123" s="11">
        <v>53210</v>
      </c>
      <c r="I123" s="10">
        <v>0</v>
      </c>
      <c r="J123" s="11">
        <f t="shared" si="3"/>
        <v>53210</v>
      </c>
      <c r="K123" s="12">
        <f>VLOOKUP(A123,[4]VA05!$A:$K,11,FALSE)</f>
        <v>45595</v>
      </c>
      <c r="L123" s="10" t="s">
        <v>239</v>
      </c>
      <c r="M123" s="10" t="s">
        <v>216</v>
      </c>
    </row>
    <row r="124" spans="1:13" x14ac:dyDescent="0.25">
      <c r="A124" s="13" t="str">
        <f t="shared" si="2"/>
        <v>50714244520</v>
      </c>
      <c r="B124" s="10">
        <v>1004052416</v>
      </c>
      <c r="C124" s="10">
        <v>507142445</v>
      </c>
      <c r="D124" s="10">
        <v>20</v>
      </c>
      <c r="E124" s="10" t="s">
        <v>10</v>
      </c>
      <c r="F124" s="10">
        <v>1259266</v>
      </c>
      <c r="G124" s="10" t="s">
        <v>64</v>
      </c>
      <c r="H124" s="11">
        <v>51912</v>
      </c>
      <c r="I124" s="10">
        <v>0</v>
      </c>
      <c r="J124" s="11">
        <f t="shared" si="3"/>
        <v>51912</v>
      </c>
      <c r="K124" s="12">
        <f>VLOOKUP(A124,[4]VA05!$A:$K,11,FALSE)</f>
        <v>45595</v>
      </c>
      <c r="L124" s="10" t="s">
        <v>239</v>
      </c>
      <c r="M124" s="10" t="s">
        <v>199</v>
      </c>
    </row>
    <row r="125" spans="1:13" x14ac:dyDescent="0.25">
      <c r="A125" s="13" t="str">
        <f t="shared" si="2"/>
        <v>50714244520</v>
      </c>
      <c r="B125" s="10">
        <v>1004052417</v>
      </c>
      <c r="C125" s="10">
        <v>507142445</v>
      </c>
      <c r="D125" s="10">
        <v>20</v>
      </c>
      <c r="E125" s="10" t="s">
        <v>10</v>
      </c>
      <c r="F125" s="10">
        <v>1259265</v>
      </c>
      <c r="G125" s="10" t="s">
        <v>187</v>
      </c>
      <c r="H125" s="11">
        <v>53210</v>
      </c>
      <c r="I125" s="10">
        <v>0</v>
      </c>
      <c r="J125" s="11">
        <f t="shared" si="3"/>
        <v>53210</v>
      </c>
      <c r="K125" s="12">
        <f>VLOOKUP(A125,[4]VA05!$A:$K,11,FALSE)</f>
        <v>45595</v>
      </c>
      <c r="L125" s="10" t="s">
        <v>12</v>
      </c>
      <c r="M125" s="10" t="s">
        <v>202</v>
      </c>
    </row>
    <row r="126" spans="1:13" x14ac:dyDescent="0.25">
      <c r="A126" s="13" t="str">
        <f t="shared" si="2"/>
        <v>50714264830</v>
      </c>
      <c r="B126" s="10">
        <v>1004062197</v>
      </c>
      <c r="C126" s="10">
        <v>507142648</v>
      </c>
      <c r="D126" s="10">
        <v>30</v>
      </c>
      <c r="E126" s="10" t="s">
        <v>10</v>
      </c>
      <c r="F126" s="10">
        <v>1168128</v>
      </c>
      <c r="G126" s="10" t="s">
        <v>77</v>
      </c>
      <c r="H126" s="11">
        <v>40343</v>
      </c>
      <c r="I126" s="11">
        <v>28960</v>
      </c>
      <c r="J126" s="11">
        <f t="shared" si="3"/>
        <v>11383</v>
      </c>
      <c r="K126" s="12">
        <f>VLOOKUP(A126,[4]VA05!$A:$K,11,FALSE)</f>
        <v>45581</v>
      </c>
      <c r="L126" s="10" t="s">
        <v>18</v>
      </c>
      <c r="M126" s="10" t="s">
        <v>192</v>
      </c>
    </row>
    <row r="127" spans="1:13" x14ac:dyDescent="0.25">
      <c r="A127" s="13" t="str">
        <f t="shared" si="2"/>
        <v>50714282810</v>
      </c>
      <c r="B127" s="10">
        <v>1004062200</v>
      </c>
      <c r="C127" s="10">
        <v>507142828</v>
      </c>
      <c r="D127" s="10">
        <v>10</v>
      </c>
      <c r="E127" s="10" t="s">
        <v>10</v>
      </c>
      <c r="F127" s="10">
        <v>1168128</v>
      </c>
      <c r="G127" s="10" t="s">
        <v>77</v>
      </c>
      <c r="H127" s="11">
        <v>122842</v>
      </c>
      <c r="I127" s="10">
        <v>0</v>
      </c>
      <c r="J127" s="11">
        <f t="shared" si="3"/>
        <v>122842</v>
      </c>
      <c r="K127" s="12">
        <f>VLOOKUP(A127,[4]VA05!$A:$K,11,FALSE)</f>
        <v>45588</v>
      </c>
      <c r="L127" s="10" t="s">
        <v>12</v>
      </c>
      <c r="M127" s="10" t="s">
        <v>197</v>
      </c>
    </row>
    <row r="128" spans="1:13" x14ac:dyDescent="0.25">
      <c r="A128" s="13" t="str">
        <f t="shared" si="2"/>
        <v>50714278810</v>
      </c>
      <c r="B128" s="10">
        <v>1004062042</v>
      </c>
      <c r="C128" s="10">
        <v>507142788</v>
      </c>
      <c r="D128" s="10">
        <v>10</v>
      </c>
      <c r="E128" s="10" t="s">
        <v>10</v>
      </c>
      <c r="F128" s="10">
        <v>1168125</v>
      </c>
      <c r="G128" s="10" t="s">
        <v>32</v>
      </c>
      <c r="H128" s="11">
        <v>56529</v>
      </c>
      <c r="I128" s="11">
        <v>38595</v>
      </c>
      <c r="J128" s="11">
        <f t="shared" si="3"/>
        <v>17934</v>
      </c>
      <c r="K128" s="12">
        <f>VLOOKUP(A128,[4]VA05!$A:$K,11,FALSE)</f>
        <v>45582</v>
      </c>
      <c r="L128" s="10" t="s">
        <v>18</v>
      </c>
      <c r="M128" s="10" t="s">
        <v>193</v>
      </c>
    </row>
    <row r="129" spans="1:13" x14ac:dyDescent="0.25">
      <c r="A129" s="13" t="str">
        <f t="shared" si="2"/>
        <v>50714282810</v>
      </c>
      <c r="B129" s="10">
        <v>1004062043</v>
      </c>
      <c r="C129" s="10">
        <v>507142828</v>
      </c>
      <c r="D129" s="10">
        <v>10</v>
      </c>
      <c r="E129" s="10" t="s">
        <v>10</v>
      </c>
      <c r="F129" s="10">
        <v>1168125</v>
      </c>
      <c r="G129" s="10" t="s">
        <v>32</v>
      </c>
      <c r="H129" s="11">
        <v>122842</v>
      </c>
      <c r="I129" s="10">
        <v>0</v>
      </c>
      <c r="J129" s="11">
        <f t="shared" si="3"/>
        <v>122842</v>
      </c>
      <c r="K129" s="12">
        <f>VLOOKUP(A129,[4]VA05!$A:$K,11,FALSE)</f>
        <v>45588</v>
      </c>
      <c r="L129" s="10" t="s">
        <v>12</v>
      </c>
      <c r="M129" s="10" t="s">
        <v>197</v>
      </c>
    </row>
    <row r="130" spans="1:13" x14ac:dyDescent="0.25">
      <c r="A130" s="13" t="str">
        <f t="shared" si="2"/>
        <v>50714269110</v>
      </c>
      <c r="B130" s="10">
        <v>1004063849</v>
      </c>
      <c r="C130" s="10">
        <v>507142691</v>
      </c>
      <c r="D130" s="10">
        <v>10</v>
      </c>
      <c r="E130" s="10" t="s">
        <v>10</v>
      </c>
      <c r="F130" s="10">
        <v>1168125</v>
      </c>
      <c r="G130" s="10" t="s">
        <v>32</v>
      </c>
      <c r="H130" s="11">
        <v>51094</v>
      </c>
      <c r="I130" s="10">
        <v>0</v>
      </c>
      <c r="J130" s="11">
        <f t="shared" si="3"/>
        <v>51094</v>
      </c>
      <c r="K130" s="12">
        <f>VLOOKUP(A130,[4]VA05!$A:$K,11,FALSE)</f>
        <v>45569</v>
      </c>
      <c r="L130" s="10" t="s">
        <v>12</v>
      </c>
      <c r="M130" s="10" t="s">
        <v>202</v>
      </c>
    </row>
    <row r="131" spans="1:13" x14ac:dyDescent="0.25">
      <c r="A131" s="13" t="str">
        <f t="shared" si="2"/>
        <v>50714281910</v>
      </c>
      <c r="B131" s="10">
        <v>1004062796</v>
      </c>
      <c r="C131" s="10">
        <v>507142819</v>
      </c>
      <c r="D131" s="10">
        <v>10</v>
      </c>
      <c r="E131" s="10" t="s">
        <v>10</v>
      </c>
      <c r="F131" s="10">
        <v>1402677</v>
      </c>
      <c r="G131" s="10" t="s">
        <v>296</v>
      </c>
      <c r="H131" s="11">
        <v>10871</v>
      </c>
      <c r="I131" s="10">
        <v>0</v>
      </c>
      <c r="J131" s="11">
        <f t="shared" si="3"/>
        <v>10871</v>
      </c>
      <c r="K131" s="12">
        <f>VLOOKUP(A131,[4]VA05!$A:$K,11,FALSE)</f>
        <v>45581</v>
      </c>
      <c r="L131" s="10" t="s">
        <v>12</v>
      </c>
      <c r="M131" s="10" t="s">
        <v>157</v>
      </c>
    </row>
    <row r="132" spans="1:13" x14ac:dyDescent="0.25">
      <c r="A132" s="13" t="str">
        <f t="shared" ref="A132:A195" si="4">C132&amp;D132</f>
        <v>50714239390</v>
      </c>
      <c r="B132" s="10">
        <v>1004032826</v>
      </c>
      <c r="C132" s="10">
        <v>507142393</v>
      </c>
      <c r="D132" s="10">
        <v>90</v>
      </c>
      <c r="E132" s="10" t="s">
        <v>10</v>
      </c>
      <c r="F132" s="10">
        <v>1416752</v>
      </c>
      <c r="G132" s="10" t="s">
        <v>52</v>
      </c>
      <c r="H132" s="11">
        <v>47012</v>
      </c>
      <c r="I132" s="11">
        <v>38740</v>
      </c>
      <c r="J132" s="11">
        <f t="shared" ref="J132:J195" si="5">H132-I132</f>
        <v>8272</v>
      </c>
      <c r="K132" s="12" t="e">
        <f>VLOOKUP(A132,[4]VA05!$A:$K,11,FALSE)</f>
        <v>#N/A</v>
      </c>
      <c r="L132" s="10" t="s">
        <v>11</v>
      </c>
      <c r="M132" s="10" t="s">
        <v>73</v>
      </c>
    </row>
    <row r="133" spans="1:13" x14ac:dyDescent="0.25">
      <c r="A133" s="13" t="str">
        <f t="shared" si="4"/>
        <v>507142416150</v>
      </c>
      <c r="B133" s="10">
        <v>1004052419</v>
      </c>
      <c r="C133" s="10">
        <v>507142416</v>
      </c>
      <c r="D133" s="10">
        <v>150</v>
      </c>
      <c r="E133" s="10" t="s">
        <v>10</v>
      </c>
      <c r="F133" s="10">
        <v>1269350</v>
      </c>
      <c r="G133" s="10" t="s">
        <v>188</v>
      </c>
      <c r="H133" s="11">
        <v>10439</v>
      </c>
      <c r="I133" s="10">
        <v>0</v>
      </c>
      <c r="J133" s="11">
        <f t="shared" si="5"/>
        <v>10439</v>
      </c>
      <c r="K133" s="12">
        <f>VLOOKUP(A133,[4]VA05!$A:$K,11,FALSE)</f>
        <v>45576</v>
      </c>
      <c r="L133" s="10" t="s">
        <v>12</v>
      </c>
      <c r="M133" s="10" t="s">
        <v>156</v>
      </c>
    </row>
    <row r="134" spans="1:13" x14ac:dyDescent="0.25">
      <c r="A134" s="13" t="str">
        <f t="shared" si="4"/>
        <v>50714268820</v>
      </c>
      <c r="B134" s="10">
        <v>1004052420</v>
      </c>
      <c r="C134" s="10">
        <v>507142688</v>
      </c>
      <c r="D134" s="10">
        <v>20</v>
      </c>
      <c r="E134" s="10" t="s">
        <v>10</v>
      </c>
      <c r="F134" s="10">
        <v>1430096</v>
      </c>
      <c r="G134" s="10" t="s">
        <v>93</v>
      </c>
      <c r="H134" s="11">
        <v>134120</v>
      </c>
      <c r="I134" s="11">
        <v>94784</v>
      </c>
      <c r="J134" s="11">
        <f t="shared" si="5"/>
        <v>39336</v>
      </c>
      <c r="K134" s="12">
        <f>VLOOKUP(A134,[4]VA05!$A:$K,11,FALSE)</f>
        <v>45567</v>
      </c>
      <c r="L134" s="10" t="s">
        <v>18</v>
      </c>
      <c r="M134" s="10" t="s">
        <v>195</v>
      </c>
    </row>
    <row r="135" spans="1:13" x14ac:dyDescent="0.25">
      <c r="A135" s="13" t="str">
        <f t="shared" si="4"/>
        <v>50714282120</v>
      </c>
      <c r="B135" s="10">
        <v>1004062792</v>
      </c>
      <c r="C135" s="10">
        <v>507142821</v>
      </c>
      <c r="D135" s="10">
        <v>20</v>
      </c>
      <c r="E135" s="10" t="s">
        <v>10</v>
      </c>
      <c r="F135" s="10">
        <v>1153476</v>
      </c>
      <c r="G135" s="10" t="s">
        <v>297</v>
      </c>
      <c r="H135" s="11">
        <v>27862</v>
      </c>
      <c r="I135" s="10">
        <v>0</v>
      </c>
      <c r="J135" s="11">
        <f t="shared" si="5"/>
        <v>27862</v>
      </c>
      <c r="K135" s="12">
        <f>VLOOKUP(A135,[4]VA05!$A:$K,11,FALSE)</f>
        <v>45589</v>
      </c>
      <c r="L135" s="10" t="s">
        <v>12</v>
      </c>
      <c r="M135" s="10" t="s">
        <v>199</v>
      </c>
    </row>
    <row r="136" spans="1:13" x14ac:dyDescent="0.25">
      <c r="A136" s="13" t="str">
        <f t="shared" si="4"/>
        <v>50714282220</v>
      </c>
      <c r="B136" s="10">
        <v>1004062794</v>
      </c>
      <c r="C136" s="10">
        <v>507142822</v>
      </c>
      <c r="D136" s="10">
        <v>20</v>
      </c>
      <c r="E136" s="10" t="s">
        <v>10</v>
      </c>
      <c r="F136" s="10">
        <v>1153476</v>
      </c>
      <c r="G136" s="10" t="s">
        <v>297</v>
      </c>
      <c r="H136" s="11">
        <v>27862</v>
      </c>
      <c r="I136" s="10">
        <v>0</v>
      </c>
      <c r="J136" s="11">
        <f t="shared" si="5"/>
        <v>27862</v>
      </c>
      <c r="K136" s="12">
        <f>VLOOKUP(A136,[4]VA05!$A:$K,11,FALSE)</f>
        <v>45589</v>
      </c>
      <c r="L136" s="10" t="s">
        <v>12</v>
      </c>
      <c r="M136" s="10" t="s">
        <v>199</v>
      </c>
    </row>
    <row r="137" spans="1:13" x14ac:dyDescent="0.25">
      <c r="A137" s="13" t="str">
        <f t="shared" si="4"/>
        <v>50714278820</v>
      </c>
      <c r="B137" s="10">
        <v>1004058947</v>
      </c>
      <c r="C137" s="10">
        <v>507142788</v>
      </c>
      <c r="D137" s="10">
        <v>20</v>
      </c>
      <c r="E137" s="10" t="s">
        <v>10</v>
      </c>
      <c r="F137" s="10">
        <v>1187156</v>
      </c>
      <c r="G137" s="10" t="s">
        <v>80</v>
      </c>
      <c r="H137" s="11">
        <v>62884</v>
      </c>
      <c r="I137" s="11">
        <v>30378</v>
      </c>
      <c r="J137" s="11">
        <f t="shared" si="5"/>
        <v>32506</v>
      </c>
      <c r="K137" s="12">
        <f>VLOOKUP(A137,[4]VA05!$A:$K,11,FALSE)</f>
        <v>45582</v>
      </c>
      <c r="L137" s="10" t="s">
        <v>18</v>
      </c>
      <c r="M137" s="10" t="s">
        <v>157</v>
      </c>
    </row>
    <row r="138" spans="1:13" x14ac:dyDescent="0.25">
      <c r="A138" s="13" t="str">
        <f t="shared" si="4"/>
        <v>50714281920</v>
      </c>
      <c r="B138" s="10">
        <v>1004062795</v>
      </c>
      <c r="C138" s="10">
        <v>507142819</v>
      </c>
      <c r="D138" s="10">
        <v>20</v>
      </c>
      <c r="E138" s="10" t="s">
        <v>10</v>
      </c>
      <c r="F138" s="10">
        <v>1402742</v>
      </c>
      <c r="G138" s="10" t="s">
        <v>298</v>
      </c>
      <c r="H138" s="11">
        <v>11758</v>
      </c>
      <c r="I138" s="10">
        <v>0</v>
      </c>
      <c r="J138" s="11">
        <f t="shared" si="5"/>
        <v>11758</v>
      </c>
      <c r="K138" s="12">
        <f>VLOOKUP(A138,[4]VA05!$A:$K,11,FALSE)</f>
        <v>45581</v>
      </c>
      <c r="L138" s="10" t="s">
        <v>12</v>
      </c>
      <c r="M138" s="10" t="s">
        <v>179</v>
      </c>
    </row>
    <row r="139" spans="1:13" x14ac:dyDescent="0.25">
      <c r="A139" s="13" t="str">
        <f t="shared" si="4"/>
        <v>507142416140</v>
      </c>
      <c r="B139" s="10">
        <v>1004051396</v>
      </c>
      <c r="C139" s="10">
        <v>507142416</v>
      </c>
      <c r="D139" s="10">
        <v>140</v>
      </c>
      <c r="E139" s="10" t="s">
        <v>10</v>
      </c>
      <c r="F139" s="10">
        <v>1269354</v>
      </c>
      <c r="G139" s="10" t="s">
        <v>169</v>
      </c>
      <c r="H139" s="11">
        <v>10217</v>
      </c>
      <c r="I139" s="10">
        <v>0</v>
      </c>
      <c r="J139" s="11">
        <f t="shared" si="5"/>
        <v>10217</v>
      </c>
      <c r="K139" s="12">
        <f>VLOOKUP(A139,[4]VA05!$A:$K,11,FALSE)</f>
        <v>45576</v>
      </c>
      <c r="L139" s="10" t="s">
        <v>25</v>
      </c>
      <c r="M139" s="10" t="s">
        <v>162</v>
      </c>
    </row>
    <row r="140" spans="1:13" x14ac:dyDescent="0.25">
      <c r="A140" s="13" t="str">
        <f t="shared" si="4"/>
        <v>507142416120</v>
      </c>
      <c r="B140" s="10">
        <v>1004058990</v>
      </c>
      <c r="C140" s="10">
        <v>507142416</v>
      </c>
      <c r="D140" s="10">
        <v>120</v>
      </c>
      <c r="E140" s="10" t="s">
        <v>10</v>
      </c>
      <c r="F140" s="10">
        <v>1255973</v>
      </c>
      <c r="G140" s="10" t="s">
        <v>238</v>
      </c>
      <c r="H140" s="11">
        <v>10217</v>
      </c>
      <c r="I140" s="10">
        <v>0</v>
      </c>
      <c r="J140" s="11">
        <f t="shared" si="5"/>
        <v>10217</v>
      </c>
      <c r="K140" s="12">
        <f>VLOOKUP(A140,[4]VA05!$A:$K,11,FALSE)</f>
        <v>45573</v>
      </c>
      <c r="L140" s="10" t="s">
        <v>12</v>
      </c>
      <c r="M140" s="10" t="s">
        <v>194</v>
      </c>
    </row>
    <row r="141" spans="1:13" x14ac:dyDescent="0.25">
      <c r="A141" s="13" t="str">
        <f t="shared" si="4"/>
        <v>50714271370</v>
      </c>
      <c r="B141" s="10">
        <v>1004042923</v>
      </c>
      <c r="C141" s="10">
        <v>507142713</v>
      </c>
      <c r="D141" s="10">
        <v>70</v>
      </c>
      <c r="E141" s="10" t="s">
        <v>10</v>
      </c>
      <c r="F141" s="10">
        <v>1256197</v>
      </c>
      <c r="G141" s="10" t="s">
        <v>139</v>
      </c>
      <c r="H141" s="11">
        <v>10217</v>
      </c>
      <c r="I141" s="10">
        <v>0</v>
      </c>
      <c r="J141" s="11">
        <f t="shared" si="5"/>
        <v>10217</v>
      </c>
      <c r="K141" s="12">
        <f>VLOOKUP(A141,[4]VA05!$A:$K,11,FALSE)</f>
        <v>45591</v>
      </c>
      <c r="L141" s="10" t="s">
        <v>13</v>
      </c>
      <c r="M141" s="10" t="s">
        <v>142</v>
      </c>
    </row>
    <row r="142" spans="1:13" hidden="1" x14ac:dyDescent="0.25">
      <c r="A142" s="13" t="str">
        <f t="shared" si="4"/>
        <v>50714278810</v>
      </c>
      <c r="B142" s="10">
        <v>1004052623</v>
      </c>
      <c r="C142" s="10">
        <v>507142788</v>
      </c>
      <c r="D142" s="10">
        <v>10</v>
      </c>
      <c r="E142" s="10" t="s">
        <v>10</v>
      </c>
      <c r="F142" s="10">
        <v>1168127</v>
      </c>
      <c r="G142" s="10" t="s">
        <v>21</v>
      </c>
      <c r="H142" s="11">
        <v>56529</v>
      </c>
      <c r="I142" s="11">
        <v>56529</v>
      </c>
      <c r="J142" s="11">
        <f t="shared" si="5"/>
        <v>0</v>
      </c>
      <c r="K142" s="12">
        <f>VLOOKUP(A142,[4]VA05!$A:$K,11,FALSE)</f>
        <v>45582</v>
      </c>
      <c r="L142" s="10" t="s">
        <v>113</v>
      </c>
      <c r="M142" s="10" t="s">
        <v>157</v>
      </c>
    </row>
    <row r="143" spans="1:13" x14ac:dyDescent="0.25">
      <c r="A143" s="13" t="str">
        <f t="shared" si="4"/>
        <v>50714271380</v>
      </c>
      <c r="B143" s="10">
        <v>1004052624</v>
      </c>
      <c r="C143" s="10">
        <v>507142713</v>
      </c>
      <c r="D143" s="10">
        <v>80</v>
      </c>
      <c r="E143" s="10" t="s">
        <v>10</v>
      </c>
      <c r="F143" s="10">
        <v>1168127</v>
      </c>
      <c r="G143" s="10" t="s">
        <v>21</v>
      </c>
      <c r="H143" s="11">
        <v>10217</v>
      </c>
      <c r="I143" s="10">
        <v>0</v>
      </c>
      <c r="J143" s="11">
        <f t="shared" si="5"/>
        <v>10217</v>
      </c>
      <c r="K143" s="12">
        <f>VLOOKUP(A143,[4]VA05!$A:$K,11,FALSE)</f>
        <v>45591</v>
      </c>
      <c r="L143" s="10" t="s">
        <v>12</v>
      </c>
      <c r="M143" s="10" t="s">
        <v>204</v>
      </c>
    </row>
    <row r="144" spans="1:13" x14ac:dyDescent="0.25">
      <c r="A144" s="13" t="str">
        <f t="shared" si="4"/>
        <v>50714282010</v>
      </c>
      <c r="B144" s="10">
        <v>1004062727</v>
      </c>
      <c r="C144" s="10">
        <v>507142820</v>
      </c>
      <c r="D144" s="10">
        <v>10</v>
      </c>
      <c r="E144" s="10" t="s">
        <v>10</v>
      </c>
      <c r="F144" s="10">
        <v>1168127</v>
      </c>
      <c r="G144" s="10" t="s">
        <v>21</v>
      </c>
      <c r="H144" s="11">
        <v>26091</v>
      </c>
      <c r="I144" s="11">
        <v>10400</v>
      </c>
      <c r="J144" s="11">
        <f t="shared" si="5"/>
        <v>15691</v>
      </c>
      <c r="K144" s="12">
        <f>VLOOKUP(A144,[4]VA05!$A:$K,11,FALSE)</f>
        <v>45587</v>
      </c>
      <c r="L144" s="10" t="s">
        <v>18</v>
      </c>
      <c r="M144" s="10" t="s">
        <v>177</v>
      </c>
    </row>
    <row r="145" spans="1:13" x14ac:dyDescent="0.25">
      <c r="A145" s="13" t="str">
        <f t="shared" si="4"/>
        <v>50714282110</v>
      </c>
      <c r="B145" s="10">
        <v>1004062728</v>
      </c>
      <c r="C145" s="10">
        <v>507142821</v>
      </c>
      <c r="D145" s="10">
        <v>10</v>
      </c>
      <c r="E145" s="10" t="s">
        <v>10</v>
      </c>
      <c r="F145" s="10">
        <v>1168127</v>
      </c>
      <c r="G145" s="10" t="s">
        <v>21</v>
      </c>
      <c r="H145" s="11">
        <v>14571</v>
      </c>
      <c r="I145" s="10">
        <v>0</v>
      </c>
      <c r="J145" s="11">
        <f t="shared" si="5"/>
        <v>14571</v>
      </c>
      <c r="K145" s="12">
        <f>VLOOKUP(A145,[4]VA05!$A:$K,11,FALSE)</f>
        <v>45589</v>
      </c>
      <c r="L145" s="10" t="s">
        <v>12</v>
      </c>
      <c r="M145" s="10" t="s">
        <v>199</v>
      </c>
    </row>
    <row r="146" spans="1:13" x14ac:dyDescent="0.25">
      <c r="A146" s="13" t="str">
        <f t="shared" si="4"/>
        <v>50714282210</v>
      </c>
      <c r="B146" s="10">
        <v>1004062789</v>
      </c>
      <c r="C146" s="10">
        <v>507142822</v>
      </c>
      <c r="D146" s="10">
        <v>10</v>
      </c>
      <c r="E146" s="10" t="s">
        <v>10</v>
      </c>
      <c r="F146" s="10">
        <v>1168127</v>
      </c>
      <c r="G146" s="10" t="s">
        <v>21</v>
      </c>
      <c r="H146" s="11">
        <v>26091</v>
      </c>
      <c r="I146" s="10">
        <v>0</v>
      </c>
      <c r="J146" s="11">
        <f t="shared" si="5"/>
        <v>26091</v>
      </c>
      <c r="K146" s="12">
        <f>VLOOKUP(A146,[4]VA05!$A:$K,11,FALSE)</f>
        <v>45589</v>
      </c>
      <c r="L146" s="10" t="s">
        <v>12</v>
      </c>
      <c r="M146" s="10" t="s">
        <v>199</v>
      </c>
    </row>
    <row r="147" spans="1:13" x14ac:dyDescent="0.25">
      <c r="A147" s="13" t="str">
        <f t="shared" si="4"/>
        <v>50714282310</v>
      </c>
      <c r="B147" s="10">
        <v>1004062791</v>
      </c>
      <c r="C147" s="10">
        <v>507142823</v>
      </c>
      <c r="D147" s="10">
        <v>10</v>
      </c>
      <c r="E147" s="10" t="s">
        <v>10</v>
      </c>
      <c r="F147" s="10">
        <v>1168127</v>
      </c>
      <c r="G147" s="10" t="s">
        <v>21</v>
      </c>
      <c r="H147" s="11">
        <v>26091</v>
      </c>
      <c r="I147" s="10">
        <v>0</v>
      </c>
      <c r="J147" s="11">
        <f t="shared" si="5"/>
        <v>26091</v>
      </c>
      <c r="K147" s="12">
        <f>VLOOKUP(A147,[4]VA05!$A:$K,11,FALSE)</f>
        <v>45589</v>
      </c>
      <c r="L147" s="10" t="s">
        <v>12</v>
      </c>
      <c r="M147" s="10" t="s">
        <v>109</v>
      </c>
    </row>
    <row r="148" spans="1:13" x14ac:dyDescent="0.25">
      <c r="A148" s="13" t="str">
        <f t="shared" si="4"/>
        <v>507142416150</v>
      </c>
      <c r="B148" s="10">
        <v>1004051561</v>
      </c>
      <c r="C148" s="10">
        <v>507142416</v>
      </c>
      <c r="D148" s="10">
        <v>150</v>
      </c>
      <c r="E148" s="10" t="s">
        <v>10</v>
      </c>
      <c r="F148" s="10">
        <v>1269318</v>
      </c>
      <c r="G148" s="10" t="s">
        <v>170</v>
      </c>
      <c r="H148" s="11">
        <v>10217</v>
      </c>
      <c r="I148" s="10">
        <v>0</v>
      </c>
      <c r="J148" s="11">
        <f t="shared" si="5"/>
        <v>10217</v>
      </c>
      <c r="K148" s="12">
        <f>VLOOKUP(A148,[4]VA05!$A:$K,11,FALSE)</f>
        <v>45576</v>
      </c>
      <c r="L148" s="10" t="s">
        <v>56</v>
      </c>
      <c r="M148" s="10" t="s">
        <v>162</v>
      </c>
    </row>
    <row r="149" spans="1:13" x14ac:dyDescent="0.25">
      <c r="A149" s="13" t="str">
        <f t="shared" si="4"/>
        <v>507142416130</v>
      </c>
      <c r="B149" s="10">
        <v>1004058014</v>
      </c>
      <c r="C149" s="10">
        <v>507142416</v>
      </c>
      <c r="D149" s="10">
        <v>130</v>
      </c>
      <c r="E149" s="10" t="s">
        <v>10</v>
      </c>
      <c r="F149" s="10">
        <v>1255976</v>
      </c>
      <c r="G149" s="10" t="s">
        <v>229</v>
      </c>
      <c r="H149" s="11">
        <v>10217</v>
      </c>
      <c r="I149" s="10">
        <v>0</v>
      </c>
      <c r="J149" s="11">
        <f t="shared" si="5"/>
        <v>10217</v>
      </c>
      <c r="K149" s="12">
        <f>VLOOKUP(A149,[4]VA05!$A:$K,11,FALSE)</f>
        <v>45573</v>
      </c>
      <c r="L149" s="10" t="s">
        <v>56</v>
      </c>
      <c r="M149" s="10" t="s">
        <v>194</v>
      </c>
    </row>
    <row r="150" spans="1:13" x14ac:dyDescent="0.25">
      <c r="A150" s="13" t="str">
        <f t="shared" si="4"/>
        <v>50714271380</v>
      </c>
      <c r="B150" s="10">
        <v>1004058015</v>
      </c>
      <c r="C150" s="10">
        <v>507142713</v>
      </c>
      <c r="D150" s="10">
        <v>80</v>
      </c>
      <c r="E150" s="10" t="s">
        <v>10</v>
      </c>
      <c r="F150" s="10">
        <v>1256193</v>
      </c>
      <c r="G150" s="10" t="s">
        <v>230</v>
      </c>
      <c r="H150" s="11">
        <v>10217</v>
      </c>
      <c r="I150" s="10">
        <v>0</v>
      </c>
      <c r="J150" s="11">
        <f t="shared" si="5"/>
        <v>10217</v>
      </c>
      <c r="K150" s="12">
        <f>VLOOKUP(A150,[4]VA05!$A:$K,11,FALSE)</f>
        <v>45591</v>
      </c>
      <c r="L150" s="10" t="s">
        <v>12</v>
      </c>
      <c r="M150" s="10" t="s">
        <v>204</v>
      </c>
    </row>
    <row r="151" spans="1:13" x14ac:dyDescent="0.25">
      <c r="A151" s="13" t="str">
        <f t="shared" si="4"/>
        <v>50714282210</v>
      </c>
      <c r="B151" s="10">
        <v>1004062956</v>
      </c>
      <c r="C151" s="10">
        <v>507142822</v>
      </c>
      <c r="D151" s="10">
        <v>10</v>
      </c>
      <c r="E151" s="10" t="s">
        <v>10</v>
      </c>
      <c r="F151" s="10">
        <v>1153314</v>
      </c>
      <c r="G151" s="10" t="s">
        <v>60</v>
      </c>
      <c r="H151" s="11">
        <v>26091</v>
      </c>
      <c r="I151" s="10">
        <v>0</v>
      </c>
      <c r="J151" s="11">
        <f t="shared" si="5"/>
        <v>26091</v>
      </c>
      <c r="K151" s="12">
        <f>VLOOKUP(A151,[4]VA05!$A:$K,11,FALSE)</f>
        <v>45589</v>
      </c>
      <c r="L151" s="10" t="s">
        <v>12</v>
      </c>
      <c r="M151" s="10" t="s">
        <v>203</v>
      </c>
    </row>
    <row r="152" spans="1:13" x14ac:dyDescent="0.25">
      <c r="A152" s="13" t="str">
        <f t="shared" si="4"/>
        <v>50714282110</v>
      </c>
      <c r="B152" s="10">
        <v>1004062957</v>
      </c>
      <c r="C152" s="10">
        <v>507142821</v>
      </c>
      <c r="D152" s="10">
        <v>10</v>
      </c>
      <c r="E152" s="10" t="s">
        <v>10</v>
      </c>
      <c r="F152" s="10">
        <v>1153314</v>
      </c>
      <c r="G152" s="10" t="s">
        <v>60</v>
      </c>
      <c r="H152" s="11">
        <v>26091</v>
      </c>
      <c r="I152" s="10">
        <v>0</v>
      </c>
      <c r="J152" s="11">
        <f t="shared" si="5"/>
        <v>26091</v>
      </c>
      <c r="K152" s="12">
        <f>VLOOKUP(A152,[4]VA05!$A:$K,11,FALSE)</f>
        <v>45589</v>
      </c>
      <c r="L152" s="10" t="s">
        <v>12</v>
      </c>
      <c r="M152" s="10" t="s">
        <v>203</v>
      </c>
    </row>
    <row r="153" spans="1:13" x14ac:dyDescent="0.25">
      <c r="A153" s="13" t="str">
        <f t="shared" si="4"/>
        <v>50714239390</v>
      </c>
      <c r="B153" s="10">
        <v>1004032825</v>
      </c>
      <c r="C153" s="10">
        <v>507142393</v>
      </c>
      <c r="D153" s="10">
        <v>90</v>
      </c>
      <c r="E153" s="10" t="s">
        <v>10</v>
      </c>
      <c r="F153" s="10">
        <v>1416751</v>
      </c>
      <c r="G153" s="10" t="s">
        <v>57</v>
      </c>
      <c r="H153" s="11">
        <v>45642</v>
      </c>
      <c r="I153" s="10">
        <v>0</v>
      </c>
      <c r="J153" s="11">
        <f t="shared" si="5"/>
        <v>45642</v>
      </c>
      <c r="K153" s="12" t="e">
        <f>VLOOKUP(A153,[4]VA05!$A:$K,11,FALSE)</f>
        <v>#N/A</v>
      </c>
      <c r="L153" s="10" t="s">
        <v>12</v>
      </c>
      <c r="M153" s="10" t="s">
        <v>73</v>
      </c>
    </row>
    <row r="154" spans="1:13" x14ac:dyDescent="0.25">
      <c r="A154" s="13" t="str">
        <f t="shared" si="4"/>
        <v>50714256520</v>
      </c>
      <c r="B154" s="10">
        <v>1004052388</v>
      </c>
      <c r="C154" s="10">
        <v>507142565</v>
      </c>
      <c r="D154" s="10">
        <v>20</v>
      </c>
      <c r="E154" s="10" t="s">
        <v>10</v>
      </c>
      <c r="F154" s="10">
        <v>1171801</v>
      </c>
      <c r="G154" s="10" t="s">
        <v>71</v>
      </c>
      <c r="H154" s="11">
        <v>79905</v>
      </c>
      <c r="I154" s="11">
        <v>36490</v>
      </c>
      <c r="J154" s="11">
        <f t="shared" si="5"/>
        <v>43415</v>
      </c>
      <c r="K154" s="12">
        <f>VLOOKUP(A154,[4]VA05!$A:$K,11,FALSE)</f>
        <v>45580</v>
      </c>
      <c r="L154" s="10" t="s">
        <v>11</v>
      </c>
      <c r="M154" s="10" t="s">
        <v>180</v>
      </c>
    </row>
    <row r="155" spans="1:13" hidden="1" x14ac:dyDescent="0.25">
      <c r="A155" s="13" t="str">
        <f t="shared" si="4"/>
        <v>50714276210</v>
      </c>
      <c r="B155" s="10">
        <v>1004062062</v>
      </c>
      <c r="C155" s="10">
        <v>507142762</v>
      </c>
      <c r="D155" s="10">
        <v>10</v>
      </c>
      <c r="E155" s="10" t="s">
        <v>24</v>
      </c>
      <c r="F155" s="10">
        <v>1162016</v>
      </c>
      <c r="G155" s="10" t="s">
        <v>172</v>
      </c>
      <c r="H155" s="11">
        <v>10000</v>
      </c>
      <c r="I155" s="10">
        <v>0</v>
      </c>
      <c r="J155" s="11">
        <f t="shared" si="5"/>
        <v>10000</v>
      </c>
      <c r="K155" s="12">
        <f>VLOOKUP(A155,[4]VA05!$A:$K,11,FALSE)</f>
        <v>45570</v>
      </c>
      <c r="L155" s="10" t="s">
        <v>29</v>
      </c>
      <c r="M155" s="10" t="s">
        <v>162</v>
      </c>
    </row>
    <row r="156" spans="1:13" x14ac:dyDescent="0.25">
      <c r="A156" s="13" t="str">
        <f t="shared" si="4"/>
        <v>50714263610</v>
      </c>
      <c r="B156" s="10">
        <v>1004040222</v>
      </c>
      <c r="C156" s="10">
        <v>507142636</v>
      </c>
      <c r="D156" s="10">
        <v>10</v>
      </c>
      <c r="E156" s="10" t="s">
        <v>10</v>
      </c>
      <c r="F156" s="10">
        <v>1437043</v>
      </c>
      <c r="G156" s="10" t="s">
        <v>115</v>
      </c>
      <c r="H156" s="11">
        <v>51125</v>
      </c>
      <c r="I156" s="11">
        <v>43670</v>
      </c>
      <c r="J156" s="11">
        <f t="shared" si="5"/>
        <v>7455</v>
      </c>
      <c r="K156" s="12">
        <f>VLOOKUP(A156,[4]VA05!$A:$K,11,FALSE)</f>
        <v>45566</v>
      </c>
      <c r="L156" s="10" t="s">
        <v>11</v>
      </c>
      <c r="M156" s="10" t="s">
        <v>116</v>
      </c>
    </row>
    <row r="157" spans="1:13" hidden="1" x14ac:dyDescent="0.25">
      <c r="A157" s="13" t="str">
        <f t="shared" si="4"/>
        <v>50714263850</v>
      </c>
      <c r="B157" s="10">
        <v>1004049841</v>
      </c>
      <c r="C157" s="10">
        <v>507142638</v>
      </c>
      <c r="D157" s="10">
        <v>50</v>
      </c>
      <c r="E157" s="10" t="s">
        <v>10</v>
      </c>
      <c r="F157" s="10">
        <v>1361170</v>
      </c>
      <c r="G157" s="10" t="s">
        <v>103</v>
      </c>
      <c r="H157" s="11">
        <v>27540</v>
      </c>
      <c r="I157" s="11">
        <v>27540</v>
      </c>
      <c r="J157" s="11">
        <f t="shared" si="5"/>
        <v>0</v>
      </c>
      <c r="K157" s="12">
        <f>VLOOKUP(A157,[4]VA05!$A:$K,11,FALSE)</f>
        <v>45560</v>
      </c>
      <c r="L157" s="10" t="s">
        <v>307</v>
      </c>
      <c r="M157" s="10" t="s">
        <v>143</v>
      </c>
    </row>
    <row r="158" spans="1:13" x14ac:dyDescent="0.25">
      <c r="A158" s="13" t="str">
        <f t="shared" si="4"/>
        <v>50714263850</v>
      </c>
      <c r="B158" s="10">
        <v>1004049843</v>
      </c>
      <c r="C158" s="10">
        <v>507142638</v>
      </c>
      <c r="D158" s="10">
        <v>50</v>
      </c>
      <c r="E158" s="10" t="s">
        <v>10</v>
      </c>
      <c r="F158" s="10">
        <v>1361170</v>
      </c>
      <c r="G158" s="10" t="s">
        <v>103</v>
      </c>
      <c r="H158" s="11">
        <v>27270</v>
      </c>
      <c r="I158" s="11">
        <v>22080</v>
      </c>
      <c r="J158" s="11">
        <f t="shared" si="5"/>
        <v>5190</v>
      </c>
      <c r="K158" s="12">
        <f>VLOOKUP(A158,[4]VA05!$A:$K,11,FALSE)</f>
        <v>45560</v>
      </c>
      <c r="L158" s="10" t="s">
        <v>132</v>
      </c>
      <c r="M158" s="10" t="s">
        <v>143</v>
      </c>
    </row>
    <row r="159" spans="1:13" x14ac:dyDescent="0.25">
      <c r="A159" s="13" t="str">
        <f t="shared" si="4"/>
        <v>50714273810</v>
      </c>
      <c r="B159" s="10">
        <v>1004051551</v>
      </c>
      <c r="C159" s="10">
        <v>507142738</v>
      </c>
      <c r="D159" s="10">
        <v>10</v>
      </c>
      <c r="E159" s="10" t="s">
        <v>10</v>
      </c>
      <c r="F159" s="10">
        <v>1361170</v>
      </c>
      <c r="G159" s="10" t="s">
        <v>103</v>
      </c>
      <c r="H159" s="11">
        <v>27540</v>
      </c>
      <c r="I159" s="10">
        <v>0</v>
      </c>
      <c r="J159" s="11">
        <f t="shared" si="5"/>
        <v>27540</v>
      </c>
      <c r="K159" s="12">
        <f>VLOOKUP(A159,[4]VA05!$A:$K,11,FALSE)</f>
        <v>45567</v>
      </c>
      <c r="L159" s="10" t="s">
        <v>12</v>
      </c>
      <c r="M159" s="10" t="s">
        <v>180</v>
      </c>
    </row>
    <row r="160" spans="1:13" x14ac:dyDescent="0.25">
      <c r="A160" s="13" t="str">
        <f t="shared" si="4"/>
        <v>50714273810</v>
      </c>
      <c r="B160" s="10">
        <v>1004051552</v>
      </c>
      <c r="C160" s="10">
        <v>507142738</v>
      </c>
      <c r="D160" s="10">
        <v>10</v>
      </c>
      <c r="E160" s="10" t="s">
        <v>10</v>
      </c>
      <c r="F160" s="10">
        <v>1361170</v>
      </c>
      <c r="G160" s="10" t="s">
        <v>103</v>
      </c>
      <c r="H160" s="11">
        <v>27540</v>
      </c>
      <c r="I160" s="10">
        <v>0</v>
      </c>
      <c r="J160" s="11">
        <f t="shared" si="5"/>
        <v>27540</v>
      </c>
      <c r="K160" s="12">
        <f>VLOOKUP(A160,[4]VA05!$A:$K,11,FALSE)</f>
        <v>45567</v>
      </c>
      <c r="L160" s="10" t="s">
        <v>12</v>
      </c>
      <c r="M160" s="10" t="s">
        <v>180</v>
      </c>
    </row>
    <row r="161" spans="1:13" x14ac:dyDescent="0.25">
      <c r="A161" s="13" t="str">
        <f t="shared" si="4"/>
        <v>50714273810</v>
      </c>
      <c r="B161" s="10">
        <v>1004051553</v>
      </c>
      <c r="C161" s="10">
        <v>507142738</v>
      </c>
      <c r="D161" s="10">
        <v>10</v>
      </c>
      <c r="E161" s="10" t="s">
        <v>10</v>
      </c>
      <c r="F161" s="10">
        <v>1361170</v>
      </c>
      <c r="G161" s="10" t="s">
        <v>103</v>
      </c>
      <c r="H161" s="11">
        <v>27540</v>
      </c>
      <c r="I161" s="10">
        <v>0</v>
      </c>
      <c r="J161" s="11">
        <f t="shared" si="5"/>
        <v>27540</v>
      </c>
      <c r="K161" s="12">
        <f>VLOOKUP(A161,[4]VA05!$A:$K,11,FALSE)</f>
        <v>45567</v>
      </c>
      <c r="L161" s="10" t="s">
        <v>12</v>
      </c>
      <c r="M161" s="10" t="s">
        <v>180</v>
      </c>
    </row>
    <row r="162" spans="1:13" x14ac:dyDescent="0.25">
      <c r="A162" s="13" t="str">
        <f t="shared" si="4"/>
        <v>50714273810</v>
      </c>
      <c r="B162" s="10">
        <v>1004051554</v>
      </c>
      <c r="C162" s="10">
        <v>507142738</v>
      </c>
      <c r="D162" s="10">
        <v>10</v>
      </c>
      <c r="E162" s="10" t="s">
        <v>10</v>
      </c>
      <c r="F162" s="10">
        <v>1361170</v>
      </c>
      <c r="G162" s="10" t="s">
        <v>103</v>
      </c>
      <c r="H162" s="11">
        <v>27540</v>
      </c>
      <c r="I162" s="10">
        <v>0</v>
      </c>
      <c r="J162" s="11">
        <f t="shared" si="5"/>
        <v>27540</v>
      </c>
      <c r="K162" s="12">
        <f>VLOOKUP(A162,[4]VA05!$A:$K,11,FALSE)</f>
        <v>45567</v>
      </c>
      <c r="L162" s="10" t="s">
        <v>12</v>
      </c>
      <c r="M162" s="10" t="s">
        <v>180</v>
      </c>
    </row>
    <row r="163" spans="1:13" hidden="1" x14ac:dyDescent="0.25">
      <c r="A163" s="13" t="str">
        <f t="shared" si="4"/>
        <v>50714269230</v>
      </c>
      <c r="B163" s="10">
        <v>1004059598</v>
      </c>
      <c r="C163" s="10">
        <v>507142692</v>
      </c>
      <c r="D163" s="10">
        <v>30</v>
      </c>
      <c r="E163" s="10" t="s">
        <v>10</v>
      </c>
      <c r="F163" s="10">
        <v>1367372</v>
      </c>
      <c r="G163" s="10" t="s">
        <v>62</v>
      </c>
      <c r="H163" s="11">
        <v>25110</v>
      </c>
      <c r="I163" s="11">
        <v>25110</v>
      </c>
      <c r="J163" s="11">
        <f t="shared" si="5"/>
        <v>0</v>
      </c>
      <c r="K163" s="12">
        <f>VLOOKUP(A163,[4]VA05!$A:$K,11,FALSE)</f>
        <v>45567</v>
      </c>
      <c r="L163" s="10" t="s">
        <v>34</v>
      </c>
      <c r="M163" s="10" t="s">
        <v>197</v>
      </c>
    </row>
    <row r="164" spans="1:13" x14ac:dyDescent="0.25">
      <c r="A164" s="13" t="str">
        <f t="shared" si="4"/>
        <v>50714269230</v>
      </c>
      <c r="B164" s="10">
        <v>1004059599</v>
      </c>
      <c r="C164" s="10">
        <v>507142692</v>
      </c>
      <c r="D164" s="10">
        <v>30</v>
      </c>
      <c r="E164" s="10" t="s">
        <v>10</v>
      </c>
      <c r="F164" s="10">
        <v>1367372</v>
      </c>
      <c r="G164" s="10" t="s">
        <v>62</v>
      </c>
      <c r="H164" s="11">
        <v>25110</v>
      </c>
      <c r="I164" s="11">
        <v>9000</v>
      </c>
      <c r="J164" s="11">
        <f t="shared" si="5"/>
        <v>16110</v>
      </c>
      <c r="K164" s="12">
        <f>VLOOKUP(A164,[4]VA05!$A:$K,11,FALSE)</f>
        <v>45567</v>
      </c>
      <c r="L164" s="10" t="s">
        <v>34</v>
      </c>
      <c r="M164" s="10" t="s">
        <v>192</v>
      </c>
    </row>
    <row r="165" spans="1:13" x14ac:dyDescent="0.25">
      <c r="A165" s="13" t="str">
        <f t="shared" si="4"/>
        <v>50714269230</v>
      </c>
      <c r="B165" s="10">
        <v>1004059600</v>
      </c>
      <c r="C165" s="10">
        <v>507142692</v>
      </c>
      <c r="D165" s="10">
        <v>30</v>
      </c>
      <c r="E165" s="10" t="s">
        <v>10</v>
      </c>
      <c r="F165" s="10">
        <v>1367372</v>
      </c>
      <c r="G165" s="10" t="s">
        <v>62</v>
      </c>
      <c r="H165" s="11">
        <v>25110</v>
      </c>
      <c r="I165" s="10">
        <v>0</v>
      </c>
      <c r="J165" s="11">
        <f t="shared" si="5"/>
        <v>25110</v>
      </c>
      <c r="K165" s="12">
        <f>VLOOKUP(A165,[4]VA05!$A:$K,11,FALSE)</f>
        <v>45567</v>
      </c>
      <c r="L165" s="10" t="s">
        <v>234</v>
      </c>
      <c r="M165" s="10" t="s">
        <v>178</v>
      </c>
    </row>
    <row r="166" spans="1:13" x14ac:dyDescent="0.25">
      <c r="A166" s="13" t="str">
        <f t="shared" si="4"/>
        <v>50714269230</v>
      </c>
      <c r="B166" s="10">
        <v>1004059601</v>
      </c>
      <c r="C166" s="10">
        <v>507142692</v>
      </c>
      <c r="D166" s="10">
        <v>30</v>
      </c>
      <c r="E166" s="10" t="s">
        <v>10</v>
      </c>
      <c r="F166" s="10">
        <v>1367372</v>
      </c>
      <c r="G166" s="10" t="s">
        <v>62</v>
      </c>
      <c r="H166" s="11">
        <v>24570</v>
      </c>
      <c r="I166" s="10">
        <v>0</v>
      </c>
      <c r="J166" s="11">
        <f t="shared" si="5"/>
        <v>24570</v>
      </c>
      <c r="K166" s="12">
        <f>VLOOKUP(A166,[4]VA05!$A:$K,11,FALSE)</f>
        <v>45567</v>
      </c>
      <c r="L166" s="10" t="s">
        <v>235</v>
      </c>
      <c r="M166" s="10" t="s">
        <v>178</v>
      </c>
    </row>
    <row r="167" spans="1:13" hidden="1" x14ac:dyDescent="0.25">
      <c r="A167" s="13" t="str">
        <f t="shared" si="4"/>
        <v>50714263860</v>
      </c>
      <c r="B167" s="10">
        <v>1004049845</v>
      </c>
      <c r="C167" s="10">
        <v>507142638</v>
      </c>
      <c r="D167" s="10">
        <v>60</v>
      </c>
      <c r="E167" s="10" t="s">
        <v>10</v>
      </c>
      <c r="F167" s="10">
        <v>1361175</v>
      </c>
      <c r="G167" s="10" t="s">
        <v>22</v>
      </c>
      <c r="H167" s="11">
        <v>36850</v>
      </c>
      <c r="I167" s="11">
        <v>36850</v>
      </c>
      <c r="J167" s="11">
        <f t="shared" si="5"/>
        <v>0</v>
      </c>
      <c r="K167" s="12">
        <f>VLOOKUP(A167,[4]VA05!$A:$K,11,FALSE)</f>
        <v>45560</v>
      </c>
      <c r="L167" s="10" t="s">
        <v>233</v>
      </c>
      <c r="M167" s="10" t="s">
        <v>143</v>
      </c>
    </row>
    <row r="168" spans="1:13" x14ac:dyDescent="0.25">
      <c r="A168" s="13" t="str">
        <f t="shared" si="4"/>
        <v>50714263860</v>
      </c>
      <c r="B168" s="10">
        <v>1004049846</v>
      </c>
      <c r="C168" s="10">
        <v>507142638</v>
      </c>
      <c r="D168" s="10">
        <v>60</v>
      </c>
      <c r="E168" s="10" t="s">
        <v>10</v>
      </c>
      <c r="F168" s="10">
        <v>1361175</v>
      </c>
      <c r="G168" s="10" t="s">
        <v>22</v>
      </c>
      <c r="H168" s="11">
        <v>36190</v>
      </c>
      <c r="I168" s="11">
        <v>10208</v>
      </c>
      <c r="J168" s="11">
        <f t="shared" si="5"/>
        <v>25982</v>
      </c>
      <c r="K168" s="12">
        <f>VLOOKUP(A168,[4]VA05!$A:$K,11,FALSE)</f>
        <v>45560</v>
      </c>
      <c r="L168" s="10" t="s">
        <v>132</v>
      </c>
      <c r="M168" s="10" t="s">
        <v>97</v>
      </c>
    </row>
    <row r="169" spans="1:13" x14ac:dyDescent="0.25">
      <c r="A169" s="13" t="str">
        <f t="shared" si="4"/>
        <v>50714273820</v>
      </c>
      <c r="B169" s="10">
        <v>1004064517</v>
      </c>
      <c r="C169" s="10">
        <v>507142738</v>
      </c>
      <c r="D169" s="10">
        <v>20</v>
      </c>
      <c r="E169" s="10" t="s">
        <v>10</v>
      </c>
      <c r="F169" s="10">
        <v>1361175</v>
      </c>
      <c r="G169" s="10" t="s">
        <v>22</v>
      </c>
      <c r="H169" s="11">
        <v>36936</v>
      </c>
      <c r="I169" s="10">
        <v>0</v>
      </c>
      <c r="J169" s="11">
        <f t="shared" si="5"/>
        <v>36936</v>
      </c>
      <c r="K169" s="12">
        <f>VLOOKUP(A169,[4]VA05!$A:$K,11,FALSE)</f>
        <v>45567</v>
      </c>
      <c r="L169" s="10" t="s">
        <v>29</v>
      </c>
      <c r="M169" s="10" t="s">
        <v>179</v>
      </c>
    </row>
    <row r="170" spans="1:13" x14ac:dyDescent="0.25">
      <c r="A170" s="13" t="str">
        <f t="shared" si="4"/>
        <v>50714273820</v>
      </c>
      <c r="B170" s="10">
        <v>1004064518</v>
      </c>
      <c r="C170" s="10">
        <v>507142738</v>
      </c>
      <c r="D170" s="10">
        <v>20</v>
      </c>
      <c r="E170" s="10" t="s">
        <v>10</v>
      </c>
      <c r="F170" s="10">
        <v>1361175</v>
      </c>
      <c r="G170" s="10" t="s">
        <v>22</v>
      </c>
      <c r="H170" s="11">
        <v>36936</v>
      </c>
      <c r="I170" s="10">
        <v>0</v>
      </c>
      <c r="J170" s="11">
        <f t="shared" si="5"/>
        <v>36936</v>
      </c>
      <c r="K170" s="12">
        <f>VLOOKUP(A170,[4]VA05!$A:$K,11,FALSE)</f>
        <v>45567</v>
      </c>
      <c r="L170" s="10" t="s">
        <v>29</v>
      </c>
      <c r="M170" s="10" t="s">
        <v>179</v>
      </c>
    </row>
    <row r="171" spans="1:13" x14ac:dyDescent="0.25">
      <c r="A171" s="13" t="str">
        <f t="shared" si="4"/>
        <v>50714273820</v>
      </c>
      <c r="B171" s="10">
        <v>1004064519</v>
      </c>
      <c r="C171" s="10">
        <v>507142738</v>
      </c>
      <c r="D171" s="10">
        <v>20</v>
      </c>
      <c r="E171" s="10" t="s">
        <v>10</v>
      </c>
      <c r="F171" s="10">
        <v>1361175</v>
      </c>
      <c r="G171" s="10" t="s">
        <v>22</v>
      </c>
      <c r="H171" s="11">
        <v>36288</v>
      </c>
      <c r="I171" s="10">
        <v>0</v>
      </c>
      <c r="J171" s="11">
        <f t="shared" si="5"/>
        <v>36288</v>
      </c>
      <c r="K171" s="12">
        <f>VLOOKUP(A171,[4]VA05!$A:$K,11,FALSE)</f>
        <v>45567</v>
      </c>
      <c r="L171" s="10" t="s">
        <v>12</v>
      </c>
      <c r="M171" s="10" t="s">
        <v>179</v>
      </c>
    </row>
    <row r="172" spans="1:13" x14ac:dyDescent="0.25">
      <c r="A172" s="13" t="str">
        <f t="shared" si="4"/>
        <v>50714279020</v>
      </c>
      <c r="B172" s="10">
        <v>1004064520</v>
      </c>
      <c r="C172" s="10">
        <v>507142790</v>
      </c>
      <c r="D172" s="10">
        <v>20</v>
      </c>
      <c r="E172" s="10" t="s">
        <v>10</v>
      </c>
      <c r="F172" s="10">
        <v>1361175</v>
      </c>
      <c r="G172" s="10" t="s">
        <v>22</v>
      </c>
      <c r="H172" s="11">
        <v>36936</v>
      </c>
      <c r="I172" s="10">
        <v>0</v>
      </c>
      <c r="J172" s="11">
        <f t="shared" si="5"/>
        <v>36936</v>
      </c>
      <c r="K172" s="12">
        <f>VLOOKUP(A172,[4]VA05!$A:$K,11,FALSE)</f>
        <v>45583</v>
      </c>
      <c r="L172" s="10" t="s">
        <v>12</v>
      </c>
      <c r="M172" s="10" t="s">
        <v>193</v>
      </c>
    </row>
    <row r="173" spans="1:13" x14ac:dyDescent="0.25">
      <c r="A173" s="13" t="str">
        <f t="shared" si="4"/>
        <v>50714279020</v>
      </c>
      <c r="B173" s="10">
        <v>1004064521</v>
      </c>
      <c r="C173" s="10">
        <v>507142790</v>
      </c>
      <c r="D173" s="10">
        <v>20</v>
      </c>
      <c r="E173" s="10" t="s">
        <v>10</v>
      </c>
      <c r="F173" s="10">
        <v>1361175</v>
      </c>
      <c r="G173" s="10" t="s">
        <v>22</v>
      </c>
      <c r="H173" s="11">
        <v>36936</v>
      </c>
      <c r="I173" s="10">
        <v>0</v>
      </c>
      <c r="J173" s="11">
        <f t="shared" si="5"/>
        <v>36936</v>
      </c>
      <c r="K173" s="12">
        <f>VLOOKUP(A173,[4]VA05!$A:$K,11,FALSE)</f>
        <v>45583</v>
      </c>
      <c r="L173" s="10" t="s">
        <v>12</v>
      </c>
      <c r="M173" s="10" t="s">
        <v>193</v>
      </c>
    </row>
    <row r="174" spans="1:13" x14ac:dyDescent="0.25">
      <c r="A174" s="13" t="str">
        <f t="shared" si="4"/>
        <v>50714279020</v>
      </c>
      <c r="B174" s="10">
        <v>1004064522</v>
      </c>
      <c r="C174" s="10">
        <v>507142790</v>
      </c>
      <c r="D174" s="10">
        <v>20</v>
      </c>
      <c r="E174" s="10" t="s">
        <v>10</v>
      </c>
      <c r="F174" s="10">
        <v>1361175</v>
      </c>
      <c r="G174" s="10" t="s">
        <v>22</v>
      </c>
      <c r="H174" s="11">
        <v>36288</v>
      </c>
      <c r="I174" s="10">
        <v>0</v>
      </c>
      <c r="J174" s="11">
        <f t="shared" si="5"/>
        <v>36288</v>
      </c>
      <c r="K174" s="12">
        <f>VLOOKUP(A174,[4]VA05!$A:$K,11,FALSE)</f>
        <v>45583</v>
      </c>
      <c r="L174" s="10" t="s">
        <v>12</v>
      </c>
      <c r="M174" s="10" t="s">
        <v>193</v>
      </c>
    </row>
    <row r="175" spans="1:13" x14ac:dyDescent="0.25">
      <c r="A175" s="13" t="str">
        <f t="shared" si="4"/>
        <v>50714269240</v>
      </c>
      <c r="B175" s="10">
        <v>1004060928</v>
      </c>
      <c r="C175" s="10">
        <v>507142692</v>
      </c>
      <c r="D175" s="10">
        <v>40</v>
      </c>
      <c r="E175" s="10" t="s">
        <v>10</v>
      </c>
      <c r="F175" s="10">
        <v>1367370</v>
      </c>
      <c r="G175" s="10" t="s">
        <v>63</v>
      </c>
      <c r="H175" s="11">
        <v>32400</v>
      </c>
      <c r="I175" s="11">
        <v>13294</v>
      </c>
      <c r="J175" s="11">
        <f t="shared" si="5"/>
        <v>19106</v>
      </c>
      <c r="K175" s="12">
        <f>VLOOKUP(A175,[4]VA05!$A:$K,11,FALSE)</f>
        <v>45567</v>
      </c>
      <c r="L175" s="10" t="s">
        <v>34</v>
      </c>
      <c r="M175" s="10" t="s">
        <v>178</v>
      </c>
    </row>
    <row r="176" spans="1:13" x14ac:dyDescent="0.25">
      <c r="A176" s="13" t="str">
        <f t="shared" si="4"/>
        <v>50714269240</v>
      </c>
      <c r="B176" s="10">
        <v>1004061129</v>
      </c>
      <c r="C176" s="10">
        <v>507142692</v>
      </c>
      <c r="D176" s="10">
        <v>40</v>
      </c>
      <c r="E176" s="10" t="s">
        <v>10</v>
      </c>
      <c r="F176" s="10">
        <v>1367370</v>
      </c>
      <c r="G176" s="10" t="s">
        <v>63</v>
      </c>
      <c r="H176" s="11">
        <v>34400</v>
      </c>
      <c r="I176" s="10">
        <v>0</v>
      </c>
      <c r="J176" s="11">
        <f t="shared" si="5"/>
        <v>34400</v>
      </c>
      <c r="K176" s="12">
        <f>VLOOKUP(A176,[4]VA05!$A:$K,11,FALSE)</f>
        <v>45567</v>
      </c>
      <c r="L176" s="10" t="s">
        <v>235</v>
      </c>
      <c r="M176" s="10" t="s">
        <v>178</v>
      </c>
    </row>
    <row r="177" spans="1:13" x14ac:dyDescent="0.25">
      <c r="A177" s="13" t="str">
        <f t="shared" si="4"/>
        <v>50714263850</v>
      </c>
      <c r="B177" s="10">
        <v>1004043126</v>
      </c>
      <c r="C177" s="10">
        <v>507142638</v>
      </c>
      <c r="D177" s="10">
        <v>50</v>
      </c>
      <c r="E177" s="10" t="s">
        <v>10</v>
      </c>
      <c r="F177" s="10">
        <v>1361213</v>
      </c>
      <c r="G177" s="10" t="s">
        <v>23</v>
      </c>
      <c r="H177" s="11">
        <v>113187</v>
      </c>
      <c r="I177" s="11">
        <v>99740</v>
      </c>
      <c r="J177" s="11">
        <f t="shared" si="5"/>
        <v>13447</v>
      </c>
      <c r="K177" s="12">
        <f>VLOOKUP(A177,[4]VA05!$A:$K,11,FALSE)</f>
        <v>45560</v>
      </c>
      <c r="L177" s="10" t="s">
        <v>18</v>
      </c>
      <c r="M177" s="10" t="s">
        <v>178</v>
      </c>
    </row>
    <row r="178" spans="1:13" x14ac:dyDescent="0.25">
      <c r="A178" s="13" t="str">
        <f t="shared" si="4"/>
        <v>50714273810</v>
      </c>
      <c r="B178" s="10">
        <v>1004053617</v>
      </c>
      <c r="C178" s="10">
        <v>507142738</v>
      </c>
      <c r="D178" s="10">
        <v>10</v>
      </c>
      <c r="E178" s="10" t="s">
        <v>10</v>
      </c>
      <c r="F178" s="10">
        <v>1361213</v>
      </c>
      <c r="G178" s="10" t="s">
        <v>23</v>
      </c>
      <c r="H178" s="11">
        <v>113468</v>
      </c>
      <c r="I178" s="10">
        <v>0</v>
      </c>
      <c r="J178" s="11">
        <f t="shared" si="5"/>
        <v>113468</v>
      </c>
      <c r="K178" s="12">
        <f>VLOOKUP(A178,[4]VA05!$A:$K,11,FALSE)</f>
        <v>45567</v>
      </c>
      <c r="L178" s="10" t="s">
        <v>12</v>
      </c>
      <c r="M178" s="10" t="s">
        <v>130</v>
      </c>
    </row>
    <row r="179" spans="1:13" x14ac:dyDescent="0.25">
      <c r="A179" s="13" t="str">
        <f t="shared" si="4"/>
        <v>50714279010</v>
      </c>
      <c r="B179" s="10">
        <v>1004053618</v>
      </c>
      <c r="C179" s="10">
        <v>507142790</v>
      </c>
      <c r="D179" s="10">
        <v>10</v>
      </c>
      <c r="E179" s="10" t="s">
        <v>10</v>
      </c>
      <c r="F179" s="10">
        <v>1361213</v>
      </c>
      <c r="G179" s="10" t="s">
        <v>23</v>
      </c>
      <c r="H179" s="11">
        <v>113465</v>
      </c>
      <c r="I179" s="10">
        <v>0</v>
      </c>
      <c r="J179" s="11">
        <f t="shared" si="5"/>
        <v>113465</v>
      </c>
      <c r="K179" s="12">
        <f>VLOOKUP(A179,[4]VA05!$A:$K,11,FALSE)</f>
        <v>45583</v>
      </c>
      <c r="L179" s="10" t="s">
        <v>12</v>
      </c>
      <c r="M179" s="10" t="s">
        <v>180</v>
      </c>
    </row>
    <row r="180" spans="1:13" x14ac:dyDescent="0.25">
      <c r="A180" s="13" t="str">
        <f t="shared" si="4"/>
        <v>50714269230</v>
      </c>
      <c r="B180" s="10">
        <v>1004062502</v>
      </c>
      <c r="C180" s="10">
        <v>507142692</v>
      </c>
      <c r="D180" s="10">
        <v>30</v>
      </c>
      <c r="E180" s="10" t="s">
        <v>10</v>
      </c>
      <c r="F180" s="10">
        <v>1361213</v>
      </c>
      <c r="G180" s="10" t="s">
        <v>23</v>
      </c>
      <c r="H180" s="11">
        <v>102900</v>
      </c>
      <c r="I180" s="10">
        <v>0</v>
      </c>
      <c r="J180" s="11">
        <f t="shared" si="5"/>
        <v>102900</v>
      </c>
      <c r="K180" s="12">
        <f>VLOOKUP(A180,[4]VA05!$A:$K,11,FALSE)</f>
        <v>45567</v>
      </c>
      <c r="L180" s="10" t="s">
        <v>27</v>
      </c>
      <c r="M180" s="10" t="s">
        <v>192</v>
      </c>
    </row>
    <row r="181" spans="1:13" x14ac:dyDescent="0.25">
      <c r="A181" s="13" t="str">
        <f t="shared" si="4"/>
        <v>50714283110</v>
      </c>
      <c r="B181" s="10">
        <v>1004062504</v>
      </c>
      <c r="C181" s="10">
        <v>507142831</v>
      </c>
      <c r="D181" s="10">
        <v>10</v>
      </c>
      <c r="E181" s="10" t="s">
        <v>10</v>
      </c>
      <c r="F181" s="10">
        <v>1361213</v>
      </c>
      <c r="G181" s="10" t="s">
        <v>23</v>
      </c>
      <c r="H181" s="11">
        <v>51727</v>
      </c>
      <c r="I181" s="10">
        <v>0</v>
      </c>
      <c r="J181" s="11">
        <f t="shared" si="5"/>
        <v>51727</v>
      </c>
      <c r="K181" s="12">
        <f>VLOOKUP(A181,[4]VA05!$A:$K,11,FALSE)</f>
        <v>45587</v>
      </c>
      <c r="L181" s="10" t="s">
        <v>12</v>
      </c>
      <c r="M181" s="10" t="s">
        <v>179</v>
      </c>
    </row>
    <row r="182" spans="1:13" hidden="1" x14ac:dyDescent="0.25">
      <c r="A182" s="13" t="str">
        <f t="shared" si="4"/>
        <v>50714263750</v>
      </c>
      <c r="B182" s="10">
        <v>1004053626</v>
      </c>
      <c r="C182" s="10">
        <v>507142637</v>
      </c>
      <c r="D182" s="10">
        <v>50</v>
      </c>
      <c r="E182" s="10" t="s">
        <v>10</v>
      </c>
      <c r="F182" s="10">
        <v>1408740</v>
      </c>
      <c r="G182" s="10" t="s">
        <v>104</v>
      </c>
      <c r="H182" s="11">
        <v>27540</v>
      </c>
      <c r="I182" s="11">
        <v>27540</v>
      </c>
      <c r="J182" s="11">
        <f t="shared" si="5"/>
        <v>0</v>
      </c>
      <c r="K182" s="12">
        <f>VLOOKUP(A182,[4]VA05!$A:$K,11,FALSE)</f>
        <v>45572</v>
      </c>
      <c r="L182" s="10" t="s">
        <v>233</v>
      </c>
      <c r="M182" s="10" t="s">
        <v>154</v>
      </c>
    </row>
    <row r="183" spans="1:13" hidden="1" x14ac:dyDescent="0.25">
      <c r="A183" s="13" t="str">
        <f t="shared" si="4"/>
        <v>50714263750</v>
      </c>
      <c r="B183" s="10">
        <v>1004053627</v>
      </c>
      <c r="C183" s="10">
        <v>507142637</v>
      </c>
      <c r="D183" s="10">
        <v>50</v>
      </c>
      <c r="E183" s="10" t="s">
        <v>10</v>
      </c>
      <c r="F183" s="10">
        <v>1408740</v>
      </c>
      <c r="G183" s="10" t="s">
        <v>104</v>
      </c>
      <c r="H183" s="11">
        <v>27540</v>
      </c>
      <c r="I183" s="11">
        <v>27540</v>
      </c>
      <c r="J183" s="11">
        <f t="shared" si="5"/>
        <v>0</v>
      </c>
      <c r="K183" s="12">
        <f>VLOOKUP(A183,[4]VA05!$A:$K,11,FALSE)</f>
        <v>45572</v>
      </c>
      <c r="L183" s="10" t="s">
        <v>233</v>
      </c>
      <c r="M183" s="10" t="s">
        <v>194</v>
      </c>
    </row>
    <row r="184" spans="1:13" hidden="1" x14ac:dyDescent="0.25">
      <c r="A184" s="13" t="str">
        <f t="shared" si="4"/>
        <v>50714263750</v>
      </c>
      <c r="B184" s="10">
        <v>1004053628</v>
      </c>
      <c r="C184" s="10">
        <v>507142637</v>
      </c>
      <c r="D184" s="10">
        <v>50</v>
      </c>
      <c r="E184" s="10" t="s">
        <v>10</v>
      </c>
      <c r="F184" s="10">
        <v>1408740</v>
      </c>
      <c r="G184" s="10" t="s">
        <v>104</v>
      </c>
      <c r="H184" s="11">
        <v>27540</v>
      </c>
      <c r="I184" s="11">
        <v>27540</v>
      </c>
      <c r="J184" s="11">
        <f t="shared" si="5"/>
        <v>0</v>
      </c>
      <c r="K184" s="12">
        <f>VLOOKUP(A184,[4]VA05!$A:$K,11,FALSE)</f>
        <v>45572</v>
      </c>
      <c r="L184" s="10" t="s">
        <v>34</v>
      </c>
      <c r="M184" s="10" t="s">
        <v>178</v>
      </c>
    </row>
    <row r="185" spans="1:13" hidden="1" x14ac:dyDescent="0.25">
      <c r="A185" s="13" t="str">
        <f t="shared" si="4"/>
        <v>50714269810</v>
      </c>
      <c r="B185" s="10">
        <v>1004061888</v>
      </c>
      <c r="C185" s="10">
        <v>507142698</v>
      </c>
      <c r="D185" s="10">
        <v>10</v>
      </c>
      <c r="E185" s="10" t="s">
        <v>10</v>
      </c>
      <c r="F185" s="10">
        <v>1408740</v>
      </c>
      <c r="G185" s="10" t="s">
        <v>104</v>
      </c>
      <c r="H185" s="11">
        <v>27540</v>
      </c>
      <c r="I185" s="11">
        <v>27540</v>
      </c>
      <c r="J185" s="11">
        <f t="shared" si="5"/>
        <v>0</v>
      </c>
      <c r="K185" s="12">
        <f>VLOOKUP(A185,[4]VA05!$A:$K,11,FALSE)</f>
        <v>45553</v>
      </c>
      <c r="L185" s="10" t="s">
        <v>11</v>
      </c>
      <c r="M185" s="10" t="s">
        <v>202</v>
      </c>
    </row>
    <row r="186" spans="1:13" hidden="1" x14ac:dyDescent="0.25">
      <c r="A186" s="13" t="str">
        <f t="shared" si="4"/>
        <v>50714269810</v>
      </c>
      <c r="B186" s="10">
        <v>1004062029</v>
      </c>
      <c r="C186" s="10">
        <v>507142698</v>
      </c>
      <c r="D186" s="10">
        <v>10</v>
      </c>
      <c r="E186" s="10" t="s">
        <v>10</v>
      </c>
      <c r="F186" s="10">
        <v>1408740</v>
      </c>
      <c r="G186" s="10" t="s">
        <v>104</v>
      </c>
      <c r="H186" s="11">
        <v>27540</v>
      </c>
      <c r="I186" s="11">
        <v>27540</v>
      </c>
      <c r="J186" s="11">
        <f t="shared" si="5"/>
        <v>0</v>
      </c>
      <c r="K186" s="12">
        <f>VLOOKUP(A186,[4]VA05!$A:$K,11,FALSE)</f>
        <v>45553</v>
      </c>
      <c r="L186" s="10" t="s">
        <v>11</v>
      </c>
      <c r="M186" s="10" t="s">
        <v>202</v>
      </c>
    </row>
    <row r="187" spans="1:13" x14ac:dyDescent="0.25">
      <c r="A187" s="13" t="str">
        <f t="shared" si="4"/>
        <v>50714269810</v>
      </c>
      <c r="B187" s="10">
        <v>1004062030</v>
      </c>
      <c r="C187" s="10">
        <v>507142698</v>
      </c>
      <c r="D187" s="10">
        <v>10</v>
      </c>
      <c r="E187" s="10" t="s">
        <v>10</v>
      </c>
      <c r="F187" s="10">
        <v>1408740</v>
      </c>
      <c r="G187" s="10" t="s">
        <v>104</v>
      </c>
      <c r="H187" s="11">
        <v>27540</v>
      </c>
      <c r="I187" s="11">
        <v>9652</v>
      </c>
      <c r="J187" s="11">
        <f t="shared" si="5"/>
        <v>17888</v>
      </c>
      <c r="K187" s="12">
        <f>VLOOKUP(A187,[4]VA05!$A:$K,11,FALSE)</f>
        <v>45553</v>
      </c>
      <c r="L187" s="10" t="s">
        <v>89</v>
      </c>
      <c r="M187" s="10" t="s">
        <v>202</v>
      </c>
    </row>
    <row r="188" spans="1:13" x14ac:dyDescent="0.25">
      <c r="A188" s="13" t="str">
        <f t="shared" si="4"/>
        <v>50714269830</v>
      </c>
      <c r="B188" s="10">
        <v>1004062031</v>
      </c>
      <c r="C188" s="10">
        <v>507142698</v>
      </c>
      <c r="D188" s="10">
        <v>30</v>
      </c>
      <c r="E188" s="10" t="s">
        <v>10</v>
      </c>
      <c r="F188" s="10">
        <v>1408740</v>
      </c>
      <c r="G188" s="10" t="s">
        <v>104</v>
      </c>
      <c r="H188" s="11">
        <v>27540</v>
      </c>
      <c r="I188" s="10">
        <v>0</v>
      </c>
      <c r="J188" s="11">
        <f t="shared" si="5"/>
        <v>27540</v>
      </c>
      <c r="K188" s="12">
        <f>VLOOKUP(A188,[4]VA05!$A:$K,11,FALSE)</f>
        <v>45567</v>
      </c>
      <c r="L188" s="10" t="s">
        <v>12</v>
      </c>
      <c r="M188" s="10" t="s">
        <v>197</v>
      </c>
    </row>
    <row r="189" spans="1:13" x14ac:dyDescent="0.25">
      <c r="A189" s="13" t="str">
        <f t="shared" si="4"/>
        <v>50714269830</v>
      </c>
      <c r="B189" s="10">
        <v>1004062032</v>
      </c>
      <c r="C189" s="10">
        <v>507142698</v>
      </c>
      <c r="D189" s="10">
        <v>30</v>
      </c>
      <c r="E189" s="10" t="s">
        <v>10</v>
      </c>
      <c r="F189" s="10">
        <v>1408740</v>
      </c>
      <c r="G189" s="10" t="s">
        <v>104</v>
      </c>
      <c r="H189" s="11">
        <v>27540</v>
      </c>
      <c r="I189" s="10">
        <v>0</v>
      </c>
      <c r="J189" s="11">
        <f t="shared" si="5"/>
        <v>27540</v>
      </c>
      <c r="K189" s="12">
        <f>VLOOKUP(A189,[4]VA05!$A:$K,11,FALSE)</f>
        <v>45567</v>
      </c>
      <c r="L189" s="10" t="s">
        <v>12</v>
      </c>
      <c r="M189" s="10" t="s">
        <v>197</v>
      </c>
    </row>
    <row r="190" spans="1:13" x14ac:dyDescent="0.25">
      <c r="A190" s="13" t="str">
        <f t="shared" si="4"/>
        <v>50714269830</v>
      </c>
      <c r="B190" s="10">
        <v>1004062033</v>
      </c>
      <c r="C190" s="10">
        <v>507142698</v>
      </c>
      <c r="D190" s="10">
        <v>30</v>
      </c>
      <c r="E190" s="10" t="s">
        <v>10</v>
      </c>
      <c r="F190" s="10">
        <v>1408740</v>
      </c>
      <c r="G190" s="10" t="s">
        <v>104</v>
      </c>
      <c r="H190" s="11">
        <v>27540</v>
      </c>
      <c r="I190" s="10">
        <v>0</v>
      </c>
      <c r="J190" s="11">
        <f t="shared" si="5"/>
        <v>27540</v>
      </c>
      <c r="K190" s="12">
        <f>VLOOKUP(A190,[4]VA05!$A:$K,11,FALSE)</f>
        <v>45567</v>
      </c>
      <c r="L190" s="10" t="s">
        <v>12</v>
      </c>
      <c r="M190" s="10" t="s">
        <v>197</v>
      </c>
    </row>
    <row r="191" spans="1:13" x14ac:dyDescent="0.25">
      <c r="A191" s="13" t="str">
        <f t="shared" si="4"/>
        <v>50714269830</v>
      </c>
      <c r="B191" s="10">
        <v>1004062034</v>
      </c>
      <c r="C191" s="10">
        <v>507142698</v>
      </c>
      <c r="D191" s="10">
        <v>30</v>
      </c>
      <c r="E191" s="10" t="s">
        <v>10</v>
      </c>
      <c r="F191" s="10">
        <v>1408740</v>
      </c>
      <c r="G191" s="10" t="s">
        <v>104</v>
      </c>
      <c r="H191" s="11">
        <v>27270</v>
      </c>
      <c r="I191" s="10">
        <v>0</v>
      </c>
      <c r="J191" s="11">
        <f t="shared" si="5"/>
        <v>27270</v>
      </c>
      <c r="K191" s="12">
        <f>VLOOKUP(A191,[4]VA05!$A:$K,11,FALSE)</f>
        <v>45567</v>
      </c>
      <c r="L191" s="10" t="s">
        <v>12</v>
      </c>
      <c r="M191" s="10" t="s">
        <v>197</v>
      </c>
    </row>
    <row r="192" spans="1:13" hidden="1" x14ac:dyDescent="0.25">
      <c r="A192" s="13" t="str">
        <f t="shared" si="4"/>
        <v>50714269820</v>
      </c>
      <c r="B192" s="10">
        <v>1004059594</v>
      </c>
      <c r="C192" s="10">
        <v>507142698</v>
      </c>
      <c r="D192" s="10">
        <v>20</v>
      </c>
      <c r="E192" s="10" t="s">
        <v>10</v>
      </c>
      <c r="F192" s="10">
        <v>1408739</v>
      </c>
      <c r="G192" s="10" t="s">
        <v>37</v>
      </c>
      <c r="H192" s="11">
        <v>27864</v>
      </c>
      <c r="I192" s="11">
        <v>27864</v>
      </c>
      <c r="J192" s="11">
        <f t="shared" si="5"/>
        <v>0</v>
      </c>
      <c r="K192" s="12">
        <f>VLOOKUP(A192,[4]VA05!$A:$K,11,FALSE)</f>
        <v>45553</v>
      </c>
      <c r="L192" s="10" t="s">
        <v>118</v>
      </c>
      <c r="M192" s="10" t="s">
        <v>194</v>
      </c>
    </row>
    <row r="193" spans="1:13" hidden="1" x14ac:dyDescent="0.25">
      <c r="A193" s="13" t="str">
        <f t="shared" si="4"/>
        <v>50714269820</v>
      </c>
      <c r="B193" s="10">
        <v>1004059595</v>
      </c>
      <c r="C193" s="10">
        <v>507142698</v>
      </c>
      <c r="D193" s="10">
        <v>20</v>
      </c>
      <c r="E193" s="10" t="s">
        <v>10</v>
      </c>
      <c r="F193" s="10">
        <v>1408739</v>
      </c>
      <c r="G193" s="10" t="s">
        <v>37</v>
      </c>
      <c r="H193" s="11">
        <v>27864</v>
      </c>
      <c r="I193" s="11">
        <v>27864</v>
      </c>
      <c r="J193" s="11">
        <f t="shared" si="5"/>
        <v>0</v>
      </c>
      <c r="K193" s="12">
        <f>VLOOKUP(A193,[4]VA05!$A:$K,11,FALSE)</f>
        <v>45553</v>
      </c>
      <c r="L193" s="10" t="s">
        <v>118</v>
      </c>
      <c r="M193" s="10" t="s">
        <v>156</v>
      </c>
    </row>
    <row r="194" spans="1:13" hidden="1" x14ac:dyDescent="0.25">
      <c r="A194" s="13" t="str">
        <f t="shared" si="4"/>
        <v>50714269820</v>
      </c>
      <c r="B194" s="10">
        <v>1004059596</v>
      </c>
      <c r="C194" s="10">
        <v>507142698</v>
      </c>
      <c r="D194" s="10">
        <v>20</v>
      </c>
      <c r="E194" s="10" t="s">
        <v>10</v>
      </c>
      <c r="F194" s="10">
        <v>1408739</v>
      </c>
      <c r="G194" s="10" t="s">
        <v>37</v>
      </c>
      <c r="H194" s="11">
        <v>27864</v>
      </c>
      <c r="I194" s="11">
        <v>27864</v>
      </c>
      <c r="J194" s="11">
        <f t="shared" si="5"/>
        <v>0</v>
      </c>
      <c r="K194" s="12">
        <f>VLOOKUP(A194,[4]VA05!$A:$K,11,FALSE)</f>
        <v>45553</v>
      </c>
      <c r="L194" s="10" t="s">
        <v>34</v>
      </c>
      <c r="M194" s="10" t="s">
        <v>179</v>
      </c>
    </row>
    <row r="195" spans="1:13" x14ac:dyDescent="0.25">
      <c r="A195" s="13" t="str">
        <f t="shared" si="4"/>
        <v>50714269820</v>
      </c>
      <c r="B195" s="10">
        <v>1004059597</v>
      </c>
      <c r="C195" s="10">
        <v>507142698</v>
      </c>
      <c r="D195" s="10">
        <v>20</v>
      </c>
      <c r="E195" s="10" t="s">
        <v>10</v>
      </c>
      <c r="F195" s="10">
        <v>1408739</v>
      </c>
      <c r="G195" s="10" t="s">
        <v>37</v>
      </c>
      <c r="H195" s="11">
        <v>26568</v>
      </c>
      <c r="I195" s="10">
        <v>0</v>
      </c>
      <c r="J195" s="11">
        <f t="shared" si="5"/>
        <v>26568</v>
      </c>
      <c r="K195" s="12">
        <f>VLOOKUP(A195,[4]VA05!$A:$K,11,FALSE)</f>
        <v>45553</v>
      </c>
      <c r="L195" s="10" t="s">
        <v>120</v>
      </c>
      <c r="M195" s="10" t="s">
        <v>179</v>
      </c>
    </row>
    <row r="196" spans="1:13" x14ac:dyDescent="0.25">
      <c r="A196" s="13" t="str">
        <f t="shared" ref="A196:A227" si="6">C196&amp;D196</f>
        <v>50714269840</v>
      </c>
      <c r="B196" s="10">
        <v>1004062035</v>
      </c>
      <c r="C196" s="10">
        <v>507142698</v>
      </c>
      <c r="D196" s="10">
        <v>40</v>
      </c>
      <c r="E196" s="10" t="s">
        <v>10</v>
      </c>
      <c r="F196" s="10">
        <v>1408739</v>
      </c>
      <c r="G196" s="10" t="s">
        <v>37</v>
      </c>
      <c r="H196" s="11">
        <v>27864</v>
      </c>
      <c r="I196" s="10">
        <v>0</v>
      </c>
      <c r="J196" s="11">
        <f t="shared" ref="J196:J227" si="7">H196-I196</f>
        <v>27864</v>
      </c>
      <c r="K196" s="12">
        <f>VLOOKUP(A196,[4]VA05!$A:$K,11,FALSE)</f>
        <v>45567</v>
      </c>
      <c r="L196" s="10" t="s">
        <v>12</v>
      </c>
      <c r="M196" s="10" t="s">
        <v>197</v>
      </c>
    </row>
    <row r="197" spans="1:13" x14ac:dyDescent="0.25">
      <c r="A197" s="13" t="str">
        <f t="shared" si="6"/>
        <v>50714269840</v>
      </c>
      <c r="B197" s="10">
        <v>1004062036</v>
      </c>
      <c r="C197" s="10">
        <v>507142698</v>
      </c>
      <c r="D197" s="10">
        <v>40</v>
      </c>
      <c r="E197" s="10" t="s">
        <v>10</v>
      </c>
      <c r="F197" s="10">
        <v>1408739</v>
      </c>
      <c r="G197" s="10" t="s">
        <v>37</v>
      </c>
      <c r="H197" s="11">
        <v>27864</v>
      </c>
      <c r="I197" s="10">
        <v>0</v>
      </c>
      <c r="J197" s="11">
        <f t="shared" si="7"/>
        <v>27864</v>
      </c>
      <c r="K197" s="12">
        <f>VLOOKUP(A197,[4]VA05!$A:$K,11,FALSE)</f>
        <v>45567</v>
      </c>
      <c r="L197" s="10" t="s">
        <v>12</v>
      </c>
      <c r="M197" s="10" t="s">
        <v>197</v>
      </c>
    </row>
    <row r="198" spans="1:13" x14ac:dyDescent="0.25">
      <c r="A198" s="13" t="str">
        <f t="shared" si="6"/>
        <v>50714269840</v>
      </c>
      <c r="B198" s="10">
        <v>1004062037</v>
      </c>
      <c r="C198" s="10">
        <v>507142698</v>
      </c>
      <c r="D198" s="10">
        <v>40</v>
      </c>
      <c r="E198" s="10" t="s">
        <v>10</v>
      </c>
      <c r="F198" s="10">
        <v>1408739</v>
      </c>
      <c r="G198" s="10" t="s">
        <v>37</v>
      </c>
      <c r="H198" s="11">
        <v>27864</v>
      </c>
      <c r="I198" s="10">
        <v>0</v>
      </c>
      <c r="J198" s="11">
        <f t="shared" si="7"/>
        <v>27864</v>
      </c>
      <c r="K198" s="12">
        <f>VLOOKUP(A198,[4]VA05!$A:$K,11,FALSE)</f>
        <v>45567</v>
      </c>
      <c r="L198" s="10" t="s">
        <v>146</v>
      </c>
      <c r="M198" s="10" t="s">
        <v>197</v>
      </c>
    </row>
    <row r="199" spans="1:13" x14ac:dyDescent="0.25">
      <c r="A199" s="13" t="str">
        <f t="shared" si="6"/>
        <v>50714269840</v>
      </c>
      <c r="B199" s="10">
        <v>1004062038</v>
      </c>
      <c r="C199" s="10">
        <v>507142698</v>
      </c>
      <c r="D199" s="10">
        <v>40</v>
      </c>
      <c r="E199" s="10" t="s">
        <v>10</v>
      </c>
      <c r="F199" s="10">
        <v>1408739</v>
      </c>
      <c r="G199" s="10" t="s">
        <v>37</v>
      </c>
      <c r="H199" s="11">
        <v>26298</v>
      </c>
      <c r="I199" s="10">
        <v>0</v>
      </c>
      <c r="J199" s="11">
        <f t="shared" si="7"/>
        <v>26298</v>
      </c>
      <c r="K199" s="12">
        <f>VLOOKUP(A199,[4]VA05!$A:$K,11,FALSE)</f>
        <v>45567</v>
      </c>
      <c r="L199" s="10" t="s">
        <v>146</v>
      </c>
      <c r="M199" s="10" t="s">
        <v>197</v>
      </c>
    </row>
    <row r="200" spans="1:13" x14ac:dyDescent="0.25">
      <c r="A200" s="13" t="str">
        <f t="shared" si="6"/>
        <v>50714269810</v>
      </c>
      <c r="B200" s="10">
        <v>1004062505</v>
      </c>
      <c r="C200" s="10">
        <v>507142698</v>
      </c>
      <c r="D200" s="10">
        <v>10</v>
      </c>
      <c r="E200" s="10" t="s">
        <v>10</v>
      </c>
      <c r="F200" s="10">
        <v>1408742</v>
      </c>
      <c r="G200" s="10" t="s">
        <v>38</v>
      </c>
      <c r="H200" s="11">
        <v>70103</v>
      </c>
      <c r="I200" s="10">
        <v>0</v>
      </c>
      <c r="J200" s="11">
        <f t="shared" si="7"/>
        <v>70103</v>
      </c>
      <c r="K200" s="12">
        <f>VLOOKUP(A200,[4]VA05!$A:$K,11,FALSE)</f>
        <v>45553</v>
      </c>
      <c r="L200" s="10" t="s">
        <v>27</v>
      </c>
      <c r="M200" s="10" t="s">
        <v>162</v>
      </c>
    </row>
    <row r="201" spans="1:13" x14ac:dyDescent="0.25">
      <c r="A201" s="13" t="str">
        <f t="shared" si="6"/>
        <v>50714269830</v>
      </c>
      <c r="B201" s="10">
        <v>1004062506</v>
      </c>
      <c r="C201" s="10">
        <v>507142698</v>
      </c>
      <c r="D201" s="10">
        <v>30</v>
      </c>
      <c r="E201" s="10" t="s">
        <v>10</v>
      </c>
      <c r="F201" s="10">
        <v>1408742</v>
      </c>
      <c r="G201" s="10" t="s">
        <v>38</v>
      </c>
      <c r="H201" s="11">
        <v>113190</v>
      </c>
      <c r="I201" s="11">
        <v>33980</v>
      </c>
      <c r="J201" s="11">
        <f t="shared" si="7"/>
        <v>79210</v>
      </c>
      <c r="K201" s="12">
        <f>VLOOKUP(A201,[4]VA05!$A:$K,11,FALSE)</f>
        <v>45567</v>
      </c>
      <c r="L201" s="10" t="s">
        <v>18</v>
      </c>
      <c r="M201" s="10" t="s">
        <v>202</v>
      </c>
    </row>
    <row r="202" spans="1:13" x14ac:dyDescent="0.25">
      <c r="A202" s="13" t="str">
        <f t="shared" si="6"/>
        <v>50714283710</v>
      </c>
      <c r="B202" s="10">
        <v>1004062507</v>
      </c>
      <c r="C202" s="10">
        <v>507142837</v>
      </c>
      <c r="D202" s="10">
        <v>10</v>
      </c>
      <c r="E202" s="10" t="s">
        <v>10</v>
      </c>
      <c r="F202" s="10">
        <v>1408742</v>
      </c>
      <c r="G202" s="10" t="s">
        <v>38</v>
      </c>
      <c r="H202" s="11">
        <v>113465</v>
      </c>
      <c r="I202" s="10">
        <v>0</v>
      </c>
      <c r="J202" s="11">
        <f t="shared" si="7"/>
        <v>113465</v>
      </c>
      <c r="K202" s="12">
        <f>VLOOKUP(A202,[4]VA05!$A:$K,11,FALSE)</f>
        <v>45587</v>
      </c>
      <c r="L202" s="10" t="s">
        <v>12</v>
      </c>
      <c r="M202" s="10" t="s">
        <v>162</v>
      </c>
    </row>
    <row r="203" spans="1:13" x14ac:dyDescent="0.25">
      <c r="A203" s="13" t="str">
        <f t="shared" si="6"/>
        <v>50714275730</v>
      </c>
      <c r="B203" s="10">
        <v>1004054926</v>
      </c>
      <c r="C203" s="10">
        <v>507142757</v>
      </c>
      <c r="D203" s="10">
        <v>30</v>
      </c>
      <c r="E203" s="10" t="s">
        <v>10</v>
      </c>
      <c r="F203" s="10">
        <v>1411702</v>
      </c>
      <c r="G203" s="10" t="s">
        <v>221</v>
      </c>
      <c r="H203" s="11">
        <v>126758</v>
      </c>
      <c r="I203" s="11">
        <v>117216</v>
      </c>
      <c r="J203" s="11">
        <f t="shared" si="7"/>
        <v>9542</v>
      </c>
      <c r="K203" s="12">
        <f>VLOOKUP(A203,[4]VA05!$A:$K,11,FALSE)</f>
        <v>45574</v>
      </c>
      <c r="L203" s="10" t="s">
        <v>18</v>
      </c>
      <c r="M203" s="10" t="s">
        <v>178</v>
      </c>
    </row>
    <row r="204" spans="1:13" x14ac:dyDescent="0.25">
      <c r="A204" s="13" t="str">
        <f t="shared" si="6"/>
        <v>50714275750</v>
      </c>
      <c r="B204" s="10">
        <v>1004054927</v>
      </c>
      <c r="C204" s="10">
        <v>507142757</v>
      </c>
      <c r="D204" s="10">
        <v>50</v>
      </c>
      <c r="E204" s="10" t="s">
        <v>10</v>
      </c>
      <c r="F204" s="10">
        <v>1411702</v>
      </c>
      <c r="G204" s="10" t="s">
        <v>221</v>
      </c>
      <c r="H204" s="11">
        <v>63514</v>
      </c>
      <c r="I204" s="10">
        <v>0</v>
      </c>
      <c r="J204" s="11">
        <f t="shared" si="7"/>
        <v>63514</v>
      </c>
      <c r="K204" s="12">
        <f>VLOOKUP(A204,[4]VA05!$A:$K,11,FALSE)</f>
        <v>45587</v>
      </c>
      <c r="L204" s="10" t="s">
        <v>56</v>
      </c>
      <c r="M204" s="10" t="s">
        <v>156</v>
      </c>
    </row>
    <row r="205" spans="1:13" x14ac:dyDescent="0.25">
      <c r="A205" s="13" t="str">
        <f t="shared" si="6"/>
        <v>50714275670</v>
      </c>
      <c r="B205" s="10">
        <v>1004052383</v>
      </c>
      <c r="C205" s="10">
        <v>507142756</v>
      </c>
      <c r="D205" s="10">
        <v>70</v>
      </c>
      <c r="E205" s="10" t="s">
        <v>10</v>
      </c>
      <c r="F205" s="10">
        <v>1411902</v>
      </c>
      <c r="G205" s="10" t="s">
        <v>151</v>
      </c>
      <c r="H205" s="11">
        <v>126758</v>
      </c>
      <c r="I205" s="11">
        <v>102124</v>
      </c>
      <c r="J205" s="11">
        <f t="shared" si="7"/>
        <v>24634</v>
      </c>
      <c r="K205" s="12">
        <f>VLOOKUP(A205,[4]VA05!$A:$K,11,FALSE)</f>
        <v>45582</v>
      </c>
      <c r="L205" s="10" t="s">
        <v>18</v>
      </c>
      <c r="M205" s="10" t="s">
        <v>201</v>
      </c>
    </row>
    <row r="206" spans="1:13" x14ac:dyDescent="0.25">
      <c r="A206" s="13" t="str">
        <f t="shared" si="6"/>
        <v>50714275690</v>
      </c>
      <c r="B206" s="10">
        <v>1004052384</v>
      </c>
      <c r="C206" s="10">
        <v>507142756</v>
      </c>
      <c r="D206" s="10">
        <v>90</v>
      </c>
      <c r="E206" s="10" t="s">
        <v>10</v>
      </c>
      <c r="F206" s="10">
        <v>1411902</v>
      </c>
      <c r="G206" s="10" t="s">
        <v>151</v>
      </c>
      <c r="H206" s="11">
        <v>68920</v>
      </c>
      <c r="I206" s="10">
        <v>0</v>
      </c>
      <c r="J206" s="11">
        <f t="shared" si="7"/>
        <v>68920</v>
      </c>
      <c r="K206" s="12">
        <f>VLOOKUP(A206,[4]VA05!$A:$K,11,FALSE)</f>
        <v>45588</v>
      </c>
      <c r="L206" s="10" t="s">
        <v>12</v>
      </c>
      <c r="M206" s="10" t="s">
        <v>194</v>
      </c>
    </row>
    <row r="207" spans="1:13" x14ac:dyDescent="0.25">
      <c r="A207" s="13" t="str">
        <f t="shared" si="6"/>
        <v>50714275740</v>
      </c>
      <c r="B207" s="10">
        <v>1004052374</v>
      </c>
      <c r="C207" s="10">
        <v>507142757</v>
      </c>
      <c r="D207" s="10">
        <v>40</v>
      </c>
      <c r="E207" s="10" t="s">
        <v>10</v>
      </c>
      <c r="F207" s="10">
        <v>1411705</v>
      </c>
      <c r="G207" s="10" t="s">
        <v>189</v>
      </c>
      <c r="H207" s="11">
        <v>129220</v>
      </c>
      <c r="I207" s="11">
        <v>102915</v>
      </c>
      <c r="J207" s="11">
        <f t="shared" si="7"/>
        <v>26305</v>
      </c>
      <c r="K207" s="12">
        <f>VLOOKUP(A207,[4]VA05!$A:$K,11,FALSE)</f>
        <v>45574</v>
      </c>
      <c r="L207" s="10" t="s">
        <v>18</v>
      </c>
      <c r="M207" s="10" t="s">
        <v>197</v>
      </c>
    </row>
    <row r="208" spans="1:13" x14ac:dyDescent="0.25">
      <c r="A208" s="13" t="str">
        <f t="shared" si="6"/>
        <v>50714275760</v>
      </c>
      <c r="B208" s="10">
        <v>1004052375</v>
      </c>
      <c r="C208" s="10">
        <v>507142757</v>
      </c>
      <c r="D208" s="10">
        <v>60</v>
      </c>
      <c r="E208" s="10" t="s">
        <v>10</v>
      </c>
      <c r="F208" s="10">
        <v>1411705</v>
      </c>
      <c r="G208" s="10" t="s">
        <v>189</v>
      </c>
      <c r="H208" s="11">
        <v>64748</v>
      </c>
      <c r="I208" s="10">
        <v>0</v>
      </c>
      <c r="J208" s="11">
        <f t="shared" si="7"/>
        <v>64748</v>
      </c>
      <c r="K208" s="12">
        <f>VLOOKUP(A208,[4]VA05!$A:$K,11,FALSE)</f>
        <v>45587</v>
      </c>
      <c r="L208" s="10" t="s">
        <v>12</v>
      </c>
      <c r="M208" s="10" t="s">
        <v>156</v>
      </c>
    </row>
    <row r="209" spans="1:13" x14ac:dyDescent="0.25">
      <c r="A209" s="13" t="str">
        <f t="shared" si="6"/>
        <v>50714275780</v>
      </c>
      <c r="B209" s="10">
        <v>1004052376</v>
      </c>
      <c r="C209" s="10">
        <v>507142757</v>
      </c>
      <c r="D209" s="10">
        <v>80</v>
      </c>
      <c r="E209" s="10" t="s">
        <v>10</v>
      </c>
      <c r="F209" s="10">
        <v>1411705</v>
      </c>
      <c r="G209" s="10" t="s">
        <v>189</v>
      </c>
      <c r="H209" s="11">
        <v>23145</v>
      </c>
      <c r="I209" s="10">
        <v>0</v>
      </c>
      <c r="J209" s="11">
        <f t="shared" si="7"/>
        <v>23145</v>
      </c>
      <c r="K209" s="12">
        <f>VLOOKUP(A209,[4]VA05!$A:$K,11,FALSE)</f>
        <v>45594</v>
      </c>
      <c r="L209" s="10" t="s">
        <v>12</v>
      </c>
      <c r="M209" s="10" t="s">
        <v>176</v>
      </c>
    </row>
    <row r="210" spans="1:13" x14ac:dyDescent="0.25">
      <c r="A210" s="13" t="str">
        <f t="shared" si="6"/>
        <v>50714275680</v>
      </c>
      <c r="B210" s="10">
        <v>1004052371</v>
      </c>
      <c r="C210" s="10">
        <v>507142756</v>
      </c>
      <c r="D210" s="10">
        <v>80</v>
      </c>
      <c r="E210" s="10" t="s">
        <v>10</v>
      </c>
      <c r="F210" s="10">
        <v>1411900</v>
      </c>
      <c r="G210" s="10" t="s">
        <v>152</v>
      </c>
      <c r="H210" s="11">
        <v>129220</v>
      </c>
      <c r="I210" s="11">
        <v>119940</v>
      </c>
      <c r="J210" s="11">
        <f t="shared" si="7"/>
        <v>9280</v>
      </c>
      <c r="K210" s="12">
        <f>VLOOKUP(A210,[4]VA05!$A:$K,11,FALSE)</f>
        <v>45582</v>
      </c>
      <c r="L210" s="10" t="s">
        <v>11</v>
      </c>
      <c r="M210" s="10" t="s">
        <v>180</v>
      </c>
    </row>
    <row r="211" spans="1:13" x14ac:dyDescent="0.25">
      <c r="A211" s="13" t="str">
        <f t="shared" si="6"/>
        <v>507142756100</v>
      </c>
      <c r="B211" s="10">
        <v>1004052372</v>
      </c>
      <c r="C211" s="10">
        <v>507142756</v>
      </c>
      <c r="D211" s="10">
        <v>100</v>
      </c>
      <c r="E211" s="10" t="s">
        <v>10</v>
      </c>
      <c r="F211" s="10">
        <v>1411900</v>
      </c>
      <c r="G211" s="10" t="s">
        <v>152</v>
      </c>
      <c r="H211" s="11">
        <v>70258</v>
      </c>
      <c r="I211" s="10">
        <v>0</v>
      </c>
      <c r="J211" s="11">
        <f t="shared" si="7"/>
        <v>70258</v>
      </c>
      <c r="K211" s="12">
        <f>VLOOKUP(A211,[4]VA05!$A:$K,11,FALSE)</f>
        <v>45588</v>
      </c>
      <c r="L211" s="10" t="s">
        <v>12</v>
      </c>
      <c r="M211" s="10" t="s">
        <v>178</v>
      </c>
    </row>
    <row r="212" spans="1:13" x14ac:dyDescent="0.25">
      <c r="A212" s="13" t="str">
        <f t="shared" si="6"/>
        <v>50714275730</v>
      </c>
      <c r="B212" s="10">
        <v>1004052378</v>
      </c>
      <c r="C212" s="10">
        <v>507142757</v>
      </c>
      <c r="D212" s="10">
        <v>30</v>
      </c>
      <c r="E212" s="10" t="s">
        <v>10</v>
      </c>
      <c r="F212" s="10">
        <v>1411703</v>
      </c>
      <c r="G212" s="10" t="s">
        <v>190</v>
      </c>
      <c r="H212" s="11">
        <v>123066</v>
      </c>
      <c r="I212" s="11">
        <v>26176</v>
      </c>
      <c r="J212" s="11">
        <f t="shared" si="7"/>
        <v>96890</v>
      </c>
      <c r="K212" s="12">
        <f>VLOOKUP(A212,[4]VA05!$A:$K,11,FALSE)</f>
        <v>45574</v>
      </c>
      <c r="L212" s="10" t="s">
        <v>18</v>
      </c>
      <c r="M212" s="10" t="s">
        <v>202</v>
      </c>
    </row>
    <row r="213" spans="1:13" x14ac:dyDescent="0.25">
      <c r="A213" s="13" t="str">
        <f t="shared" si="6"/>
        <v>50714275750</v>
      </c>
      <c r="B213" s="10">
        <v>1004052379</v>
      </c>
      <c r="C213" s="10">
        <v>507142757</v>
      </c>
      <c r="D213" s="10">
        <v>50</v>
      </c>
      <c r="E213" s="10" t="s">
        <v>10</v>
      </c>
      <c r="F213" s="10">
        <v>1411703</v>
      </c>
      <c r="G213" s="10" t="s">
        <v>190</v>
      </c>
      <c r="H213" s="11">
        <v>61664</v>
      </c>
      <c r="I213" s="10">
        <v>0</v>
      </c>
      <c r="J213" s="11">
        <f t="shared" si="7"/>
        <v>61664</v>
      </c>
      <c r="K213" s="12">
        <f>VLOOKUP(A213,[4]VA05!$A:$K,11,FALSE)</f>
        <v>45587</v>
      </c>
      <c r="L213" s="10" t="s">
        <v>12</v>
      </c>
      <c r="M213" s="10" t="s">
        <v>156</v>
      </c>
    </row>
    <row r="214" spans="1:13" x14ac:dyDescent="0.25">
      <c r="A214" s="13" t="str">
        <f t="shared" si="6"/>
        <v>50714275770</v>
      </c>
      <c r="B214" s="10">
        <v>1004052380</v>
      </c>
      <c r="C214" s="10">
        <v>507142757</v>
      </c>
      <c r="D214" s="10">
        <v>70</v>
      </c>
      <c r="E214" s="10" t="s">
        <v>10</v>
      </c>
      <c r="F214" s="10">
        <v>1411703</v>
      </c>
      <c r="G214" s="10" t="s">
        <v>190</v>
      </c>
      <c r="H214" s="11">
        <v>22042</v>
      </c>
      <c r="I214" s="10">
        <v>0</v>
      </c>
      <c r="J214" s="11">
        <f t="shared" si="7"/>
        <v>22042</v>
      </c>
      <c r="K214" s="12">
        <f>VLOOKUP(A214,[4]VA05!$A:$K,11,FALSE)</f>
        <v>45594</v>
      </c>
      <c r="L214" s="10" t="s">
        <v>12</v>
      </c>
      <c r="M214" s="10" t="s">
        <v>176</v>
      </c>
    </row>
    <row r="215" spans="1:13" x14ac:dyDescent="0.25">
      <c r="A215" s="13" t="str">
        <f t="shared" si="6"/>
        <v>50714275670</v>
      </c>
      <c r="B215" s="10">
        <v>1004052381</v>
      </c>
      <c r="C215" s="10">
        <v>507142756</v>
      </c>
      <c r="D215" s="10">
        <v>70</v>
      </c>
      <c r="E215" s="10" t="s">
        <v>10</v>
      </c>
      <c r="F215" s="10">
        <v>1411901</v>
      </c>
      <c r="G215" s="10" t="s">
        <v>153</v>
      </c>
      <c r="H215" s="11">
        <v>123066</v>
      </c>
      <c r="I215" s="11">
        <v>75224</v>
      </c>
      <c r="J215" s="11">
        <f t="shared" si="7"/>
        <v>47842</v>
      </c>
      <c r="K215" s="12">
        <f>VLOOKUP(A215,[4]VA05!$A:$K,11,FALSE)</f>
        <v>45582</v>
      </c>
      <c r="L215" s="10" t="s">
        <v>18</v>
      </c>
      <c r="M215" s="10" t="s">
        <v>154</v>
      </c>
    </row>
    <row r="216" spans="1:13" x14ac:dyDescent="0.25">
      <c r="A216" s="13" t="str">
        <f t="shared" si="6"/>
        <v>50714275690</v>
      </c>
      <c r="B216" s="10">
        <v>1004052382</v>
      </c>
      <c r="C216" s="10">
        <v>507142756</v>
      </c>
      <c r="D216" s="10">
        <v>90</v>
      </c>
      <c r="E216" s="10" t="s">
        <v>10</v>
      </c>
      <c r="F216" s="10">
        <v>1411901</v>
      </c>
      <c r="G216" s="10" t="s">
        <v>153</v>
      </c>
      <c r="H216" s="11">
        <v>66912</v>
      </c>
      <c r="I216" s="10">
        <v>0</v>
      </c>
      <c r="J216" s="11">
        <f t="shared" si="7"/>
        <v>66912</v>
      </c>
      <c r="K216" s="12">
        <f>VLOOKUP(A216,[4]VA05!$A:$K,11,FALSE)</f>
        <v>45588</v>
      </c>
      <c r="L216" s="10" t="s">
        <v>12</v>
      </c>
      <c r="M216" s="10" t="s">
        <v>156</v>
      </c>
    </row>
    <row r="217" spans="1:13" x14ac:dyDescent="0.25">
      <c r="A217" s="13" t="str">
        <f t="shared" si="6"/>
        <v>507142416230</v>
      </c>
      <c r="B217" s="10">
        <v>1004053609</v>
      </c>
      <c r="C217" s="10">
        <v>507142416</v>
      </c>
      <c r="D217" s="10">
        <v>230</v>
      </c>
      <c r="E217" s="10" t="s">
        <v>10</v>
      </c>
      <c r="F217" s="10">
        <v>1172059</v>
      </c>
      <c r="G217" s="10" t="s">
        <v>59</v>
      </c>
      <c r="H217" s="11">
        <v>10195</v>
      </c>
      <c r="I217" s="11">
        <v>1476</v>
      </c>
      <c r="J217" s="11">
        <f t="shared" si="7"/>
        <v>8719</v>
      </c>
      <c r="K217" s="12">
        <f>VLOOKUP(A217,[4]VA05!$A:$K,11,FALSE)</f>
        <v>45587</v>
      </c>
      <c r="L217" s="10" t="s">
        <v>11</v>
      </c>
      <c r="M217" s="10" t="s">
        <v>191</v>
      </c>
    </row>
    <row r="218" spans="1:13" x14ac:dyDescent="0.25">
      <c r="A218" s="13" t="str">
        <f t="shared" si="6"/>
        <v>50714271330</v>
      </c>
      <c r="B218" s="10">
        <v>1004063620</v>
      </c>
      <c r="C218" s="10">
        <v>507142713</v>
      </c>
      <c r="D218" s="10">
        <v>30</v>
      </c>
      <c r="E218" s="10" t="s">
        <v>10</v>
      </c>
      <c r="F218" s="10">
        <v>1172059</v>
      </c>
      <c r="G218" s="10" t="s">
        <v>59</v>
      </c>
      <c r="H218" s="11">
        <v>10195</v>
      </c>
      <c r="I218" s="10">
        <v>0</v>
      </c>
      <c r="J218" s="11">
        <f t="shared" si="7"/>
        <v>10195</v>
      </c>
      <c r="K218" s="12">
        <f>VLOOKUP(A218,[4]VA05!$A:$K,11,FALSE)</f>
        <v>45591</v>
      </c>
      <c r="L218" s="10" t="s">
        <v>12</v>
      </c>
      <c r="M218" s="10" t="s">
        <v>207</v>
      </c>
    </row>
    <row r="219" spans="1:13" x14ac:dyDescent="0.25">
      <c r="A219" s="13" t="str">
        <f t="shared" si="6"/>
        <v>50714271360</v>
      </c>
      <c r="B219" s="10">
        <v>1004063621</v>
      </c>
      <c r="C219" s="10">
        <v>507142713</v>
      </c>
      <c r="D219" s="10">
        <v>60</v>
      </c>
      <c r="E219" s="10" t="s">
        <v>10</v>
      </c>
      <c r="F219" s="10">
        <v>1172059</v>
      </c>
      <c r="G219" s="10" t="s">
        <v>59</v>
      </c>
      <c r="H219" s="11">
        <v>10195</v>
      </c>
      <c r="I219" s="10">
        <v>0</v>
      </c>
      <c r="J219" s="11">
        <f t="shared" si="7"/>
        <v>10195</v>
      </c>
      <c r="K219" s="12">
        <f>VLOOKUP(A219,[4]VA05!$A:$K,11,FALSE)</f>
        <v>45591</v>
      </c>
      <c r="L219" s="10" t="s">
        <v>12</v>
      </c>
      <c r="M219" s="10" t="s">
        <v>207</v>
      </c>
    </row>
    <row r="220" spans="1:13" x14ac:dyDescent="0.25">
      <c r="A220" s="13" t="str">
        <f t="shared" si="6"/>
        <v>50714275420</v>
      </c>
      <c r="B220" s="10">
        <v>1004053562</v>
      </c>
      <c r="C220" s="10">
        <v>507142754</v>
      </c>
      <c r="D220" s="10">
        <v>20</v>
      </c>
      <c r="E220" s="10" t="s">
        <v>10</v>
      </c>
      <c r="F220" s="10">
        <v>1167435</v>
      </c>
      <c r="G220" s="10" t="s">
        <v>26</v>
      </c>
      <c r="H220" s="11">
        <v>20390</v>
      </c>
      <c r="I220" s="10">
        <v>0</v>
      </c>
      <c r="J220" s="11">
        <f t="shared" si="7"/>
        <v>20390</v>
      </c>
      <c r="K220" s="12">
        <f>VLOOKUP(A220,[4]VA05!$A:$K,11,FALSE)</f>
        <v>45611</v>
      </c>
      <c r="L220" s="10" t="s">
        <v>12</v>
      </c>
      <c r="M220" s="10" t="s">
        <v>217</v>
      </c>
    </row>
    <row r="221" spans="1:13" x14ac:dyDescent="0.25">
      <c r="A221" s="13" t="str">
        <f t="shared" si="6"/>
        <v>50714276930</v>
      </c>
      <c r="B221" s="10">
        <v>1004053564</v>
      </c>
      <c r="C221" s="10">
        <v>507142769</v>
      </c>
      <c r="D221" s="10">
        <v>30</v>
      </c>
      <c r="E221" s="10" t="s">
        <v>10</v>
      </c>
      <c r="F221" s="10">
        <v>1167435</v>
      </c>
      <c r="G221" s="10" t="s">
        <v>26</v>
      </c>
      <c r="H221" s="11">
        <v>30683</v>
      </c>
      <c r="I221" s="11">
        <v>18702</v>
      </c>
      <c r="J221" s="11">
        <f t="shared" si="7"/>
        <v>11981</v>
      </c>
      <c r="K221" s="12">
        <f>VLOOKUP(A221,[4]VA05!$A:$K,11,FALSE)</f>
        <v>45575</v>
      </c>
      <c r="L221" s="10" t="s">
        <v>18</v>
      </c>
      <c r="M221" s="10" t="s">
        <v>157</v>
      </c>
    </row>
    <row r="222" spans="1:13" x14ac:dyDescent="0.25">
      <c r="A222" s="13" t="str">
        <f t="shared" si="6"/>
        <v>50714283530</v>
      </c>
      <c r="B222" s="10">
        <v>1004060455</v>
      </c>
      <c r="C222" s="10">
        <v>507142835</v>
      </c>
      <c r="D222" s="10">
        <v>30</v>
      </c>
      <c r="E222" s="10" t="s">
        <v>10</v>
      </c>
      <c r="F222" s="10">
        <v>1167435</v>
      </c>
      <c r="G222" s="10" t="s">
        <v>26</v>
      </c>
      <c r="H222" s="11">
        <v>10277</v>
      </c>
      <c r="I222" s="10">
        <v>0</v>
      </c>
      <c r="J222" s="11">
        <f t="shared" si="7"/>
        <v>10277</v>
      </c>
      <c r="K222" s="12">
        <f>VLOOKUP(A222,[4]VA05!$A:$K,11,FALSE)</f>
        <v>45587</v>
      </c>
      <c r="L222" s="10" t="s">
        <v>12</v>
      </c>
      <c r="M222" s="10" t="s">
        <v>109</v>
      </c>
    </row>
    <row r="223" spans="1:13" x14ac:dyDescent="0.25">
      <c r="A223" s="13" t="str">
        <f t="shared" si="6"/>
        <v>50714226530</v>
      </c>
      <c r="B223" s="10">
        <v>1004060456</v>
      </c>
      <c r="C223" s="10">
        <v>507142265</v>
      </c>
      <c r="D223" s="10">
        <v>30</v>
      </c>
      <c r="E223" s="10" t="s">
        <v>10</v>
      </c>
      <c r="F223" s="10">
        <v>1170825</v>
      </c>
      <c r="G223" s="10" t="s">
        <v>252</v>
      </c>
      <c r="H223" s="11">
        <v>40524</v>
      </c>
      <c r="I223" s="10">
        <v>0</v>
      </c>
      <c r="J223" s="11">
        <f t="shared" si="7"/>
        <v>40524</v>
      </c>
      <c r="K223" s="12">
        <f>VLOOKUP(A223,[4]VA05!$A:$K,11,FALSE)</f>
        <v>45576</v>
      </c>
      <c r="L223" s="10" t="s">
        <v>12</v>
      </c>
      <c r="M223" s="10" t="s">
        <v>194</v>
      </c>
    </row>
    <row r="224" spans="1:13" x14ac:dyDescent="0.25">
      <c r="A224" s="13" t="str">
        <f t="shared" si="6"/>
        <v>50714262620</v>
      </c>
      <c r="B224" s="10">
        <v>1004060457</v>
      </c>
      <c r="C224" s="10">
        <v>507142626</v>
      </c>
      <c r="D224" s="10">
        <v>20</v>
      </c>
      <c r="E224" s="10" t="s">
        <v>10</v>
      </c>
      <c r="F224" s="10">
        <v>1170825</v>
      </c>
      <c r="G224" s="10" t="s">
        <v>252</v>
      </c>
      <c r="H224" s="11">
        <v>25425</v>
      </c>
      <c r="I224" s="10">
        <v>0</v>
      </c>
      <c r="J224" s="11">
        <f t="shared" si="7"/>
        <v>25425</v>
      </c>
      <c r="K224" s="12">
        <f>VLOOKUP(A224,[4]VA05!$A:$K,11,FALSE)</f>
        <v>45590</v>
      </c>
      <c r="L224" s="10" t="s">
        <v>12</v>
      </c>
      <c r="M224" s="10" t="s">
        <v>199</v>
      </c>
    </row>
    <row r="225" spans="1:13" x14ac:dyDescent="0.25">
      <c r="A225" s="13" t="str">
        <f t="shared" si="6"/>
        <v>50714270930</v>
      </c>
      <c r="B225" s="10">
        <v>1004060458</v>
      </c>
      <c r="C225" s="10">
        <v>507142709</v>
      </c>
      <c r="D225" s="10">
        <v>30</v>
      </c>
      <c r="E225" s="10" t="s">
        <v>10</v>
      </c>
      <c r="F225" s="10">
        <v>1170825</v>
      </c>
      <c r="G225" s="10" t="s">
        <v>252</v>
      </c>
      <c r="H225" s="11">
        <v>30393</v>
      </c>
      <c r="I225" s="10">
        <v>0</v>
      </c>
      <c r="J225" s="11">
        <f t="shared" si="7"/>
        <v>30393</v>
      </c>
      <c r="K225" s="12">
        <f>VLOOKUP(A225,[4]VA05!$A:$K,11,FALSE)</f>
        <v>45583</v>
      </c>
      <c r="L225" s="10" t="s">
        <v>12</v>
      </c>
      <c r="M225" s="10" t="s">
        <v>179</v>
      </c>
    </row>
    <row r="226" spans="1:13" x14ac:dyDescent="0.25">
      <c r="A226" s="13" t="str">
        <f t="shared" si="6"/>
        <v>50714271030</v>
      </c>
      <c r="B226" s="10">
        <v>1004060459</v>
      </c>
      <c r="C226" s="10">
        <v>507142710</v>
      </c>
      <c r="D226" s="10">
        <v>30</v>
      </c>
      <c r="E226" s="10" t="s">
        <v>10</v>
      </c>
      <c r="F226" s="10">
        <v>1170825</v>
      </c>
      <c r="G226" s="10" t="s">
        <v>252</v>
      </c>
      <c r="H226" s="11">
        <v>30393</v>
      </c>
      <c r="I226" s="10">
        <v>0</v>
      </c>
      <c r="J226" s="11">
        <f t="shared" si="7"/>
        <v>30393</v>
      </c>
      <c r="K226" s="12">
        <f>VLOOKUP(A226,[4]VA05!$A:$K,11,FALSE)</f>
        <v>45596</v>
      </c>
      <c r="L226" s="10" t="s">
        <v>12</v>
      </c>
      <c r="M226" s="10" t="s">
        <v>207</v>
      </c>
    </row>
    <row r="227" spans="1:13" x14ac:dyDescent="0.25">
      <c r="A227" s="13" t="str">
        <f t="shared" si="6"/>
        <v/>
      </c>
      <c r="B227" s="10"/>
      <c r="C227" s="10"/>
      <c r="D227" s="10"/>
      <c r="E227" s="10"/>
      <c r="F227" s="10"/>
      <c r="G227" s="10"/>
      <c r="H227" s="11">
        <v>7828190</v>
      </c>
      <c r="I227" s="11">
        <v>2204705</v>
      </c>
      <c r="J227" s="11">
        <f t="shared" si="7"/>
        <v>5623485</v>
      </c>
      <c r="K227" s="12" t="e">
        <f>VLOOKUP(A227,[4]VA05!$A:$K,11,FALSE)</f>
        <v>#N/A</v>
      </c>
      <c r="L227" s="10"/>
      <c r="M227" s="10"/>
    </row>
  </sheetData>
  <pageMargins left="0.17" right="0.17" top="0.34" bottom="0.24" header="0.3" footer="0.18"/>
  <pageSetup orientation="landscape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4D2C-8447-4C41-B1B6-8C626DE5D7E5}">
  <dimension ref="A1:M214"/>
  <sheetViews>
    <sheetView workbookViewId="0">
      <selection activeCell="K3" sqref="K3"/>
    </sheetView>
  </sheetViews>
  <sheetFormatPr defaultRowHeight="15" x14ac:dyDescent="0.25"/>
  <cols>
    <col min="2" max="2" width="12.42578125" bestFit="1" customWidth="1"/>
    <col min="3" max="3" width="11.28515625" style="13" bestFit="1" customWidth="1"/>
    <col min="4" max="4" width="4.42578125" style="13" bestFit="1" customWidth="1"/>
    <col min="5" max="5" width="6.42578125" bestFit="1" customWidth="1"/>
    <col min="6" max="6" width="9" bestFit="1" customWidth="1"/>
    <col min="7" max="7" width="41.140625" customWidth="1"/>
    <col min="8" max="8" width="10.140625" bestFit="1" customWidth="1"/>
    <col min="9" max="9" width="8.7109375" style="13" customWidth="1"/>
    <col min="10" max="10" width="8.7109375" customWidth="1"/>
    <col min="11" max="11" width="7.85546875" customWidth="1"/>
    <col min="12" max="12" width="5" customWidth="1"/>
    <col min="13" max="13" width="10.85546875" customWidth="1"/>
  </cols>
  <sheetData>
    <row r="1" spans="1:13" s="13" customFormat="1" ht="23.25" x14ac:dyDescent="0.35">
      <c r="B1" s="1" t="s">
        <v>314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VLOOKUP(A3,[5]VA05!$A:$K,11,FALSE)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VLOOKUP(A4,[5]VA05!$A:$K,11,FALSE)</f>
        <v>45593</v>
      </c>
      <c r="L4" s="10" t="s">
        <v>12</v>
      </c>
      <c r="M4" s="10" t="s">
        <v>175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1">
        <v>3670</v>
      </c>
      <c r="J5" s="11">
        <f t="shared" si="1"/>
        <v>7441</v>
      </c>
      <c r="K5" s="12">
        <f>VLOOKUP(A5,[5]VA05!$A:$K,11,FALSE)</f>
        <v>45593</v>
      </c>
      <c r="L5" s="10" t="s">
        <v>11</v>
      </c>
      <c r="M5" s="10" t="s">
        <v>157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VLOOKUP(A6,[5]VA05!$A:$K,11,FALSE)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VLOOKUP(A7,[5]VA05!$A:$K,11,FALSE)</f>
        <v>45593</v>
      </c>
      <c r="L7" s="10" t="s">
        <v>13</v>
      </c>
      <c r="M7" s="10" t="s">
        <v>157</v>
      </c>
    </row>
    <row r="8" spans="1:13" x14ac:dyDescent="0.25">
      <c r="A8" s="13" t="str">
        <f t="shared" si="0"/>
        <v>50714156910</v>
      </c>
      <c r="B8" s="10">
        <v>1004003998</v>
      </c>
      <c r="C8" s="10">
        <v>507141569</v>
      </c>
      <c r="D8" s="10">
        <v>10</v>
      </c>
      <c r="E8" s="10" t="s">
        <v>10</v>
      </c>
      <c r="F8" s="10">
        <v>1175312</v>
      </c>
      <c r="G8" s="10" t="s">
        <v>51</v>
      </c>
      <c r="H8" s="11">
        <v>25845</v>
      </c>
      <c r="I8" s="10">
        <v>0</v>
      </c>
      <c r="J8" s="11">
        <f t="shared" si="1"/>
        <v>25845</v>
      </c>
      <c r="K8" s="12">
        <f>VLOOKUP(A8,[5]VA05!$A:$K,11,FALSE)</f>
        <v>45611</v>
      </c>
      <c r="L8" s="10" t="s">
        <v>117</v>
      </c>
      <c r="M8" s="10" t="s">
        <v>78</v>
      </c>
    </row>
    <row r="9" spans="1:13" x14ac:dyDescent="0.25">
      <c r="A9" s="13" t="str">
        <f t="shared" si="0"/>
        <v>50714156910</v>
      </c>
      <c r="B9" s="10">
        <v>1004017074</v>
      </c>
      <c r="C9" s="10">
        <v>507141569</v>
      </c>
      <c r="D9" s="10">
        <v>10</v>
      </c>
      <c r="E9" s="10" t="s">
        <v>10</v>
      </c>
      <c r="F9" s="10">
        <v>1175311</v>
      </c>
      <c r="G9" s="10" t="s">
        <v>67</v>
      </c>
      <c r="H9" s="11">
        <v>25845</v>
      </c>
      <c r="I9" s="10">
        <v>0</v>
      </c>
      <c r="J9" s="11">
        <f t="shared" si="1"/>
        <v>25845</v>
      </c>
      <c r="K9" s="12">
        <f>VLOOKUP(A9,[5]VA05!$A:$K,11,FALSE)</f>
        <v>45611</v>
      </c>
      <c r="L9" s="10" t="s">
        <v>12</v>
      </c>
      <c r="M9" s="10" t="s">
        <v>50</v>
      </c>
    </row>
    <row r="10" spans="1:13" x14ac:dyDescent="0.25">
      <c r="A10" s="13" t="str">
        <f t="shared" si="0"/>
        <v>50714270810</v>
      </c>
      <c r="B10" s="10">
        <v>1004052045</v>
      </c>
      <c r="C10" s="10">
        <v>507142708</v>
      </c>
      <c r="D10" s="10">
        <v>10</v>
      </c>
      <c r="E10" s="10" t="s">
        <v>10</v>
      </c>
      <c r="F10" s="10">
        <v>1215664</v>
      </c>
      <c r="G10" s="10" t="s">
        <v>90</v>
      </c>
      <c r="H10" s="11">
        <v>11159</v>
      </c>
      <c r="I10" s="10">
        <v>840</v>
      </c>
      <c r="J10" s="11">
        <f t="shared" si="1"/>
        <v>10319</v>
      </c>
      <c r="K10" s="12">
        <f>VLOOKUP(A10,[5]VA05!$A:$K,11,FALSE)</f>
        <v>45588</v>
      </c>
      <c r="L10" s="10" t="s">
        <v>11</v>
      </c>
      <c r="M10" s="10" t="s">
        <v>191</v>
      </c>
    </row>
    <row r="11" spans="1:13" x14ac:dyDescent="0.25">
      <c r="A11" s="13" t="str">
        <f t="shared" si="0"/>
        <v>50714282710</v>
      </c>
      <c r="B11" s="10">
        <v>1004061191</v>
      </c>
      <c r="C11" s="10">
        <v>507142827</v>
      </c>
      <c r="D11" s="10">
        <v>10</v>
      </c>
      <c r="E11" s="10" t="s">
        <v>10</v>
      </c>
      <c r="F11" s="10">
        <v>1411198</v>
      </c>
      <c r="G11" s="10" t="s">
        <v>41</v>
      </c>
      <c r="H11" s="11">
        <v>28402</v>
      </c>
      <c r="I11" s="11">
        <v>24169</v>
      </c>
      <c r="J11" s="11">
        <f t="shared" si="1"/>
        <v>4233</v>
      </c>
      <c r="K11" s="12">
        <f>VLOOKUP(A11,[5]VA05!$A:$K,11,FALSE)</f>
        <v>45588</v>
      </c>
      <c r="L11" s="10" t="s">
        <v>11</v>
      </c>
      <c r="M11" s="10" t="s">
        <v>157</v>
      </c>
    </row>
    <row r="12" spans="1:13" x14ac:dyDescent="0.25">
      <c r="A12" s="13" t="str">
        <f t="shared" si="0"/>
        <v>50714270810</v>
      </c>
      <c r="B12" s="10">
        <v>1004052046</v>
      </c>
      <c r="C12" s="10">
        <v>507142708</v>
      </c>
      <c r="D12" s="10">
        <v>10</v>
      </c>
      <c r="E12" s="10" t="s">
        <v>10</v>
      </c>
      <c r="F12" s="10">
        <v>1215668</v>
      </c>
      <c r="G12" s="10" t="s">
        <v>108</v>
      </c>
      <c r="H12" s="11">
        <v>11349</v>
      </c>
      <c r="I12" s="10">
        <v>0</v>
      </c>
      <c r="J12" s="11">
        <f t="shared" si="1"/>
        <v>11349</v>
      </c>
      <c r="K12" s="12">
        <f>VLOOKUP(A12,[5]VA05!$A:$K,11,FALSE)</f>
        <v>45588</v>
      </c>
      <c r="L12" s="10" t="s">
        <v>13</v>
      </c>
      <c r="M12" s="10" t="s">
        <v>192</v>
      </c>
    </row>
    <row r="13" spans="1:13" x14ac:dyDescent="0.25">
      <c r="A13" s="13" t="str">
        <f t="shared" si="0"/>
        <v>50714283810</v>
      </c>
      <c r="B13" s="10">
        <v>1004061192</v>
      </c>
      <c r="C13" s="10">
        <v>507142838</v>
      </c>
      <c r="D13" s="10">
        <v>10</v>
      </c>
      <c r="E13" s="10" t="s">
        <v>10</v>
      </c>
      <c r="F13" s="10">
        <v>1171797</v>
      </c>
      <c r="G13" s="10" t="s">
        <v>255</v>
      </c>
      <c r="H13" s="11">
        <v>31141</v>
      </c>
      <c r="I13" s="10">
        <v>0</v>
      </c>
      <c r="J13" s="11">
        <f t="shared" si="1"/>
        <v>31141</v>
      </c>
      <c r="K13" s="12">
        <f>VLOOKUP(A13,[5]VA05!$A:$K,11,FALSE)</f>
        <v>45593</v>
      </c>
      <c r="L13" s="10" t="s">
        <v>12</v>
      </c>
      <c r="M13" s="10" t="s">
        <v>162</v>
      </c>
    </row>
    <row r="14" spans="1:13" x14ac:dyDescent="0.25">
      <c r="A14" s="13" t="str">
        <f t="shared" si="0"/>
        <v>50714270810</v>
      </c>
      <c r="B14" s="10">
        <v>1004052048</v>
      </c>
      <c r="C14" s="10">
        <v>507142708</v>
      </c>
      <c r="D14" s="10">
        <v>10</v>
      </c>
      <c r="E14" s="10" t="s">
        <v>10</v>
      </c>
      <c r="F14" s="10">
        <v>1215666</v>
      </c>
      <c r="G14" s="10" t="s">
        <v>182</v>
      </c>
      <c r="H14" s="11">
        <v>11159</v>
      </c>
      <c r="I14" s="11">
        <v>4400</v>
      </c>
      <c r="J14" s="11">
        <f t="shared" si="1"/>
        <v>6759</v>
      </c>
      <c r="K14" s="12">
        <f>VLOOKUP(A14,[5]VA05!$A:$K,11,FALSE)</f>
        <v>45588</v>
      </c>
      <c r="L14" s="10" t="s">
        <v>11</v>
      </c>
      <c r="M14" s="10" t="s">
        <v>191</v>
      </c>
    </row>
    <row r="15" spans="1:13" hidden="1" x14ac:dyDescent="0.25">
      <c r="A15" s="13" t="str">
        <f t="shared" si="0"/>
        <v>50714282710</v>
      </c>
      <c r="B15" s="10">
        <v>1004063656</v>
      </c>
      <c r="C15" s="10">
        <v>507142827</v>
      </c>
      <c r="D15" s="10">
        <v>10</v>
      </c>
      <c r="E15" s="10" t="s">
        <v>10</v>
      </c>
      <c r="F15" s="10">
        <v>1411194</v>
      </c>
      <c r="G15" s="10" t="s">
        <v>46</v>
      </c>
      <c r="H15" s="11">
        <v>20598</v>
      </c>
      <c r="I15" s="11">
        <v>20598</v>
      </c>
      <c r="J15" s="11">
        <f t="shared" si="1"/>
        <v>0</v>
      </c>
      <c r="K15" s="12">
        <f>VLOOKUP(A15,[5]VA05!$A:$K,11,FALSE)</f>
        <v>45588</v>
      </c>
      <c r="L15" s="10" t="s">
        <v>113</v>
      </c>
      <c r="M15" s="10" t="s">
        <v>177</v>
      </c>
    </row>
    <row r="16" spans="1:13" x14ac:dyDescent="0.25">
      <c r="A16" s="13" t="str">
        <f t="shared" si="0"/>
        <v>50714282720</v>
      </c>
      <c r="B16" s="10">
        <v>1004063657</v>
      </c>
      <c r="C16" s="10">
        <v>507142827</v>
      </c>
      <c r="D16" s="10">
        <v>20</v>
      </c>
      <c r="E16" s="10" t="s">
        <v>10</v>
      </c>
      <c r="F16" s="10">
        <v>1411194</v>
      </c>
      <c r="G16" s="10" t="s">
        <v>46</v>
      </c>
      <c r="H16" s="11">
        <v>10054</v>
      </c>
      <c r="I16" s="10">
        <v>0</v>
      </c>
      <c r="J16" s="11">
        <f t="shared" si="1"/>
        <v>10054</v>
      </c>
      <c r="K16" s="12">
        <f>VLOOKUP(A16,[5]VA05!$A:$K,11,FALSE)</f>
        <v>45594</v>
      </c>
      <c r="L16" s="10" t="s">
        <v>12</v>
      </c>
      <c r="M16" s="10" t="s">
        <v>204</v>
      </c>
    </row>
    <row r="17" spans="1:13" x14ac:dyDescent="0.25">
      <c r="A17" s="13" t="str">
        <f t="shared" si="0"/>
        <v>50714282510</v>
      </c>
      <c r="B17" s="10">
        <v>1004061393</v>
      </c>
      <c r="C17" s="10">
        <v>507142825</v>
      </c>
      <c r="D17" s="10">
        <v>10</v>
      </c>
      <c r="E17" s="10" t="s">
        <v>10</v>
      </c>
      <c r="F17" s="10">
        <v>1173944</v>
      </c>
      <c r="G17" s="10" t="s">
        <v>91</v>
      </c>
      <c r="H17" s="11">
        <v>21855</v>
      </c>
      <c r="I17" s="11">
        <v>5407</v>
      </c>
      <c r="J17" s="11">
        <f t="shared" si="1"/>
        <v>16448</v>
      </c>
      <c r="K17" s="12">
        <f>VLOOKUP(A17,[5]VA05!$A:$K,11,FALSE)</f>
        <v>45589</v>
      </c>
      <c r="L17" s="10" t="s">
        <v>18</v>
      </c>
      <c r="M17" s="10" t="s">
        <v>191</v>
      </c>
    </row>
    <row r="18" spans="1:13" x14ac:dyDescent="0.25">
      <c r="A18" s="13" t="str">
        <f t="shared" si="0"/>
        <v>50714282910</v>
      </c>
      <c r="B18" s="10">
        <v>1004061394</v>
      </c>
      <c r="C18" s="10">
        <v>507142829</v>
      </c>
      <c r="D18" s="10">
        <v>10</v>
      </c>
      <c r="E18" s="10" t="s">
        <v>10</v>
      </c>
      <c r="F18" s="10">
        <v>1173944</v>
      </c>
      <c r="G18" s="10" t="s">
        <v>91</v>
      </c>
      <c r="H18" s="11">
        <v>11020</v>
      </c>
      <c r="I18" s="10">
        <v>0</v>
      </c>
      <c r="J18" s="11">
        <f t="shared" si="1"/>
        <v>11020</v>
      </c>
      <c r="K18" s="12">
        <f>VLOOKUP(A18,[5]VA05!$A:$K,11,FALSE)</f>
        <v>45582</v>
      </c>
      <c r="L18" s="10" t="s">
        <v>12</v>
      </c>
      <c r="M18" s="10" t="s">
        <v>179</v>
      </c>
    </row>
    <row r="19" spans="1:13" x14ac:dyDescent="0.25">
      <c r="A19" s="13" t="str">
        <f t="shared" si="0"/>
        <v>50714283810</v>
      </c>
      <c r="B19" s="10">
        <v>1004061390</v>
      </c>
      <c r="C19" s="10">
        <v>507142838</v>
      </c>
      <c r="D19" s="10">
        <v>10</v>
      </c>
      <c r="E19" s="10" t="s">
        <v>10</v>
      </c>
      <c r="F19" s="10">
        <v>1276494</v>
      </c>
      <c r="G19" s="10" t="s">
        <v>256</v>
      </c>
      <c r="H19" s="11">
        <v>27035</v>
      </c>
      <c r="I19" s="10">
        <v>0</v>
      </c>
      <c r="J19" s="11">
        <f t="shared" si="1"/>
        <v>27035</v>
      </c>
      <c r="K19" s="12">
        <f>VLOOKUP(A19,[5]VA05!$A:$K,11,FALSE)</f>
        <v>45593</v>
      </c>
      <c r="L19" s="10" t="s">
        <v>12</v>
      </c>
      <c r="M19" s="10" t="s">
        <v>191</v>
      </c>
    </row>
    <row r="20" spans="1:13" x14ac:dyDescent="0.25">
      <c r="A20" s="13" t="str">
        <f t="shared" si="0"/>
        <v>50714274010</v>
      </c>
      <c r="B20" s="10">
        <v>1004052269</v>
      </c>
      <c r="C20" s="10">
        <v>507142740</v>
      </c>
      <c r="D20" s="10">
        <v>10</v>
      </c>
      <c r="E20" s="10" t="s">
        <v>10</v>
      </c>
      <c r="F20" s="10">
        <v>1173947</v>
      </c>
      <c r="G20" s="10" t="s">
        <v>36</v>
      </c>
      <c r="H20" s="11">
        <v>12384</v>
      </c>
      <c r="I20" s="11">
        <v>4487</v>
      </c>
      <c r="J20" s="11">
        <f t="shared" si="1"/>
        <v>7897</v>
      </c>
      <c r="K20" s="12">
        <f>VLOOKUP(A20,[5]VA05!$A:$K,11,FALSE)</f>
        <v>45573</v>
      </c>
      <c r="L20" s="10" t="s">
        <v>18</v>
      </c>
      <c r="M20" s="10" t="s">
        <v>192</v>
      </c>
    </row>
    <row r="21" spans="1:13" x14ac:dyDescent="0.25">
      <c r="A21" s="13" t="str">
        <f t="shared" si="0"/>
        <v>50714277910</v>
      </c>
      <c r="B21" s="10">
        <v>1004052270</v>
      </c>
      <c r="C21" s="10">
        <v>507142779</v>
      </c>
      <c r="D21" s="10">
        <v>10</v>
      </c>
      <c r="E21" s="10" t="s">
        <v>10</v>
      </c>
      <c r="F21" s="10">
        <v>1173947</v>
      </c>
      <c r="G21" s="10" t="s">
        <v>36</v>
      </c>
      <c r="H21" s="11">
        <v>11922</v>
      </c>
      <c r="I21" s="10">
        <v>0</v>
      </c>
      <c r="J21" s="11">
        <f t="shared" si="1"/>
        <v>11922</v>
      </c>
      <c r="K21" s="12">
        <f>VLOOKUP(A21,[5]VA05!$A:$K,11,FALSE)</f>
        <v>45580</v>
      </c>
      <c r="L21" s="10" t="s">
        <v>12</v>
      </c>
      <c r="M21" s="10" t="s">
        <v>194</v>
      </c>
    </row>
    <row r="22" spans="1:13" x14ac:dyDescent="0.25">
      <c r="A22" s="13" t="str">
        <f t="shared" si="0"/>
        <v>50714278410</v>
      </c>
      <c r="B22" s="10">
        <v>1004052271</v>
      </c>
      <c r="C22" s="10">
        <v>507142784</v>
      </c>
      <c r="D22" s="10">
        <v>10</v>
      </c>
      <c r="E22" s="10" t="s">
        <v>10</v>
      </c>
      <c r="F22" s="10">
        <v>1173947</v>
      </c>
      <c r="G22" s="10" t="s">
        <v>36</v>
      </c>
      <c r="H22" s="11">
        <v>12384</v>
      </c>
      <c r="I22" s="10">
        <v>0</v>
      </c>
      <c r="J22" s="11">
        <f t="shared" si="1"/>
        <v>12384</v>
      </c>
      <c r="K22" s="12">
        <f>VLOOKUP(A22,[5]VA05!$A:$K,11,FALSE)</f>
        <v>45580</v>
      </c>
      <c r="L22" s="10" t="s">
        <v>12</v>
      </c>
      <c r="M22" s="10" t="s">
        <v>97</v>
      </c>
    </row>
    <row r="23" spans="1:13" x14ac:dyDescent="0.25">
      <c r="A23" s="13" t="str">
        <f t="shared" si="0"/>
        <v>50714282510</v>
      </c>
      <c r="B23" s="10">
        <v>1004061395</v>
      </c>
      <c r="C23" s="10">
        <v>507142825</v>
      </c>
      <c r="D23" s="10">
        <v>10</v>
      </c>
      <c r="E23" s="10" t="s">
        <v>10</v>
      </c>
      <c r="F23" s="10">
        <v>1173947</v>
      </c>
      <c r="G23" s="10" t="s">
        <v>36</v>
      </c>
      <c r="H23" s="11">
        <v>23842</v>
      </c>
      <c r="I23" s="10">
        <v>0</v>
      </c>
      <c r="J23" s="11">
        <f t="shared" si="1"/>
        <v>23842</v>
      </c>
      <c r="K23" s="12">
        <f>VLOOKUP(A23,[5]VA05!$A:$K,11,FALSE)</f>
        <v>45589</v>
      </c>
      <c r="L23" s="10" t="s">
        <v>12</v>
      </c>
      <c r="M23" s="10" t="s">
        <v>179</v>
      </c>
    </row>
    <row r="24" spans="1:13" x14ac:dyDescent="0.25">
      <c r="A24" s="13" t="str">
        <f t="shared" si="0"/>
        <v>50714277910</v>
      </c>
      <c r="B24" s="10">
        <v>1004053448</v>
      </c>
      <c r="C24" s="10">
        <v>507142779</v>
      </c>
      <c r="D24" s="10">
        <v>10</v>
      </c>
      <c r="E24" s="10" t="s">
        <v>10</v>
      </c>
      <c r="F24" s="10">
        <v>1171793</v>
      </c>
      <c r="G24" s="10" t="s">
        <v>33</v>
      </c>
      <c r="H24" s="11">
        <v>10792</v>
      </c>
      <c r="I24" s="10">
        <v>0</v>
      </c>
      <c r="J24" s="11">
        <f t="shared" si="1"/>
        <v>10792</v>
      </c>
      <c r="K24" s="12">
        <f>VLOOKUP(A24,[5]VA05!$A:$K,11,FALSE)</f>
        <v>45580</v>
      </c>
      <c r="L24" s="10" t="s">
        <v>12</v>
      </c>
      <c r="M24" s="10" t="s">
        <v>162</v>
      </c>
    </row>
    <row r="25" spans="1:13" x14ac:dyDescent="0.25">
      <c r="A25" s="13" t="str">
        <f t="shared" si="0"/>
        <v>50714278410</v>
      </c>
      <c r="B25" s="10">
        <v>1004061396</v>
      </c>
      <c r="C25" s="10">
        <v>507142784</v>
      </c>
      <c r="D25" s="10">
        <v>10</v>
      </c>
      <c r="E25" s="10" t="s">
        <v>10</v>
      </c>
      <c r="F25" s="10">
        <v>1171793</v>
      </c>
      <c r="G25" s="10" t="s">
        <v>33</v>
      </c>
      <c r="H25" s="11">
        <v>10882</v>
      </c>
      <c r="I25" s="10">
        <v>0</v>
      </c>
      <c r="J25" s="11">
        <f t="shared" si="1"/>
        <v>10882</v>
      </c>
      <c r="K25" s="12">
        <f>VLOOKUP(A25,[5]VA05!$A:$K,11,FALSE)</f>
        <v>45580</v>
      </c>
      <c r="L25" s="10" t="s">
        <v>12</v>
      </c>
      <c r="M25" s="10" t="s">
        <v>162</v>
      </c>
    </row>
    <row r="26" spans="1:13" x14ac:dyDescent="0.25">
      <c r="A26" s="13" t="str">
        <f t="shared" si="0"/>
        <v>50714282510</v>
      </c>
      <c r="B26" s="10">
        <v>1004061397</v>
      </c>
      <c r="C26" s="10">
        <v>507142825</v>
      </c>
      <c r="D26" s="10">
        <v>10</v>
      </c>
      <c r="E26" s="10" t="s">
        <v>10</v>
      </c>
      <c r="F26" s="10">
        <v>1171793</v>
      </c>
      <c r="G26" s="10" t="s">
        <v>33</v>
      </c>
      <c r="H26" s="11">
        <v>21582</v>
      </c>
      <c r="I26" s="10">
        <v>0</v>
      </c>
      <c r="J26" s="11">
        <f t="shared" si="1"/>
        <v>21582</v>
      </c>
      <c r="K26" s="12">
        <f>VLOOKUP(A26,[5]VA05!$A:$K,11,FALSE)</f>
        <v>45589</v>
      </c>
      <c r="L26" s="10" t="s">
        <v>12</v>
      </c>
      <c r="M26" s="10" t="s">
        <v>191</v>
      </c>
    </row>
    <row r="27" spans="1:13" x14ac:dyDescent="0.25">
      <c r="A27" s="13" t="str">
        <f t="shared" si="0"/>
        <v>50714282910</v>
      </c>
      <c r="B27" s="10">
        <v>1004061398</v>
      </c>
      <c r="C27" s="10">
        <v>507142829</v>
      </c>
      <c r="D27" s="10">
        <v>10</v>
      </c>
      <c r="E27" s="10" t="s">
        <v>10</v>
      </c>
      <c r="F27" s="10">
        <v>1171793</v>
      </c>
      <c r="G27" s="10" t="s">
        <v>33</v>
      </c>
      <c r="H27" s="11">
        <v>10882</v>
      </c>
      <c r="I27" s="10">
        <v>0</v>
      </c>
      <c r="J27" s="11">
        <f t="shared" si="1"/>
        <v>10882</v>
      </c>
      <c r="K27" s="12">
        <f>VLOOKUP(A27,[5]VA05!$A:$K,11,FALSE)</f>
        <v>45582</v>
      </c>
      <c r="L27" s="10" t="s">
        <v>12</v>
      </c>
      <c r="M27" s="10" t="s">
        <v>157</v>
      </c>
    </row>
    <row r="28" spans="1:13" x14ac:dyDescent="0.25">
      <c r="A28" s="13" t="str">
        <f t="shared" si="0"/>
        <v>50714272510</v>
      </c>
      <c r="B28" s="10">
        <v>1004060450</v>
      </c>
      <c r="C28" s="10">
        <v>507142725</v>
      </c>
      <c r="D28" s="10">
        <v>10</v>
      </c>
      <c r="E28" s="10" t="s">
        <v>10</v>
      </c>
      <c r="F28" s="10">
        <v>1420608</v>
      </c>
      <c r="G28" s="10" t="s">
        <v>110</v>
      </c>
      <c r="H28" s="11">
        <v>16376</v>
      </c>
      <c r="I28" s="11">
        <v>13027</v>
      </c>
      <c r="J28" s="11">
        <f t="shared" si="1"/>
        <v>3349</v>
      </c>
      <c r="K28" s="12">
        <f>VLOOKUP(A28,[5]VA05!$A:$K,11,FALSE)</f>
        <v>45573</v>
      </c>
      <c r="L28" s="10" t="s">
        <v>18</v>
      </c>
      <c r="M28" s="10" t="s">
        <v>162</v>
      </c>
    </row>
    <row r="29" spans="1:13" hidden="1" x14ac:dyDescent="0.25">
      <c r="A29" s="13" t="str">
        <f t="shared" si="0"/>
        <v>50714265120</v>
      </c>
      <c r="B29" s="10">
        <v>1004059425</v>
      </c>
      <c r="C29" s="10">
        <v>507142651</v>
      </c>
      <c r="D29" s="10">
        <v>20</v>
      </c>
      <c r="E29" s="10" t="s">
        <v>24</v>
      </c>
      <c r="F29" s="10">
        <v>1149455</v>
      </c>
      <c r="G29" s="10" t="s">
        <v>44</v>
      </c>
      <c r="H29" s="11">
        <v>10000</v>
      </c>
      <c r="I29" s="10">
        <v>0</v>
      </c>
      <c r="J29" s="11">
        <f t="shared" si="1"/>
        <v>10000</v>
      </c>
      <c r="K29" s="12" t="e">
        <f>VLOOKUP(A29,[5]VA05!$A:$K,11,FALSE)</f>
        <v>#N/A</v>
      </c>
      <c r="L29" s="10" t="s">
        <v>13</v>
      </c>
      <c r="M29" s="10" t="s">
        <v>154</v>
      </c>
    </row>
    <row r="30" spans="1:13" x14ac:dyDescent="0.25">
      <c r="A30" s="13" t="str">
        <f t="shared" si="0"/>
        <v>50714235110</v>
      </c>
      <c r="B30" s="10">
        <v>1004042803</v>
      </c>
      <c r="C30" s="10">
        <v>507142351</v>
      </c>
      <c r="D30" s="10">
        <v>10</v>
      </c>
      <c r="E30" s="10" t="s">
        <v>10</v>
      </c>
      <c r="F30" s="10">
        <v>1192909</v>
      </c>
      <c r="G30" s="10" t="s">
        <v>35</v>
      </c>
      <c r="H30" s="11">
        <v>16753</v>
      </c>
      <c r="I30" s="11">
        <v>9187</v>
      </c>
      <c r="J30" s="11">
        <f t="shared" si="1"/>
        <v>7566</v>
      </c>
      <c r="K30" s="12">
        <f>VLOOKUP(A30,[5]VA05!$A:$K,11,FALSE)</f>
        <v>45545</v>
      </c>
      <c r="L30" s="10" t="s">
        <v>18</v>
      </c>
      <c r="M30" s="10" t="s">
        <v>111</v>
      </c>
    </row>
    <row r="31" spans="1:13" x14ac:dyDescent="0.25">
      <c r="A31" s="13" t="str">
        <f t="shared" si="0"/>
        <v>50714272510</v>
      </c>
      <c r="B31" s="10">
        <v>1004060387</v>
      </c>
      <c r="C31" s="10">
        <v>507142725</v>
      </c>
      <c r="D31" s="10">
        <v>10</v>
      </c>
      <c r="E31" s="10" t="s">
        <v>10</v>
      </c>
      <c r="F31" s="10">
        <v>1420609</v>
      </c>
      <c r="G31" s="10" t="s">
        <v>133</v>
      </c>
      <c r="H31" s="11">
        <v>16868</v>
      </c>
      <c r="I31" s="11">
        <v>13728</v>
      </c>
      <c r="J31" s="11">
        <f t="shared" si="1"/>
        <v>3140</v>
      </c>
      <c r="K31" s="12">
        <f>VLOOKUP(A31,[5]VA05!$A:$K,11,FALSE)</f>
        <v>45573</v>
      </c>
      <c r="L31" s="10" t="s">
        <v>18</v>
      </c>
      <c r="M31" s="10" t="s">
        <v>162</v>
      </c>
    </row>
    <row r="32" spans="1:13" x14ac:dyDescent="0.25">
      <c r="A32" s="13" t="str">
        <f t="shared" si="0"/>
        <v>50714273410</v>
      </c>
      <c r="B32" s="10">
        <v>1004054830</v>
      </c>
      <c r="C32" s="10">
        <v>507142734</v>
      </c>
      <c r="D32" s="10">
        <v>10</v>
      </c>
      <c r="E32" s="10" t="s">
        <v>10</v>
      </c>
      <c r="F32" s="10">
        <v>1193508</v>
      </c>
      <c r="G32" s="10" t="s">
        <v>134</v>
      </c>
      <c r="H32" s="11">
        <v>16753</v>
      </c>
      <c r="I32" s="11">
        <v>13900</v>
      </c>
      <c r="J32" s="11">
        <f t="shared" si="1"/>
        <v>2853</v>
      </c>
      <c r="K32" s="12">
        <f>VLOOKUP(A32,[5]VA05!$A:$K,11,FALSE)</f>
        <v>45575</v>
      </c>
      <c r="L32" s="10" t="s">
        <v>18</v>
      </c>
      <c r="M32" s="10" t="s">
        <v>195</v>
      </c>
    </row>
    <row r="33" spans="1:13" x14ac:dyDescent="0.25">
      <c r="A33" s="13" t="str">
        <f t="shared" si="0"/>
        <v>50714274310</v>
      </c>
      <c r="B33" s="10">
        <v>1004054831</v>
      </c>
      <c r="C33" s="10">
        <v>507142743</v>
      </c>
      <c r="D33" s="10">
        <v>10</v>
      </c>
      <c r="E33" s="10" t="s">
        <v>10</v>
      </c>
      <c r="F33" s="10">
        <v>1193508</v>
      </c>
      <c r="G33" s="10" t="s">
        <v>134</v>
      </c>
      <c r="H33" s="11">
        <v>16753</v>
      </c>
      <c r="I33" s="10">
        <v>0</v>
      </c>
      <c r="J33" s="11">
        <f t="shared" si="1"/>
        <v>16753</v>
      </c>
      <c r="K33" s="12">
        <f>VLOOKUP(A33,[5]VA05!$A:$K,11,FALSE)</f>
        <v>45575</v>
      </c>
      <c r="L33" s="10" t="s">
        <v>27</v>
      </c>
      <c r="M33" s="10" t="s">
        <v>195</v>
      </c>
    </row>
    <row r="34" spans="1:13" x14ac:dyDescent="0.25">
      <c r="A34" s="13" t="str">
        <f t="shared" si="0"/>
        <v>50714258410</v>
      </c>
      <c r="B34" s="10">
        <v>1004025718</v>
      </c>
      <c r="C34" s="10">
        <v>507142584</v>
      </c>
      <c r="D34" s="10">
        <v>10</v>
      </c>
      <c r="E34" s="10" t="s">
        <v>10</v>
      </c>
      <c r="F34" s="10">
        <v>1192705</v>
      </c>
      <c r="G34" s="10" t="s">
        <v>45</v>
      </c>
      <c r="H34" s="11">
        <v>29915</v>
      </c>
      <c r="I34" s="11">
        <v>15280</v>
      </c>
      <c r="J34" s="11">
        <f t="shared" si="1"/>
        <v>14635</v>
      </c>
      <c r="K34" s="12">
        <f>VLOOKUP(A34,[5]VA05!$A:$K,11,FALSE)</f>
        <v>45575</v>
      </c>
      <c r="L34" s="10" t="s">
        <v>18</v>
      </c>
      <c r="M34" s="10" t="s">
        <v>66</v>
      </c>
    </row>
    <row r="35" spans="1:13" x14ac:dyDescent="0.25">
      <c r="A35" s="13" t="str">
        <f t="shared" si="0"/>
        <v>50714272410</v>
      </c>
      <c r="B35" s="10">
        <v>1004051405</v>
      </c>
      <c r="C35" s="10">
        <v>507142724</v>
      </c>
      <c r="D35" s="10">
        <v>10</v>
      </c>
      <c r="E35" s="10" t="s">
        <v>10</v>
      </c>
      <c r="F35" s="10">
        <v>1233459</v>
      </c>
      <c r="G35" s="10" t="s">
        <v>121</v>
      </c>
      <c r="H35" s="11">
        <v>10299</v>
      </c>
      <c r="I35" s="11">
        <v>8034</v>
      </c>
      <c r="J35" s="11">
        <f t="shared" si="1"/>
        <v>2265</v>
      </c>
      <c r="K35" s="12">
        <f>VLOOKUP(A35,[5]VA05!$A:$K,11,FALSE)</f>
        <v>45594</v>
      </c>
      <c r="L35" s="10" t="s">
        <v>18</v>
      </c>
      <c r="M35" s="10" t="s">
        <v>193</v>
      </c>
    </row>
    <row r="36" spans="1:13" x14ac:dyDescent="0.25">
      <c r="A36" s="13" t="str">
        <f t="shared" si="0"/>
        <v>50714272410</v>
      </c>
      <c r="B36" s="10">
        <v>1004058756</v>
      </c>
      <c r="C36" s="10">
        <v>507142724</v>
      </c>
      <c r="D36" s="10">
        <v>10</v>
      </c>
      <c r="E36" s="10" t="s">
        <v>10</v>
      </c>
      <c r="F36" s="10">
        <v>1233477</v>
      </c>
      <c r="G36" s="10" t="s">
        <v>236</v>
      </c>
      <c r="H36" s="11">
        <v>11006</v>
      </c>
      <c r="I36" s="10">
        <v>0</v>
      </c>
      <c r="J36" s="11">
        <f t="shared" si="1"/>
        <v>11006</v>
      </c>
      <c r="K36" s="12">
        <f>VLOOKUP(A36,[5]VA05!$A:$K,11,FALSE)</f>
        <v>45594</v>
      </c>
      <c r="L36" s="10" t="s">
        <v>12</v>
      </c>
      <c r="M36" s="10" t="s">
        <v>109</v>
      </c>
    </row>
    <row r="37" spans="1:13" x14ac:dyDescent="0.25">
      <c r="A37" s="13" t="str">
        <f t="shared" si="0"/>
        <v>50714274270</v>
      </c>
      <c r="B37" s="10">
        <v>1004052519</v>
      </c>
      <c r="C37" s="10">
        <v>507142742</v>
      </c>
      <c r="D37" s="10">
        <v>70</v>
      </c>
      <c r="E37" s="10" t="s">
        <v>10</v>
      </c>
      <c r="F37" s="10">
        <v>1209335</v>
      </c>
      <c r="G37" s="10" t="s">
        <v>150</v>
      </c>
      <c r="H37" s="11">
        <v>25576</v>
      </c>
      <c r="I37" s="11">
        <v>9144</v>
      </c>
      <c r="J37" s="11">
        <f t="shared" si="1"/>
        <v>16432</v>
      </c>
      <c r="K37" s="12">
        <f>VLOOKUP(A37,[5]VA05!$A:$K,11,FALSE)</f>
        <v>45587</v>
      </c>
      <c r="L37" s="10" t="s">
        <v>11</v>
      </c>
      <c r="M37" s="10" t="s">
        <v>109</v>
      </c>
    </row>
    <row r="38" spans="1:13" x14ac:dyDescent="0.25">
      <c r="A38" s="13" t="str">
        <f t="shared" si="0"/>
        <v>507142742100</v>
      </c>
      <c r="B38" s="10">
        <v>1004052522</v>
      </c>
      <c r="C38" s="10">
        <v>507142742</v>
      </c>
      <c r="D38" s="10">
        <v>100</v>
      </c>
      <c r="E38" s="10" t="s">
        <v>10</v>
      </c>
      <c r="F38" s="10">
        <v>1209335</v>
      </c>
      <c r="G38" s="10" t="s">
        <v>150</v>
      </c>
      <c r="H38" s="11">
        <v>25576</v>
      </c>
      <c r="I38" s="10">
        <v>0</v>
      </c>
      <c r="J38" s="11">
        <f t="shared" si="1"/>
        <v>25576</v>
      </c>
      <c r="K38" s="12" t="e">
        <f>VLOOKUP(A38,[5]VA05!$A:$K,11,FALSE)</f>
        <v>#N/A</v>
      </c>
      <c r="L38" s="10" t="s">
        <v>12</v>
      </c>
      <c r="M38" s="10" t="s">
        <v>196</v>
      </c>
    </row>
    <row r="39" spans="1:13" x14ac:dyDescent="0.25">
      <c r="A39" s="13" t="str">
        <f t="shared" si="0"/>
        <v>50714285110</v>
      </c>
      <c r="B39" s="10">
        <v>1004062669</v>
      </c>
      <c r="C39" s="10">
        <v>507142851</v>
      </c>
      <c r="D39" s="10">
        <v>10</v>
      </c>
      <c r="E39" s="10" t="s">
        <v>10</v>
      </c>
      <c r="F39" s="10">
        <v>1209335</v>
      </c>
      <c r="G39" s="10" t="s">
        <v>150</v>
      </c>
      <c r="H39" s="11">
        <v>35874</v>
      </c>
      <c r="I39" s="10">
        <v>0</v>
      </c>
      <c r="J39" s="11">
        <f t="shared" si="1"/>
        <v>35874</v>
      </c>
      <c r="K39" s="12">
        <f>VLOOKUP(A39,[5]VA05!$A:$K,11,FALSE)</f>
        <v>45593</v>
      </c>
      <c r="L39" s="10" t="s">
        <v>12</v>
      </c>
      <c r="M39" s="10" t="s">
        <v>157</v>
      </c>
    </row>
    <row r="40" spans="1:13" x14ac:dyDescent="0.25">
      <c r="A40" s="13" t="str">
        <f t="shared" si="0"/>
        <v>50714268230</v>
      </c>
      <c r="B40" s="10">
        <v>1004062670</v>
      </c>
      <c r="C40" s="10">
        <v>507142682</v>
      </c>
      <c r="D40" s="10">
        <v>30</v>
      </c>
      <c r="E40" s="10" t="s">
        <v>10</v>
      </c>
      <c r="F40" s="10">
        <v>1440079</v>
      </c>
      <c r="G40" s="10" t="s">
        <v>292</v>
      </c>
      <c r="H40" s="11">
        <v>10217</v>
      </c>
      <c r="I40" s="10">
        <v>0</v>
      </c>
      <c r="J40" s="11">
        <f t="shared" si="1"/>
        <v>10217</v>
      </c>
      <c r="K40" s="12">
        <f>VLOOKUP(A40,[5]VA05!$A:$K,11,FALSE)</f>
        <v>45595</v>
      </c>
      <c r="L40" s="10" t="s">
        <v>12</v>
      </c>
      <c r="M40" s="10" t="s">
        <v>204</v>
      </c>
    </row>
    <row r="41" spans="1:13" x14ac:dyDescent="0.25">
      <c r="A41" s="13" t="str">
        <f t="shared" si="0"/>
        <v>50714274240</v>
      </c>
      <c r="B41" s="10">
        <v>1004052625</v>
      </c>
      <c r="C41" s="10">
        <v>507142742</v>
      </c>
      <c r="D41" s="10">
        <v>40</v>
      </c>
      <c r="E41" s="10" t="s">
        <v>10</v>
      </c>
      <c r="F41" s="10">
        <v>1437142</v>
      </c>
      <c r="G41" s="10" t="s">
        <v>145</v>
      </c>
      <c r="H41" s="11">
        <v>38800</v>
      </c>
      <c r="I41" s="10">
        <v>0</v>
      </c>
      <c r="J41" s="11">
        <f t="shared" si="1"/>
        <v>38800</v>
      </c>
      <c r="K41" s="12">
        <f>VLOOKUP(A41,[5]VA05!$A:$K,11,FALSE)</f>
        <v>45580</v>
      </c>
      <c r="L41" s="10" t="s">
        <v>12</v>
      </c>
      <c r="M41" s="10" t="s">
        <v>197</v>
      </c>
    </row>
    <row r="42" spans="1:13" x14ac:dyDescent="0.25">
      <c r="A42" s="13" t="str">
        <f t="shared" si="0"/>
        <v>50714274270</v>
      </c>
      <c r="B42" s="10">
        <v>1004052626</v>
      </c>
      <c r="C42" s="10">
        <v>507142742</v>
      </c>
      <c r="D42" s="10">
        <v>70</v>
      </c>
      <c r="E42" s="10" t="s">
        <v>10</v>
      </c>
      <c r="F42" s="10">
        <v>1437142</v>
      </c>
      <c r="G42" s="10" t="s">
        <v>145</v>
      </c>
      <c r="H42" s="11">
        <v>40825</v>
      </c>
      <c r="I42" s="10">
        <v>0</v>
      </c>
      <c r="J42" s="11">
        <f t="shared" si="1"/>
        <v>40825</v>
      </c>
      <c r="K42" s="12">
        <f>VLOOKUP(A42,[5]VA05!$A:$K,11,FALSE)</f>
        <v>45587</v>
      </c>
      <c r="L42" s="10" t="s">
        <v>12</v>
      </c>
      <c r="M42" s="10" t="s">
        <v>162</v>
      </c>
    </row>
    <row r="43" spans="1:13" x14ac:dyDescent="0.25">
      <c r="A43" s="13" t="str">
        <f t="shared" si="0"/>
        <v>507142742100</v>
      </c>
      <c r="B43" s="10">
        <v>1004052627</v>
      </c>
      <c r="C43" s="10">
        <v>507142742</v>
      </c>
      <c r="D43" s="10">
        <v>100</v>
      </c>
      <c r="E43" s="10" t="s">
        <v>10</v>
      </c>
      <c r="F43" s="10">
        <v>1437142</v>
      </c>
      <c r="G43" s="10" t="s">
        <v>145</v>
      </c>
      <c r="H43" s="11">
        <v>27661</v>
      </c>
      <c r="I43" s="10">
        <v>0</v>
      </c>
      <c r="J43" s="11">
        <f t="shared" si="1"/>
        <v>27661</v>
      </c>
      <c r="K43" s="12" t="e">
        <f>VLOOKUP(A43,[5]VA05!$A:$K,11,FALSE)</f>
        <v>#N/A</v>
      </c>
      <c r="L43" s="10" t="s">
        <v>12</v>
      </c>
      <c r="M43" s="10" t="s">
        <v>109</v>
      </c>
    </row>
    <row r="44" spans="1:13" x14ac:dyDescent="0.25">
      <c r="A44" s="13" t="str">
        <f t="shared" si="0"/>
        <v>50714274210</v>
      </c>
      <c r="B44" s="10">
        <v>1004054341</v>
      </c>
      <c r="C44" s="10">
        <v>507142742</v>
      </c>
      <c r="D44" s="10">
        <v>10</v>
      </c>
      <c r="E44" s="10" t="s">
        <v>10</v>
      </c>
      <c r="F44" s="10">
        <v>1437142</v>
      </c>
      <c r="G44" s="10" t="s">
        <v>145</v>
      </c>
      <c r="H44" s="11">
        <v>27661</v>
      </c>
      <c r="I44" s="11">
        <v>19566</v>
      </c>
      <c r="J44" s="11">
        <f t="shared" si="1"/>
        <v>8095</v>
      </c>
      <c r="K44" s="12">
        <f>VLOOKUP(A44,[5]VA05!$A:$K,11,FALSE)</f>
        <v>45579</v>
      </c>
      <c r="L44" s="10" t="s">
        <v>11</v>
      </c>
      <c r="M44" s="10" t="s">
        <v>178</v>
      </c>
    </row>
    <row r="45" spans="1:13" x14ac:dyDescent="0.25">
      <c r="A45" s="13" t="str">
        <f t="shared" si="0"/>
        <v>50714285110</v>
      </c>
      <c r="B45" s="10">
        <v>1004062677</v>
      </c>
      <c r="C45" s="10">
        <v>507142851</v>
      </c>
      <c r="D45" s="10">
        <v>10</v>
      </c>
      <c r="E45" s="10" t="s">
        <v>10</v>
      </c>
      <c r="F45" s="10">
        <v>1437142</v>
      </c>
      <c r="G45" s="10" t="s">
        <v>145</v>
      </c>
      <c r="H45" s="11">
        <v>38799</v>
      </c>
      <c r="I45" s="10">
        <v>0</v>
      </c>
      <c r="J45" s="11">
        <f t="shared" si="1"/>
        <v>38799</v>
      </c>
      <c r="K45" s="12">
        <f>VLOOKUP(A45,[5]VA05!$A:$K,11,FALSE)</f>
        <v>45593</v>
      </c>
      <c r="L45" s="10" t="s">
        <v>12</v>
      </c>
      <c r="M45" s="10" t="s">
        <v>162</v>
      </c>
    </row>
    <row r="46" spans="1:13" x14ac:dyDescent="0.25">
      <c r="A46" s="13" t="str">
        <f t="shared" si="0"/>
        <v>50714268230</v>
      </c>
      <c r="B46" s="10">
        <v>1004059556</v>
      </c>
      <c r="C46" s="10">
        <v>507142682</v>
      </c>
      <c r="D46" s="10">
        <v>30</v>
      </c>
      <c r="E46" s="10" t="s">
        <v>10</v>
      </c>
      <c r="F46" s="10">
        <v>1440080</v>
      </c>
      <c r="G46" s="10" t="s">
        <v>247</v>
      </c>
      <c r="H46" s="11">
        <v>10524</v>
      </c>
      <c r="I46" s="10">
        <v>0</v>
      </c>
      <c r="J46" s="11">
        <f t="shared" si="1"/>
        <v>10524</v>
      </c>
      <c r="K46" s="12">
        <f>VLOOKUP(A46,[5]VA05!$A:$K,11,FALSE)</f>
        <v>45595</v>
      </c>
      <c r="L46" s="10" t="s">
        <v>12</v>
      </c>
      <c r="M46" s="10" t="s">
        <v>176</v>
      </c>
    </row>
    <row r="47" spans="1:13" x14ac:dyDescent="0.25">
      <c r="A47" s="13" t="str">
        <f t="shared" si="0"/>
        <v>50714242450</v>
      </c>
      <c r="B47" s="10">
        <v>1004019633</v>
      </c>
      <c r="C47" s="10">
        <v>507142424</v>
      </c>
      <c r="D47" s="10">
        <v>50</v>
      </c>
      <c r="E47" s="10" t="s">
        <v>10</v>
      </c>
      <c r="F47" s="10">
        <v>1212309</v>
      </c>
      <c r="G47" s="10" t="s">
        <v>16</v>
      </c>
      <c r="H47" s="11">
        <v>30725</v>
      </c>
      <c r="I47" s="10">
        <v>0</v>
      </c>
      <c r="J47" s="11">
        <f t="shared" si="1"/>
        <v>30725</v>
      </c>
      <c r="K47" s="12" t="e">
        <f>VLOOKUP(A47,[5]VA05!$A:$K,11,FALSE)</f>
        <v>#N/A</v>
      </c>
      <c r="L47" s="10" t="s">
        <v>12</v>
      </c>
      <c r="M47" s="10" t="s">
        <v>82</v>
      </c>
    </row>
    <row r="48" spans="1:13" x14ac:dyDescent="0.25">
      <c r="A48" s="13" t="str">
        <f t="shared" si="0"/>
        <v>50714274280</v>
      </c>
      <c r="B48" s="10">
        <v>1004052513</v>
      </c>
      <c r="C48" s="10">
        <v>507142742</v>
      </c>
      <c r="D48" s="10">
        <v>80</v>
      </c>
      <c r="E48" s="10" t="s">
        <v>10</v>
      </c>
      <c r="F48" s="10">
        <v>1209351</v>
      </c>
      <c r="G48" s="10" t="s">
        <v>135</v>
      </c>
      <c r="H48" s="11">
        <v>25576</v>
      </c>
      <c r="I48" s="11">
        <v>16580</v>
      </c>
      <c r="J48" s="11">
        <f t="shared" si="1"/>
        <v>8996</v>
      </c>
      <c r="K48" s="12">
        <f>VLOOKUP(A48,[5]VA05!$A:$K,11,FALSE)</f>
        <v>45587</v>
      </c>
      <c r="L48" s="10" t="s">
        <v>18</v>
      </c>
      <c r="M48" s="10" t="s">
        <v>176</v>
      </c>
    </row>
    <row r="49" spans="1:13" x14ac:dyDescent="0.25">
      <c r="A49" s="13" t="str">
        <f t="shared" si="0"/>
        <v>507142742110</v>
      </c>
      <c r="B49" s="10">
        <v>1004052514</v>
      </c>
      <c r="C49" s="10">
        <v>507142742</v>
      </c>
      <c r="D49" s="10">
        <v>110</v>
      </c>
      <c r="E49" s="10" t="s">
        <v>10</v>
      </c>
      <c r="F49" s="10">
        <v>1209351</v>
      </c>
      <c r="G49" s="10" t="s">
        <v>135</v>
      </c>
      <c r="H49" s="11">
        <v>25576</v>
      </c>
      <c r="I49" s="10">
        <v>0</v>
      </c>
      <c r="J49" s="11">
        <f t="shared" si="1"/>
        <v>25576</v>
      </c>
      <c r="K49" s="12" t="e">
        <f>VLOOKUP(A49,[5]VA05!$A:$K,11,FALSE)</f>
        <v>#N/A</v>
      </c>
      <c r="L49" s="10" t="s">
        <v>12</v>
      </c>
      <c r="M49" s="10" t="s">
        <v>198</v>
      </c>
    </row>
    <row r="50" spans="1:13" x14ac:dyDescent="0.25">
      <c r="A50" s="13" t="str">
        <f t="shared" si="0"/>
        <v>50714285120</v>
      </c>
      <c r="B50" s="10">
        <v>1004062680</v>
      </c>
      <c r="C50" s="10">
        <v>507142851</v>
      </c>
      <c r="D50" s="10">
        <v>20</v>
      </c>
      <c r="E50" s="10" t="s">
        <v>10</v>
      </c>
      <c r="F50" s="10">
        <v>1209351</v>
      </c>
      <c r="G50" s="10" t="s">
        <v>135</v>
      </c>
      <c r="H50" s="11">
        <v>35874</v>
      </c>
      <c r="I50" s="10">
        <v>0</v>
      </c>
      <c r="J50" s="11">
        <f t="shared" si="1"/>
        <v>35874</v>
      </c>
      <c r="K50" s="12">
        <f>VLOOKUP(A50,[5]VA05!$A:$K,11,FALSE)</f>
        <v>45593</v>
      </c>
      <c r="L50" s="10" t="s">
        <v>12</v>
      </c>
      <c r="M50" s="10" t="s">
        <v>199</v>
      </c>
    </row>
    <row r="51" spans="1:13" x14ac:dyDescent="0.25">
      <c r="A51" s="13" t="str">
        <f t="shared" si="0"/>
        <v>50900099220</v>
      </c>
      <c r="B51" s="10">
        <v>1004021332</v>
      </c>
      <c r="C51" s="10">
        <v>509000992</v>
      </c>
      <c r="D51" s="10">
        <v>20</v>
      </c>
      <c r="E51" s="10" t="s">
        <v>10</v>
      </c>
      <c r="F51" s="10">
        <v>1279716</v>
      </c>
      <c r="G51" s="10" t="s">
        <v>54</v>
      </c>
      <c r="H51" s="11">
        <v>10299</v>
      </c>
      <c r="I51" s="10">
        <v>0</v>
      </c>
      <c r="J51" s="11">
        <f t="shared" si="1"/>
        <v>10299</v>
      </c>
      <c r="K51" s="12" t="e">
        <f>VLOOKUP(A51,[5]VA05!$A:$K,11,FALSE)</f>
        <v>#N/A</v>
      </c>
      <c r="L51" s="10" t="s">
        <v>25</v>
      </c>
      <c r="M51" s="10" t="s">
        <v>66</v>
      </c>
    </row>
    <row r="52" spans="1:13" x14ac:dyDescent="0.25">
      <c r="A52" s="13" t="str">
        <f t="shared" si="0"/>
        <v>50714242410</v>
      </c>
      <c r="B52" s="10">
        <v>1004019563</v>
      </c>
      <c r="C52" s="10">
        <v>507142424</v>
      </c>
      <c r="D52" s="10">
        <v>10</v>
      </c>
      <c r="E52" s="10" t="s">
        <v>10</v>
      </c>
      <c r="F52" s="10">
        <v>1212320</v>
      </c>
      <c r="G52" s="10" t="s">
        <v>17</v>
      </c>
      <c r="H52" s="11">
        <v>19568</v>
      </c>
      <c r="I52" s="10">
        <v>0</v>
      </c>
      <c r="J52" s="11">
        <f t="shared" si="1"/>
        <v>19568</v>
      </c>
      <c r="K52" s="12" t="e">
        <f>VLOOKUP(A52,[5]VA05!$A:$K,11,FALSE)</f>
        <v>#N/A</v>
      </c>
      <c r="L52" s="10" t="s">
        <v>239</v>
      </c>
      <c r="M52" s="10" t="s">
        <v>72</v>
      </c>
    </row>
    <row r="53" spans="1:13" x14ac:dyDescent="0.25">
      <c r="A53" s="13" t="str">
        <f t="shared" si="0"/>
        <v>50714242430</v>
      </c>
      <c r="B53" s="10">
        <v>1004019564</v>
      </c>
      <c r="C53" s="10">
        <v>507142424</v>
      </c>
      <c r="D53" s="10">
        <v>30</v>
      </c>
      <c r="E53" s="10" t="s">
        <v>10</v>
      </c>
      <c r="F53" s="10">
        <v>1212320</v>
      </c>
      <c r="G53" s="10" t="s">
        <v>17</v>
      </c>
      <c r="H53" s="11">
        <v>19568</v>
      </c>
      <c r="I53" s="10">
        <v>0</v>
      </c>
      <c r="J53" s="11">
        <f t="shared" si="1"/>
        <v>19568</v>
      </c>
      <c r="K53" s="12" t="e">
        <f>VLOOKUP(A53,[5]VA05!$A:$K,11,FALSE)</f>
        <v>#N/A</v>
      </c>
      <c r="L53" s="10" t="s">
        <v>13</v>
      </c>
      <c r="M53" s="10" t="s">
        <v>69</v>
      </c>
    </row>
    <row r="54" spans="1:13" x14ac:dyDescent="0.25">
      <c r="A54" s="13" t="str">
        <f t="shared" si="0"/>
        <v>50714242450</v>
      </c>
      <c r="B54" s="10">
        <v>1004019566</v>
      </c>
      <c r="C54" s="10">
        <v>507142424</v>
      </c>
      <c r="D54" s="10">
        <v>50</v>
      </c>
      <c r="E54" s="10" t="s">
        <v>10</v>
      </c>
      <c r="F54" s="10">
        <v>1212320</v>
      </c>
      <c r="G54" s="10" t="s">
        <v>17</v>
      </c>
      <c r="H54" s="11">
        <v>30725</v>
      </c>
      <c r="I54" s="10">
        <v>0</v>
      </c>
      <c r="J54" s="11">
        <f t="shared" si="1"/>
        <v>30725</v>
      </c>
      <c r="K54" s="12" t="e">
        <f>VLOOKUP(A54,[5]VA05!$A:$K,11,FALSE)</f>
        <v>#N/A</v>
      </c>
      <c r="L54" s="10" t="s">
        <v>13</v>
      </c>
      <c r="M54" s="10" t="s">
        <v>73</v>
      </c>
    </row>
    <row r="55" spans="1:13" x14ac:dyDescent="0.25">
      <c r="A55" s="13" t="str">
        <f t="shared" si="0"/>
        <v>50714285120</v>
      </c>
      <c r="B55" s="10">
        <v>1004062192</v>
      </c>
      <c r="C55" s="10">
        <v>507142851</v>
      </c>
      <c r="D55" s="10">
        <v>20</v>
      </c>
      <c r="E55" s="10" t="s">
        <v>10</v>
      </c>
      <c r="F55" s="10">
        <v>1437172</v>
      </c>
      <c r="G55" s="10" t="s">
        <v>123</v>
      </c>
      <c r="H55" s="11">
        <v>35874</v>
      </c>
      <c r="I55" s="11">
        <v>30512</v>
      </c>
      <c r="J55" s="11">
        <f t="shared" si="1"/>
        <v>5362</v>
      </c>
      <c r="K55" s="12">
        <f>VLOOKUP(A55,[5]VA05!$A:$K,11,FALSE)</f>
        <v>45593</v>
      </c>
      <c r="L55" s="10" t="s">
        <v>18</v>
      </c>
      <c r="M55" s="10" t="s">
        <v>199</v>
      </c>
    </row>
    <row r="56" spans="1:13" x14ac:dyDescent="0.25">
      <c r="A56" s="13" t="str">
        <f t="shared" si="0"/>
        <v>50714274250</v>
      </c>
      <c r="B56" s="10">
        <v>1004064319</v>
      </c>
      <c r="C56" s="10">
        <v>507142742</v>
      </c>
      <c r="D56" s="10">
        <v>50</v>
      </c>
      <c r="E56" s="10" t="s">
        <v>10</v>
      </c>
      <c r="F56" s="10">
        <v>1437172</v>
      </c>
      <c r="G56" s="10" t="s">
        <v>123</v>
      </c>
      <c r="H56" s="11">
        <v>35874</v>
      </c>
      <c r="I56" s="10">
        <v>0</v>
      </c>
      <c r="J56" s="11">
        <f t="shared" si="1"/>
        <v>35874</v>
      </c>
      <c r="K56" s="12">
        <f>VLOOKUP(A56,[5]VA05!$A:$K,11,FALSE)</f>
        <v>45580</v>
      </c>
      <c r="L56" s="10" t="s">
        <v>12</v>
      </c>
      <c r="M56" s="10" t="s">
        <v>157</v>
      </c>
    </row>
    <row r="57" spans="1:13" x14ac:dyDescent="0.25">
      <c r="A57" s="13" t="str">
        <f t="shared" si="0"/>
        <v>50900099220</v>
      </c>
      <c r="B57" s="10">
        <v>1004016985</v>
      </c>
      <c r="C57" s="10">
        <v>509000992</v>
      </c>
      <c r="D57" s="10">
        <v>20</v>
      </c>
      <c r="E57" s="10" t="s">
        <v>10</v>
      </c>
      <c r="F57" s="10">
        <v>1279713</v>
      </c>
      <c r="G57" s="10" t="s">
        <v>55</v>
      </c>
      <c r="H57" s="11">
        <v>10299</v>
      </c>
      <c r="I57" s="10">
        <v>0</v>
      </c>
      <c r="J57" s="11">
        <f t="shared" si="1"/>
        <v>10299</v>
      </c>
      <c r="K57" s="12" t="e">
        <f>VLOOKUP(A57,[5]VA05!$A:$K,11,FALSE)</f>
        <v>#N/A</v>
      </c>
      <c r="L57" s="10" t="s">
        <v>13</v>
      </c>
      <c r="M57" s="10" t="s">
        <v>58</v>
      </c>
    </row>
    <row r="58" spans="1:13" x14ac:dyDescent="0.25">
      <c r="A58" s="13" t="str">
        <f t="shared" si="0"/>
        <v>50900099320</v>
      </c>
      <c r="B58" s="10">
        <v>1004016986</v>
      </c>
      <c r="C58" s="10">
        <v>509000993</v>
      </c>
      <c r="D58" s="10">
        <v>20</v>
      </c>
      <c r="E58" s="10" t="s">
        <v>10</v>
      </c>
      <c r="F58" s="10">
        <v>1279713</v>
      </c>
      <c r="G58" s="10" t="s">
        <v>55</v>
      </c>
      <c r="H58" s="11">
        <v>3262</v>
      </c>
      <c r="I58" s="10">
        <v>0</v>
      </c>
      <c r="J58" s="11">
        <f t="shared" si="1"/>
        <v>3262</v>
      </c>
      <c r="K58" s="12" t="e">
        <f>VLOOKUP(A58,[5]VA05!$A:$K,11,FALSE)</f>
        <v>#N/A</v>
      </c>
      <c r="L58" s="10" t="s">
        <v>12</v>
      </c>
      <c r="M58" s="10" t="s">
        <v>50</v>
      </c>
    </row>
    <row r="59" spans="1:13" x14ac:dyDescent="0.25">
      <c r="A59" s="13" t="str">
        <f t="shared" si="0"/>
        <v>50714274270</v>
      </c>
      <c r="B59" s="10">
        <v>1004052425</v>
      </c>
      <c r="C59" s="10">
        <v>507142742</v>
      </c>
      <c r="D59" s="10">
        <v>70</v>
      </c>
      <c r="E59" s="10" t="s">
        <v>10</v>
      </c>
      <c r="F59" s="10">
        <v>1209336</v>
      </c>
      <c r="G59" s="10" t="s">
        <v>124</v>
      </c>
      <c r="H59" s="11">
        <v>25576</v>
      </c>
      <c r="I59" s="11">
        <v>22160</v>
      </c>
      <c r="J59" s="11">
        <f t="shared" si="1"/>
        <v>3416</v>
      </c>
      <c r="K59" s="12">
        <f>VLOOKUP(A59,[5]VA05!$A:$K,11,FALSE)</f>
        <v>45587</v>
      </c>
      <c r="L59" s="10" t="s">
        <v>18</v>
      </c>
      <c r="M59" s="10" t="s">
        <v>199</v>
      </c>
    </row>
    <row r="60" spans="1:13" x14ac:dyDescent="0.25">
      <c r="A60" s="13" t="str">
        <f t="shared" si="0"/>
        <v>507142742100</v>
      </c>
      <c r="B60" s="10">
        <v>1004052426</v>
      </c>
      <c r="C60" s="10">
        <v>507142742</v>
      </c>
      <c r="D60" s="10">
        <v>100</v>
      </c>
      <c r="E60" s="10" t="s">
        <v>10</v>
      </c>
      <c r="F60" s="10">
        <v>1209336</v>
      </c>
      <c r="G60" s="10" t="s">
        <v>124</v>
      </c>
      <c r="H60" s="11">
        <v>25576</v>
      </c>
      <c r="I60" s="10">
        <v>0</v>
      </c>
      <c r="J60" s="11">
        <f t="shared" si="1"/>
        <v>25576</v>
      </c>
      <c r="K60" s="12" t="e">
        <f>VLOOKUP(A60,[5]VA05!$A:$K,11,FALSE)</f>
        <v>#N/A</v>
      </c>
      <c r="L60" s="10" t="s">
        <v>12</v>
      </c>
      <c r="M60" s="10" t="s">
        <v>200</v>
      </c>
    </row>
    <row r="61" spans="1:13" x14ac:dyDescent="0.25">
      <c r="A61" s="13" t="str">
        <f t="shared" si="0"/>
        <v>50714285110</v>
      </c>
      <c r="B61" s="10">
        <v>1004064146</v>
      </c>
      <c r="C61" s="10">
        <v>507142851</v>
      </c>
      <c r="D61" s="10">
        <v>10</v>
      </c>
      <c r="E61" s="10" t="s">
        <v>10</v>
      </c>
      <c r="F61" s="10">
        <v>1209336</v>
      </c>
      <c r="G61" s="10" t="s">
        <v>124</v>
      </c>
      <c r="H61" s="11">
        <v>35874</v>
      </c>
      <c r="I61" s="10">
        <v>0</v>
      </c>
      <c r="J61" s="11">
        <f t="shared" si="1"/>
        <v>35874</v>
      </c>
      <c r="K61" s="12">
        <f>VLOOKUP(A61,[5]VA05!$A:$K,11,FALSE)</f>
        <v>45593</v>
      </c>
      <c r="L61" s="10" t="s">
        <v>12</v>
      </c>
      <c r="M61" s="10" t="s">
        <v>192</v>
      </c>
    </row>
    <row r="62" spans="1:13" x14ac:dyDescent="0.25">
      <c r="A62" s="13" t="str">
        <f t="shared" si="0"/>
        <v>50714285140</v>
      </c>
      <c r="B62" s="10">
        <v>1004064317</v>
      </c>
      <c r="C62" s="10">
        <v>507142851</v>
      </c>
      <c r="D62" s="10">
        <v>40</v>
      </c>
      <c r="E62" s="10" t="s">
        <v>10</v>
      </c>
      <c r="F62" s="10">
        <v>1209336</v>
      </c>
      <c r="G62" s="10" t="s">
        <v>124</v>
      </c>
      <c r="H62" s="11">
        <v>35874</v>
      </c>
      <c r="I62" s="10">
        <v>0</v>
      </c>
      <c r="J62" s="11">
        <f t="shared" si="1"/>
        <v>35874</v>
      </c>
      <c r="K62" s="12">
        <f>VLOOKUP(A62,[5]VA05!$A:$K,11,FALSE)</f>
        <v>45601</v>
      </c>
      <c r="L62" s="10" t="s">
        <v>12</v>
      </c>
      <c r="M62" s="10" t="s">
        <v>176</v>
      </c>
    </row>
    <row r="63" spans="1:13" x14ac:dyDescent="0.25">
      <c r="A63" s="13" t="str">
        <f t="shared" si="0"/>
        <v>50714285170</v>
      </c>
      <c r="B63" s="10">
        <v>1004064318</v>
      </c>
      <c r="C63" s="10">
        <v>507142851</v>
      </c>
      <c r="D63" s="10">
        <v>70</v>
      </c>
      <c r="E63" s="10" t="s">
        <v>10</v>
      </c>
      <c r="F63" s="10">
        <v>1209336</v>
      </c>
      <c r="G63" s="10" t="s">
        <v>124</v>
      </c>
      <c r="H63" s="11">
        <v>30553</v>
      </c>
      <c r="I63" s="10">
        <v>0</v>
      </c>
      <c r="J63" s="11">
        <f t="shared" si="1"/>
        <v>30553</v>
      </c>
      <c r="K63" s="12">
        <f>VLOOKUP(A63,[5]VA05!$A:$K,11,FALSE)</f>
        <v>45608</v>
      </c>
      <c r="L63" s="10" t="s">
        <v>12</v>
      </c>
      <c r="M63" s="10" t="s">
        <v>302</v>
      </c>
    </row>
    <row r="64" spans="1:13" x14ac:dyDescent="0.25">
      <c r="A64" s="13" t="str">
        <f t="shared" si="0"/>
        <v>50714246960</v>
      </c>
      <c r="B64" s="10">
        <v>1004016982</v>
      </c>
      <c r="C64" s="10">
        <v>507142469</v>
      </c>
      <c r="D64" s="10">
        <v>60</v>
      </c>
      <c r="E64" s="10" t="s">
        <v>10</v>
      </c>
      <c r="F64" s="10">
        <v>1212321</v>
      </c>
      <c r="G64" s="10" t="s">
        <v>30</v>
      </c>
      <c r="H64" s="11">
        <v>71577</v>
      </c>
      <c r="I64" s="11">
        <v>8540</v>
      </c>
      <c r="J64" s="11">
        <f t="shared" si="1"/>
        <v>63037</v>
      </c>
      <c r="K64" s="12" t="e">
        <f>VLOOKUP(A64,[5]VA05!$A:$K,11,FALSE)</f>
        <v>#N/A</v>
      </c>
      <c r="L64" s="10" t="s">
        <v>18</v>
      </c>
      <c r="M64" s="10" t="s">
        <v>49</v>
      </c>
    </row>
    <row r="65" spans="1:13" hidden="1" x14ac:dyDescent="0.25">
      <c r="A65" s="13" t="str">
        <f t="shared" si="0"/>
        <v>50714274260</v>
      </c>
      <c r="B65" s="10">
        <v>1004052422</v>
      </c>
      <c r="C65" s="10">
        <v>507142742</v>
      </c>
      <c r="D65" s="10">
        <v>60</v>
      </c>
      <c r="E65" s="10" t="s">
        <v>10</v>
      </c>
      <c r="F65" s="10">
        <v>1209347</v>
      </c>
      <c r="G65" s="10" t="s">
        <v>136</v>
      </c>
      <c r="H65" s="11">
        <v>25576</v>
      </c>
      <c r="I65" s="11">
        <v>25576</v>
      </c>
      <c r="J65" s="11">
        <f t="shared" si="1"/>
        <v>0</v>
      </c>
      <c r="K65" s="12">
        <f>VLOOKUP(A65,[5]VA05!$A:$K,11,FALSE)</f>
        <v>45580</v>
      </c>
      <c r="L65" s="10" t="s">
        <v>113</v>
      </c>
      <c r="M65" s="10" t="s">
        <v>192</v>
      </c>
    </row>
    <row r="66" spans="1:13" x14ac:dyDescent="0.25">
      <c r="A66" s="13" t="str">
        <f t="shared" si="0"/>
        <v>507142742120</v>
      </c>
      <c r="B66" s="10">
        <v>1004052424</v>
      </c>
      <c r="C66" s="10">
        <v>507142742</v>
      </c>
      <c r="D66" s="10">
        <v>120</v>
      </c>
      <c r="E66" s="10" t="s">
        <v>10</v>
      </c>
      <c r="F66" s="10">
        <v>1209347</v>
      </c>
      <c r="G66" s="10" t="s">
        <v>136</v>
      </c>
      <c r="H66" s="11">
        <v>25576</v>
      </c>
      <c r="I66" s="11">
        <v>24900</v>
      </c>
      <c r="J66" s="11">
        <f t="shared" si="1"/>
        <v>676</v>
      </c>
      <c r="K66" s="12" t="e">
        <f>VLOOKUP(A66,[5]VA05!$A:$K,11,FALSE)</f>
        <v>#N/A</v>
      </c>
      <c r="L66" s="10" t="s">
        <v>18</v>
      </c>
      <c r="M66" s="10" t="s">
        <v>198</v>
      </c>
    </row>
    <row r="67" spans="1:13" x14ac:dyDescent="0.25">
      <c r="A67" s="13" t="str">
        <f t="shared" si="0"/>
        <v>50714285130</v>
      </c>
      <c r="B67" s="10">
        <v>1004064316</v>
      </c>
      <c r="C67" s="10">
        <v>507142851</v>
      </c>
      <c r="D67" s="10">
        <v>30</v>
      </c>
      <c r="E67" s="10" t="s">
        <v>10</v>
      </c>
      <c r="F67" s="10">
        <v>1209347</v>
      </c>
      <c r="G67" s="10" t="s">
        <v>136</v>
      </c>
      <c r="H67" s="11">
        <v>35874</v>
      </c>
      <c r="I67" s="10">
        <v>0</v>
      </c>
      <c r="J67" s="11">
        <f t="shared" si="1"/>
        <v>35874</v>
      </c>
      <c r="K67" s="12">
        <f>VLOOKUP(A67,[5]VA05!$A:$K,11,FALSE)</f>
        <v>45593</v>
      </c>
      <c r="L67" s="10" t="s">
        <v>12</v>
      </c>
      <c r="M67" s="10" t="s">
        <v>199</v>
      </c>
    </row>
    <row r="68" spans="1:13" hidden="1" x14ac:dyDescent="0.25">
      <c r="A68" s="13" t="str">
        <f t="shared" ref="A68:A131" si="2">C68&amp;D68</f>
        <v>50714273920</v>
      </c>
      <c r="B68" s="10">
        <v>1004051714</v>
      </c>
      <c r="C68" s="10">
        <v>507142739</v>
      </c>
      <c r="D68" s="10">
        <v>20</v>
      </c>
      <c r="E68" s="10" t="s">
        <v>10</v>
      </c>
      <c r="F68" s="10">
        <v>1409882</v>
      </c>
      <c r="G68" s="10" t="s">
        <v>39</v>
      </c>
      <c r="H68" s="11">
        <v>51460</v>
      </c>
      <c r="I68" s="11">
        <v>51460</v>
      </c>
      <c r="J68" s="11">
        <f t="shared" ref="J68:J131" si="3">H68-I68</f>
        <v>0</v>
      </c>
      <c r="K68" s="12">
        <f>VLOOKUP(A68,[5]VA05!$A:$K,11,FALSE)</f>
        <v>45573</v>
      </c>
      <c r="L68" s="10" t="s">
        <v>232</v>
      </c>
      <c r="M68" s="10" t="s">
        <v>202</v>
      </c>
    </row>
    <row r="69" spans="1:13" x14ac:dyDescent="0.25">
      <c r="A69" s="13" t="str">
        <f t="shared" si="2"/>
        <v>50714273930</v>
      </c>
      <c r="B69" s="10">
        <v>1004062039</v>
      </c>
      <c r="C69" s="10">
        <v>507142739</v>
      </c>
      <c r="D69" s="10">
        <v>30</v>
      </c>
      <c r="E69" s="10" t="s">
        <v>10</v>
      </c>
      <c r="F69" s="10">
        <v>1409882</v>
      </c>
      <c r="G69" s="10" t="s">
        <v>39</v>
      </c>
      <c r="H69" s="11">
        <v>28729</v>
      </c>
      <c r="I69" s="11">
        <v>7750</v>
      </c>
      <c r="J69" s="11">
        <f t="shared" si="3"/>
        <v>20979</v>
      </c>
      <c r="K69" s="12">
        <f>VLOOKUP(A69,[5]VA05!$A:$K,11,FALSE)</f>
        <v>45580</v>
      </c>
      <c r="L69" s="10" t="s">
        <v>18</v>
      </c>
      <c r="M69" s="10" t="s">
        <v>192</v>
      </c>
    </row>
    <row r="70" spans="1:13" x14ac:dyDescent="0.25">
      <c r="A70" s="13" t="str">
        <f t="shared" si="2"/>
        <v>50714278010</v>
      </c>
      <c r="B70" s="10">
        <v>1004062040</v>
      </c>
      <c r="C70" s="10">
        <v>507142780</v>
      </c>
      <c r="D70" s="10">
        <v>10</v>
      </c>
      <c r="E70" s="10" t="s">
        <v>10</v>
      </c>
      <c r="F70" s="10">
        <v>1409882</v>
      </c>
      <c r="G70" s="10" t="s">
        <v>39</v>
      </c>
      <c r="H70" s="11">
        <v>32518</v>
      </c>
      <c r="I70" s="10">
        <v>0</v>
      </c>
      <c r="J70" s="11">
        <f t="shared" si="3"/>
        <v>32518</v>
      </c>
      <c r="K70" s="12">
        <f>VLOOKUP(A70,[5]VA05!$A:$K,11,FALSE)</f>
        <v>45580</v>
      </c>
      <c r="L70" s="10" t="s">
        <v>12</v>
      </c>
      <c r="M70" s="10" t="s">
        <v>162</v>
      </c>
    </row>
    <row r="71" spans="1:13" x14ac:dyDescent="0.25">
      <c r="A71" s="13" t="str">
        <f t="shared" si="2"/>
        <v>50714278020</v>
      </c>
      <c r="B71" s="10">
        <v>1004064147</v>
      </c>
      <c r="C71" s="10">
        <v>507142780</v>
      </c>
      <c r="D71" s="10">
        <v>20</v>
      </c>
      <c r="E71" s="10" t="s">
        <v>10</v>
      </c>
      <c r="F71" s="10">
        <v>1409882</v>
      </c>
      <c r="G71" s="10" t="s">
        <v>39</v>
      </c>
      <c r="H71" s="11">
        <v>51460</v>
      </c>
      <c r="I71" s="10">
        <v>0</v>
      </c>
      <c r="J71" s="11">
        <f t="shared" si="3"/>
        <v>51460</v>
      </c>
      <c r="K71" s="12">
        <f>VLOOKUP(A71,[5]VA05!$A:$K,11,FALSE)</f>
        <v>45587</v>
      </c>
      <c r="L71" s="10" t="s">
        <v>12</v>
      </c>
      <c r="M71" s="10" t="s">
        <v>179</v>
      </c>
    </row>
    <row r="72" spans="1:13" x14ac:dyDescent="0.25">
      <c r="A72" s="13" t="str">
        <f t="shared" si="2"/>
        <v>50714278030</v>
      </c>
      <c r="B72" s="10">
        <v>1004064148</v>
      </c>
      <c r="C72" s="10">
        <v>507142780</v>
      </c>
      <c r="D72" s="10">
        <v>30</v>
      </c>
      <c r="E72" s="10" t="s">
        <v>10</v>
      </c>
      <c r="F72" s="10">
        <v>1409882</v>
      </c>
      <c r="G72" s="10" t="s">
        <v>39</v>
      </c>
      <c r="H72" s="11">
        <v>18627</v>
      </c>
      <c r="I72" s="10">
        <v>0</v>
      </c>
      <c r="J72" s="11">
        <f t="shared" si="3"/>
        <v>18627</v>
      </c>
      <c r="K72" s="12">
        <f>VLOOKUP(A72,[5]VA05!$A:$K,11,FALSE)</f>
        <v>45594</v>
      </c>
      <c r="L72" s="10" t="s">
        <v>12</v>
      </c>
      <c r="M72" s="10" t="s">
        <v>176</v>
      </c>
    </row>
    <row r="73" spans="1:13" x14ac:dyDescent="0.25">
      <c r="A73" s="13" t="str">
        <f t="shared" si="2"/>
        <v>50714283210</v>
      </c>
      <c r="B73" s="10">
        <v>1004064309</v>
      </c>
      <c r="C73" s="10">
        <v>507142832</v>
      </c>
      <c r="D73" s="10">
        <v>10</v>
      </c>
      <c r="E73" s="10" t="s">
        <v>10</v>
      </c>
      <c r="F73" s="10">
        <v>1409882</v>
      </c>
      <c r="G73" s="10" t="s">
        <v>39</v>
      </c>
      <c r="H73" s="11">
        <v>51460</v>
      </c>
      <c r="I73" s="10">
        <v>0</v>
      </c>
      <c r="J73" s="11">
        <f t="shared" si="3"/>
        <v>51460</v>
      </c>
      <c r="K73" s="12">
        <f>VLOOKUP(A73,[5]VA05!$A:$K,11,FALSE)</f>
        <v>45595</v>
      </c>
      <c r="L73" s="10" t="s">
        <v>12</v>
      </c>
      <c r="M73" s="10" t="s">
        <v>157</v>
      </c>
    </row>
    <row r="74" spans="1:13" x14ac:dyDescent="0.25">
      <c r="A74" s="13" t="str">
        <f t="shared" si="2"/>
        <v>50714273920</v>
      </c>
      <c r="B74" s="10">
        <v>1004056941</v>
      </c>
      <c r="C74" s="10">
        <v>507142739</v>
      </c>
      <c r="D74" s="10">
        <v>20</v>
      </c>
      <c r="E74" s="10" t="s">
        <v>10</v>
      </c>
      <c r="F74" s="10">
        <v>1409883</v>
      </c>
      <c r="G74" s="10" t="s">
        <v>40</v>
      </c>
      <c r="H74" s="11">
        <v>54066</v>
      </c>
      <c r="I74" s="11">
        <v>45078</v>
      </c>
      <c r="J74" s="11">
        <f t="shared" si="3"/>
        <v>8988</v>
      </c>
      <c r="K74" s="12">
        <f>VLOOKUP(A74,[5]VA05!$A:$K,11,FALSE)</f>
        <v>45573</v>
      </c>
      <c r="L74" s="10" t="s">
        <v>11</v>
      </c>
      <c r="M74" s="10" t="s">
        <v>194</v>
      </c>
    </row>
    <row r="75" spans="1:13" x14ac:dyDescent="0.25">
      <c r="A75" s="13" t="str">
        <f t="shared" si="2"/>
        <v>50714273930</v>
      </c>
      <c r="B75" s="10">
        <v>1004057977</v>
      </c>
      <c r="C75" s="10">
        <v>507142739</v>
      </c>
      <c r="D75" s="10">
        <v>30</v>
      </c>
      <c r="E75" s="10" t="s">
        <v>10</v>
      </c>
      <c r="F75" s="10">
        <v>1409883</v>
      </c>
      <c r="G75" s="10" t="s">
        <v>40</v>
      </c>
      <c r="H75" s="11">
        <v>30185</v>
      </c>
      <c r="I75" s="10">
        <v>0</v>
      </c>
      <c r="J75" s="11">
        <f t="shared" si="3"/>
        <v>30185</v>
      </c>
      <c r="K75" s="12">
        <f>VLOOKUP(A75,[5]VA05!$A:$K,11,FALSE)</f>
        <v>45580</v>
      </c>
      <c r="L75" s="10" t="s">
        <v>119</v>
      </c>
      <c r="M75" s="10" t="s">
        <v>155</v>
      </c>
    </row>
    <row r="76" spans="1:13" x14ac:dyDescent="0.25">
      <c r="A76" s="13" t="str">
        <f t="shared" si="2"/>
        <v>50714278010</v>
      </c>
      <c r="B76" s="10">
        <v>1004058757</v>
      </c>
      <c r="C76" s="10">
        <v>507142780</v>
      </c>
      <c r="D76" s="10">
        <v>10</v>
      </c>
      <c r="E76" s="10" t="s">
        <v>10</v>
      </c>
      <c r="F76" s="10">
        <v>1409883</v>
      </c>
      <c r="G76" s="10" t="s">
        <v>40</v>
      </c>
      <c r="H76" s="11">
        <v>34165</v>
      </c>
      <c r="I76" s="10">
        <v>0</v>
      </c>
      <c r="J76" s="11">
        <f t="shared" si="3"/>
        <v>34165</v>
      </c>
      <c r="K76" s="12">
        <f>VLOOKUP(A76,[5]VA05!$A:$K,11,FALSE)</f>
        <v>45580</v>
      </c>
      <c r="L76" s="10" t="s">
        <v>12</v>
      </c>
      <c r="M76" s="10" t="s">
        <v>195</v>
      </c>
    </row>
    <row r="77" spans="1:13" x14ac:dyDescent="0.25">
      <c r="A77" s="13" t="str">
        <f t="shared" si="2"/>
        <v>50714278020</v>
      </c>
      <c r="B77" s="10">
        <v>1004058758</v>
      </c>
      <c r="C77" s="10">
        <v>507142780</v>
      </c>
      <c r="D77" s="10">
        <v>20</v>
      </c>
      <c r="E77" s="10" t="s">
        <v>10</v>
      </c>
      <c r="F77" s="10">
        <v>1409883</v>
      </c>
      <c r="G77" s="10" t="s">
        <v>40</v>
      </c>
      <c r="H77" s="11">
        <v>54066</v>
      </c>
      <c r="I77" s="10">
        <v>0</v>
      </c>
      <c r="J77" s="11">
        <f t="shared" si="3"/>
        <v>54066</v>
      </c>
      <c r="K77" s="12">
        <f>VLOOKUP(A77,[5]VA05!$A:$K,11,FALSE)</f>
        <v>45587</v>
      </c>
      <c r="L77" s="10" t="s">
        <v>12</v>
      </c>
      <c r="M77" s="10" t="s">
        <v>195</v>
      </c>
    </row>
    <row r="78" spans="1:13" x14ac:dyDescent="0.25">
      <c r="A78" s="13" t="str">
        <f t="shared" si="2"/>
        <v>50714278030</v>
      </c>
      <c r="B78" s="10">
        <v>1004058759</v>
      </c>
      <c r="C78" s="10">
        <v>507142780</v>
      </c>
      <c r="D78" s="10">
        <v>30</v>
      </c>
      <c r="E78" s="10" t="s">
        <v>10</v>
      </c>
      <c r="F78" s="10">
        <v>1409883</v>
      </c>
      <c r="G78" s="10" t="s">
        <v>40</v>
      </c>
      <c r="H78" s="11">
        <v>19571</v>
      </c>
      <c r="I78" s="10">
        <v>0</v>
      </c>
      <c r="J78" s="11">
        <f t="shared" si="3"/>
        <v>19571</v>
      </c>
      <c r="K78" s="12">
        <f>VLOOKUP(A78,[5]VA05!$A:$K,11,FALSE)</f>
        <v>45594</v>
      </c>
      <c r="L78" s="10" t="s">
        <v>12</v>
      </c>
      <c r="M78" s="10" t="s">
        <v>192</v>
      </c>
    </row>
    <row r="79" spans="1:13" x14ac:dyDescent="0.25">
      <c r="A79" s="13" t="str">
        <f t="shared" si="2"/>
        <v>50714276540</v>
      </c>
      <c r="B79" s="10">
        <v>1004052528</v>
      </c>
      <c r="C79" s="10">
        <v>507142765</v>
      </c>
      <c r="D79" s="10">
        <v>40</v>
      </c>
      <c r="E79" s="10" t="s">
        <v>10</v>
      </c>
      <c r="F79" s="10">
        <v>1398384</v>
      </c>
      <c r="G79" s="10" t="s">
        <v>168</v>
      </c>
      <c r="H79" s="11">
        <v>35078</v>
      </c>
      <c r="I79" s="11">
        <v>2050</v>
      </c>
      <c r="J79" s="11">
        <f t="shared" si="3"/>
        <v>33028</v>
      </c>
      <c r="K79" s="12">
        <f>VLOOKUP(A79,[5]VA05!$A:$K,11,FALSE)</f>
        <v>45576</v>
      </c>
      <c r="L79" s="10" t="s">
        <v>18</v>
      </c>
      <c r="M79" s="10" t="s">
        <v>177</v>
      </c>
    </row>
    <row r="80" spans="1:13" x14ac:dyDescent="0.25">
      <c r="A80" s="13" t="str">
        <f t="shared" si="2"/>
        <v>50714276550</v>
      </c>
      <c r="B80" s="10">
        <v>1004052529</v>
      </c>
      <c r="C80" s="10">
        <v>507142765</v>
      </c>
      <c r="D80" s="10">
        <v>50</v>
      </c>
      <c r="E80" s="10" t="s">
        <v>10</v>
      </c>
      <c r="F80" s="10">
        <v>1398384</v>
      </c>
      <c r="G80" s="10" t="s">
        <v>168</v>
      </c>
      <c r="H80" s="11">
        <v>45412</v>
      </c>
      <c r="I80" s="10">
        <v>0</v>
      </c>
      <c r="J80" s="11">
        <f t="shared" si="3"/>
        <v>45412</v>
      </c>
      <c r="K80" s="12">
        <f>VLOOKUP(A80,[5]VA05!$A:$K,11,FALSE)</f>
        <v>45583</v>
      </c>
      <c r="L80" s="10" t="s">
        <v>12</v>
      </c>
      <c r="M80" s="10" t="s">
        <v>194</v>
      </c>
    </row>
    <row r="81" spans="1:13" x14ac:dyDescent="0.25">
      <c r="A81" s="13" t="str">
        <f t="shared" si="2"/>
        <v>50714276560</v>
      </c>
      <c r="B81" s="10">
        <v>1004052530</v>
      </c>
      <c r="C81" s="10">
        <v>507142765</v>
      </c>
      <c r="D81" s="10">
        <v>60</v>
      </c>
      <c r="E81" s="10" t="s">
        <v>10</v>
      </c>
      <c r="F81" s="10">
        <v>1398384</v>
      </c>
      <c r="G81" s="10" t="s">
        <v>168</v>
      </c>
      <c r="H81" s="11">
        <v>45412</v>
      </c>
      <c r="I81" s="10">
        <v>0</v>
      </c>
      <c r="J81" s="11">
        <f t="shared" si="3"/>
        <v>45412</v>
      </c>
      <c r="K81" s="12">
        <f>VLOOKUP(A81,[5]VA05!$A:$K,11,FALSE)</f>
        <v>45590</v>
      </c>
      <c r="L81" s="10" t="s">
        <v>12</v>
      </c>
      <c r="M81" s="10" t="s">
        <v>179</v>
      </c>
    </row>
    <row r="82" spans="1:13" x14ac:dyDescent="0.25">
      <c r="A82" s="13" t="str">
        <f t="shared" si="2"/>
        <v>50714276530</v>
      </c>
      <c r="B82" s="10">
        <v>1004052534</v>
      </c>
      <c r="C82" s="10">
        <v>507142765</v>
      </c>
      <c r="D82" s="10">
        <v>30</v>
      </c>
      <c r="E82" s="10" t="s">
        <v>10</v>
      </c>
      <c r="F82" s="10">
        <v>1398385</v>
      </c>
      <c r="G82" s="10" t="s">
        <v>183</v>
      </c>
      <c r="H82" s="11">
        <v>35852</v>
      </c>
      <c r="I82" s="11">
        <v>33872</v>
      </c>
      <c r="J82" s="11">
        <f t="shared" si="3"/>
        <v>1980</v>
      </c>
      <c r="K82" s="12">
        <f>VLOOKUP(A82,[5]VA05!$A:$K,11,FALSE)</f>
        <v>45569</v>
      </c>
      <c r="L82" s="10" t="s">
        <v>11</v>
      </c>
      <c r="M82" s="10" t="s">
        <v>179</v>
      </c>
    </row>
    <row r="83" spans="1:13" x14ac:dyDescent="0.25">
      <c r="A83" s="13" t="str">
        <f t="shared" si="2"/>
        <v>50714276540</v>
      </c>
      <c r="B83" s="10">
        <v>1004052535</v>
      </c>
      <c r="C83" s="10">
        <v>507142765</v>
      </c>
      <c r="D83" s="10">
        <v>40</v>
      </c>
      <c r="E83" s="10" t="s">
        <v>10</v>
      </c>
      <c r="F83" s="10">
        <v>1398385</v>
      </c>
      <c r="G83" s="10" t="s">
        <v>183</v>
      </c>
      <c r="H83" s="11">
        <v>36131</v>
      </c>
      <c r="I83" s="10">
        <v>0</v>
      </c>
      <c r="J83" s="11">
        <f t="shared" si="3"/>
        <v>36131</v>
      </c>
      <c r="K83" s="12">
        <f>VLOOKUP(A83,[5]VA05!$A:$K,11,FALSE)</f>
        <v>45576</v>
      </c>
      <c r="L83" s="10" t="s">
        <v>12</v>
      </c>
      <c r="M83" s="10" t="s">
        <v>180</v>
      </c>
    </row>
    <row r="84" spans="1:13" x14ac:dyDescent="0.25">
      <c r="A84" s="13" t="str">
        <f t="shared" si="2"/>
        <v>50714276550</v>
      </c>
      <c r="B84" s="10">
        <v>1004052536</v>
      </c>
      <c r="C84" s="10">
        <v>507142765</v>
      </c>
      <c r="D84" s="10">
        <v>50</v>
      </c>
      <c r="E84" s="10" t="s">
        <v>10</v>
      </c>
      <c r="F84" s="10">
        <v>1398385</v>
      </c>
      <c r="G84" s="10" t="s">
        <v>183</v>
      </c>
      <c r="H84" s="11">
        <v>46775</v>
      </c>
      <c r="I84" s="10">
        <v>0</v>
      </c>
      <c r="J84" s="11">
        <f t="shared" si="3"/>
        <v>46775</v>
      </c>
      <c r="K84" s="12">
        <f>VLOOKUP(A84,[5]VA05!$A:$K,11,FALSE)</f>
        <v>45583</v>
      </c>
      <c r="L84" s="10" t="s">
        <v>12</v>
      </c>
      <c r="M84" s="10" t="s">
        <v>201</v>
      </c>
    </row>
    <row r="85" spans="1:13" x14ac:dyDescent="0.25">
      <c r="A85" s="13" t="str">
        <f t="shared" si="2"/>
        <v>50714276560</v>
      </c>
      <c r="B85" s="10">
        <v>1004052537</v>
      </c>
      <c r="C85" s="10">
        <v>507142765</v>
      </c>
      <c r="D85" s="10">
        <v>60</v>
      </c>
      <c r="E85" s="10" t="s">
        <v>10</v>
      </c>
      <c r="F85" s="10">
        <v>1398385</v>
      </c>
      <c r="G85" s="10" t="s">
        <v>183</v>
      </c>
      <c r="H85" s="11">
        <v>46775</v>
      </c>
      <c r="I85" s="10">
        <v>0</v>
      </c>
      <c r="J85" s="11">
        <f t="shared" si="3"/>
        <v>46775</v>
      </c>
      <c r="K85" s="12">
        <f>VLOOKUP(A85,[5]VA05!$A:$K,11,FALSE)</f>
        <v>45590</v>
      </c>
      <c r="L85" s="10" t="s">
        <v>12</v>
      </c>
      <c r="M85" s="10" t="s">
        <v>178</v>
      </c>
    </row>
    <row r="86" spans="1:13" x14ac:dyDescent="0.25">
      <c r="A86" s="13" t="str">
        <f t="shared" si="2"/>
        <v>50714276540</v>
      </c>
      <c r="B86" s="10">
        <v>1004052541</v>
      </c>
      <c r="C86" s="10">
        <v>507142765</v>
      </c>
      <c r="D86" s="10">
        <v>40</v>
      </c>
      <c r="E86" s="10" t="s">
        <v>10</v>
      </c>
      <c r="F86" s="10">
        <v>1398386</v>
      </c>
      <c r="G86" s="10" t="s">
        <v>184</v>
      </c>
      <c r="H86" s="11">
        <v>31889</v>
      </c>
      <c r="I86" s="11">
        <v>15744</v>
      </c>
      <c r="J86" s="11">
        <f t="shared" si="3"/>
        <v>16145</v>
      </c>
      <c r="K86" s="12">
        <f>VLOOKUP(A86,[5]VA05!$A:$K,11,FALSE)</f>
        <v>45576</v>
      </c>
      <c r="L86" s="10" t="s">
        <v>18</v>
      </c>
      <c r="M86" s="10" t="s">
        <v>192</v>
      </c>
    </row>
    <row r="87" spans="1:13" x14ac:dyDescent="0.25">
      <c r="A87" s="13" t="str">
        <f t="shared" si="2"/>
        <v>50714276550</v>
      </c>
      <c r="B87" s="10">
        <v>1004052543</v>
      </c>
      <c r="C87" s="10">
        <v>507142765</v>
      </c>
      <c r="D87" s="10">
        <v>50</v>
      </c>
      <c r="E87" s="10" t="s">
        <v>10</v>
      </c>
      <c r="F87" s="10">
        <v>1398386</v>
      </c>
      <c r="G87" s="10" t="s">
        <v>184</v>
      </c>
      <c r="H87" s="11">
        <v>41283</v>
      </c>
      <c r="I87" s="10">
        <v>0</v>
      </c>
      <c r="J87" s="11">
        <f t="shared" si="3"/>
        <v>41283</v>
      </c>
      <c r="K87" s="12">
        <f>VLOOKUP(A87,[5]VA05!$A:$K,11,FALSE)</f>
        <v>45583</v>
      </c>
      <c r="L87" s="10" t="s">
        <v>12</v>
      </c>
      <c r="M87" s="10" t="s">
        <v>202</v>
      </c>
    </row>
    <row r="88" spans="1:13" x14ac:dyDescent="0.25">
      <c r="A88" s="13" t="str">
        <f t="shared" si="2"/>
        <v>50714276560</v>
      </c>
      <c r="B88" s="10">
        <v>1004052544</v>
      </c>
      <c r="C88" s="10">
        <v>507142765</v>
      </c>
      <c r="D88" s="10">
        <v>60</v>
      </c>
      <c r="E88" s="10" t="s">
        <v>10</v>
      </c>
      <c r="F88" s="10">
        <v>1398386</v>
      </c>
      <c r="G88" s="10" t="s">
        <v>184</v>
      </c>
      <c r="H88" s="11">
        <v>41283</v>
      </c>
      <c r="I88" s="10">
        <v>0</v>
      </c>
      <c r="J88" s="11">
        <f t="shared" si="3"/>
        <v>41283</v>
      </c>
      <c r="K88" s="12">
        <f>VLOOKUP(A88,[5]VA05!$A:$K,11,FALSE)</f>
        <v>45590</v>
      </c>
      <c r="L88" s="10" t="s">
        <v>12</v>
      </c>
      <c r="M88" s="10" t="s">
        <v>191</v>
      </c>
    </row>
    <row r="89" spans="1:13" x14ac:dyDescent="0.25">
      <c r="A89" s="13" t="str">
        <f t="shared" si="2"/>
        <v>50714276640</v>
      </c>
      <c r="B89" s="10">
        <v>1004064320</v>
      </c>
      <c r="C89" s="10">
        <v>507142766</v>
      </c>
      <c r="D89" s="10">
        <v>40</v>
      </c>
      <c r="E89" s="10" t="s">
        <v>10</v>
      </c>
      <c r="F89" s="10">
        <v>1398746</v>
      </c>
      <c r="G89" s="10" t="s">
        <v>213</v>
      </c>
      <c r="H89" s="11">
        <v>46405</v>
      </c>
      <c r="I89" s="11">
        <v>3664</v>
      </c>
      <c r="J89" s="11">
        <f t="shared" si="3"/>
        <v>42741</v>
      </c>
      <c r="K89" s="12">
        <f>VLOOKUP(A89,[5]VA05!$A:$K,11,FALSE)</f>
        <v>45604</v>
      </c>
      <c r="L89" s="10" t="s">
        <v>18</v>
      </c>
      <c r="M89" s="10" t="s">
        <v>193</v>
      </c>
    </row>
    <row r="90" spans="1:13" x14ac:dyDescent="0.25">
      <c r="A90" s="13" t="str">
        <f t="shared" si="2"/>
        <v>50714276630</v>
      </c>
      <c r="B90" s="10">
        <v>1004053435</v>
      </c>
      <c r="C90" s="10">
        <v>507142766</v>
      </c>
      <c r="D90" s="10">
        <v>30</v>
      </c>
      <c r="E90" s="10" t="s">
        <v>10</v>
      </c>
      <c r="F90" s="10">
        <v>1398747</v>
      </c>
      <c r="G90" s="10" t="s">
        <v>214</v>
      </c>
      <c r="H90" s="11">
        <v>31148</v>
      </c>
      <c r="I90" s="11">
        <v>22387</v>
      </c>
      <c r="J90" s="11">
        <f t="shared" si="3"/>
        <v>8761</v>
      </c>
      <c r="K90" s="12">
        <f>VLOOKUP(A90,[5]VA05!$A:$K,11,FALSE)</f>
        <v>45596</v>
      </c>
      <c r="L90" s="10" t="s">
        <v>18</v>
      </c>
      <c r="M90" s="10" t="s">
        <v>197</v>
      </c>
    </row>
    <row r="91" spans="1:13" x14ac:dyDescent="0.25">
      <c r="A91" s="13" t="str">
        <f t="shared" si="2"/>
        <v>50714283610</v>
      </c>
      <c r="B91" s="10">
        <v>1004058753</v>
      </c>
      <c r="C91" s="10">
        <v>507142836</v>
      </c>
      <c r="D91" s="10">
        <v>10</v>
      </c>
      <c r="E91" s="10" t="s">
        <v>10</v>
      </c>
      <c r="F91" s="10">
        <v>1152845</v>
      </c>
      <c r="G91" s="10" t="s">
        <v>185</v>
      </c>
      <c r="H91" s="11">
        <v>25821</v>
      </c>
      <c r="I91" s="11">
        <v>24550</v>
      </c>
      <c r="J91" s="11">
        <f t="shared" si="3"/>
        <v>1271</v>
      </c>
      <c r="K91" s="12">
        <f>VLOOKUP(A91,[5]VA05!$A:$K,11,FALSE)</f>
        <v>45588</v>
      </c>
      <c r="L91" s="10" t="s">
        <v>18</v>
      </c>
      <c r="M91" s="10" t="s">
        <v>216</v>
      </c>
    </row>
    <row r="92" spans="1:13" x14ac:dyDescent="0.25">
      <c r="A92" s="13" t="str">
        <f t="shared" si="2"/>
        <v>50714283610</v>
      </c>
      <c r="B92" s="10">
        <v>1004061401</v>
      </c>
      <c r="C92" s="10">
        <v>507142836</v>
      </c>
      <c r="D92" s="10">
        <v>10</v>
      </c>
      <c r="E92" s="10" t="s">
        <v>10</v>
      </c>
      <c r="F92" s="10">
        <v>1206292</v>
      </c>
      <c r="G92" s="10" t="s">
        <v>257</v>
      </c>
      <c r="H92" s="11">
        <v>29436</v>
      </c>
      <c r="I92" s="10">
        <v>0</v>
      </c>
      <c r="J92" s="11">
        <f t="shared" si="3"/>
        <v>29436</v>
      </c>
      <c r="K92" s="12">
        <f>VLOOKUP(A92,[5]VA05!$A:$K,11,FALSE)</f>
        <v>45588</v>
      </c>
      <c r="L92" s="10" t="s">
        <v>12</v>
      </c>
      <c r="M92" s="10" t="s">
        <v>157</v>
      </c>
    </row>
    <row r="93" spans="1:13" x14ac:dyDescent="0.25">
      <c r="A93" s="13" t="str">
        <f t="shared" si="2"/>
        <v>50714271310</v>
      </c>
      <c r="B93" s="10">
        <v>1004052555</v>
      </c>
      <c r="C93" s="10">
        <v>507142713</v>
      </c>
      <c r="D93" s="10">
        <v>10</v>
      </c>
      <c r="E93" s="10" t="s">
        <v>10</v>
      </c>
      <c r="F93" s="10">
        <v>1172472</v>
      </c>
      <c r="G93" s="10" t="s">
        <v>86</v>
      </c>
      <c r="H93" s="11">
        <v>10524</v>
      </c>
      <c r="I93" s="10">
        <v>246</v>
      </c>
      <c r="J93" s="11">
        <f t="shared" si="3"/>
        <v>10278</v>
      </c>
      <c r="K93" s="12">
        <f>VLOOKUP(A93,[5]VA05!$A:$K,11,FALSE)</f>
        <v>45591</v>
      </c>
      <c r="L93" s="10" t="s">
        <v>18</v>
      </c>
      <c r="M93" s="10" t="s">
        <v>203</v>
      </c>
    </row>
    <row r="94" spans="1:13" x14ac:dyDescent="0.25">
      <c r="A94" s="13" t="str">
        <f t="shared" si="2"/>
        <v>50714271340</v>
      </c>
      <c r="B94" s="10">
        <v>1004052556</v>
      </c>
      <c r="C94" s="10">
        <v>507142713</v>
      </c>
      <c r="D94" s="10">
        <v>40</v>
      </c>
      <c r="E94" s="10" t="s">
        <v>10</v>
      </c>
      <c r="F94" s="10">
        <v>1172472</v>
      </c>
      <c r="G94" s="10" t="s">
        <v>86</v>
      </c>
      <c r="H94" s="11">
        <v>10524</v>
      </c>
      <c r="I94" s="10">
        <v>0</v>
      </c>
      <c r="J94" s="11">
        <f t="shared" si="3"/>
        <v>10524</v>
      </c>
      <c r="K94" s="12">
        <f>VLOOKUP(A94,[5]VA05!$A:$K,11,FALSE)</f>
        <v>45591</v>
      </c>
      <c r="L94" s="10" t="s">
        <v>12</v>
      </c>
      <c r="M94" s="10" t="s">
        <v>203</v>
      </c>
    </row>
    <row r="95" spans="1:13" x14ac:dyDescent="0.25">
      <c r="A95" s="13" t="str">
        <f t="shared" si="2"/>
        <v>507142416190</v>
      </c>
      <c r="B95" s="10">
        <v>1004052561</v>
      </c>
      <c r="C95" s="10">
        <v>507142416</v>
      </c>
      <c r="D95" s="10">
        <v>190</v>
      </c>
      <c r="E95" s="10" t="s">
        <v>10</v>
      </c>
      <c r="F95" s="10">
        <v>1171177</v>
      </c>
      <c r="G95" s="10" t="s">
        <v>88</v>
      </c>
      <c r="H95" s="11">
        <v>10170</v>
      </c>
      <c r="I95" s="11">
        <v>7676</v>
      </c>
      <c r="J95" s="11">
        <f t="shared" si="3"/>
        <v>2494</v>
      </c>
      <c r="K95" s="12">
        <f>VLOOKUP(A95,[5]VA05!$A:$K,11,FALSE)</f>
        <v>45583</v>
      </c>
      <c r="L95" s="10" t="s">
        <v>18</v>
      </c>
      <c r="M95" s="10" t="s">
        <v>177</v>
      </c>
    </row>
    <row r="96" spans="1:13" x14ac:dyDescent="0.25">
      <c r="A96" s="13" t="str">
        <f t="shared" si="2"/>
        <v>507142416220</v>
      </c>
      <c r="B96" s="10">
        <v>1004052563</v>
      </c>
      <c r="C96" s="10">
        <v>507142416</v>
      </c>
      <c r="D96" s="10">
        <v>220</v>
      </c>
      <c r="E96" s="10" t="s">
        <v>10</v>
      </c>
      <c r="F96" s="10">
        <v>1171177</v>
      </c>
      <c r="G96" s="10" t="s">
        <v>88</v>
      </c>
      <c r="H96" s="11">
        <v>10170</v>
      </c>
      <c r="I96" s="10">
        <v>0</v>
      </c>
      <c r="J96" s="11">
        <f t="shared" si="3"/>
        <v>10170</v>
      </c>
      <c r="K96" s="12">
        <f>VLOOKUP(A96,[5]VA05!$A:$K,11,FALSE)</f>
        <v>45587</v>
      </c>
      <c r="L96" s="10" t="s">
        <v>12</v>
      </c>
      <c r="M96" s="10" t="s">
        <v>109</v>
      </c>
    </row>
    <row r="97" spans="1:13" x14ac:dyDescent="0.25">
      <c r="A97" s="13" t="str">
        <f t="shared" si="2"/>
        <v>50714271320</v>
      </c>
      <c r="B97" s="10">
        <v>1004052564</v>
      </c>
      <c r="C97" s="10">
        <v>507142713</v>
      </c>
      <c r="D97" s="10">
        <v>20</v>
      </c>
      <c r="E97" s="10" t="s">
        <v>10</v>
      </c>
      <c r="F97" s="10">
        <v>1171177</v>
      </c>
      <c r="G97" s="10" t="s">
        <v>88</v>
      </c>
      <c r="H97" s="11">
        <v>10170</v>
      </c>
      <c r="I97" s="10">
        <v>0</v>
      </c>
      <c r="J97" s="11">
        <f t="shared" si="3"/>
        <v>10170</v>
      </c>
      <c r="K97" s="12">
        <f>VLOOKUP(A97,[5]VA05!$A:$K,11,FALSE)</f>
        <v>45591</v>
      </c>
      <c r="L97" s="10" t="s">
        <v>12</v>
      </c>
      <c r="M97" s="10" t="s">
        <v>204</v>
      </c>
    </row>
    <row r="98" spans="1:13" x14ac:dyDescent="0.25">
      <c r="A98" s="13" t="str">
        <f t="shared" si="2"/>
        <v>50714271350</v>
      </c>
      <c r="B98" s="10">
        <v>1004052565</v>
      </c>
      <c r="C98" s="10">
        <v>507142713</v>
      </c>
      <c r="D98" s="10">
        <v>50</v>
      </c>
      <c r="E98" s="10" t="s">
        <v>10</v>
      </c>
      <c r="F98" s="10">
        <v>1171177</v>
      </c>
      <c r="G98" s="10" t="s">
        <v>88</v>
      </c>
      <c r="H98" s="11">
        <v>10170</v>
      </c>
      <c r="I98" s="10">
        <v>0</v>
      </c>
      <c r="J98" s="11">
        <f t="shared" si="3"/>
        <v>10170</v>
      </c>
      <c r="K98" s="12">
        <f>VLOOKUP(A98,[5]VA05!$A:$K,11,FALSE)</f>
        <v>45591</v>
      </c>
      <c r="L98" s="10" t="s">
        <v>12</v>
      </c>
      <c r="M98" s="10" t="s">
        <v>204</v>
      </c>
    </row>
    <row r="99" spans="1:13" x14ac:dyDescent="0.25">
      <c r="A99" s="13" t="str">
        <f t="shared" si="2"/>
        <v>50714271320</v>
      </c>
      <c r="B99" s="10">
        <v>1004052612</v>
      </c>
      <c r="C99" s="10">
        <v>507142713</v>
      </c>
      <c r="D99" s="10">
        <v>20</v>
      </c>
      <c r="E99" s="10" t="s">
        <v>10</v>
      </c>
      <c r="F99" s="10">
        <v>1171178</v>
      </c>
      <c r="G99" s="10" t="s">
        <v>87</v>
      </c>
      <c r="H99" s="11">
        <v>10170</v>
      </c>
      <c r="I99" s="11">
        <v>5390</v>
      </c>
      <c r="J99" s="11">
        <f t="shared" si="3"/>
        <v>4780</v>
      </c>
      <c r="K99" s="12">
        <f>VLOOKUP(A99,[5]VA05!$A:$K,11,FALSE)</f>
        <v>45591</v>
      </c>
      <c r="L99" s="10" t="s">
        <v>18</v>
      </c>
      <c r="M99" s="10" t="s">
        <v>204</v>
      </c>
    </row>
    <row r="100" spans="1:13" x14ac:dyDescent="0.25">
      <c r="A100" s="13" t="str">
        <f t="shared" si="2"/>
        <v>50714271350</v>
      </c>
      <c r="B100" s="10">
        <v>1004052613</v>
      </c>
      <c r="C100" s="10">
        <v>507142713</v>
      </c>
      <c r="D100" s="10">
        <v>50</v>
      </c>
      <c r="E100" s="10" t="s">
        <v>10</v>
      </c>
      <c r="F100" s="10">
        <v>1171178</v>
      </c>
      <c r="G100" s="10" t="s">
        <v>87</v>
      </c>
      <c r="H100" s="11">
        <v>10170</v>
      </c>
      <c r="I100" s="10">
        <v>0</v>
      </c>
      <c r="J100" s="11">
        <f t="shared" si="3"/>
        <v>10170</v>
      </c>
      <c r="K100" s="12">
        <f>VLOOKUP(A100,[5]VA05!$A:$K,11,FALSE)</f>
        <v>45591</v>
      </c>
      <c r="L100" s="10" t="s">
        <v>12</v>
      </c>
      <c r="M100" s="10" t="s">
        <v>204</v>
      </c>
    </row>
    <row r="101" spans="1:13" x14ac:dyDescent="0.25">
      <c r="A101" s="13" t="str">
        <f t="shared" si="2"/>
        <v>50714262630</v>
      </c>
      <c r="B101" s="10">
        <v>1004052617</v>
      </c>
      <c r="C101" s="10">
        <v>507142626</v>
      </c>
      <c r="D101" s="10">
        <v>30</v>
      </c>
      <c r="E101" s="10" t="s">
        <v>10</v>
      </c>
      <c r="F101" s="10">
        <v>1172030</v>
      </c>
      <c r="G101" s="10" t="s">
        <v>112</v>
      </c>
      <c r="H101" s="11">
        <v>29055</v>
      </c>
      <c r="I101" s="11">
        <v>13038</v>
      </c>
      <c r="J101" s="11">
        <f t="shared" si="3"/>
        <v>16017</v>
      </c>
      <c r="K101" s="12">
        <f>VLOOKUP(A101,[5]VA05!$A:$K,11,FALSE)</f>
        <v>45590</v>
      </c>
      <c r="L101" s="10" t="s">
        <v>18</v>
      </c>
      <c r="M101" s="10" t="s">
        <v>192</v>
      </c>
    </row>
    <row r="102" spans="1:13" x14ac:dyDescent="0.25">
      <c r="A102" s="13" t="str">
        <f t="shared" si="2"/>
        <v>50714271020</v>
      </c>
      <c r="B102" s="10">
        <v>1004061879</v>
      </c>
      <c r="C102" s="10">
        <v>507142710</v>
      </c>
      <c r="D102" s="10">
        <v>20</v>
      </c>
      <c r="E102" s="10" t="s">
        <v>10</v>
      </c>
      <c r="F102" s="10">
        <v>1172347</v>
      </c>
      <c r="G102" s="10" t="s">
        <v>237</v>
      </c>
      <c r="H102" s="11">
        <v>30393</v>
      </c>
      <c r="I102" s="10">
        <v>0</v>
      </c>
      <c r="J102" s="11">
        <f t="shared" si="3"/>
        <v>30393</v>
      </c>
      <c r="K102" s="12">
        <f>VLOOKUP(A102,[5]VA05!$A:$K,11,FALSE)</f>
        <v>45596</v>
      </c>
      <c r="L102" s="10" t="s">
        <v>12</v>
      </c>
      <c r="M102" s="10" t="s">
        <v>199</v>
      </c>
    </row>
    <row r="103" spans="1:13" x14ac:dyDescent="0.25">
      <c r="A103" s="13" t="str">
        <f t="shared" si="2"/>
        <v>50714262610</v>
      </c>
      <c r="B103" s="10">
        <v>1004050514</v>
      </c>
      <c r="C103" s="10">
        <v>507142626</v>
      </c>
      <c r="D103" s="10">
        <v>10</v>
      </c>
      <c r="E103" s="10" t="s">
        <v>10</v>
      </c>
      <c r="F103" s="10">
        <v>1212641</v>
      </c>
      <c r="G103" s="10" t="s">
        <v>99</v>
      </c>
      <c r="H103" s="11">
        <v>25858</v>
      </c>
      <c r="I103" s="11">
        <v>18960</v>
      </c>
      <c r="J103" s="11">
        <f t="shared" si="3"/>
        <v>6898</v>
      </c>
      <c r="K103" s="12">
        <f>VLOOKUP(A103,[5]VA05!$A:$K,11,FALSE)</f>
        <v>45590</v>
      </c>
      <c r="L103" s="10" t="s">
        <v>11</v>
      </c>
      <c r="M103" s="10" t="s">
        <v>202</v>
      </c>
    </row>
    <row r="104" spans="1:13" x14ac:dyDescent="0.25">
      <c r="A104" s="13" t="str">
        <f t="shared" si="2"/>
        <v>50714271010</v>
      </c>
      <c r="B104" s="10">
        <v>1004058763</v>
      </c>
      <c r="C104" s="10">
        <v>507142710</v>
      </c>
      <c r="D104" s="10">
        <v>10</v>
      </c>
      <c r="E104" s="10" t="s">
        <v>10</v>
      </c>
      <c r="F104" s="10">
        <v>1172346</v>
      </c>
      <c r="G104" s="10" t="s">
        <v>158</v>
      </c>
      <c r="H104" s="11">
        <v>34782</v>
      </c>
      <c r="I104" s="11">
        <v>21685</v>
      </c>
      <c r="J104" s="11">
        <f t="shared" si="3"/>
        <v>13097</v>
      </c>
      <c r="K104" s="12">
        <f>VLOOKUP(A104,[5]VA05!$A:$K,11,FALSE)</f>
        <v>45596</v>
      </c>
      <c r="L104" s="10" t="s">
        <v>18</v>
      </c>
      <c r="M104" s="10" t="s">
        <v>176</v>
      </c>
    </row>
    <row r="105" spans="1:13" x14ac:dyDescent="0.25">
      <c r="A105" s="13" t="str">
        <f t="shared" si="2"/>
        <v>50714276710</v>
      </c>
      <c r="B105" s="10">
        <v>1004064314</v>
      </c>
      <c r="C105" s="10">
        <v>507142767</v>
      </c>
      <c r="D105" s="10">
        <v>10</v>
      </c>
      <c r="E105" s="10" t="s">
        <v>10</v>
      </c>
      <c r="F105" s="10">
        <v>1291781</v>
      </c>
      <c r="G105" s="10" t="s">
        <v>303</v>
      </c>
      <c r="H105" s="11">
        <v>25563</v>
      </c>
      <c r="I105" s="10">
        <v>0</v>
      </c>
      <c r="J105" s="11">
        <f t="shared" si="3"/>
        <v>25563</v>
      </c>
      <c r="K105" s="12">
        <f>VLOOKUP(A105,[5]VA05!$A:$K,11,FALSE)</f>
        <v>45610</v>
      </c>
      <c r="L105" s="10" t="s">
        <v>12</v>
      </c>
      <c r="M105" s="10" t="s">
        <v>304</v>
      </c>
    </row>
    <row r="106" spans="1:13" x14ac:dyDescent="0.25">
      <c r="A106" s="13" t="str">
        <f t="shared" si="2"/>
        <v>50714276710</v>
      </c>
      <c r="B106" s="10">
        <v>1004064315</v>
      </c>
      <c r="C106" s="10">
        <v>507142767</v>
      </c>
      <c r="D106" s="10">
        <v>10</v>
      </c>
      <c r="E106" s="10" t="s">
        <v>10</v>
      </c>
      <c r="F106" s="10">
        <v>1222168</v>
      </c>
      <c r="G106" s="10" t="s">
        <v>305</v>
      </c>
      <c r="H106" s="11">
        <v>25563</v>
      </c>
      <c r="I106" s="10">
        <v>0</v>
      </c>
      <c r="J106" s="11">
        <f t="shared" si="3"/>
        <v>25563</v>
      </c>
      <c r="K106" s="12">
        <f>VLOOKUP(A106,[5]VA05!$A:$K,11,FALSE)</f>
        <v>45610</v>
      </c>
      <c r="L106" s="10" t="s">
        <v>12</v>
      </c>
      <c r="M106" s="10" t="s">
        <v>306</v>
      </c>
    </row>
    <row r="107" spans="1:13" x14ac:dyDescent="0.25">
      <c r="A107" s="13" t="str">
        <f t="shared" si="2"/>
        <v>50714239710</v>
      </c>
      <c r="B107" s="10">
        <v>1004054834</v>
      </c>
      <c r="C107" s="10">
        <v>507142397</v>
      </c>
      <c r="D107" s="10">
        <v>10</v>
      </c>
      <c r="E107" s="10" t="s">
        <v>10</v>
      </c>
      <c r="F107" s="10">
        <v>1195537</v>
      </c>
      <c r="G107" s="10" t="s">
        <v>220</v>
      </c>
      <c r="H107" s="11">
        <v>62346</v>
      </c>
      <c r="I107" s="11">
        <v>53824</v>
      </c>
      <c r="J107" s="11">
        <f t="shared" si="3"/>
        <v>8522</v>
      </c>
      <c r="K107" s="12">
        <f>VLOOKUP(A107,[5]VA05!$A:$K,11,FALSE)</f>
        <v>45579</v>
      </c>
      <c r="L107" s="10" t="s">
        <v>11</v>
      </c>
      <c r="M107" s="10" t="s">
        <v>162</v>
      </c>
    </row>
    <row r="108" spans="1:13" x14ac:dyDescent="0.25">
      <c r="A108" s="13" t="str">
        <f t="shared" si="2"/>
        <v>50714247910</v>
      </c>
      <c r="B108" s="10">
        <v>1004054835</v>
      </c>
      <c r="C108" s="10">
        <v>507142479</v>
      </c>
      <c r="D108" s="10">
        <v>10</v>
      </c>
      <c r="E108" s="10" t="s">
        <v>10</v>
      </c>
      <c r="F108" s="10">
        <v>1195537</v>
      </c>
      <c r="G108" s="10" t="s">
        <v>220</v>
      </c>
      <c r="H108" s="11">
        <v>52994</v>
      </c>
      <c r="I108" s="10">
        <v>0</v>
      </c>
      <c r="J108" s="11">
        <f t="shared" si="3"/>
        <v>52994</v>
      </c>
      <c r="K108" s="12">
        <f>VLOOKUP(A108,[5]VA05!$A:$K,11,FALSE)</f>
        <v>45587</v>
      </c>
      <c r="L108" s="10" t="s">
        <v>13</v>
      </c>
      <c r="M108" s="10" t="s">
        <v>157</v>
      </c>
    </row>
    <row r="109" spans="1:13" x14ac:dyDescent="0.25">
      <c r="A109" s="13" t="str">
        <f t="shared" si="2"/>
        <v>50714248010</v>
      </c>
      <c r="B109" s="10">
        <v>1004042840</v>
      </c>
      <c r="C109" s="10">
        <v>507142480</v>
      </c>
      <c r="D109" s="10">
        <v>10</v>
      </c>
      <c r="E109" s="10" t="s">
        <v>10</v>
      </c>
      <c r="F109" s="10">
        <v>1191882</v>
      </c>
      <c r="G109" s="10" t="s">
        <v>137</v>
      </c>
      <c r="H109" s="11">
        <v>51677</v>
      </c>
      <c r="I109" s="11">
        <v>43905</v>
      </c>
      <c r="J109" s="11">
        <f t="shared" si="3"/>
        <v>7772</v>
      </c>
      <c r="K109" s="12">
        <f>VLOOKUP(A109,[5]VA05!$A:$K,11,FALSE)</f>
        <v>45587</v>
      </c>
      <c r="L109" s="10" t="s">
        <v>11</v>
      </c>
      <c r="M109" s="10" t="s">
        <v>178</v>
      </c>
    </row>
    <row r="110" spans="1:13" x14ac:dyDescent="0.25">
      <c r="A110" s="13" t="str">
        <f t="shared" si="2"/>
        <v>50714278320</v>
      </c>
      <c r="B110" s="10">
        <v>1004056039</v>
      </c>
      <c r="C110" s="10">
        <v>507142783</v>
      </c>
      <c r="D110" s="10">
        <v>20</v>
      </c>
      <c r="E110" s="10" t="s">
        <v>10</v>
      </c>
      <c r="F110" s="10">
        <v>1161035</v>
      </c>
      <c r="G110" s="10" t="s">
        <v>222</v>
      </c>
      <c r="H110" s="11">
        <v>25747</v>
      </c>
      <c r="I110" s="10">
        <v>0</v>
      </c>
      <c r="J110" s="11">
        <f t="shared" si="3"/>
        <v>25747</v>
      </c>
      <c r="K110" s="12">
        <f>VLOOKUP(A110,[5]VA05!$A:$K,11,FALSE)</f>
        <v>45582</v>
      </c>
      <c r="L110" s="10" t="s">
        <v>13</v>
      </c>
      <c r="M110" s="10" t="s">
        <v>202</v>
      </c>
    </row>
    <row r="111" spans="1:13" x14ac:dyDescent="0.25">
      <c r="A111" s="13" t="str">
        <f t="shared" si="2"/>
        <v>50714279710</v>
      </c>
      <c r="B111" s="10">
        <v>1004058006</v>
      </c>
      <c r="C111" s="10">
        <v>507142797</v>
      </c>
      <c r="D111" s="10">
        <v>10</v>
      </c>
      <c r="E111" s="10" t="s">
        <v>10</v>
      </c>
      <c r="F111" s="10">
        <v>1161417</v>
      </c>
      <c r="G111" s="10" t="s">
        <v>228</v>
      </c>
      <c r="H111" s="11">
        <v>25543</v>
      </c>
      <c r="I111" s="10">
        <v>0</v>
      </c>
      <c r="J111" s="11">
        <f t="shared" si="3"/>
        <v>25543</v>
      </c>
      <c r="K111" s="12">
        <f>VLOOKUP(A111,[5]VA05!$A:$K,11,FALSE)</f>
        <v>45588</v>
      </c>
      <c r="L111" s="10" t="s">
        <v>13</v>
      </c>
      <c r="M111" s="10" t="s">
        <v>177</v>
      </c>
    </row>
    <row r="112" spans="1:13" x14ac:dyDescent="0.25">
      <c r="A112" s="13" t="str">
        <f t="shared" si="2"/>
        <v>50714278110</v>
      </c>
      <c r="B112" s="10">
        <v>1004058007</v>
      </c>
      <c r="C112" s="10">
        <v>507142781</v>
      </c>
      <c r="D112" s="10">
        <v>10</v>
      </c>
      <c r="E112" s="10" t="s">
        <v>10</v>
      </c>
      <c r="F112" s="10">
        <v>1161417</v>
      </c>
      <c r="G112" s="10" t="s">
        <v>228</v>
      </c>
      <c r="H112" s="11">
        <v>5109</v>
      </c>
      <c r="I112" s="10">
        <v>0</v>
      </c>
      <c r="J112" s="11">
        <f t="shared" si="3"/>
        <v>5109</v>
      </c>
      <c r="K112" s="12">
        <f>VLOOKUP(A112,[5]VA05!$A:$K,11,FALSE)</f>
        <v>45595</v>
      </c>
      <c r="L112" s="10" t="s">
        <v>13</v>
      </c>
      <c r="M112" s="10" t="s">
        <v>196</v>
      </c>
    </row>
    <row r="113" spans="1:13" x14ac:dyDescent="0.25">
      <c r="A113" s="13" t="str">
        <f t="shared" si="2"/>
        <v>50714271120</v>
      </c>
      <c r="B113" s="10">
        <v>1004058008</v>
      </c>
      <c r="C113" s="10">
        <v>507142711</v>
      </c>
      <c r="D113" s="10">
        <v>20</v>
      </c>
      <c r="E113" s="10" t="s">
        <v>10</v>
      </c>
      <c r="F113" s="10">
        <v>1161417</v>
      </c>
      <c r="G113" s="10" t="s">
        <v>228</v>
      </c>
      <c r="H113" s="11">
        <v>6845</v>
      </c>
      <c r="I113" s="10">
        <v>0</v>
      </c>
      <c r="J113" s="11">
        <f t="shared" si="3"/>
        <v>6845</v>
      </c>
      <c r="K113" s="12">
        <f>VLOOKUP(A113,[5]VA05!$A:$K,11,FALSE)</f>
        <v>45565</v>
      </c>
      <c r="L113" s="10" t="s">
        <v>12</v>
      </c>
      <c r="M113" s="10" t="s">
        <v>155</v>
      </c>
    </row>
    <row r="114" spans="1:13" x14ac:dyDescent="0.25">
      <c r="A114" s="13" t="str">
        <f t="shared" si="2"/>
        <v>50714244520</v>
      </c>
      <c r="B114" s="10">
        <v>1004053208</v>
      </c>
      <c r="C114" s="10">
        <v>507142445</v>
      </c>
      <c r="D114" s="10">
        <v>20</v>
      </c>
      <c r="E114" s="10" t="s">
        <v>10</v>
      </c>
      <c r="F114" s="10">
        <v>1210955</v>
      </c>
      <c r="G114" s="10" t="s">
        <v>215</v>
      </c>
      <c r="H114" s="11">
        <v>53210</v>
      </c>
      <c r="I114" s="10">
        <v>0</v>
      </c>
      <c r="J114" s="11">
        <f t="shared" si="3"/>
        <v>53210</v>
      </c>
      <c r="K114" s="12">
        <f>VLOOKUP(A114,[5]VA05!$A:$K,11,FALSE)</f>
        <v>45595</v>
      </c>
      <c r="L114" s="10" t="s">
        <v>239</v>
      </c>
      <c r="M114" s="10" t="s">
        <v>216</v>
      </c>
    </row>
    <row r="115" spans="1:13" x14ac:dyDescent="0.25">
      <c r="A115" s="13" t="str">
        <f t="shared" si="2"/>
        <v>50714244520</v>
      </c>
      <c r="B115" s="10">
        <v>1004052416</v>
      </c>
      <c r="C115" s="10">
        <v>507142445</v>
      </c>
      <c r="D115" s="10">
        <v>20</v>
      </c>
      <c r="E115" s="10" t="s">
        <v>10</v>
      </c>
      <c r="F115" s="10">
        <v>1259266</v>
      </c>
      <c r="G115" s="10" t="s">
        <v>64</v>
      </c>
      <c r="H115" s="11">
        <v>51912</v>
      </c>
      <c r="I115" s="10">
        <v>0</v>
      </c>
      <c r="J115" s="11">
        <f t="shared" si="3"/>
        <v>51912</v>
      </c>
      <c r="K115" s="12">
        <f>VLOOKUP(A115,[5]VA05!$A:$K,11,FALSE)</f>
        <v>45595</v>
      </c>
      <c r="L115" s="10" t="s">
        <v>239</v>
      </c>
      <c r="M115" s="10" t="s">
        <v>199</v>
      </c>
    </row>
    <row r="116" spans="1:13" x14ac:dyDescent="0.25">
      <c r="A116" s="13" t="str">
        <f t="shared" si="2"/>
        <v>50714244520</v>
      </c>
      <c r="B116" s="10">
        <v>1004052417</v>
      </c>
      <c r="C116" s="10">
        <v>507142445</v>
      </c>
      <c r="D116" s="10">
        <v>20</v>
      </c>
      <c r="E116" s="10" t="s">
        <v>10</v>
      </c>
      <c r="F116" s="10">
        <v>1259265</v>
      </c>
      <c r="G116" s="10" t="s">
        <v>187</v>
      </c>
      <c r="H116" s="11">
        <v>53210</v>
      </c>
      <c r="I116" s="10">
        <v>0</v>
      </c>
      <c r="J116" s="11">
        <f t="shared" si="3"/>
        <v>53210</v>
      </c>
      <c r="K116" s="12">
        <f>VLOOKUP(A116,[5]VA05!$A:$K,11,FALSE)</f>
        <v>45595</v>
      </c>
      <c r="L116" s="10" t="s">
        <v>12</v>
      </c>
      <c r="M116" s="10" t="s">
        <v>202</v>
      </c>
    </row>
    <row r="117" spans="1:13" x14ac:dyDescent="0.25">
      <c r="A117" s="13" t="str">
        <f t="shared" si="2"/>
        <v>50714282810</v>
      </c>
      <c r="B117" s="10">
        <v>1004062200</v>
      </c>
      <c r="C117" s="10">
        <v>507142828</v>
      </c>
      <c r="D117" s="10">
        <v>10</v>
      </c>
      <c r="E117" s="10" t="s">
        <v>10</v>
      </c>
      <c r="F117" s="10">
        <v>1168128</v>
      </c>
      <c r="G117" s="10" t="s">
        <v>77</v>
      </c>
      <c r="H117" s="11">
        <v>122842</v>
      </c>
      <c r="I117" s="11">
        <v>55960</v>
      </c>
      <c r="J117" s="11">
        <f t="shared" si="3"/>
        <v>66882</v>
      </c>
      <c r="K117" s="12">
        <f>VLOOKUP(A117,[5]VA05!$A:$K,11,FALSE)</f>
        <v>45588</v>
      </c>
      <c r="L117" s="10" t="s">
        <v>18</v>
      </c>
      <c r="M117" s="10" t="s">
        <v>192</v>
      </c>
    </row>
    <row r="118" spans="1:13" x14ac:dyDescent="0.25">
      <c r="A118" s="13" t="str">
        <f t="shared" si="2"/>
        <v>50714278810</v>
      </c>
      <c r="B118" s="10">
        <v>1004062042</v>
      </c>
      <c r="C118" s="10">
        <v>507142788</v>
      </c>
      <c r="D118" s="10">
        <v>10</v>
      </c>
      <c r="E118" s="10" t="s">
        <v>10</v>
      </c>
      <c r="F118" s="10">
        <v>1168125</v>
      </c>
      <c r="G118" s="10" t="s">
        <v>32</v>
      </c>
      <c r="H118" s="11">
        <v>56529</v>
      </c>
      <c r="I118" s="11">
        <v>38595</v>
      </c>
      <c r="J118" s="11">
        <f t="shared" si="3"/>
        <v>17934</v>
      </c>
      <c r="K118" s="12">
        <f>VLOOKUP(A118,[5]VA05!$A:$K,11,FALSE)</f>
        <v>45582</v>
      </c>
      <c r="L118" s="10" t="s">
        <v>18</v>
      </c>
      <c r="M118" s="10" t="s">
        <v>193</v>
      </c>
    </row>
    <row r="119" spans="1:13" x14ac:dyDescent="0.25">
      <c r="A119" s="13" t="str">
        <f t="shared" si="2"/>
        <v>50714282810</v>
      </c>
      <c r="B119" s="10">
        <v>1004062043</v>
      </c>
      <c r="C119" s="10">
        <v>507142828</v>
      </c>
      <c r="D119" s="10">
        <v>10</v>
      </c>
      <c r="E119" s="10" t="s">
        <v>10</v>
      </c>
      <c r="F119" s="10">
        <v>1168125</v>
      </c>
      <c r="G119" s="10" t="s">
        <v>32</v>
      </c>
      <c r="H119" s="11">
        <v>122842</v>
      </c>
      <c r="I119" s="10">
        <v>0</v>
      </c>
      <c r="J119" s="11">
        <f t="shared" si="3"/>
        <v>122842</v>
      </c>
      <c r="K119" s="12">
        <f>VLOOKUP(A119,[5]VA05!$A:$K,11,FALSE)</f>
        <v>45588</v>
      </c>
      <c r="L119" s="10" t="s">
        <v>12</v>
      </c>
      <c r="M119" s="10" t="s">
        <v>197</v>
      </c>
    </row>
    <row r="120" spans="1:13" x14ac:dyDescent="0.25">
      <c r="A120" s="13" t="str">
        <f t="shared" si="2"/>
        <v>50714269110</v>
      </c>
      <c r="B120" s="10">
        <v>1004063849</v>
      </c>
      <c r="C120" s="10">
        <v>507142691</v>
      </c>
      <c r="D120" s="10">
        <v>10</v>
      </c>
      <c r="E120" s="10" t="s">
        <v>10</v>
      </c>
      <c r="F120" s="10">
        <v>1168125</v>
      </c>
      <c r="G120" s="10" t="s">
        <v>32</v>
      </c>
      <c r="H120" s="11">
        <v>51094</v>
      </c>
      <c r="I120" s="10">
        <v>0</v>
      </c>
      <c r="J120" s="11">
        <f t="shared" si="3"/>
        <v>51094</v>
      </c>
      <c r="K120" s="12">
        <f>VLOOKUP(A120,[5]VA05!$A:$K,11,FALSE)</f>
        <v>45569</v>
      </c>
      <c r="L120" s="10" t="s">
        <v>12</v>
      </c>
      <c r="M120" s="10" t="s">
        <v>202</v>
      </c>
    </row>
    <row r="121" spans="1:13" x14ac:dyDescent="0.25">
      <c r="A121" s="13" t="str">
        <f t="shared" si="2"/>
        <v>50714281910</v>
      </c>
      <c r="B121" s="10">
        <v>1004062796</v>
      </c>
      <c r="C121" s="10">
        <v>507142819</v>
      </c>
      <c r="D121" s="10">
        <v>10</v>
      </c>
      <c r="E121" s="10" t="s">
        <v>10</v>
      </c>
      <c r="F121" s="10">
        <v>1402677</v>
      </c>
      <c r="G121" s="10" t="s">
        <v>296</v>
      </c>
      <c r="H121" s="11">
        <v>10871</v>
      </c>
      <c r="I121" s="10">
        <v>0</v>
      </c>
      <c r="J121" s="11">
        <f t="shared" si="3"/>
        <v>10871</v>
      </c>
      <c r="K121" s="12">
        <f>VLOOKUP(A121,[5]VA05!$A:$K,11,FALSE)</f>
        <v>45581</v>
      </c>
      <c r="L121" s="10" t="s">
        <v>12</v>
      </c>
      <c r="M121" s="10" t="s">
        <v>157</v>
      </c>
    </row>
    <row r="122" spans="1:13" x14ac:dyDescent="0.25">
      <c r="A122" s="13" t="str">
        <f t="shared" si="2"/>
        <v>507142416150</v>
      </c>
      <c r="B122" s="10">
        <v>1004052419</v>
      </c>
      <c r="C122" s="10">
        <v>507142416</v>
      </c>
      <c r="D122" s="10">
        <v>150</v>
      </c>
      <c r="E122" s="10" t="s">
        <v>10</v>
      </c>
      <c r="F122" s="10">
        <v>1269350</v>
      </c>
      <c r="G122" s="10" t="s">
        <v>188</v>
      </c>
      <c r="H122" s="11">
        <v>10439</v>
      </c>
      <c r="I122" s="10">
        <v>0</v>
      </c>
      <c r="J122" s="11">
        <f t="shared" si="3"/>
        <v>10439</v>
      </c>
      <c r="K122" s="12">
        <f>VLOOKUP(A122,[5]VA05!$A:$K,11,FALSE)</f>
        <v>45576</v>
      </c>
      <c r="L122" s="10" t="s">
        <v>12</v>
      </c>
      <c r="M122" s="10" t="s">
        <v>156</v>
      </c>
    </row>
    <row r="123" spans="1:13" x14ac:dyDescent="0.25">
      <c r="A123" s="13" t="str">
        <f t="shared" si="2"/>
        <v>50714268820</v>
      </c>
      <c r="B123" s="10">
        <v>1004052420</v>
      </c>
      <c r="C123" s="10">
        <v>507142688</v>
      </c>
      <c r="D123" s="10">
        <v>20</v>
      </c>
      <c r="E123" s="10" t="s">
        <v>10</v>
      </c>
      <c r="F123" s="10">
        <v>1430096</v>
      </c>
      <c r="G123" s="10" t="s">
        <v>93</v>
      </c>
      <c r="H123" s="11">
        <v>134120</v>
      </c>
      <c r="I123" s="11">
        <v>127496</v>
      </c>
      <c r="J123" s="11">
        <f t="shared" si="3"/>
        <v>6624</v>
      </c>
      <c r="K123" s="12">
        <f>VLOOKUP(A123,[5]VA05!$A:$K,11,FALSE)</f>
        <v>45576</v>
      </c>
      <c r="L123" s="10" t="s">
        <v>18</v>
      </c>
      <c r="M123" s="10" t="s">
        <v>195</v>
      </c>
    </row>
    <row r="124" spans="1:13" x14ac:dyDescent="0.25">
      <c r="A124" s="13" t="str">
        <f t="shared" si="2"/>
        <v>50714282120</v>
      </c>
      <c r="B124" s="10">
        <v>1004062792</v>
      </c>
      <c r="C124" s="10">
        <v>507142821</v>
      </c>
      <c r="D124" s="10">
        <v>20</v>
      </c>
      <c r="E124" s="10" t="s">
        <v>10</v>
      </c>
      <c r="F124" s="10">
        <v>1153476</v>
      </c>
      <c r="G124" s="10" t="s">
        <v>297</v>
      </c>
      <c r="H124" s="11">
        <v>27862</v>
      </c>
      <c r="I124" s="10">
        <v>0</v>
      </c>
      <c r="J124" s="11">
        <f t="shared" si="3"/>
        <v>27862</v>
      </c>
      <c r="K124" s="12">
        <f>VLOOKUP(A124,[5]VA05!$A:$K,11,FALSE)</f>
        <v>45589</v>
      </c>
      <c r="L124" s="10" t="s">
        <v>12</v>
      </c>
      <c r="M124" s="10" t="s">
        <v>199</v>
      </c>
    </row>
    <row r="125" spans="1:13" x14ac:dyDescent="0.25">
      <c r="A125" s="13" t="str">
        <f t="shared" si="2"/>
        <v>50714282220</v>
      </c>
      <c r="B125" s="10">
        <v>1004062794</v>
      </c>
      <c r="C125" s="10">
        <v>507142822</v>
      </c>
      <c r="D125" s="10">
        <v>20</v>
      </c>
      <c r="E125" s="10" t="s">
        <v>10</v>
      </c>
      <c r="F125" s="10">
        <v>1153476</v>
      </c>
      <c r="G125" s="10" t="s">
        <v>297</v>
      </c>
      <c r="H125" s="11">
        <v>27862</v>
      </c>
      <c r="I125" s="10">
        <v>0</v>
      </c>
      <c r="J125" s="11">
        <f t="shared" si="3"/>
        <v>27862</v>
      </c>
      <c r="K125" s="12">
        <f>VLOOKUP(A125,[5]VA05!$A:$K,11,FALSE)</f>
        <v>45589</v>
      </c>
      <c r="L125" s="10" t="s">
        <v>12</v>
      </c>
      <c r="M125" s="10" t="s">
        <v>199</v>
      </c>
    </row>
    <row r="126" spans="1:13" x14ac:dyDescent="0.25">
      <c r="A126" s="13" t="str">
        <f t="shared" si="2"/>
        <v>50714278820</v>
      </c>
      <c r="B126" s="10">
        <v>1004058947</v>
      </c>
      <c r="C126" s="10">
        <v>507142788</v>
      </c>
      <c r="D126" s="10">
        <v>20</v>
      </c>
      <c r="E126" s="10" t="s">
        <v>10</v>
      </c>
      <c r="F126" s="10">
        <v>1187156</v>
      </c>
      <c r="G126" s="10" t="s">
        <v>80</v>
      </c>
      <c r="H126" s="11">
        <v>62884</v>
      </c>
      <c r="I126" s="11">
        <v>30378</v>
      </c>
      <c r="J126" s="11">
        <f t="shared" si="3"/>
        <v>32506</v>
      </c>
      <c r="K126" s="12">
        <f>VLOOKUP(A126,[5]VA05!$A:$K,11,FALSE)</f>
        <v>45582</v>
      </c>
      <c r="L126" s="10" t="s">
        <v>18</v>
      </c>
      <c r="M126" s="10" t="s">
        <v>157</v>
      </c>
    </row>
    <row r="127" spans="1:13" x14ac:dyDescent="0.25">
      <c r="A127" s="13" t="str">
        <f t="shared" si="2"/>
        <v>50714281920</v>
      </c>
      <c r="B127" s="10">
        <v>1004062795</v>
      </c>
      <c r="C127" s="10">
        <v>507142819</v>
      </c>
      <c r="D127" s="10">
        <v>20</v>
      </c>
      <c r="E127" s="10" t="s">
        <v>10</v>
      </c>
      <c r="F127" s="10">
        <v>1402742</v>
      </c>
      <c r="G127" s="10" t="s">
        <v>298</v>
      </c>
      <c r="H127" s="11">
        <v>11758</v>
      </c>
      <c r="I127" s="10">
        <v>0</v>
      </c>
      <c r="J127" s="11">
        <f t="shared" si="3"/>
        <v>11758</v>
      </c>
      <c r="K127" s="12">
        <f>VLOOKUP(A127,[5]VA05!$A:$K,11,FALSE)</f>
        <v>45581</v>
      </c>
      <c r="L127" s="10" t="s">
        <v>12</v>
      </c>
      <c r="M127" s="10" t="s">
        <v>179</v>
      </c>
    </row>
    <row r="128" spans="1:13" x14ac:dyDescent="0.25">
      <c r="A128" s="13" t="str">
        <f t="shared" si="2"/>
        <v>507142416140</v>
      </c>
      <c r="B128" s="10">
        <v>1004051396</v>
      </c>
      <c r="C128" s="10">
        <v>507142416</v>
      </c>
      <c r="D128" s="10">
        <v>140</v>
      </c>
      <c r="E128" s="10" t="s">
        <v>10</v>
      </c>
      <c r="F128" s="10">
        <v>1269354</v>
      </c>
      <c r="G128" s="10" t="s">
        <v>169</v>
      </c>
      <c r="H128" s="11">
        <v>10217</v>
      </c>
      <c r="I128" s="10">
        <v>0</v>
      </c>
      <c r="J128" s="11">
        <f t="shared" si="3"/>
        <v>10217</v>
      </c>
      <c r="K128" s="12">
        <f>VLOOKUP(A128,[5]VA05!$A:$K,11,FALSE)</f>
        <v>45576</v>
      </c>
      <c r="L128" s="10" t="s">
        <v>25</v>
      </c>
      <c r="M128" s="10" t="s">
        <v>162</v>
      </c>
    </row>
    <row r="129" spans="1:13" x14ac:dyDescent="0.25">
      <c r="A129" s="13" t="str">
        <f t="shared" si="2"/>
        <v>507142416120</v>
      </c>
      <c r="B129" s="10">
        <v>1004058990</v>
      </c>
      <c r="C129" s="10">
        <v>507142416</v>
      </c>
      <c r="D129" s="10">
        <v>120</v>
      </c>
      <c r="E129" s="10" t="s">
        <v>10</v>
      </c>
      <c r="F129" s="10">
        <v>1255973</v>
      </c>
      <c r="G129" s="10" t="s">
        <v>238</v>
      </c>
      <c r="H129" s="11">
        <v>10217</v>
      </c>
      <c r="I129" s="10">
        <v>0</v>
      </c>
      <c r="J129" s="11">
        <f t="shared" si="3"/>
        <v>10217</v>
      </c>
      <c r="K129" s="12">
        <f>VLOOKUP(A129,[5]VA05!$A:$K,11,FALSE)</f>
        <v>45573</v>
      </c>
      <c r="L129" s="10" t="s">
        <v>12</v>
      </c>
      <c r="M129" s="10" t="s">
        <v>194</v>
      </c>
    </row>
    <row r="130" spans="1:13" x14ac:dyDescent="0.25">
      <c r="A130" s="13" t="str">
        <f t="shared" si="2"/>
        <v>50714271370</v>
      </c>
      <c r="B130" s="10">
        <v>1004042923</v>
      </c>
      <c r="C130" s="10">
        <v>507142713</v>
      </c>
      <c r="D130" s="10">
        <v>70</v>
      </c>
      <c r="E130" s="10" t="s">
        <v>10</v>
      </c>
      <c r="F130" s="10">
        <v>1256197</v>
      </c>
      <c r="G130" s="10" t="s">
        <v>139</v>
      </c>
      <c r="H130" s="11">
        <v>10217</v>
      </c>
      <c r="I130" s="10">
        <v>0</v>
      </c>
      <c r="J130" s="11">
        <f t="shared" si="3"/>
        <v>10217</v>
      </c>
      <c r="K130" s="12">
        <f>VLOOKUP(A130,[5]VA05!$A:$K,11,FALSE)</f>
        <v>45591</v>
      </c>
      <c r="L130" s="10" t="s">
        <v>13</v>
      </c>
      <c r="M130" s="10" t="s">
        <v>142</v>
      </c>
    </row>
    <row r="131" spans="1:13" x14ac:dyDescent="0.25">
      <c r="A131" s="13" t="str">
        <f t="shared" si="2"/>
        <v>50714271380</v>
      </c>
      <c r="B131" s="10">
        <v>1004052624</v>
      </c>
      <c r="C131" s="10">
        <v>507142713</v>
      </c>
      <c r="D131" s="10">
        <v>80</v>
      </c>
      <c r="E131" s="10" t="s">
        <v>10</v>
      </c>
      <c r="F131" s="10">
        <v>1168127</v>
      </c>
      <c r="G131" s="10" t="s">
        <v>21</v>
      </c>
      <c r="H131" s="11">
        <v>10217</v>
      </c>
      <c r="I131" s="10">
        <v>0</v>
      </c>
      <c r="J131" s="11">
        <f t="shared" si="3"/>
        <v>10217</v>
      </c>
      <c r="K131" s="12">
        <f>VLOOKUP(A131,[5]VA05!$A:$K,11,FALSE)</f>
        <v>45591</v>
      </c>
      <c r="L131" s="10" t="s">
        <v>12</v>
      </c>
      <c r="M131" s="10" t="s">
        <v>204</v>
      </c>
    </row>
    <row r="132" spans="1:13" hidden="1" x14ac:dyDescent="0.25">
      <c r="A132" s="13" t="str">
        <f t="shared" ref="A132:A195" si="4">C132&amp;D132</f>
        <v>50714282010</v>
      </c>
      <c r="B132" s="10">
        <v>1004062727</v>
      </c>
      <c r="C132" s="10">
        <v>507142820</v>
      </c>
      <c r="D132" s="10">
        <v>10</v>
      </c>
      <c r="E132" s="10" t="s">
        <v>10</v>
      </c>
      <c r="F132" s="10">
        <v>1168127</v>
      </c>
      <c r="G132" s="10" t="s">
        <v>21</v>
      </c>
      <c r="H132" s="11">
        <v>26091</v>
      </c>
      <c r="I132" s="11">
        <v>26091</v>
      </c>
      <c r="J132" s="11">
        <f t="shared" ref="J132:J195" si="5">H132-I132</f>
        <v>0</v>
      </c>
      <c r="K132" s="12">
        <f>VLOOKUP(A132,[5]VA05!$A:$K,11,FALSE)</f>
        <v>45587</v>
      </c>
      <c r="L132" s="10" t="s">
        <v>113</v>
      </c>
      <c r="M132" s="10" t="s">
        <v>177</v>
      </c>
    </row>
    <row r="133" spans="1:13" x14ac:dyDescent="0.25">
      <c r="A133" s="13" t="str">
        <f t="shared" si="4"/>
        <v>50714282110</v>
      </c>
      <c r="B133" s="10">
        <v>1004062728</v>
      </c>
      <c r="C133" s="10">
        <v>507142821</v>
      </c>
      <c r="D133" s="10">
        <v>10</v>
      </c>
      <c r="E133" s="10" t="s">
        <v>10</v>
      </c>
      <c r="F133" s="10">
        <v>1168127</v>
      </c>
      <c r="G133" s="10" t="s">
        <v>21</v>
      </c>
      <c r="H133" s="11">
        <v>14571</v>
      </c>
      <c r="I133" s="11">
        <v>9000</v>
      </c>
      <c r="J133" s="11">
        <f t="shared" si="5"/>
        <v>5571</v>
      </c>
      <c r="K133" s="12">
        <f>VLOOKUP(A133,[5]VA05!$A:$K,11,FALSE)</f>
        <v>45589</v>
      </c>
      <c r="L133" s="10" t="s">
        <v>18</v>
      </c>
      <c r="M133" s="10" t="s">
        <v>199</v>
      </c>
    </row>
    <row r="134" spans="1:13" x14ac:dyDescent="0.25">
      <c r="A134" s="13" t="str">
        <f t="shared" si="4"/>
        <v>50714282210</v>
      </c>
      <c r="B134" s="10">
        <v>1004062789</v>
      </c>
      <c r="C134" s="10">
        <v>507142822</v>
      </c>
      <c r="D134" s="10">
        <v>10</v>
      </c>
      <c r="E134" s="10" t="s">
        <v>10</v>
      </c>
      <c r="F134" s="10">
        <v>1168127</v>
      </c>
      <c r="G134" s="10" t="s">
        <v>21</v>
      </c>
      <c r="H134" s="11">
        <v>26091</v>
      </c>
      <c r="I134" s="10">
        <v>0</v>
      </c>
      <c r="J134" s="11">
        <f t="shared" si="5"/>
        <v>26091</v>
      </c>
      <c r="K134" s="12">
        <f>VLOOKUP(A134,[5]VA05!$A:$K,11,FALSE)</f>
        <v>45589</v>
      </c>
      <c r="L134" s="10" t="s">
        <v>12</v>
      </c>
      <c r="M134" s="10" t="s">
        <v>199</v>
      </c>
    </row>
    <row r="135" spans="1:13" x14ac:dyDescent="0.25">
      <c r="A135" s="13" t="str">
        <f t="shared" si="4"/>
        <v>50714282310</v>
      </c>
      <c r="B135" s="10">
        <v>1004062791</v>
      </c>
      <c r="C135" s="10">
        <v>507142823</v>
      </c>
      <c r="D135" s="10">
        <v>10</v>
      </c>
      <c r="E135" s="10" t="s">
        <v>10</v>
      </c>
      <c r="F135" s="10">
        <v>1168127</v>
      </c>
      <c r="G135" s="10" t="s">
        <v>21</v>
      </c>
      <c r="H135" s="11">
        <v>26091</v>
      </c>
      <c r="I135" s="10">
        <v>0</v>
      </c>
      <c r="J135" s="11">
        <f t="shared" si="5"/>
        <v>26091</v>
      </c>
      <c r="K135" s="12">
        <f>VLOOKUP(A135,[5]VA05!$A:$K,11,FALSE)</f>
        <v>45589</v>
      </c>
      <c r="L135" s="10" t="s">
        <v>12</v>
      </c>
      <c r="M135" s="10" t="s">
        <v>109</v>
      </c>
    </row>
    <row r="136" spans="1:13" x14ac:dyDescent="0.25">
      <c r="A136" s="13" t="str">
        <f t="shared" si="4"/>
        <v>507142416150</v>
      </c>
      <c r="B136" s="10">
        <v>1004051561</v>
      </c>
      <c r="C136" s="10">
        <v>507142416</v>
      </c>
      <c r="D136" s="10">
        <v>150</v>
      </c>
      <c r="E136" s="10" t="s">
        <v>10</v>
      </c>
      <c r="F136" s="10">
        <v>1269318</v>
      </c>
      <c r="G136" s="10" t="s">
        <v>170</v>
      </c>
      <c r="H136" s="11">
        <v>10217</v>
      </c>
      <c r="I136" s="10">
        <v>0</v>
      </c>
      <c r="J136" s="11">
        <f t="shared" si="5"/>
        <v>10217</v>
      </c>
      <c r="K136" s="12">
        <f>VLOOKUP(A136,[5]VA05!$A:$K,11,FALSE)</f>
        <v>45576</v>
      </c>
      <c r="L136" s="10" t="s">
        <v>56</v>
      </c>
      <c r="M136" s="10" t="s">
        <v>162</v>
      </c>
    </row>
    <row r="137" spans="1:13" x14ac:dyDescent="0.25">
      <c r="A137" s="13" t="str">
        <f t="shared" si="4"/>
        <v>507142416130</v>
      </c>
      <c r="B137" s="10">
        <v>1004058014</v>
      </c>
      <c r="C137" s="10">
        <v>507142416</v>
      </c>
      <c r="D137" s="10">
        <v>130</v>
      </c>
      <c r="E137" s="10" t="s">
        <v>10</v>
      </c>
      <c r="F137" s="10">
        <v>1255976</v>
      </c>
      <c r="G137" s="10" t="s">
        <v>229</v>
      </c>
      <c r="H137" s="11">
        <v>10217</v>
      </c>
      <c r="I137" s="10">
        <v>0</v>
      </c>
      <c r="J137" s="11">
        <f t="shared" si="5"/>
        <v>10217</v>
      </c>
      <c r="K137" s="12">
        <f>VLOOKUP(A137,[5]VA05!$A:$K,11,FALSE)</f>
        <v>45573</v>
      </c>
      <c r="L137" s="10" t="s">
        <v>56</v>
      </c>
      <c r="M137" s="10" t="s">
        <v>194</v>
      </c>
    </row>
    <row r="138" spans="1:13" x14ac:dyDescent="0.25">
      <c r="A138" s="13" t="str">
        <f t="shared" si="4"/>
        <v>50714271380</v>
      </c>
      <c r="B138" s="10">
        <v>1004058015</v>
      </c>
      <c r="C138" s="10">
        <v>507142713</v>
      </c>
      <c r="D138" s="10">
        <v>80</v>
      </c>
      <c r="E138" s="10" t="s">
        <v>10</v>
      </c>
      <c r="F138" s="10">
        <v>1256193</v>
      </c>
      <c r="G138" s="10" t="s">
        <v>230</v>
      </c>
      <c r="H138" s="11">
        <v>10217</v>
      </c>
      <c r="I138" s="10">
        <v>0</v>
      </c>
      <c r="J138" s="11">
        <f t="shared" si="5"/>
        <v>10217</v>
      </c>
      <c r="K138" s="12">
        <f>VLOOKUP(A138,[5]VA05!$A:$K,11,FALSE)</f>
        <v>45591</v>
      </c>
      <c r="L138" s="10" t="s">
        <v>12</v>
      </c>
      <c r="M138" s="10" t="s">
        <v>204</v>
      </c>
    </row>
    <row r="139" spans="1:13" x14ac:dyDescent="0.25">
      <c r="A139" s="13" t="str">
        <f t="shared" si="4"/>
        <v>50714282210</v>
      </c>
      <c r="B139" s="10">
        <v>1004062956</v>
      </c>
      <c r="C139" s="10">
        <v>507142822</v>
      </c>
      <c r="D139" s="10">
        <v>10</v>
      </c>
      <c r="E139" s="10" t="s">
        <v>10</v>
      </c>
      <c r="F139" s="10">
        <v>1153314</v>
      </c>
      <c r="G139" s="10" t="s">
        <v>60</v>
      </c>
      <c r="H139" s="11">
        <v>26091</v>
      </c>
      <c r="I139" s="10">
        <v>0</v>
      </c>
      <c r="J139" s="11">
        <f t="shared" si="5"/>
        <v>26091</v>
      </c>
      <c r="K139" s="12">
        <f>VLOOKUP(A139,[5]VA05!$A:$K,11,FALSE)</f>
        <v>45589</v>
      </c>
      <c r="L139" s="10" t="s">
        <v>12</v>
      </c>
      <c r="M139" s="10" t="s">
        <v>203</v>
      </c>
    </row>
    <row r="140" spans="1:13" x14ac:dyDescent="0.25">
      <c r="A140" s="13" t="str">
        <f t="shared" si="4"/>
        <v>50714282110</v>
      </c>
      <c r="B140" s="10">
        <v>1004062957</v>
      </c>
      <c r="C140" s="10">
        <v>507142821</v>
      </c>
      <c r="D140" s="10">
        <v>10</v>
      </c>
      <c r="E140" s="10" t="s">
        <v>10</v>
      </c>
      <c r="F140" s="10">
        <v>1153314</v>
      </c>
      <c r="G140" s="10" t="s">
        <v>60</v>
      </c>
      <c r="H140" s="11">
        <v>26091</v>
      </c>
      <c r="I140" s="10">
        <v>0</v>
      </c>
      <c r="J140" s="11">
        <f t="shared" si="5"/>
        <v>26091</v>
      </c>
      <c r="K140" s="12">
        <f>VLOOKUP(A140,[5]VA05!$A:$K,11,FALSE)</f>
        <v>45589</v>
      </c>
      <c r="L140" s="10" t="s">
        <v>12</v>
      </c>
      <c r="M140" s="10" t="s">
        <v>203</v>
      </c>
    </row>
    <row r="141" spans="1:13" x14ac:dyDescent="0.25">
      <c r="A141" s="13" t="str">
        <f t="shared" si="4"/>
        <v>50714256520</v>
      </c>
      <c r="B141" s="10">
        <v>1004052388</v>
      </c>
      <c r="C141" s="10">
        <v>507142565</v>
      </c>
      <c r="D141" s="10">
        <v>20</v>
      </c>
      <c r="E141" s="10" t="s">
        <v>10</v>
      </c>
      <c r="F141" s="10">
        <v>1171801</v>
      </c>
      <c r="G141" s="10" t="s">
        <v>71</v>
      </c>
      <c r="H141" s="11">
        <v>79905</v>
      </c>
      <c r="I141" s="11">
        <v>51490</v>
      </c>
      <c r="J141" s="11">
        <f t="shared" si="5"/>
        <v>28415</v>
      </c>
      <c r="K141" s="12" t="e">
        <f>VLOOKUP(A141,[5]VA05!$A:$K,11,FALSE)</f>
        <v>#N/A</v>
      </c>
      <c r="L141" s="10" t="s">
        <v>11</v>
      </c>
      <c r="M141" s="10" t="s">
        <v>180</v>
      </c>
    </row>
    <row r="142" spans="1:13" x14ac:dyDescent="0.25">
      <c r="A142" s="13" t="str">
        <f t="shared" si="4"/>
        <v>50714263610</v>
      </c>
      <c r="B142" s="10">
        <v>1004066443</v>
      </c>
      <c r="C142" s="10">
        <v>507142636</v>
      </c>
      <c r="D142" s="10">
        <v>10</v>
      </c>
      <c r="E142" s="10" t="s">
        <v>24</v>
      </c>
      <c r="F142" s="10">
        <v>1182809</v>
      </c>
      <c r="G142" s="10" t="s">
        <v>313</v>
      </c>
      <c r="H142" s="11">
        <v>6000</v>
      </c>
      <c r="I142" s="10">
        <v>0</v>
      </c>
      <c r="J142" s="11">
        <f t="shared" si="5"/>
        <v>6000</v>
      </c>
      <c r="K142" s="12">
        <f>VLOOKUP(A142,[5]VA05!$A:$K,11,FALSE)</f>
        <v>45566</v>
      </c>
      <c r="L142" s="10" t="s">
        <v>25</v>
      </c>
      <c r="M142" s="10" t="s">
        <v>192</v>
      </c>
    </row>
    <row r="143" spans="1:13" x14ac:dyDescent="0.25">
      <c r="A143" s="13" t="str">
        <f t="shared" si="4"/>
        <v>50714276210</v>
      </c>
      <c r="B143" s="10">
        <v>1004062062</v>
      </c>
      <c r="C143" s="10">
        <v>507142762</v>
      </c>
      <c r="D143" s="10">
        <v>10</v>
      </c>
      <c r="E143" s="10" t="s">
        <v>24</v>
      </c>
      <c r="F143" s="10">
        <v>1162016</v>
      </c>
      <c r="G143" s="10" t="s">
        <v>172</v>
      </c>
      <c r="H143" s="11">
        <v>10000</v>
      </c>
      <c r="I143" s="10">
        <v>0</v>
      </c>
      <c r="J143" s="11">
        <f t="shared" si="5"/>
        <v>10000</v>
      </c>
      <c r="K143" s="12">
        <f>VLOOKUP(A143,[5]VA05!$A:$K,11,FALSE)</f>
        <v>45575</v>
      </c>
      <c r="L143" s="10" t="s">
        <v>29</v>
      </c>
      <c r="M143" s="10" t="s">
        <v>162</v>
      </c>
    </row>
    <row r="144" spans="1:13" x14ac:dyDescent="0.25">
      <c r="A144" s="13" t="str">
        <f t="shared" si="4"/>
        <v>50714263610</v>
      </c>
      <c r="B144" s="10">
        <v>1004040222</v>
      </c>
      <c r="C144" s="10">
        <v>507142636</v>
      </c>
      <c r="D144" s="10">
        <v>10</v>
      </c>
      <c r="E144" s="10" t="s">
        <v>10</v>
      </c>
      <c r="F144" s="10">
        <v>1437043</v>
      </c>
      <c r="G144" s="10" t="s">
        <v>115</v>
      </c>
      <c r="H144" s="11">
        <v>51125</v>
      </c>
      <c r="I144" s="11">
        <v>47050</v>
      </c>
      <c r="J144" s="11">
        <f t="shared" si="5"/>
        <v>4075</v>
      </c>
      <c r="K144" s="12">
        <f>VLOOKUP(A144,[5]VA05!$A:$K,11,FALSE)</f>
        <v>45566</v>
      </c>
      <c r="L144" s="10" t="s">
        <v>11</v>
      </c>
      <c r="M144" s="10" t="s">
        <v>116</v>
      </c>
    </row>
    <row r="145" spans="1:13" hidden="1" x14ac:dyDescent="0.25">
      <c r="A145" s="13" t="str">
        <f t="shared" si="4"/>
        <v>50714263850</v>
      </c>
      <c r="B145" s="10">
        <v>1004049841</v>
      </c>
      <c r="C145" s="10">
        <v>507142638</v>
      </c>
      <c r="D145" s="10">
        <v>50</v>
      </c>
      <c r="E145" s="10" t="s">
        <v>10</v>
      </c>
      <c r="F145" s="10">
        <v>1361170</v>
      </c>
      <c r="G145" s="10" t="s">
        <v>103</v>
      </c>
      <c r="H145" s="11">
        <v>27540</v>
      </c>
      <c r="I145" s="11">
        <v>27540</v>
      </c>
      <c r="J145" s="11">
        <f t="shared" si="5"/>
        <v>0</v>
      </c>
      <c r="K145" s="12">
        <f>VLOOKUP(A145,[5]VA05!$A:$K,11,FALSE)</f>
        <v>45579</v>
      </c>
      <c r="L145" s="10" t="s">
        <v>307</v>
      </c>
      <c r="M145" s="10" t="s">
        <v>143</v>
      </c>
    </row>
    <row r="146" spans="1:13" hidden="1" x14ac:dyDescent="0.25">
      <c r="A146" s="13" t="str">
        <f t="shared" si="4"/>
        <v>50714263850</v>
      </c>
      <c r="B146" s="10">
        <v>1004049843</v>
      </c>
      <c r="C146" s="10">
        <v>507142638</v>
      </c>
      <c r="D146" s="10">
        <v>50</v>
      </c>
      <c r="E146" s="10" t="s">
        <v>10</v>
      </c>
      <c r="F146" s="10">
        <v>1361170</v>
      </c>
      <c r="G146" s="10" t="s">
        <v>103</v>
      </c>
      <c r="H146" s="11">
        <v>27270</v>
      </c>
      <c r="I146" s="11">
        <v>27270</v>
      </c>
      <c r="J146" s="11">
        <f t="shared" si="5"/>
        <v>0</v>
      </c>
      <c r="K146" s="12">
        <f>VLOOKUP(A146,[5]VA05!$A:$K,11,FALSE)</f>
        <v>45579</v>
      </c>
      <c r="L146" s="10" t="s">
        <v>233</v>
      </c>
      <c r="M146" s="10" t="s">
        <v>143</v>
      </c>
    </row>
    <row r="147" spans="1:13" x14ac:dyDescent="0.25">
      <c r="A147" s="13" t="str">
        <f t="shared" si="4"/>
        <v>50714273810</v>
      </c>
      <c r="B147" s="10">
        <v>1004051551</v>
      </c>
      <c r="C147" s="10">
        <v>507142738</v>
      </c>
      <c r="D147" s="10">
        <v>10</v>
      </c>
      <c r="E147" s="10" t="s">
        <v>10</v>
      </c>
      <c r="F147" s="10">
        <v>1361170</v>
      </c>
      <c r="G147" s="10" t="s">
        <v>103</v>
      </c>
      <c r="H147" s="11">
        <v>27540</v>
      </c>
      <c r="I147" s="11">
        <v>6000</v>
      </c>
      <c r="J147" s="11">
        <f t="shared" si="5"/>
        <v>21540</v>
      </c>
      <c r="K147" s="12">
        <f>VLOOKUP(A147,[5]VA05!$A:$K,11,FALSE)</f>
        <v>45567</v>
      </c>
      <c r="L147" s="10" t="s">
        <v>34</v>
      </c>
      <c r="M147" s="10" t="s">
        <v>177</v>
      </c>
    </row>
    <row r="148" spans="1:13" x14ac:dyDescent="0.25">
      <c r="A148" s="13" t="str">
        <f t="shared" si="4"/>
        <v>50714273810</v>
      </c>
      <c r="B148" s="10">
        <v>1004051552</v>
      </c>
      <c r="C148" s="10">
        <v>507142738</v>
      </c>
      <c r="D148" s="10">
        <v>10</v>
      </c>
      <c r="E148" s="10" t="s">
        <v>10</v>
      </c>
      <c r="F148" s="10">
        <v>1361170</v>
      </c>
      <c r="G148" s="10" t="s">
        <v>103</v>
      </c>
      <c r="H148" s="11">
        <v>27540</v>
      </c>
      <c r="I148" s="10">
        <v>0</v>
      </c>
      <c r="J148" s="11">
        <f t="shared" si="5"/>
        <v>27540</v>
      </c>
      <c r="K148" s="12">
        <f>VLOOKUP(A148,[5]VA05!$A:$K,11,FALSE)</f>
        <v>45567</v>
      </c>
      <c r="L148" s="10" t="s">
        <v>310</v>
      </c>
      <c r="M148" s="10" t="s">
        <v>192</v>
      </c>
    </row>
    <row r="149" spans="1:13" x14ac:dyDescent="0.25">
      <c r="A149" s="13" t="str">
        <f t="shared" si="4"/>
        <v>50714273810</v>
      </c>
      <c r="B149" s="10">
        <v>1004051553</v>
      </c>
      <c r="C149" s="10">
        <v>507142738</v>
      </c>
      <c r="D149" s="10">
        <v>10</v>
      </c>
      <c r="E149" s="10" t="s">
        <v>10</v>
      </c>
      <c r="F149" s="10">
        <v>1361170</v>
      </c>
      <c r="G149" s="10" t="s">
        <v>103</v>
      </c>
      <c r="H149" s="11">
        <v>27540</v>
      </c>
      <c r="I149" s="10">
        <v>0</v>
      </c>
      <c r="J149" s="11">
        <f t="shared" si="5"/>
        <v>27540</v>
      </c>
      <c r="K149" s="12">
        <f>VLOOKUP(A149,[5]VA05!$A:$K,11,FALSE)</f>
        <v>45567</v>
      </c>
      <c r="L149" s="10" t="s">
        <v>235</v>
      </c>
      <c r="M149" s="10" t="s">
        <v>192</v>
      </c>
    </row>
    <row r="150" spans="1:13" x14ac:dyDescent="0.25">
      <c r="A150" s="13" t="str">
        <f t="shared" si="4"/>
        <v>50714273810</v>
      </c>
      <c r="B150" s="10">
        <v>1004051554</v>
      </c>
      <c r="C150" s="10">
        <v>507142738</v>
      </c>
      <c r="D150" s="10">
        <v>10</v>
      </c>
      <c r="E150" s="10" t="s">
        <v>10</v>
      </c>
      <c r="F150" s="10">
        <v>1361170</v>
      </c>
      <c r="G150" s="10" t="s">
        <v>103</v>
      </c>
      <c r="H150" s="11">
        <v>27540</v>
      </c>
      <c r="I150" s="10">
        <v>0</v>
      </c>
      <c r="J150" s="11">
        <f t="shared" si="5"/>
        <v>27540</v>
      </c>
      <c r="K150" s="12">
        <f>VLOOKUP(A150,[5]VA05!$A:$K,11,FALSE)</f>
        <v>45567</v>
      </c>
      <c r="L150" s="10" t="s">
        <v>25</v>
      </c>
      <c r="M150" s="10" t="s">
        <v>192</v>
      </c>
    </row>
    <row r="151" spans="1:13" hidden="1" x14ac:dyDescent="0.25">
      <c r="A151" s="13" t="str">
        <f t="shared" si="4"/>
        <v>50714269230</v>
      </c>
      <c r="B151" s="10">
        <v>1004059598</v>
      </c>
      <c r="C151" s="10">
        <v>507142692</v>
      </c>
      <c r="D151" s="10">
        <v>30</v>
      </c>
      <c r="E151" s="10" t="s">
        <v>10</v>
      </c>
      <c r="F151" s="10">
        <v>1367372</v>
      </c>
      <c r="G151" s="10" t="s">
        <v>62</v>
      </c>
      <c r="H151" s="11">
        <v>25110</v>
      </c>
      <c r="I151" s="11">
        <v>25110</v>
      </c>
      <c r="J151" s="11">
        <f t="shared" si="5"/>
        <v>0</v>
      </c>
      <c r="K151" s="12">
        <f>VLOOKUP(A151,[5]VA05!$A:$K,11,FALSE)</f>
        <v>45576</v>
      </c>
      <c r="L151" s="10" t="s">
        <v>34</v>
      </c>
      <c r="M151" s="10" t="s">
        <v>197</v>
      </c>
    </row>
    <row r="152" spans="1:13" x14ac:dyDescent="0.25">
      <c r="A152" s="13" t="str">
        <f t="shared" si="4"/>
        <v>50714269230</v>
      </c>
      <c r="B152" s="10">
        <v>1004059599</v>
      </c>
      <c r="C152" s="10">
        <v>507142692</v>
      </c>
      <c r="D152" s="10">
        <v>30</v>
      </c>
      <c r="E152" s="10" t="s">
        <v>10</v>
      </c>
      <c r="F152" s="10">
        <v>1367372</v>
      </c>
      <c r="G152" s="10" t="s">
        <v>62</v>
      </c>
      <c r="H152" s="11">
        <v>25110</v>
      </c>
      <c r="I152" s="11">
        <v>11800</v>
      </c>
      <c r="J152" s="11">
        <f t="shared" si="5"/>
        <v>13310</v>
      </c>
      <c r="K152" s="12">
        <f>VLOOKUP(A152,[5]VA05!$A:$K,11,FALSE)</f>
        <v>45576</v>
      </c>
      <c r="L152" s="10" t="s">
        <v>34</v>
      </c>
      <c r="M152" s="10" t="s">
        <v>192</v>
      </c>
    </row>
    <row r="153" spans="1:13" x14ac:dyDescent="0.25">
      <c r="A153" s="13" t="str">
        <f t="shared" si="4"/>
        <v>50714269230</v>
      </c>
      <c r="B153" s="10">
        <v>1004059600</v>
      </c>
      <c r="C153" s="10">
        <v>507142692</v>
      </c>
      <c r="D153" s="10">
        <v>30</v>
      </c>
      <c r="E153" s="10" t="s">
        <v>10</v>
      </c>
      <c r="F153" s="10">
        <v>1367372</v>
      </c>
      <c r="G153" s="10" t="s">
        <v>62</v>
      </c>
      <c r="H153" s="11">
        <v>25110</v>
      </c>
      <c r="I153" s="10">
        <v>0</v>
      </c>
      <c r="J153" s="11">
        <f t="shared" si="5"/>
        <v>25110</v>
      </c>
      <c r="K153" s="12">
        <f>VLOOKUP(A153,[5]VA05!$A:$K,11,FALSE)</f>
        <v>45576</v>
      </c>
      <c r="L153" s="10" t="s">
        <v>234</v>
      </c>
      <c r="M153" s="10" t="s">
        <v>178</v>
      </c>
    </row>
    <row r="154" spans="1:13" x14ac:dyDescent="0.25">
      <c r="A154" s="13" t="str">
        <f t="shared" si="4"/>
        <v>50714269230</v>
      </c>
      <c r="B154" s="10">
        <v>1004059601</v>
      </c>
      <c r="C154" s="10">
        <v>507142692</v>
      </c>
      <c r="D154" s="10">
        <v>30</v>
      </c>
      <c r="E154" s="10" t="s">
        <v>10</v>
      </c>
      <c r="F154" s="10">
        <v>1367372</v>
      </c>
      <c r="G154" s="10" t="s">
        <v>62</v>
      </c>
      <c r="H154" s="11">
        <v>24570</v>
      </c>
      <c r="I154" s="10">
        <v>0</v>
      </c>
      <c r="J154" s="11">
        <f t="shared" si="5"/>
        <v>24570</v>
      </c>
      <c r="K154" s="12">
        <f>VLOOKUP(A154,[5]VA05!$A:$K,11,FALSE)</f>
        <v>45576</v>
      </c>
      <c r="L154" s="10" t="s">
        <v>234</v>
      </c>
      <c r="M154" s="10" t="s">
        <v>178</v>
      </c>
    </row>
    <row r="155" spans="1:13" x14ac:dyDescent="0.25">
      <c r="A155" s="13" t="str">
        <f t="shared" si="4"/>
        <v>50714263860</v>
      </c>
      <c r="B155" s="10">
        <v>1004049846</v>
      </c>
      <c r="C155" s="10">
        <v>507142638</v>
      </c>
      <c r="D155" s="10">
        <v>60</v>
      </c>
      <c r="E155" s="10" t="s">
        <v>10</v>
      </c>
      <c r="F155" s="10">
        <v>1361175</v>
      </c>
      <c r="G155" s="10" t="s">
        <v>22</v>
      </c>
      <c r="H155" s="11">
        <v>36190</v>
      </c>
      <c r="I155" s="11">
        <v>21608</v>
      </c>
      <c r="J155" s="11">
        <f t="shared" si="5"/>
        <v>14582</v>
      </c>
      <c r="K155" s="12">
        <f>VLOOKUP(A155,[5]VA05!$A:$K,11,FALSE)</f>
        <v>45579</v>
      </c>
      <c r="L155" s="10" t="s">
        <v>233</v>
      </c>
      <c r="M155" s="10" t="s">
        <v>97</v>
      </c>
    </row>
    <row r="156" spans="1:13" x14ac:dyDescent="0.25">
      <c r="A156" s="13" t="str">
        <f t="shared" si="4"/>
        <v>50714273820</v>
      </c>
      <c r="B156" s="10">
        <v>1004064517</v>
      </c>
      <c r="C156" s="10">
        <v>507142738</v>
      </c>
      <c r="D156" s="10">
        <v>20</v>
      </c>
      <c r="E156" s="10" t="s">
        <v>10</v>
      </c>
      <c r="F156" s="10">
        <v>1361175</v>
      </c>
      <c r="G156" s="10" t="s">
        <v>22</v>
      </c>
      <c r="H156" s="11">
        <v>36936</v>
      </c>
      <c r="I156" s="10">
        <v>0</v>
      </c>
      <c r="J156" s="11">
        <f t="shared" si="5"/>
        <v>36936</v>
      </c>
      <c r="K156" s="12">
        <f>VLOOKUP(A156,[5]VA05!$A:$K,11,FALSE)</f>
        <v>45567</v>
      </c>
      <c r="L156" s="10" t="s">
        <v>120</v>
      </c>
      <c r="M156" s="10" t="s">
        <v>179</v>
      </c>
    </row>
    <row r="157" spans="1:13" x14ac:dyDescent="0.25">
      <c r="A157" s="13" t="str">
        <f t="shared" si="4"/>
        <v>50714273820</v>
      </c>
      <c r="B157" s="10">
        <v>1004064518</v>
      </c>
      <c r="C157" s="10">
        <v>507142738</v>
      </c>
      <c r="D157" s="10">
        <v>20</v>
      </c>
      <c r="E157" s="10" t="s">
        <v>10</v>
      </c>
      <c r="F157" s="10">
        <v>1361175</v>
      </c>
      <c r="G157" s="10" t="s">
        <v>22</v>
      </c>
      <c r="H157" s="11">
        <v>36936</v>
      </c>
      <c r="I157" s="10">
        <v>0</v>
      </c>
      <c r="J157" s="11">
        <f t="shared" si="5"/>
        <v>36936</v>
      </c>
      <c r="K157" s="12">
        <f>VLOOKUP(A157,[5]VA05!$A:$K,11,FALSE)</f>
        <v>45567</v>
      </c>
      <c r="L157" s="10" t="s">
        <v>29</v>
      </c>
      <c r="M157" s="10" t="s">
        <v>179</v>
      </c>
    </row>
    <row r="158" spans="1:13" x14ac:dyDescent="0.25">
      <c r="A158" s="13" t="str">
        <f t="shared" si="4"/>
        <v>50714273820</v>
      </c>
      <c r="B158" s="10">
        <v>1004064519</v>
      </c>
      <c r="C158" s="10">
        <v>507142738</v>
      </c>
      <c r="D158" s="10">
        <v>20</v>
      </c>
      <c r="E158" s="10" t="s">
        <v>10</v>
      </c>
      <c r="F158" s="10">
        <v>1361175</v>
      </c>
      <c r="G158" s="10" t="s">
        <v>22</v>
      </c>
      <c r="H158" s="11">
        <v>36288</v>
      </c>
      <c r="I158" s="10">
        <v>0</v>
      </c>
      <c r="J158" s="11">
        <f t="shared" si="5"/>
        <v>36288</v>
      </c>
      <c r="K158" s="12">
        <f>VLOOKUP(A158,[5]VA05!$A:$K,11,FALSE)</f>
        <v>45567</v>
      </c>
      <c r="L158" s="10" t="s">
        <v>25</v>
      </c>
      <c r="M158" s="10" t="s">
        <v>192</v>
      </c>
    </row>
    <row r="159" spans="1:13" x14ac:dyDescent="0.25">
      <c r="A159" s="13" t="str">
        <f t="shared" si="4"/>
        <v>50714279020</v>
      </c>
      <c r="B159" s="10">
        <v>1004064520</v>
      </c>
      <c r="C159" s="10">
        <v>507142790</v>
      </c>
      <c r="D159" s="10">
        <v>20</v>
      </c>
      <c r="E159" s="10" t="s">
        <v>10</v>
      </c>
      <c r="F159" s="10">
        <v>1361175</v>
      </c>
      <c r="G159" s="10" t="s">
        <v>22</v>
      </c>
      <c r="H159" s="11">
        <v>36936</v>
      </c>
      <c r="I159" s="10">
        <v>0</v>
      </c>
      <c r="J159" s="11">
        <f t="shared" si="5"/>
        <v>36936</v>
      </c>
      <c r="K159" s="12">
        <f>VLOOKUP(A159,[5]VA05!$A:$K,11,FALSE)</f>
        <v>45583</v>
      </c>
      <c r="L159" s="10" t="s">
        <v>12</v>
      </c>
      <c r="M159" s="10" t="s">
        <v>193</v>
      </c>
    </row>
    <row r="160" spans="1:13" x14ac:dyDescent="0.25">
      <c r="A160" s="13" t="str">
        <f t="shared" si="4"/>
        <v>50714279020</v>
      </c>
      <c r="B160" s="10">
        <v>1004064521</v>
      </c>
      <c r="C160" s="10">
        <v>507142790</v>
      </c>
      <c r="D160" s="10">
        <v>20</v>
      </c>
      <c r="E160" s="10" t="s">
        <v>10</v>
      </c>
      <c r="F160" s="10">
        <v>1361175</v>
      </c>
      <c r="G160" s="10" t="s">
        <v>22</v>
      </c>
      <c r="H160" s="11">
        <v>36936</v>
      </c>
      <c r="I160" s="10">
        <v>0</v>
      </c>
      <c r="J160" s="11">
        <f t="shared" si="5"/>
        <v>36936</v>
      </c>
      <c r="K160" s="12">
        <f>VLOOKUP(A160,[5]VA05!$A:$K,11,FALSE)</f>
        <v>45583</v>
      </c>
      <c r="L160" s="10" t="s">
        <v>12</v>
      </c>
      <c r="M160" s="10" t="s">
        <v>193</v>
      </c>
    </row>
    <row r="161" spans="1:13" x14ac:dyDescent="0.25">
      <c r="A161" s="13" t="str">
        <f t="shared" si="4"/>
        <v>50714279020</v>
      </c>
      <c r="B161" s="10">
        <v>1004064522</v>
      </c>
      <c r="C161" s="10">
        <v>507142790</v>
      </c>
      <c r="D161" s="10">
        <v>20</v>
      </c>
      <c r="E161" s="10" t="s">
        <v>10</v>
      </c>
      <c r="F161" s="10">
        <v>1361175</v>
      </c>
      <c r="G161" s="10" t="s">
        <v>22</v>
      </c>
      <c r="H161" s="11">
        <v>36288</v>
      </c>
      <c r="I161" s="10">
        <v>0</v>
      </c>
      <c r="J161" s="11">
        <f t="shared" si="5"/>
        <v>36288</v>
      </c>
      <c r="K161" s="12">
        <f>VLOOKUP(A161,[5]VA05!$A:$K,11,FALSE)</f>
        <v>45583</v>
      </c>
      <c r="L161" s="10" t="s">
        <v>12</v>
      </c>
      <c r="M161" s="10" t="s">
        <v>193</v>
      </c>
    </row>
    <row r="162" spans="1:13" x14ac:dyDescent="0.25">
      <c r="A162" s="13" t="str">
        <f t="shared" si="4"/>
        <v>50714269240</v>
      </c>
      <c r="B162" s="10">
        <v>1004060928</v>
      </c>
      <c r="C162" s="10">
        <v>507142692</v>
      </c>
      <c r="D162" s="10">
        <v>40</v>
      </c>
      <c r="E162" s="10" t="s">
        <v>10</v>
      </c>
      <c r="F162" s="10">
        <v>1367370</v>
      </c>
      <c r="G162" s="10" t="s">
        <v>63</v>
      </c>
      <c r="H162" s="11">
        <v>32400</v>
      </c>
      <c r="I162" s="11">
        <v>15894</v>
      </c>
      <c r="J162" s="11">
        <f t="shared" si="5"/>
        <v>16506</v>
      </c>
      <c r="K162" s="12">
        <f>VLOOKUP(A162,[5]VA05!$A:$K,11,FALSE)</f>
        <v>45575</v>
      </c>
      <c r="L162" s="10" t="s">
        <v>34</v>
      </c>
      <c r="M162" s="10" t="s">
        <v>178</v>
      </c>
    </row>
    <row r="163" spans="1:13" x14ac:dyDescent="0.25">
      <c r="A163" s="13" t="str">
        <f t="shared" si="4"/>
        <v>50714269240</v>
      </c>
      <c r="B163" s="10">
        <v>1004061129</v>
      </c>
      <c r="C163" s="10">
        <v>507142692</v>
      </c>
      <c r="D163" s="10">
        <v>40</v>
      </c>
      <c r="E163" s="10" t="s">
        <v>10</v>
      </c>
      <c r="F163" s="10">
        <v>1367370</v>
      </c>
      <c r="G163" s="10" t="s">
        <v>63</v>
      </c>
      <c r="H163" s="11">
        <v>34400</v>
      </c>
      <c r="I163" s="10">
        <v>0</v>
      </c>
      <c r="J163" s="11">
        <f t="shared" si="5"/>
        <v>34400</v>
      </c>
      <c r="K163" s="12">
        <f>VLOOKUP(A163,[5]VA05!$A:$K,11,FALSE)</f>
        <v>45575</v>
      </c>
      <c r="L163" s="10" t="s">
        <v>234</v>
      </c>
      <c r="M163" s="10" t="s">
        <v>178</v>
      </c>
    </row>
    <row r="164" spans="1:13" x14ac:dyDescent="0.25">
      <c r="A164" s="13" t="str">
        <f t="shared" si="4"/>
        <v>50714269240</v>
      </c>
      <c r="B164" s="10">
        <v>1004066470</v>
      </c>
      <c r="C164" s="10">
        <v>507142692</v>
      </c>
      <c r="D164" s="10">
        <v>40</v>
      </c>
      <c r="E164" s="10" t="s">
        <v>10</v>
      </c>
      <c r="F164" s="10">
        <v>1367370</v>
      </c>
      <c r="G164" s="10" t="s">
        <v>63</v>
      </c>
      <c r="H164" s="10">
        <v>700</v>
      </c>
      <c r="I164" s="10">
        <v>0</v>
      </c>
      <c r="J164" s="11">
        <f t="shared" si="5"/>
        <v>700</v>
      </c>
      <c r="K164" s="12">
        <f>VLOOKUP(A164,[5]VA05!$A:$K,11,FALSE)</f>
        <v>45575</v>
      </c>
      <c r="L164" s="10" t="s">
        <v>234</v>
      </c>
      <c r="M164" s="10" t="s">
        <v>177</v>
      </c>
    </row>
    <row r="165" spans="1:13" hidden="1" x14ac:dyDescent="0.25">
      <c r="A165" s="13" t="str">
        <f t="shared" si="4"/>
        <v>50714263850</v>
      </c>
      <c r="B165" s="10">
        <v>1004043126</v>
      </c>
      <c r="C165" s="10">
        <v>507142638</v>
      </c>
      <c r="D165" s="10">
        <v>50</v>
      </c>
      <c r="E165" s="10" t="s">
        <v>10</v>
      </c>
      <c r="F165" s="10">
        <v>1361213</v>
      </c>
      <c r="G165" s="10" t="s">
        <v>23</v>
      </c>
      <c r="H165" s="11">
        <v>113187</v>
      </c>
      <c r="I165" s="11">
        <v>113187</v>
      </c>
      <c r="J165" s="11">
        <f t="shared" si="5"/>
        <v>0</v>
      </c>
      <c r="K165" s="12">
        <f>VLOOKUP(A165,[5]VA05!$A:$K,11,FALSE)</f>
        <v>45579</v>
      </c>
      <c r="L165" s="10" t="s">
        <v>113</v>
      </c>
      <c r="M165" s="10" t="s">
        <v>178</v>
      </c>
    </row>
    <row r="166" spans="1:13" x14ac:dyDescent="0.25">
      <c r="A166" s="13" t="str">
        <f t="shared" si="4"/>
        <v>50714273810</v>
      </c>
      <c r="B166" s="10">
        <v>1004053617</v>
      </c>
      <c r="C166" s="10">
        <v>507142738</v>
      </c>
      <c r="D166" s="10">
        <v>10</v>
      </c>
      <c r="E166" s="10" t="s">
        <v>10</v>
      </c>
      <c r="F166" s="10">
        <v>1361213</v>
      </c>
      <c r="G166" s="10" t="s">
        <v>23</v>
      </c>
      <c r="H166" s="11">
        <v>113468</v>
      </c>
      <c r="I166" s="10">
        <v>0</v>
      </c>
      <c r="J166" s="11">
        <f t="shared" si="5"/>
        <v>113468</v>
      </c>
      <c r="K166" s="12">
        <f>VLOOKUP(A166,[5]VA05!$A:$K,11,FALSE)</f>
        <v>45567</v>
      </c>
      <c r="L166" s="10" t="s">
        <v>12</v>
      </c>
      <c r="M166" s="10" t="s">
        <v>130</v>
      </c>
    </row>
    <row r="167" spans="1:13" x14ac:dyDescent="0.25">
      <c r="A167" s="13" t="str">
        <f t="shared" si="4"/>
        <v>50714279010</v>
      </c>
      <c r="B167" s="10">
        <v>1004053618</v>
      </c>
      <c r="C167" s="10">
        <v>507142790</v>
      </c>
      <c r="D167" s="10">
        <v>10</v>
      </c>
      <c r="E167" s="10" t="s">
        <v>10</v>
      </c>
      <c r="F167" s="10">
        <v>1361213</v>
      </c>
      <c r="G167" s="10" t="s">
        <v>23</v>
      </c>
      <c r="H167" s="11">
        <v>113465</v>
      </c>
      <c r="I167" s="10">
        <v>0</v>
      </c>
      <c r="J167" s="11">
        <f t="shared" si="5"/>
        <v>113465</v>
      </c>
      <c r="K167" s="12">
        <f>VLOOKUP(A167,[5]VA05!$A:$K,11,FALSE)</f>
        <v>45583</v>
      </c>
      <c r="L167" s="10" t="s">
        <v>12</v>
      </c>
      <c r="M167" s="10" t="s">
        <v>180</v>
      </c>
    </row>
    <row r="168" spans="1:13" x14ac:dyDescent="0.25">
      <c r="A168" s="13" t="str">
        <f t="shared" si="4"/>
        <v>50714269230</v>
      </c>
      <c r="B168" s="10">
        <v>1004062502</v>
      </c>
      <c r="C168" s="10">
        <v>507142692</v>
      </c>
      <c r="D168" s="10">
        <v>30</v>
      </c>
      <c r="E168" s="10" t="s">
        <v>10</v>
      </c>
      <c r="F168" s="10">
        <v>1361213</v>
      </c>
      <c r="G168" s="10" t="s">
        <v>23</v>
      </c>
      <c r="H168" s="11">
        <v>102900</v>
      </c>
      <c r="I168" s="11">
        <v>4600</v>
      </c>
      <c r="J168" s="11">
        <f t="shared" si="5"/>
        <v>98300</v>
      </c>
      <c r="K168" s="12">
        <f>VLOOKUP(A168,[5]VA05!$A:$K,11,FALSE)</f>
        <v>45576</v>
      </c>
      <c r="L168" s="10" t="s">
        <v>18</v>
      </c>
      <c r="M168" s="10" t="s">
        <v>177</v>
      </c>
    </row>
    <row r="169" spans="1:13" x14ac:dyDescent="0.25">
      <c r="A169" s="13" t="str">
        <f t="shared" si="4"/>
        <v>50714283110</v>
      </c>
      <c r="B169" s="10">
        <v>1004062504</v>
      </c>
      <c r="C169" s="10">
        <v>507142831</v>
      </c>
      <c r="D169" s="10">
        <v>10</v>
      </c>
      <c r="E169" s="10" t="s">
        <v>10</v>
      </c>
      <c r="F169" s="10">
        <v>1361213</v>
      </c>
      <c r="G169" s="10" t="s">
        <v>23</v>
      </c>
      <c r="H169" s="11">
        <v>51727</v>
      </c>
      <c r="I169" s="10">
        <v>0</v>
      </c>
      <c r="J169" s="11">
        <f t="shared" si="5"/>
        <v>51727</v>
      </c>
      <c r="K169" s="12">
        <f>VLOOKUP(A169,[5]VA05!$A:$K,11,FALSE)</f>
        <v>45587</v>
      </c>
      <c r="L169" s="10" t="s">
        <v>12</v>
      </c>
      <c r="M169" s="10" t="s">
        <v>179</v>
      </c>
    </row>
    <row r="170" spans="1:13" hidden="1" x14ac:dyDescent="0.25">
      <c r="A170" s="13" t="str">
        <f t="shared" si="4"/>
        <v>50714263750</v>
      </c>
      <c r="B170" s="10">
        <v>1004053626</v>
      </c>
      <c r="C170" s="10">
        <v>507142637</v>
      </c>
      <c r="D170" s="10">
        <v>50</v>
      </c>
      <c r="E170" s="10" t="s">
        <v>10</v>
      </c>
      <c r="F170" s="10">
        <v>1408740</v>
      </c>
      <c r="G170" s="10" t="s">
        <v>104</v>
      </c>
      <c r="H170" s="11">
        <v>27540</v>
      </c>
      <c r="I170" s="11">
        <v>27540</v>
      </c>
      <c r="J170" s="11">
        <f t="shared" si="5"/>
        <v>0</v>
      </c>
      <c r="K170" s="12" t="e">
        <f>VLOOKUP(A170,[5]VA05!$A:$K,11,FALSE)</f>
        <v>#N/A</v>
      </c>
      <c r="L170" s="10" t="s">
        <v>233</v>
      </c>
      <c r="M170" s="10" t="s">
        <v>154</v>
      </c>
    </row>
    <row r="171" spans="1:13" hidden="1" x14ac:dyDescent="0.25">
      <c r="A171" s="13" t="str">
        <f t="shared" si="4"/>
        <v>50714263750</v>
      </c>
      <c r="B171" s="10">
        <v>1004053627</v>
      </c>
      <c r="C171" s="10">
        <v>507142637</v>
      </c>
      <c r="D171" s="10">
        <v>50</v>
      </c>
      <c r="E171" s="10" t="s">
        <v>10</v>
      </c>
      <c r="F171" s="10">
        <v>1408740</v>
      </c>
      <c r="G171" s="10" t="s">
        <v>104</v>
      </c>
      <c r="H171" s="11">
        <v>27540</v>
      </c>
      <c r="I171" s="11">
        <v>27540</v>
      </c>
      <c r="J171" s="11">
        <f t="shared" si="5"/>
        <v>0</v>
      </c>
      <c r="K171" s="12" t="e">
        <f>VLOOKUP(A171,[5]VA05!$A:$K,11,FALSE)</f>
        <v>#N/A</v>
      </c>
      <c r="L171" s="10" t="s">
        <v>233</v>
      </c>
      <c r="M171" s="10" t="s">
        <v>194</v>
      </c>
    </row>
    <row r="172" spans="1:13" hidden="1" x14ac:dyDescent="0.25">
      <c r="A172" s="13" t="str">
        <f t="shared" si="4"/>
        <v>50714263750</v>
      </c>
      <c r="B172" s="10">
        <v>1004053628</v>
      </c>
      <c r="C172" s="10">
        <v>507142637</v>
      </c>
      <c r="D172" s="10">
        <v>50</v>
      </c>
      <c r="E172" s="10" t="s">
        <v>10</v>
      </c>
      <c r="F172" s="10">
        <v>1408740</v>
      </c>
      <c r="G172" s="10" t="s">
        <v>104</v>
      </c>
      <c r="H172" s="11">
        <v>27540</v>
      </c>
      <c r="I172" s="11">
        <v>27540</v>
      </c>
      <c r="J172" s="11">
        <f t="shared" si="5"/>
        <v>0</v>
      </c>
      <c r="K172" s="12" t="e">
        <f>VLOOKUP(A172,[5]VA05!$A:$K,11,FALSE)</f>
        <v>#N/A</v>
      </c>
      <c r="L172" s="10" t="s">
        <v>34</v>
      </c>
      <c r="M172" s="10" t="s">
        <v>178</v>
      </c>
    </row>
    <row r="173" spans="1:13" hidden="1" x14ac:dyDescent="0.25">
      <c r="A173" s="13" t="str">
        <f t="shared" si="4"/>
        <v>50714269810</v>
      </c>
      <c r="B173" s="10">
        <v>1004061888</v>
      </c>
      <c r="C173" s="10">
        <v>507142698</v>
      </c>
      <c r="D173" s="10">
        <v>10</v>
      </c>
      <c r="E173" s="10" t="s">
        <v>10</v>
      </c>
      <c r="F173" s="10">
        <v>1408740</v>
      </c>
      <c r="G173" s="10" t="s">
        <v>104</v>
      </c>
      <c r="H173" s="11">
        <v>27540</v>
      </c>
      <c r="I173" s="11">
        <v>27540</v>
      </c>
      <c r="J173" s="11">
        <f t="shared" si="5"/>
        <v>0</v>
      </c>
      <c r="K173" s="12">
        <f>VLOOKUP(A173,[5]VA05!$A:$K,11,FALSE)</f>
        <v>45553</v>
      </c>
      <c r="L173" s="10" t="s">
        <v>248</v>
      </c>
      <c r="M173" s="10" t="s">
        <v>202</v>
      </c>
    </row>
    <row r="174" spans="1:13" hidden="1" x14ac:dyDescent="0.25">
      <c r="A174" s="13" t="str">
        <f t="shared" si="4"/>
        <v>50714269810</v>
      </c>
      <c r="B174" s="10">
        <v>1004062029</v>
      </c>
      <c r="C174" s="10">
        <v>507142698</v>
      </c>
      <c r="D174" s="10">
        <v>10</v>
      </c>
      <c r="E174" s="10" t="s">
        <v>10</v>
      </c>
      <c r="F174" s="10">
        <v>1408740</v>
      </c>
      <c r="G174" s="10" t="s">
        <v>104</v>
      </c>
      <c r="H174" s="11">
        <v>27540</v>
      </c>
      <c r="I174" s="11">
        <v>27540</v>
      </c>
      <c r="J174" s="11">
        <f t="shared" si="5"/>
        <v>0</v>
      </c>
      <c r="K174" s="12">
        <f>VLOOKUP(A174,[5]VA05!$A:$K,11,FALSE)</f>
        <v>45553</v>
      </c>
      <c r="L174" s="10" t="s">
        <v>34</v>
      </c>
      <c r="M174" s="10" t="s">
        <v>202</v>
      </c>
    </row>
    <row r="175" spans="1:13" x14ac:dyDescent="0.25">
      <c r="A175" s="13" t="str">
        <f t="shared" si="4"/>
        <v>50714269810</v>
      </c>
      <c r="B175" s="10">
        <v>1004062030</v>
      </c>
      <c r="C175" s="10">
        <v>507142698</v>
      </c>
      <c r="D175" s="10">
        <v>10</v>
      </c>
      <c r="E175" s="10" t="s">
        <v>10</v>
      </c>
      <c r="F175" s="10">
        <v>1408740</v>
      </c>
      <c r="G175" s="10" t="s">
        <v>104</v>
      </c>
      <c r="H175" s="11">
        <v>27540</v>
      </c>
      <c r="I175" s="11">
        <v>9652</v>
      </c>
      <c r="J175" s="11">
        <f t="shared" si="5"/>
        <v>17888</v>
      </c>
      <c r="K175" s="12">
        <f>VLOOKUP(A175,[5]VA05!$A:$K,11,FALSE)</f>
        <v>45553</v>
      </c>
      <c r="L175" s="10" t="s">
        <v>28</v>
      </c>
      <c r="M175" s="10" t="s">
        <v>202</v>
      </c>
    </row>
    <row r="176" spans="1:13" x14ac:dyDescent="0.25">
      <c r="A176" s="13" t="str">
        <f t="shared" si="4"/>
        <v>50714269830</v>
      </c>
      <c r="B176" s="10">
        <v>1004062031</v>
      </c>
      <c r="C176" s="10">
        <v>507142698</v>
      </c>
      <c r="D176" s="10">
        <v>30</v>
      </c>
      <c r="E176" s="10" t="s">
        <v>10</v>
      </c>
      <c r="F176" s="10">
        <v>1408740</v>
      </c>
      <c r="G176" s="10" t="s">
        <v>104</v>
      </c>
      <c r="H176" s="11">
        <v>27540</v>
      </c>
      <c r="I176" s="10">
        <v>0</v>
      </c>
      <c r="J176" s="11">
        <f t="shared" si="5"/>
        <v>27540</v>
      </c>
      <c r="K176" s="12">
        <f>VLOOKUP(A176,[5]VA05!$A:$K,11,FALSE)</f>
        <v>45567</v>
      </c>
      <c r="L176" s="10" t="s">
        <v>12</v>
      </c>
      <c r="M176" s="10" t="s">
        <v>197</v>
      </c>
    </row>
    <row r="177" spans="1:13" x14ac:dyDescent="0.25">
      <c r="A177" s="13" t="str">
        <f t="shared" si="4"/>
        <v>50714269830</v>
      </c>
      <c r="B177" s="10">
        <v>1004062032</v>
      </c>
      <c r="C177" s="10">
        <v>507142698</v>
      </c>
      <c r="D177" s="10">
        <v>30</v>
      </c>
      <c r="E177" s="10" t="s">
        <v>10</v>
      </c>
      <c r="F177" s="10">
        <v>1408740</v>
      </c>
      <c r="G177" s="10" t="s">
        <v>104</v>
      </c>
      <c r="H177" s="11">
        <v>27540</v>
      </c>
      <c r="I177" s="10">
        <v>0</v>
      </c>
      <c r="J177" s="11">
        <f t="shared" si="5"/>
        <v>27540</v>
      </c>
      <c r="K177" s="12">
        <f>VLOOKUP(A177,[5]VA05!$A:$K,11,FALSE)</f>
        <v>45567</v>
      </c>
      <c r="L177" s="10" t="s">
        <v>12</v>
      </c>
      <c r="M177" s="10" t="s">
        <v>197</v>
      </c>
    </row>
    <row r="178" spans="1:13" x14ac:dyDescent="0.25">
      <c r="A178" s="13" t="str">
        <f t="shared" si="4"/>
        <v>50714269830</v>
      </c>
      <c r="B178" s="10">
        <v>1004062033</v>
      </c>
      <c r="C178" s="10">
        <v>507142698</v>
      </c>
      <c r="D178" s="10">
        <v>30</v>
      </c>
      <c r="E178" s="10" t="s">
        <v>10</v>
      </c>
      <c r="F178" s="10">
        <v>1408740</v>
      </c>
      <c r="G178" s="10" t="s">
        <v>104</v>
      </c>
      <c r="H178" s="11">
        <v>27540</v>
      </c>
      <c r="I178" s="10">
        <v>0</v>
      </c>
      <c r="J178" s="11">
        <f t="shared" si="5"/>
        <v>27540</v>
      </c>
      <c r="K178" s="12">
        <f>VLOOKUP(A178,[5]VA05!$A:$K,11,FALSE)</f>
        <v>45567</v>
      </c>
      <c r="L178" s="10" t="s">
        <v>12</v>
      </c>
      <c r="M178" s="10" t="s">
        <v>197</v>
      </c>
    </row>
    <row r="179" spans="1:13" x14ac:dyDescent="0.25">
      <c r="A179" s="13" t="str">
        <f t="shared" si="4"/>
        <v>50714269830</v>
      </c>
      <c r="B179" s="10">
        <v>1004062034</v>
      </c>
      <c r="C179" s="10">
        <v>507142698</v>
      </c>
      <c r="D179" s="10">
        <v>30</v>
      </c>
      <c r="E179" s="10" t="s">
        <v>10</v>
      </c>
      <c r="F179" s="10">
        <v>1408740</v>
      </c>
      <c r="G179" s="10" t="s">
        <v>104</v>
      </c>
      <c r="H179" s="11">
        <v>27270</v>
      </c>
      <c r="I179" s="10">
        <v>0</v>
      </c>
      <c r="J179" s="11">
        <f t="shared" si="5"/>
        <v>27270</v>
      </c>
      <c r="K179" s="12">
        <f>VLOOKUP(A179,[5]VA05!$A:$K,11,FALSE)</f>
        <v>45567</v>
      </c>
      <c r="L179" s="10" t="s">
        <v>12</v>
      </c>
      <c r="M179" s="10" t="s">
        <v>197</v>
      </c>
    </row>
    <row r="180" spans="1:13" hidden="1" x14ac:dyDescent="0.25">
      <c r="A180" s="13" t="str">
        <f t="shared" si="4"/>
        <v>50714269820</v>
      </c>
      <c r="B180" s="10">
        <v>1004059594</v>
      </c>
      <c r="C180" s="10">
        <v>507142698</v>
      </c>
      <c r="D180" s="10">
        <v>20</v>
      </c>
      <c r="E180" s="10" t="s">
        <v>10</v>
      </c>
      <c r="F180" s="10">
        <v>1408739</v>
      </c>
      <c r="G180" s="10" t="s">
        <v>37</v>
      </c>
      <c r="H180" s="11">
        <v>27864</v>
      </c>
      <c r="I180" s="11">
        <v>27864</v>
      </c>
      <c r="J180" s="11">
        <f t="shared" si="5"/>
        <v>0</v>
      </c>
      <c r="K180" s="12">
        <f>VLOOKUP(A180,[5]VA05!$A:$K,11,FALSE)</f>
        <v>45553</v>
      </c>
      <c r="L180" s="10" t="s">
        <v>118</v>
      </c>
      <c r="M180" s="10" t="s">
        <v>194</v>
      </c>
    </row>
    <row r="181" spans="1:13" hidden="1" x14ac:dyDescent="0.25">
      <c r="A181" s="13" t="str">
        <f t="shared" si="4"/>
        <v>50714269820</v>
      </c>
      <c r="B181" s="10">
        <v>1004059595</v>
      </c>
      <c r="C181" s="10">
        <v>507142698</v>
      </c>
      <c r="D181" s="10">
        <v>20</v>
      </c>
      <c r="E181" s="10" t="s">
        <v>10</v>
      </c>
      <c r="F181" s="10">
        <v>1408739</v>
      </c>
      <c r="G181" s="10" t="s">
        <v>37</v>
      </c>
      <c r="H181" s="11">
        <v>27864</v>
      </c>
      <c r="I181" s="11">
        <v>27864</v>
      </c>
      <c r="J181" s="11">
        <f t="shared" si="5"/>
        <v>0</v>
      </c>
      <c r="K181" s="12">
        <f>VLOOKUP(A181,[5]VA05!$A:$K,11,FALSE)</f>
        <v>45553</v>
      </c>
      <c r="L181" s="10" t="s">
        <v>118</v>
      </c>
      <c r="M181" s="10" t="s">
        <v>156</v>
      </c>
    </row>
    <row r="182" spans="1:13" hidden="1" x14ac:dyDescent="0.25">
      <c r="A182" s="13" t="str">
        <f t="shared" si="4"/>
        <v>50714269820</v>
      </c>
      <c r="B182" s="10">
        <v>1004059596</v>
      </c>
      <c r="C182" s="10">
        <v>507142698</v>
      </c>
      <c r="D182" s="10">
        <v>20</v>
      </c>
      <c r="E182" s="10" t="s">
        <v>10</v>
      </c>
      <c r="F182" s="10">
        <v>1408739</v>
      </c>
      <c r="G182" s="10" t="s">
        <v>37</v>
      </c>
      <c r="H182" s="11">
        <v>27864</v>
      </c>
      <c r="I182" s="11">
        <v>27864</v>
      </c>
      <c r="J182" s="11">
        <f t="shared" si="5"/>
        <v>0</v>
      </c>
      <c r="K182" s="12">
        <f>VLOOKUP(A182,[5]VA05!$A:$K,11,FALSE)</f>
        <v>45553</v>
      </c>
      <c r="L182" s="10" t="s">
        <v>233</v>
      </c>
      <c r="M182" s="10" t="s">
        <v>179</v>
      </c>
    </row>
    <row r="183" spans="1:13" x14ac:dyDescent="0.25">
      <c r="A183" s="13" t="str">
        <f t="shared" si="4"/>
        <v>50714269820</v>
      </c>
      <c r="B183" s="10">
        <v>1004059597</v>
      </c>
      <c r="C183" s="10">
        <v>507142698</v>
      </c>
      <c r="D183" s="10">
        <v>20</v>
      </c>
      <c r="E183" s="10" t="s">
        <v>10</v>
      </c>
      <c r="F183" s="10">
        <v>1408739</v>
      </c>
      <c r="G183" s="10" t="s">
        <v>37</v>
      </c>
      <c r="H183" s="11">
        <v>26568</v>
      </c>
      <c r="I183" s="11">
        <v>17500</v>
      </c>
      <c r="J183" s="11">
        <f t="shared" si="5"/>
        <v>9068</v>
      </c>
      <c r="K183" s="12">
        <f>VLOOKUP(A183,[5]VA05!$A:$K,11,FALSE)</f>
        <v>45553</v>
      </c>
      <c r="L183" s="10" t="s">
        <v>233</v>
      </c>
      <c r="M183" s="10" t="s">
        <v>179</v>
      </c>
    </row>
    <row r="184" spans="1:13" x14ac:dyDescent="0.25">
      <c r="A184" s="13" t="str">
        <f t="shared" si="4"/>
        <v>50714269840</v>
      </c>
      <c r="B184" s="10">
        <v>1004062035</v>
      </c>
      <c r="C184" s="10">
        <v>507142698</v>
      </c>
      <c r="D184" s="10">
        <v>40</v>
      </c>
      <c r="E184" s="10" t="s">
        <v>10</v>
      </c>
      <c r="F184" s="10">
        <v>1408739</v>
      </c>
      <c r="G184" s="10" t="s">
        <v>37</v>
      </c>
      <c r="H184" s="11">
        <v>27864</v>
      </c>
      <c r="I184" s="10">
        <v>0</v>
      </c>
      <c r="J184" s="11">
        <f t="shared" si="5"/>
        <v>27864</v>
      </c>
      <c r="K184" s="12">
        <f>VLOOKUP(A184,[5]VA05!$A:$K,11,FALSE)</f>
        <v>45567</v>
      </c>
      <c r="L184" s="10" t="s">
        <v>235</v>
      </c>
      <c r="M184" s="10" t="s">
        <v>192</v>
      </c>
    </row>
    <row r="185" spans="1:13" x14ac:dyDescent="0.25">
      <c r="A185" s="13" t="str">
        <f t="shared" si="4"/>
        <v>50714269840</v>
      </c>
      <c r="B185" s="10">
        <v>1004062036</v>
      </c>
      <c r="C185" s="10">
        <v>507142698</v>
      </c>
      <c r="D185" s="10">
        <v>40</v>
      </c>
      <c r="E185" s="10" t="s">
        <v>10</v>
      </c>
      <c r="F185" s="10">
        <v>1408739</v>
      </c>
      <c r="G185" s="10" t="s">
        <v>37</v>
      </c>
      <c r="H185" s="11">
        <v>27864</v>
      </c>
      <c r="I185" s="10">
        <v>0</v>
      </c>
      <c r="J185" s="11">
        <f t="shared" si="5"/>
        <v>27864</v>
      </c>
      <c r="K185" s="12">
        <f>VLOOKUP(A185,[5]VA05!$A:$K,11,FALSE)</f>
        <v>45567</v>
      </c>
      <c r="L185" s="10" t="s">
        <v>12</v>
      </c>
      <c r="M185" s="10" t="s">
        <v>197</v>
      </c>
    </row>
    <row r="186" spans="1:13" x14ac:dyDescent="0.25">
      <c r="A186" s="13" t="str">
        <f t="shared" si="4"/>
        <v>50714269840</v>
      </c>
      <c r="B186" s="10">
        <v>1004062037</v>
      </c>
      <c r="C186" s="10">
        <v>507142698</v>
      </c>
      <c r="D186" s="10">
        <v>40</v>
      </c>
      <c r="E186" s="10" t="s">
        <v>10</v>
      </c>
      <c r="F186" s="10">
        <v>1408739</v>
      </c>
      <c r="G186" s="10" t="s">
        <v>37</v>
      </c>
      <c r="H186" s="11">
        <v>27864</v>
      </c>
      <c r="I186" s="10">
        <v>0</v>
      </c>
      <c r="J186" s="11">
        <f t="shared" si="5"/>
        <v>27864</v>
      </c>
      <c r="K186" s="12">
        <f>VLOOKUP(A186,[5]VA05!$A:$K,11,FALSE)</f>
        <v>45567</v>
      </c>
      <c r="L186" s="10" t="s">
        <v>146</v>
      </c>
      <c r="M186" s="10" t="s">
        <v>197</v>
      </c>
    </row>
    <row r="187" spans="1:13" x14ac:dyDescent="0.25">
      <c r="A187" s="13" t="str">
        <f t="shared" si="4"/>
        <v>50714269840</v>
      </c>
      <c r="B187" s="10">
        <v>1004062038</v>
      </c>
      <c r="C187" s="10">
        <v>507142698</v>
      </c>
      <c r="D187" s="10">
        <v>40</v>
      </c>
      <c r="E187" s="10" t="s">
        <v>10</v>
      </c>
      <c r="F187" s="10">
        <v>1408739</v>
      </c>
      <c r="G187" s="10" t="s">
        <v>37</v>
      </c>
      <c r="H187" s="11">
        <v>26298</v>
      </c>
      <c r="I187" s="10">
        <v>0</v>
      </c>
      <c r="J187" s="11">
        <f t="shared" si="5"/>
        <v>26298</v>
      </c>
      <c r="K187" s="12">
        <f>VLOOKUP(A187,[5]VA05!$A:$K,11,FALSE)</f>
        <v>45567</v>
      </c>
      <c r="L187" s="10" t="s">
        <v>146</v>
      </c>
      <c r="M187" s="10" t="s">
        <v>197</v>
      </c>
    </row>
    <row r="188" spans="1:13" x14ac:dyDescent="0.25">
      <c r="A188" s="13" t="str">
        <f t="shared" si="4"/>
        <v>50714269810</v>
      </c>
      <c r="B188" s="10">
        <v>1004062505</v>
      </c>
      <c r="C188" s="10">
        <v>507142698</v>
      </c>
      <c r="D188" s="10">
        <v>10</v>
      </c>
      <c r="E188" s="10" t="s">
        <v>10</v>
      </c>
      <c r="F188" s="10">
        <v>1408742</v>
      </c>
      <c r="G188" s="10" t="s">
        <v>38</v>
      </c>
      <c r="H188" s="11">
        <v>70103</v>
      </c>
      <c r="I188" s="10">
        <v>0</v>
      </c>
      <c r="J188" s="11">
        <f t="shared" si="5"/>
        <v>70103</v>
      </c>
      <c r="K188" s="12">
        <f>VLOOKUP(A188,[5]VA05!$A:$K,11,FALSE)</f>
        <v>45553</v>
      </c>
      <c r="L188" s="10" t="s">
        <v>27</v>
      </c>
      <c r="M188" s="10" t="s">
        <v>162</v>
      </c>
    </row>
    <row r="189" spans="1:13" x14ac:dyDescent="0.25">
      <c r="A189" s="13" t="str">
        <f t="shared" si="4"/>
        <v>50714269830</v>
      </c>
      <c r="B189" s="10">
        <v>1004062506</v>
      </c>
      <c r="C189" s="10">
        <v>507142698</v>
      </c>
      <c r="D189" s="10">
        <v>30</v>
      </c>
      <c r="E189" s="10" t="s">
        <v>10</v>
      </c>
      <c r="F189" s="10">
        <v>1408742</v>
      </c>
      <c r="G189" s="10" t="s">
        <v>38</v>
      </c>
      <c r="H189" s="11">
        <v>113190</v>
      </c>
      <c r="I189" s="11">
        <v>33980</v>
      </c>
      <c r="J189" s="11">
        <f t="shared" si="5"/>
        <v>79210</v>
      </c>
      <c r="K189" s="12">
        <f>VLOOKUP(A189,[5]VA05!$A:$K,11,FALSE)</f>
        <v>45567</v>
      </c>
      <c r="L189" s="10" t="s">
        <v>18</v>
      </c>
      <c r="M189" s="10" t="s">
        <v>202</v>
      </c>
    </row>
    <row r="190" spans="1:13" x14ac:dyDescent="0.25">
      <c r="A190" s="13" t="str">
        <f t="shared" si="4"/>
        <v>50714283710</v>
      </c>
      <c r="B190" s="10">
        <v>1004062507</v>
      </c>
      <c r="C190" s="10">
        <v>507142837</v>
      </c>
      <c r="D190" s="10">
        <v>10</v>
      </c>
      <c r="E190" s="10" t="s">
        <v>10</v>
      </c>
      <c r="F190" s="10">
        <v>1408742</v>
      </c>
      <c r="G190" s="10" t="s">
        <v>38</v>
      </c>
      <c r="H190" s="11">
        <v>113465</v>
      </c>
      <c r="I190" s="10">
        <v>0</v>
      </c>
      <c r="J190" s="11">
        <f t="shared" si="5"/>
        <v>113465</v>
      </c>
      <c r="K190" s="12">
        <f>VLOOKUP(A190,[5]VA05!$A:$K,11,FALSE)</f>
        <v>45587</v>
      </c>
      <c r="L190" s="10" t="s">
        <v>12</v>
      </c>
      <c r="M190" s="10" t="s">
        <v>162</v>
      </c>
    </row>
    <row r="191" spans="1:13" x14ac:dyDescent="0.25">
      <c r="A191" s="13" t="str">
        <f t="shared" si="4"/>
        <v>50714275730</v>
      </c>
      <c r="B191" s="10">
        <v>1004054926</v>
      </c>
      <c r="C191" s="10">
        <v>507142757</v>
      </c>
      <c r="D191" s="10">
        <v>30</v>
      </c>
      <c r="E191" s="10" t="s">
        <v>10</v>
      </c>
      <c r="F191" s="10">
        <v>1411702</v>
      </c>
      <c r="G191" s="10" t="s">
        <v>221</v>
      </c>
      <c r="H191" s="11">
        <v>126758</v>
      </c>
      <c r="I191" s="11">
        <v>117216</v>
      </c>
      <c r="J191" s="11">
        <f t="shared" si="5"/>
        <v>9542</v>
      </c>
      <c r="K191" s="12">
        <f>VLOOKUP(A191,[5]VA05!$A:$K,11,FALSE)</f>
        <v>45579</v>
      </c>
      <c r="L191" s="10" t="s">
        <v>18</v>
      </c>
      <c r="M191" s="10" t="s">
        <v>178</v>
      </c>
    </row>
    <row r="192" spans="1:13" x14ac:dyDescent="0.25">
      <c r="A192" s="13" t="str">
        <f t="shared" si="4"/>
        <v>50714275750</v>
      </c>
      <c r="B192" s="10">
        <v>1004054927</v>
      </c>
      <c r="C192" s="10">
        <v>507142757</v>
      </c>
      <c r="D192" s="10">
        <v>50</v>
      </c>
      <c r="E192" s="10" t="s">
        <v>10</v>
      </c>
      <c r="F192" s="10">
        <v>1411702</v>
      </c>
      <c r="G192" s="10" t="s">
        <v>221</v>
      </c>
      <c r="H192" s="11">
        <v>63514</v>
      </c>
      <c r="I192" s="10">
        <v>0</v>
      </c>
      <c r="J192" s="11">
        <f t="shared" si="5"/>
        <v>63514</v>
      </c>
      <c r="K192" s="12">
        <f>VLOOKUP(A192,[5]VA05!$A:$K,11,FALSE)</f>
        <v>45587</v>
      </c>
      <c r="L192" s="10" t="s">
        <v>56</v>
      </c>
      <c r="M192" s="10" t="s">
        <v>156</v>
      </c>
    </row>
    <row r="193" spans="1:13" x14ac:dyDescent="0.25">
      <c r="A193" s="13" t="str">
        <f t="shared" si="4"/>
        <v>50714275670</v>
      </c>
      <c r="B193" s="10">
        <v>1004052383</v>
      </c>
      <c r="C193" s="10">
        <v>507142756</v>
      </c>
      <c r="D193" s="10">
        <v>70</v>
      </c>
      <c r="E193" s="10" t="s">
        <v>10</v>
      </c>
      <c r="F193" s="10">
        <v>1411902</v>
      </c>
      <c r="G193" s="10" t="s">
        <v>151</v>
      </c>
      <c r="H193" s="11">
        <v>126758</v>
      </c>
      <c r="I193" s="11">
        <v>117424</v>
      </c>
      <c r="J193" s="11">
        <f t="shared" si="5"/>
        <v>9334</v>
      </c>
      <c r="K193" s="12">
        <f>VLOOKUP(A193,[5]VA05!$A:$K,11,FALSE)</f>
        <v>45582</v>
      </c>
      <c r="L193" s="10" t="s">
        <v>18</v>
      </c>
      <c r="M193" s="10" t="s">
        <v>201</v>
      </c>
    </row>
    <row r="194" spans="1:13" x14ac:dyDescent="0.25">
      <c r="A194" s="13" t="str">
        <f t="shared" si="4"/>
        <v>50714275690</v>
      </c>
      <c r="B194" s="10">
        <v>1004052384</v>
      </c>
      <c r="C194" s="10">
        <v>507142756</v>
      </c>
      <c r="D194" s="10">
        <v>90</v>
      </c>
      <c r="E194" s="10" t="s">
        <v>10</v>
      </c>
      <c r="F194" s="10">
        <v>1411902</v>
      </c>
      <c r="G194" s="10" t="s">
        <v>151</v>
      </c>
      <c r="H194" s="11">
        <v>68920</v>
      </c>
      <c r="I194" s="10">
        <v>0</v>
      </c>
      <c r="J194" s="11">
        <f t="shared" si="5"/>
        <v>68920</v>
      </c>
      <c r="K194" s="12">
        <f>VLOOKUP(A194,[5]VA05!$A:$K,11,FALSE)</f>
        <v>45588</v>
      </c>
      <c r="L194" s="10" t="s">
        <v>12</v>
      </c>
      <c r="M194" s="10" t="s">
        <v>194</v>
      </c>
    </row>
    <row r="195" spans="1:13" x14ac:dyDescent="0.25">
      <c r="A195" s="13" t="str">
        <f t="shared" si="4"/>
        <v>50714275740</v>
      </c>
      <c r="B195" s="10">
        <v>1004052374</v>
      </c>
      <c r="C195" s="10">
        <v>507142757</v>
      </c>
      <c r="D195" s="10">
        <v>40</v>
      </c>
      <c r="E195" s="10" t="s">
        <v>10</v>
      </c>
      <c r="F195" s="10">
        <v>1411705</v>
      </c>
      <c r="G195" s="10" t="s">
        <v>189</v>
      </c>
      <c r="H195" s="11">
        <v>129220</v>
      </c>
      <c r="I195" s="11">
        <v>86705</v>
      </c>
      <c r="J195" s="11">
        <f t="shared" si="5"/>
        <v>42515</v>
      </c>
      <c r="K195" s="12">
        <f>VLOOKUP(A195,[5]VA05!$A:$K,11,FALSE)</f>
        <v>45579</v>
      </c>
      <c r="L195" s="10" t="s">
        <v>18</v>
      </c>
      <c r="M195" s="10" t="s">
        <v>197</v>
      </c>
    </row>
    <row r="196" spans="1:13" x14ac:dyDescent="0.25">
      <c r="A196" s="13" t="str">
        <f t="shared" ref="A196:A214" si="6">C196&amp;D196</f>
        <v>50714275760</v>
      </c>
      <c r="B196" s="10">
        <v>1004052375</v>
      </c>
      <c r="C196" s="10">
        <v>507142757</v>
      </c>
      <c r="D196" s="10">
        <v>60</v>
      </c>
      <c r="E196" s="10" t="s">
        <v>10</v>
      </c>
      <c r="F196" s="10">
        <v>1411705</v>
      </c>
      <c r="G196" s="10" t="s">
        <v>189</v>
      </c>
      <c r="H196" s="11">
        <v>64748</v>
      </c>
      <c r="I196" s="10">
        <v>0</v>
      </c>
      <c r="J196" s="11">
        <f t="shared" ref="J196:J214" si="7">H196-I196</f>
        <v>64748</v>
      </c>
      <c r="K196" s="12">
        <f>VLOOKUP(A196,[5]VA05!$A:$K,11,FALSE)</f>
        <v>45587</v>
      </c>
      <c r="L196" s="10" t="s">
        <v>12</v>
      </c>
      <c r="M196" s="10" t="s">
        <v>156</v>
      </c>
    </row>
    <row r="197" spans="1:13" x14ac:dyDescent="0.25">
      <c r="A197" s="13" t="str">
        <f t="shared" si="6"/>
        <v>50714275780</v>
      </c>
      <c r="B197" s="10">
        <v>1004052376</v>
      </c>
      <c r="C197" s="10">
        <v>507142757</v>
      </c>
      <c r="D197" s="10">
        <v>80</v>
      </c>
      <c r="E197" s="10" t="s">
        <v>10</v>
      </c>
      <c r="F197" s="10">
        <v>1411705</v>
      </c>
      <c r="G197" s="10" t="s">
        <v>189</v>
      </c>
      <c r="H197" s="11">
        <v>23145</v>
      </c>
      <c r="I197" s="10">
        <v>0</v>
      </c>
      <c r="J197" s="11">
        <f t="shared" si="7"/>
        <v>23145</v>
      </c>
      <c r="K197" s="12">
        <f>VLOOKUP(A197,[5]VA05!$A:$K,11,FALSE)</f>
        <v>45594</v>
      </c>
      <c r="L197" s="10" t="s">
        <v>12</v>
      </c>
      <c r="M197" s="10" t="s">
        <v>176</v>
      </c>
    </row>
    <row r="198" spans="1:13" x14ac:dyDescent="0.25">
      <c r="A198" s="13" t="str">
        <f t="shared" si="6"/>
        <v>507142756100</v>
      </c>
      <c r="B198" s="10">
        <v>1004052372</v>
      </c>
      <c r="C198" s="10">
        <v>507142756</v>
      </c>
      <c r="D198" s="10">
        <v>100</v>
      </c>
      <c r="E198" s="10" t="s">
        <v>10</v>
      </c>
      <c r="F198" s="10">
        <v>1411900</v>
      </c>
      <c r="G198" s="10" t="s">
        <v>152</v>
      </c>
      <c r="H198" s="11">
        <v>70258</v>
      </c>
      <c r="I198" s="11">
        <v>8270</v>
      </c>
      <c r="J198" s="11">
        <f t="shared" si="7"/>
        <v>61988</v>
      </c>
      <c r="K198" s="12">
        <f>VLOOKUP(A198,[5]VA05!$A:$K,11,FALSE)</f>
        <v>45588</v>
      </c>
      <c r="L198" s="10" t="s">
        <v>18</v>
      </c>
      <c r="M198" s="10" t="s">
        <v>177</v>
      </c>
    </row>
    <row r="199" spans="1:13" x14ac:dyDescent="0.25">
      <c r="A199" s="13" t="str">
        <f t="shared" si="6"/>
        <v>50714275730</v>
      </c>
      <c r="B199" s="10">
        <v>1004052378</v>
      </c>
      <c r="C199" s="10">
        <v>507142757</v>
      </c>
      <c r="D199" s="10">
        <v>30</v>
      </c>
      <c r="E199" s="10" t="s">
        <v>10</v>
      </c>
      <c r="F199" s="10">
        <v>1411703</v>
      </c>
      <c r="G199" s="10" t="s">
        <v>190</v>
      </c>
      <c r="H199" s="11">
        <v>123066</v>
      </c>
      <c r="I199" s="11">
        <v>26176</v>
      </c>
      <c r="J199" s="11">
        <f t="shared" si="7"/>
        <v>96890</v>
      </c>
      <c r="K199" s="12">
        <f>VLOOKUP(A199,[5]VA05!$A:$K,11,FALSE)</f>
        <v>45579</v>
      </c>
      <c r="L199" s="10" t="s">
        <v>18</v>
      </c>
      <c r="M199" s="10" t="s">
        <v>202</v>
      </c>
    </row>
    <row r="200" spans="1:13" x14ac:dyDescent="0.25">
      <c r="A200" s="13" t="str">
        <f t="shared" si="6"/>
        <v>50714275750</v>
      </c>
      <c r="B200" s="10">
        <v>1004052379</v>
      </c>
      <c r="C200" s="10">
        <v>507142757</v>
      </c>
      <c r="D200" s="10">
        <v>50</v>
      </c>
      <c r="E200" s="10" t="s">
        <v>10</v>
      </c>
      <c r="F200" s="10">
        <v>1411703</v>
      </c>
      <c r="G200" s="10" t="s">
        <v>190</v>
      </c>
      <c r="H200" s="11">
        <v>61664</v>
      </c>
      <c r="I200" s="10">
        <v>0</v>
      </c>
      <c r="J200" s="11">
        <f t="shared" si="7"/>
        <v>61664</v>
      </c>
      <c r="K200" s="12">
        <f>VLOOKUP(A200,[5]VA05!$A:$K,11,FALSE)</f>
        <v>45587</v>
      </c>
      <c r="L200" s="10" t="s">
        <v>12</v>
      </c>
      <c r="M200" s="10" t="s">
        <v>156</v>
      </c>
    </row>
    <row r="201" spans="1:13" x14ac:dyDescent="0.25">
      <c r="A201" s="13" t="str">
        <f t="shared" si="6"/>
        <v>50714275770</v>
      </c>
      <c r="B201" s="10">
        <v>1004052380</v>
      </c>
      <c r="C201" s="10">
        <v>507142757</v>
      </c>
      <c r="D201" s="10">
        <v>70</v>
      </c>
      <c r="E201" s="10" t="s">
        <v>10</v>
      </c>
      <c r="F201" s="10">
        <v>1411703</v>
      </c>
      <c r="G201" s="10" t="s">
        <v>190</v>
      </c>
      <c r="H201" s="11">
        <v>22042</v>
      </c>
      <c r="I201" s="10">
        <v>0</v>
      </c>
      <c r="J201" s="11">
        <f t="shared" si="7"/>
        <v>22042</v>
      </c>
      <c r="K201" s="12">
        <f>VLOOKUP(A201,[5]VA05!$A:$K,11,FALSE)</f>
        <v>45594</v>
      </c>
      <c r="L201" s="10" t="s">
        <v>12</v>
      </c>
      <c r="M201" s="10" t="s">
        <v>176</v>
      </c>
    </row>
    <row r="202" spans="1:13" x14ac:dyDescent="0.25">
      <c r="A202" s="13" t="str">
        <f t="shared" si="6"/>
        <v>50714275670</v>
      </c>
      <c r="B202" s="10">
        <v>1004052381</v>
      </c>
      <c r="C202" s="10">
        <v>507142756</v>
      </c>
      <c r="D202" s="10">
        <v>70</v>
      </c>
      <c r="E202" s="10" t="s">
        <v>10</v>
      </c>
      <c r="F202" s="10">
        <v>1411901</v>
      </c>
      <c r="G202" s="10" t="s">
        <v>153</v>
      </c>
      <c r="H202" s="11">
        <v>123066</v>
      </c>
      <c r="I202" s="11">
        <v>97774</v>
      </c>
      <c r="J202" s="11">
        <f t="shared" si="7"/>
        <v>25292</v>
      </c>
      <c r="K202" s="12">
        <f>VLOOKUP(A202,[5]VA05!$A:$K,11,FALSE)</f>
        <v>45582</v>
      </c>
      <c r="L202" s="10" t="s">
        <v>18</v>
      </c>
      <c r="M202" s="10" t="s">
        <v>154</v>
      </c>
    </row>
    <row r="203" spans="1:13" x14ac:dyDescent="0.25">
      <c r="A203" s="13" t="str">
        <f t="shared" si="6"/>
        <v>50714275690</v>
      </c>
      <c r="B203" s="10">
        <v>1004052382</v>
      </c>
      <c r="C203" s="10">
        <v>507142756</v>
      </c>
      <c r="D203" s="10">
        <v>90</v>
      </c>
      <c r="E203" s="10" t="s">
        <v>10</v>
      </c>
      <c r="F203" s="10">
        <v>1411901</v>
      </c>
      <c r="G203" s="10" t="s">
        <v>153</v>
      </c>
      <c r="H203" s="11">
        <v>66912</v>
      </c>
      <c r="I203" s="10">
        <v>0</v>
      </c>
      <c r="J203" s="11">
        <f t="shared" si="7"/>
        <v>66912</v>
      </c>
      <c r="K203" s="12">
        <f>VLOOKUP(A203,[5]VA05!$A:$K,11,FALSE)</f>
        <v>45588</v>
      </c>
      <c r="L203" s="10" t="s">
        <v>12</v>
      </c>
      <c r="M203" s="10" t="s">
        <v>156</v>
      </c>
    </row>
    <row r="204" spans="1:13" x14ac:dyDescent="0.25">
      <c r="A204" s="13" t="str">
        <f t="shared" si="6"/>
        <v>507142416230</v>
      </c>
      <c r="B204" s="10">
        <v>1004053609</v>
      </c>
      <c r="C204" s="10">
        <v>507142416</v>
      </c>
      <c r="D204" s="10">
        <v>230</v>
      </c>
      <c r="E204" s="10" t="s">
        <v>10</v>
      </c>
      <c r="F204" s="10">
        <v>1172059</v>
      </c>
      <c r="G204" s="10" t="s">
        <v>59</v>
      </c>
      <c r="H204" s="11">
        <v>10195</v>
      </c>
      <c r="I204" s="11">
        <v>1476</v>
      </c>
      <c r="J204" s="11">
        <f t="shared" si="7"/>
        <v>8719</v>
      </c>
      <c r="K204" s="12">
        <f>VLOOKUP(A204,[5]VA05!$A:$K,11,FALSE)</f>
        <v>45587</v>
      </c>
      <c r="L204" s="10" t="s">
        <v>11</v>
      </c>
      <c r="M204" s="10" t="s">
        <v>191</v>
      </c>
    </row>
    <row r="205" spans="1:13" x14ac:dyDescent="0.25">
      <c r="A205" s="13" t="str">
        <f t="shared" si="6"/>
        <v>50714271330</v>
      </c>
      <c r="B205" s="10">
        <v>1004063620</v>
      </c>
      <c r="C205" s="10">
        <v>507142713</v>
      </c>
      <c r="D205" s="10">
        <v>30</v>
      </c>
      <c r="E205" s="10" t="s">
        <v>10</v>
      </c>
      <c r="F205" s="10">
        <v>1172059</v>
      </c>
      <c r="G205" s="10" t="s">
        <v>59</v>
      </c>
      <c r="H205" s="11">
        <v>10195</v>
      </c>
      <c r="I205" s="10">
        <v>0</v>
      </c>
      <c r="J205" s="11">
        <f t="shared" si="7"/>
        <v>10195</v>
      </c>
      <c r="K205" s="12">
        <f>VLOOKUP(A205,[5]VA05!$A:$K,11,FALSE)</f>
        <v>45591</v>
      </c>
      <c r="L205" s="10" t="s">
        <v>12</v>
      </c>
      <c r="M205" s="10" t="s">
        <v>207</v>
      </c>
    </row>
    <row r="206" spans="1:13" x14ac:dyDescent="0.25">
      <c r="A206" s="13" t="str">
        <f t="shared" si="6"/>
        <v>50714271360</v>
      </c>
      <c r="B206" s="10">
        <v>1004063621</v>
      </c>
      <c r="C206" s="10">
        <v>507142713</v>
      </c>
      <c r="D206" s="10">
        <v>60</v>
      </c>
      <c r="E206" s="10" t="s">
        <v>10</v>
      </c>
      <c r="F206" s="10">
        <v>1172059</v>
      </c>
      <c r="G206" s="10" t="s">
        <v>59</v>
      </c>
      <c r="H206" s="11">
        <v>10195</v>
      </c>
      <c r="I206" s="10">
        <v>0</v>
      </c>
      <c r="J206" s="11">
        <f t="shared" si="7"/>
        <v>10195</v>
      </c>
      <c r="K206" s="12">
        <f>VLOOKUP(A206,[5]VA05!$A:$K,11,FALSE)</f>
        <v>45591</v>
      </c>
      <c r="L206" s="10" t="s">
        <v>12</v>
      </c>
      <c r="M206" s="10" t="s">
        <v>207</v>
      </c>
    </row>
    <row r="207" spans="1:13" x14ac:dyDescent="0.25">
      <c r="A207" s="13" t="str">
        <f t="shared" si="6"/>
        <v>50714275420</v>
      </c>
      <c r="B207" s="10">
        <v>1004053562</v>
      </c>
      <c r="C207" s="10">
        <v>507142754</v>
      </c>
      <c r="D207" s="10">
        <v>20</v>
      </c>
      <c r="E207" s="10" t="s">
        <v>10</v>
      </c>
      <c r="F207" s="10">
        <v>1167435</v>
      </c>
      <c r="G207" s="10" t="s">
        <v>26</v>
      </c>
      <c r="H207" s="11">
        <v>20390</v>
      </c>
      <c r="I207" s="10">
        <v>0</v>
      </c>
      <c r="J207" s="11">
        <f t="shared" si="7"/>
        <v>20390</v>
      </c>
      <c r="K207" s="12">
        <f>VLOOKUP(A207,[5]VA05!$A:$K,11,FALSE)</f>
        <v>45611</v>
      </c>
      <c r="L207" s="10" t="s">
        <v>12</v>
      </c>
      <c r="M207" s="10" t="s">
        <v>217</v>
      </c>
    </row>
    <row r="208" spans="1:13" x14ac:dyDescent="0.25">
      <c r="A208" s="13" t="str">
        <f t="shared" si="6"/>
        <v>50714276930</v>
      </c>
      <c r="B208" s="10">
        <v>1004053564</v>
      </c>
      <c r="C208" s="10">
        <v>507142769</v>
      </c>
      <c r="D208" s="10">
        <v>30</v>
      </c>
      <c r="E208" s="10" t="s">
        <v>10</v>
      </c>
      <c r="F208" s="10">
        <v>1167435</v>
      </c>
      <c r="G208" s="10" t="s">
        <v>26</v>
      </c>
      <c r="H208" s="11">
        <v>30683</v>
      </c>
      <c r="I208" s="11">
        <v>26502</v>
      </c>
      <c r="J208" s="11">
        <f t="shared" si="7"/>
        <v>4181</v>
      </c>
      <c r="K208" s="12">
        <f>VLOOKUP(A208,[5]VA05!$A:$K,11,FALSE)</f>
        <v>45576</v>
      </c>
      <c r="L208" s="10" t="s">
        <v>18</v>
      </c>
      <c r="M208" s="10" t="s">
        <v>157</v>
      </c>
    </row>
    <row r="209" spans="1:13" x14ac:dyDescent="0.25">
      <c r="A209" s="13" t="str">
        <f t="shared" si="6"/>
        <v>50714283530</v>
      </c>
      <c r="B209" s="10">
        <v>1004060455</v>
      </c>
      <c r="C209" s="10">
        <v>507142835</v>
      </c>
      <c r="D209" s="10">
        <v>30</v>
      </c>
      <c r="E209" s="10" t="s">
        <v>10</v>
      </c>
      <c r="F209" s="10">
        <v>1167435</v>
      </c>
      <c r="G209" s="10" t="s">
        <v>26</v>
      </c>
      <c r="H209" s="11">
        <v>10277</v>
      </c>
      <c r="I209" s="10">
        <v>0</v>
      </c>
      <c r="J209" s="11">
        <f t="shared" si="7"/>
        <v>10277</v>
      </c>
      <c r="K209" s="12">
        <f>VLOOKUP(A209,[5]VA05!$A:$K,11,FALSE)</f>
        <v>45587</v>
      </c>
      <c r="L209" s="10" t="s">
        <v>12</v>
      </c>
      <c r="M209" s="10" t="s">
        <v>109</v>
      </c>
    </row>
    <row r="210" spans="1:13" x14ac:dyDescent="0.25">
      <c r="A210" s="13" t="str">
        <f t="shared" si="6"/>
        <v>50714226530</v>
      </c>
      <c r="B210" s="10">
        <v>1004060456</v>
      </c>
      <c r="C210" s="10">
        <v>507142265</v>
      </c>
      <c r="D210" s="10">
        <v>30</v>
      </c>
      <c r="E210" s="10" t="s">
        <v>10</v>
      </c>
      <c r="F210" s="10">
        <v>1170825</v>
      </c>
      <c r="G210" s="10" t="s">
        <v>252</v>
      </c>
      <c r="H210" s="11">
        <v>40524</v>
      </c>
      <c r="I210" s="10">
        <v>0</v>
      </c>
      <c r="J210" s="11">
        <f t="shared" si="7"/>
        <v>40524</v>
      </c>
      <c r="K210" s="12">
        <f>VLOOKUP(A210,[5]VA05!$A:$K,11,FALSE)</f>
        <v>45576</v>
      </c>
      <c r="L210" s="10" t="s">
        <v>12</v>
      </c>
      <c r="M210" s="10" t="s">
        <v>194</v>
      </c>
    </row>
    <row r="211" spans="1:13" x14ac:dyDescent="0.25">
      <c r="A211" s="13" t="str">
        <f t="shared" si="6"/>
        <v>50714262620</v>
      </c>
      <c r="B211" s="10">
        <v>1004060457</v>
      </c>
      <c r="C211" s="10">
        <v>507142626</v>
      </c>
      <c r="D211" s="10">
        <v>20</v>
      </c>
      <c r="E211" s="10" t="s">
        <v>10</v>
      </c>
      <c r="F211" s="10">
        <v>1170825</v>
      </c>
      <c r="G211" s="10" t="s">
        <v>252</v>
      </c>
      <c r="H211" s="11">
        <v>25425</v>
      </c>
      <c r="I211" s="10">
        <v>0</v>
      </c>
      <c r="J211" s="11">
        <f t="shared" si="7"/>
        <v>25425</v>
      </c>
      <c r="K211" s="12">
        <f>VLOOKUP(A211,[5]VA05!$A:$K,11,FALSE)</f>
        <v>45590</v>
      </c>
      <c r="L211" s="10" t="s">
        <v>12</v>
      </c>
      <c r="M211" s="10" t="s">
        <v>199</v>
      </c>
    </row>
    <row r="212" spans="1:13" x14ac:dyDescent="0.25">
      <c r="A212" s="13" t="str">
        <f t="shared" si="6"/>
        <v>50714270930</v>
      </c>
      <c r="B212" s="10">
        <v>1004060458</v>
      </c>
      <c r="C212" s="10">
        <v>507142709</v>
      </c>
      <c r="D212" s="10">
        <v>30</v>
      </c>
      <c r="E212" s="10" t="s">
        <v>10</v>
      </c>
      <c r="F212" s="10">
        <v>1170825</v>
      </c>
      <c r="G212" s="10" t="s">
        <v>252</v>
      </c>
      <c r="H212" s="11">
        <v>30393</v>
      </c>
      <c r="I212" s="10">
        <v>0</v>
      </c>
      <c r="J212" s="11">
        <f t="shared" si="7"/>
        <v>30393</v>
      </c>
      <c r="K212" s="12">
        <f>VLOOKUP(A212,[5]VA05!$A:$K,11,FALSE)</f>
        <v>45583</v>
      </c>
      <c r="L212" s="10" t="s">
        <v>12</v>
      </c>
      <c r="M212" s="10" t="s">
        <v>179</v>
      </c>
    </row>
    <row r="213" spans="1:13" x14ac:dyDescent="0.25">
      <c r="A213" s="13" t="str">
        <f t="shared" si="6"/>
        <v>50714271030</v>
      </c>
      <c r="B213" s="10">
        <v>1004060459</v>
      </c>
      <c r="C213" s="10">
        <v>507142710</v>
      </c>
      <c r="D213" s="10">
        <v>30</v>
      </c>
      <c r="E213" s="10" t="s">
        <v>10</v>
      </c>
      <c r="F213" s="10">
        <v>1170825</v>
      </c>
      <c r="G213" s="10" t="s">
        <v>252</v>
      </c>
      <c r="H213" s="11">
        <v>30393</v>
      </c>
      <c r="I213" s="10">
        <v>0</v>
      </c>
      <c r="J213" s="11">
        <f t="shared" si="7"/>
        <v>30393</v>
      </c>
      <c r="K213" s="12">
        <f>VLOOKUP(A213,[5]VA05!$A:$K,11,FALSE)</f>
        <v>45596</v>
      </c>
      <c r="L213" s="10" t="s">
        <v>12</v>
      </c>
      <c r="M213" s="10" t="s">
        <v>207</v>
      </c>
    </row>
    <row r="214" spans="1:13" x14ac:dyDescent="0.25">
      <c r="A214" s="13" t="str">
        <f t="shared" si="6"/>
        <v/>
      </c>
      <c r="B214" s="10"/>
      <c r="C214" s="10"/>
      <c r="D214" s="10"/>
      <c r="E214" s="10"/>
      <c r="F214" s="10"/>
      <c r="G214" s="10"/>
      <c r="H214" s="11">
        <v>7199353</v>
      </c>
      <c r="I214" s="11">
        <v>2068020</v>
      </c>
      <c r="J214" s="11">
        <f t="shared" si="7"/>
        <v>5131333</v>
      </c>
      <c r="K214" s="12" t="e">
        <f>VLOOKUP(A214,[5]VA05!$A:$K,11,FALSE)</f>
        <v>#N/A</v>
      </c>
      <c r="L214" s="10"/>
      <c r="M214" s="10"/>
    </row>
  </sheetData>
  <pageMargins left="0.17" right="0.17" top="0.4" bottom="0.43" header="0.3" footer="0.3"/>
  <pageSetup orientation="landscape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320D-1AF4-404C-8467-19600BE815B2}">
  <dimension ref="A1:M189"/>
  <sheetViews>
    <sheetView tabSelected="1" workbookViewId="0">
      <selection activeCell="G12" sqref="G12"/>
    </sheetView>
  </sheetViews>
  <sheetFormatPr defaultRowHeight="15" x14ac:dyDescent="0.25"/>
  <cols>
    <col min="2" max="2" width="12.42578125" bestFit="1" customWidth="1"/>
    <col min="3" max="3" width="11.28515625" style="13" bestFit="1" customWidth="1"/>
    <col min="4" max="4" width="4.42578125" style="13" bestFit="1" customWidth="1"/>
    <col min="5" max="5" width="6.42578125" bestFit="1" customWidth="1"/>
    <col min="6" max="6" width="9" bestFit="1" customWidth="1"/>
    <col min="7" max="7" width="51.5703125" bestFit="1" customWidth="1"/>
    <col min="8" max="8" width="10.140625" bestFit="1" customWidth="1"/>
    <col min="9" max="9" width="10.140625" style="13" bestFit="1" customWidth="1"/>
    <col min="10" max="10" width="10.140625" bestFit="1" customWidth="1"/>
  </cols>
  <sheetData>
    <row r="1" spans="1:13" s="13" customFormat="1" ht="23.25" x14ac:dyDescent="0.35">
      <c r="B1" s="1" t="s">
        <v>315</v>
      </c>
      <c r="C1" s="2"/>
      <c r="D1" s="3"/>
      <c r="E1" s="2"/>
      <c r="F1" s="4"/>
    </row>
    <row r="2" spans="1:13" s="13" customFormat="1" ht="30" x14ac:dyDescent="0.25">
      <c r="B2" s="5" t="s">
        <v>0</v>
      </c>
      <c r="C2" s="6" t="s">
        <v>1</v>
      </c>
      <c r="D2" s="6"/>
      <c r="E2" s="7" t="s">
        <v>2</v>
      </c>
      <c r="F2" s="7" t="s">
        <v>3</v>
      </c>
      <c r="G2" s="8" t="s">
        <v>4</v>
      </c>
      <c r="H2" s="5" t="s">
        <v>5</v>
      </c>
      <c r="I2" s="5" t="s">
        <v>6</v>
      </c>
      <c r="J2" s="5" t="s">
        <v>7</v>
      </c>
      <c r="K2" s="9" t="s">
        <v>8</v>
      </c>
      <c r="L2" s="5" t="s">
        <v>9</v>
      </c>
      <c r="M2" s="14"/>
    </row>
    <row r="3" spans="1:13" x14ac:dyDescent="0.25">
      <c r="A3" t="str">
        <f>C3&amp;D3</f>
        <v>50714271810</v>
      </c>
      <c r="B3" s="10">
        <v>1004051716</v>
      </c>
      <c r="C3" s="10">
        <v>507142718</v>
      </c>
      <c r="D3" s="10">
        <v>10</v>
      </c>
      <c r="E3" s="10" t="s">
        <v>10</v>
      </c>
      <c r="F3" s="10">
        <v>1175676</v>
      </c>
      <c r="G3" s="10" t="s">
        <v>163</v>
      </c>
      <c r="H3" s="11">
        <v>10773</v>
      </c>
      <c r="I3" s="10">
        <v>0</v>
      </c>
      <c r="J3" s="11">
        <f>H3-I3</f>
        <v>10773</v>
      </c>
      <c r="K3" s="12">
        <f>VLOOKUP(A3,[5]VA05!$A:$K,11,FALSE)</f>
        <v>45593</v>
      </c>
      <c r="L3" s="10" t="s">
        <v>56</v>
      </c>
      <c r="M3" s="10" t="s">
        <v>142</v>
      </c>
    </row>
    <row r="4" spans="1:13" x14ac:dyDescent="0.25">
      <c r="A4" s="13" t="str">
        <f t="shared" ref="A4:A67" si="0">C4&amp;D4</f>
        <v>50714271810</v>
      </c>
      <c r="B4" s="10">
        <v>1004051717</v>
      </c>
      <c r="C4" s="10">
        <v>507142718</v>
      </c>
      <c r="D4" s="10">
        <v>10</v>
      </c>
      <c r="E4" s="10" t="s">
        <v>10</v>
      </c>
      <c r="F4" s="10">
        <v>1175673</v>
      </c>
      <c r="G4" s="10" t="s">
        <v>164</v>
      </c>
      <c r="H4" s="11">
        <v>11111</v>
      </c>
      <c r="I4" s="10">
        <v>0</v>
      </c>
      <c r="J4" s="11">
        <f t="shared" ref="J4:J67" si="1">H4-I4</f>
        <v>11111</v>
      </c>
      <c r="K4" s="12">
        <f>VLOOKUP(A4,[5]VA05!$A:$K,11,FALSE)</f>
        <v>45593</v>
      </c>
      <c r="L4" s="10" t="s">
        <v>25</v>
      </c>
      <c r="M4" s="10" t="s">
        <v>191</v>
      </c>
    </row>
    <row r="5" spans="1:13" x14ac:dyDescent="0.25">
      <c r="A5" s="13" t="str">
        <f t="shared" si="0"/>
        <v>50714271810</v>
      </c>
      <c r="B5" s="10">
        <v>1004051718</v>
      </c>
      <c r="C5" s="10">
        <v>507142718</v>
      </c>
      <c r="D5" s="10">
        <v>10</v>
      </c>
      <c r="E5" s="10" t="s">
        <v>10</v>
      </c>
      <c r="F5" s="10">
        <v>1175672</v>
      </c>
      <c r="G5" s="10" t="s">
        <v>165</v>
      </c>
      <c r="H5" s="11">
        <v>11111</v>
      </c>
      <c r="I5" s="11">
        <v>6400</v>
      </c>
      <c r="J5" s="11">
        <f t="shared" si="1"/>
        <v>4711</v>
      </c>
      <c r="K5" s="12">
        <f>VLOOKUP(A5,[5]VA05!$A:$K,11,FALSE)</f>
        <v>45593</v>
      </c>
      <c r="L5" s="10" t="s">
        <v>11</v>
      </c>
      <c r="M5" s="10" t="s">
        <v>157</v>
      </c>
    </row>
    <row r="6" spans="1:13" x14ac:dyDescent="0.25">
      <c r="A6" s="13" t="str">
        <f t="shared" si="0"/>
        <v>50714271810</v>
      </c>
      <c r="B6" s="10">
        <v>1004051719</v>
      </c>
      <c r="C6" s="10">
        <v>507142718</v>
      </c>
      <c r="D6" s="10">
        <v>10</v>
      </c>
      <c r="E6" s="10" t="s">
        <v>10</v>
      </c>
      <c r="F6" s="10">
        <v>1175608</v>
      </c>
      <c r="G6" s="10" t="s">
        <v>166</v>
      </c>
      <c r="H6" s="11">
        <v>10394</v>
      </c>
      <c r="I6" s="10">
        <v>0</v>
      </c>
      <c r="J6" s="11">
        <f t="shared" si="1"/>
        <v>10394</v>
      </c>
      <c r="K6" s="12">
        <f>VLOOKUP(A6,[5]VA05!$A:$K,11,FALSE)</f>
        <v>45593</v>
      </c>
      <c r="L6" s="10" t="s">
        <v>12</v>
      </c>
      <c r="M6" s="10" t="s">
        <v>175</v>
      </c>
    </row>
    <row r="7" spans="1:13" x14ac:dyDescent="0.25">
      <c r="A7" s="13" t="str">
        <f t="shared" si="0"/>
        <v>50714271810</v>
      </c>
      <c r="B7" s="10">
        <v>1004051720</v>
      </c>
      <c r="C7" s="10">
        <v>507142718</v>
      </c>
      <c r="D7" s="10">
        <v>10</v>
      </c>
      <c r="E7" s="10" t="s">
        <v>10</v>
      </c>
      <c r="F7" s="10">
        <v>1175605</v>
      </c>
      <c r="G7" s="10" t="s">
        <v>167</v>
      </c>
      <c r="H7" s="11">
        <v>10454</v>
      </c>
      <c r="I7" s="10">
        <v>0</v>
      </c>
      <c r="J7" s="11">
        <f t="shared" si="1"/>
        <v>10454</v>
      </c>
      <c r="K7" s="12">
        <f>VLOOKUP(A7,[5]VA05!$A:$K,11,FALSE)</f>
        <v>45593</v>
      </c>
      <c r="L7" s="10" t="s">
        <v>13</v>
      </c>
      <c r="M7" s="10" t="s">
        <v>157</v>
      </c>
    </row>
    <row r="8" spans="1:13" x14ac:dyDescent="0.25">
      <c r="A8" s="13" t="str">
        <f t="shared" si="0"/>
        <v>50714156910</v>
      </c>
      <c r="B8" s="10">
        <v>1004003998</v>
      </c>
      <c r="C8" s="10">
        <v>507141569</v>
      </c>
      <c r="D8" s="10">
        <v>10</v>
      </c>
      <c r="E8" s="10" t="s">
        <v>10</v>
      </c>
      <c r="F8" s="10">
        <v>1175312</v>
      </c>
      <c r="G8" s="10" t="s">
        <v>51</v>
      </c>
      <c r="H8" s="11">
        <v>25845</v>
      </c>
      <c r="I8" s="10">
        <v>0</v>
      </c>
      <c r="J8" s="11">
        <f t="shared" si="1"/>
        <v>25845</v>
      </c>
      <c r="K8" s="12">
        <f>VLOOKUP(A8,[5]VA05!$A:$K,11,FALSE)</f>
        <v>45611</v>
      </c>
      <c r="L8" s="10" t="s">
        <v>117</v>
      </c>
      <c r="M8" s="10" t="s">
        <v>78</v>
      </c>
    </row>
    <row r="9" spans="1:13" x14ac:dyDescent="0.25">
      <c r="A9" s="13" t="str">
        <f t="shared" si="0"/>
        <v>50714270810</v>
      </c>
      <c r="B9" s="10">
        <v>1004052045</v>
      </c>
      <c r="C9" s="10">
        <v>507142708</v>
      </c>
      <c r="D9" s="10">
        <v>10</v>
      </c>
      <c r="E9" s="10" t="s">
        <v>10</v>
      </c>
      <c r="F9" s="10">
        <v>1215664</v>
      </c>
      <c r="G9" s="10" t="s">
        <v>90</v>
      </c>
      <c r="H9" s="11">
        <v>11159</v>
      </c>
      <c r="I9" s="11">
        <v>8670</v>
      </c>
      <c r="J9" s="11">
        <f t="shared" si="1"/>
        <v>2489</v>
      </c>
      <c r="K9" s="12">
        <f>VLOOKUP(A9,[5]VA05!$A:$K,11,FALSE)</f>
        <v>45588</v>
      </c>
      <c r="L9" s="10" t="s">
        <v>11</v>
      </c>
      <c r="M9" s="10" t="s">
        <v>191</v>
      </c>
    </row>
    <row r="10" spans="1:13" x14ac:dyDescent="0.25">
      <c r="A10" s="13" t="str">
        <f t="shared" si="0"/>
        <v>50714282710</v>
      </c>
      <c r="B10" s="10">
        <v>1004061191</v>
      </c>
      <c r="C10" s="10">
        <v>507142827</v>
      </c>
      <c r="D10" s="10">
        <v>10</v>
      </c>
      <c r="E10" s="10" t="s">
        <v>10</v>
      </c>
      <c r="F10" s="10">
        <v>1411198</v>
      </c>
      <c r="G10" s="10" t="s">
        <v>41</v>
      </c>
      <c r="H10" s="11">
        <v>28402</v>
      </c>
      <c r="I10" s="11">
        <v>24169</v>
      </c>
      <c r="J10" s="11">
        <f t="shared" si="1"/>
        <v>4233</v>
      </c>
      <c r="K10" s="12">
        <f>VLOOKUP(A10,[5]VA05!$A:$K,11,FALSE)</f>
        <v>45588</v>
      </c>
      <c r="L10" s="10" t="s">
        <v>11</v>
      </c>
      <c r="M10" s="10" t="s">
        <v>157</v>
      </c>
    </row>
    <row r="11" spans="1:13" x14ac:dyDescent="0.25">
      <c r="A11" s="13" t="str">
        <f t="shared" si="0"/>
        <v>50714270810</v>
      </c>
      <c r="B11" s="10">
        <v>1004052046</v>
      </c>
      <c r="C11" s="10">
        <v>507142708</v>
      </c>
      <c r="D11" s="10">
        <v>10</v>
      </c>
      <c r="E11" s="10" t="s">
        <v>10</v>
      </c>
      <c r="F11" s="10">
        <v>1215668</v>
      </c>
      <c r="G11" s="10" t="s">
        <v>108</v>
      </c>
      <c r="H11" s="11">
        <v>11349</v>
      </c>
      <c r="I11" s="11">
        <v>7376</v>
      </c>
      <c r="J11" s="11">
        <f t="shared" si="1"/>
        <v>3973</v>
      </c>
      <c r="K11" s="12">
        <f>VLOOKUP(A11,[5]VA05!$A:$K,11,FALSE)</f>
        <v>45588</v>
      </c>
      <c r="L11" s="10" t="s">
        <v>11</v>
      </c>
      <c r="M11" s="10" t="s">
        <v>192</v>
      </c>
    </row>
    <row r="12" spans="1:13" x14ac:dyDescent="0.25">
      <c r="A12" s="13" t="str">
        <f t="shared" si="0"/>
        <v>50714283810</v>
      </c>
      <c r="B12" s="10">
        <v>1004061192</v>
      </c>
      <c r="C12" s="10">
        <v>507142838</v>
      </c>
      <c r="D12" s="10">
        <v>10</v>
      </c>
      <c r="E12" s="10" t="s">
        <v>10</v>
      </c>
      <c r="F12" s="10">
        <v>1171797</v>
      </c>
      <c r="G12" s="10" t="s">
        <v>255</v>
      </c>
      <c r="H12" s="11">
        <v>31141</v>
      </c>
      <c r="I12" s="10">
        <v>0</v>
      </c>
      <c r="J12" s="11">
        <f t="shared" si="1"/>
        <v>31141</v>
      </c>
      <c r="K12" s="12">
        <f>VLOOKUP(A12,[5]VA05!$A:$K,11,FALSE)</f>
        <v>45593</v>
      </c>
      <c r="L12" s="10" t="s">
        <v>12</v>
      </c>
      <c r="M12" s="10" t="s">
        <v>162</v>
      </c>
    </row>
    <row r="13" spans="1:13" x14ac:dyDescent="0.25">
      <c r="A13" s="13" t="str">
        <f t="shared" si="0"/>
        <v>50714270810</v>
      </c>
      <c r="B13" s="10">
        <v>1004052048</v>
      </c>
      <c r="C13" s="10">
        <v>507142708</v>
      </c>
      <c r="D13" s="10">
        <v>10</v>
      </c>
      <c r="E13" s="10" t="s">
        <v>10</v>
      </c>
      <c r="F13" s="10">
        <v>1215666</v>
      </c>
      <c r="G13" s="10" t="s">
        <v>182</v>
      </c>
      <c r="H13" s="11">
        <v>11159</v>
      </c>
      <c r="I13" s="11">
        <v>11159</v>
      </c>
      <c r="J13" s="11">
        <f t="shared" si="1"/>
        <v>0</v>
      </c>
      <c r="K13" s="12">
        <f>VLOOKUP(A13,[5]VA05!$A:$K,11,FALSE)</f>
        <v>45588</v>
      </c>
      <c r="L13" s="10" t="s">
        <v>232</v>
      </c>
      <c r="M13" s="10" t="s">
        <v>191</v>
      </c>
    </row>
    <row r="14" spans="1:13" x14ac:dyDescent="0.25">
      <c r="A14" s="13" t="str">
        <f t="shared" si="0"/>
        <v>50714282710</v>
      </c>
      <c r="B14" s="10">
        <v>1004063656</v>
      </c>
      <c r="C14" s="10">
        <v>507142827</v>
      </c>
      <c r="D14" s="10">
        <v>10</v>
      </c>
      <c r="E14" s="10" t="s">
        <v>10</v>
      </c>
      <c r="F14" s="10">
        <v>1411194</v>
      </c>
      <c r="G14" s="10" t="s">
        <v>46</v>
      </c>
      <c r="H14" s="11">
        <v>20598</v>
      </c>
      <c r="I14" s="11">
        <v>20598</v>
      </c>
      <c r="J14" s="11">
        <f t="shared" si="1"/>
        <v>0</v>
      </c>
      <c r="K14" s="12">
        <f>VLOOKUP(A14,[5]VA05!$A:$K,11,FALSE)</f>
        <v>45588</v>
      </c>
      <c r="L14" s="10" t="s">
        <v>113</v>
      </c>
      <c r="M14" s="10" t="s">
        <v>177</v>
      </c>
    </row>
    <row r="15" spans="1:13" x14ac:dyDescent="0.25">
      <c r="A15" s="13" t="str">
        <f t="shared" si="0"/>
        <v>50714282720</v>
      </c>
      <c r="B15" s="10">
        <v>1004063657</v>
      </c>
      <c r="C15" s="10">
        <v>507142827</v>
      </c>
      <c r="D15" s="10">
        <v>20</v>
      </c>
      <c r="E15" s="10" t="s">
        <v>10</v>
      </c>
      <c r="F15" s="10">
        <v>1411194</v>
      </c>
      <c r="G15" s="10" t="s">
        <v>46</v>
      </c>
      <c r="H15" s="11">
        <v>10054</v>
      </c>
      <c r="I15" s="10">
        <v>0</v>
      </c>
      <c r="J15" s="11">
        <f t="shared" si="1"/>
        <v>10054</v>
      </c>
      <c r="K15" s="12">
        <f>VLOOKUP(A15,[5]VA05!$A:$K,11,FALSE)</f>
        <v>45594</v>
      </c>
      <c r="L15" s="10" t="s">
        <v>12</v>
      </c>
      <c r="M15" s="10" t="s">
        <v>204</v>
      </c>
    </row>
    <row r="16" spans="1:13" x14ac:dyDescent="0.25">
      <c r="A16" s="13" t="str">
        <f t="shared" si="0"/>
        <v>50714282510</v>
      </c>
      <c r="B16" s="10">
        <v>1004061393</v>
      </c>
      <c r="C16" s="10">
        <v>507142825</v>
      </c>
      <c r="D16" s="10">
        <v>10</v>
      </c>
      <c r="E16" s="10" t="s">
        <v>10</v>
      </c>
      <c r="F16" s="10">
        <v>1173944</v>
      </c>
      <c r="G16" s="10" t="s">
        <v>91</v>
      </c>
      <c r="H16" s="11">
        <v>21855</v>
      </c>
      <c r="I16" s="11">
        <v>5407</v>
      </c>
      <c r="J16" s="11">
        <f t="shared" si="1"/>
        <v>16448</v>
      </c>
      <c r="K16" s="12">
        <f>VLOOKUP(A16,[5]VA05!$A:$K,11,FALSE)</f>
        <v>45589</v>
      </c>
      <c r="L16" s="10" t="s">
        <v>18</v>
      </c>
      <c r="M16" s="10" t="s">
        <v>191</v>
      </c>
    </row>
    <row r="17" spans="1:13" x14ac:dyDescent="0.25">
      <c r="A17" s="13" t="str">
        <f t="shared" si="0"/>
        <v>50714282910</v>
      </c>
      <c r="B17" s="10">
        <v>1004061394</v>
      </c>
      <c r="C17" s="10">
        <v>507142829</v>
      </c>
      <c r="D17" s="10">
        <v>10</v>
      </c>
      <c r="E17" s="10" t="s">
        <v>10</v>
      </c>
      <c r="F17" s="10">
        <v>1173944</v>
      </c>
      <c r="G17" s="10" t="s">
        <v>91</v>
      </c>
      <c r="H17" s="11">
        <v>11020</v>
      </c>
      <c r="I17" s="10">
        <v>0</v>
      </c>
      <c r="J17" s="11">
        <f t="shared" si="1"/>
        <v>11020</v>
      </c>
      <c r="K17" s="12">
        <f>VLOOKUP(A17,[5]VA05!$A:$K,11,FALSE)</f>
        <v>45582</v>
      </c>
      <c r="L17" s="10" t="s">
        <v>12</v>
      </c>
      <c r="M17" s="10" t="s">
        <v>179</v>
      </c>
    </row>
    <row r="18" spans="1:13" x14ac:dyDescent="0.25">
      <c r="A18" s="13" t="str">
        <f t="shared" si="0"/>
        <v>50714283810</v>
      </c>
      <c r="B18" s="10">
        <v>1004061390</v>
      </c>
      <c r="C18" s="10">
        <v>507142838</v>
      </c>
      <c r="D18" s="10">
        <v>10</v>
      </c>
      <c r="E18" s="10" t="s">
        <v>10</v>
      </c>
      <c r="F18" s="10">
        <v>1276494</v>
      </c>
      <c r="G18" s="10" t="s">
        <v>256</v>
      </c>
      <c r="H18" s="11">
        <v>27035</v>
      </c>
      <c r="I18" s="10">
        <v>0</v>
      </c>
      <c r="J18" s="11">
        <f t="shared" si="1"/>
        <v>27035</v>
      </c>
      <c r="K18" s="12">
        <f>VLOOKUP(A18,[5]VA05!$A:$K,11,FALSE)</f>
        <v>45593</v>
      </c>
      <c r="L18" s="10" t="s">
        <v>12</v>
      </c>
      <c r="M18" s="10" t="s">
        <v>191</v>
      </c>
    </row>
    <row r="19" spans="1:13" x14ac:dyDescent="0.25">
      <c r="A19" s="13" t="str">
        <f t="shared" si="0"/>
        <v>50714277910</v>
      </c>
      <c r="B19" s="10">
        <v>1004052270</v>
      </c>
      <c r="C19" s="10">
        <v>507142779</v>
      </c>
      <c r="D19" s="10">
        <v>10</v>
      </c>
      <c r="E19" s="10" t="s">
        <v>10</v>
      </c>
      <c r="F19" s="10">
        <v>1173947</v>
      </c>
      <c r="G19" s="10" t="s">
        <v>36</v>
      </c>
      <c r="H19" s="11">
        <v>11922</v>
      </c>
      <c r="I19" s="11">
        <v>1100</v>
      </c>
      <c r="J19" s="11">
        <f t="shared" si="1"/>
        <v>10822</v>
      </c>
      <c r="K19" s="12">
        <f>VLOOKUP(A19,[5]VA05!$A:$K,11,FALSE)</f>
        <v>45580</v>
      </c>
      <c r="L19" s="10" t="s">
        <v>18</v>
      </c>
      <c r="M19" s="10" t="s">
        <v>191</v>
      </c>
    </row>
    <row r="20" spans="1:13" x14ac:dyDescent="0.25">
      <c r="A20" s="13" t="str">
        <f t="shared" si="0"/>
        <v>50714278410</v>
      </c>
      <c r="B20" s="10">
        <v>1004052271</v>
      </c>
      <c r="C20" s="10">
        <v>507142784</v>
      </c>
      <c r="D20" s="10">
        <v>10</v>
      </c>
      <c r="E20" s="10" t="s">
        <v>10</v>
      </c>
      <c r="F20" s="10">
        <v>1173947</v>
      </c>
      <c r="G20" s="10" t="s">
        <v>36</v>
      </c>
      <c r="H20" s="11">
        <v>12384</v>
      </c>
      <c r="I20" s="10">
        <v>0</v>
      </c>
      <c r="J20" s="11">
        <f t="shared" si="1"/>
        <v>12384</v>
      </c>
      <c r="K20" s="12">
        <f>VLOOKUP(A20,[5]VA05!$A:$K,11,FALSE)</f>
        <v>45580</v>
      </c>
      <c r="L20" s="10" t="s">
        <v>12</v>
      </c>
      <c r="M20" s="10" t="s">
        <v>97</v>
      </c>
    </row>
    <row r="21" spans="1:13" x14ac:dyDescent="0.25">
      <c r="A21" s="13" t="str">
        <f t="shared" si="0"/>
        <v>50714282510</v>
      </c>
      <c r="B21" s="10">
        <v>1004061395</v>
      </c>
      <c r="C21" s="10">
        <v>507142825</v>
      </c>
      <c r="D21" s="10">
        <v>10</v>
      </c>
      <c r="E21" s="10" t="s">
        <v>10</v>
      </c>
      <c r="F21" s="10">
        <v>1173947</v>
      </c>
      <c r="G21" s="10" t="s">
        <v>36</v>
      </c>
      <c r="H21" s="11">
        <v>23842</v>
      </c>
      <c r="I21" s="10">
        <v>0</v>
      </c>
      <c r="J21" s="11">
        <f t="shared" si="1"/>
        <v>23842</v>
      </c>
      <c r="K21" s="12">
        <f>VLOOKUP(A21,[5]VA05!$A:$K,11,FALSE)</f>
        <v>45589</v>
      </c>
      <c r="L21" s="10" t="s">
        <v>12</v>
      </c>
      <c r="M21" s="10" t="s">
        <v>179</v>
      </c>
    </row>
    <row r="22" spans="1:13" x14ac:dyDescent="0.25">
      <c r="A22" s="13" t="str">
        <f t="shared" si="0"/>
        <v>50714277910</v>
      </c>
      <c r="B22" s="10">
        <v>1004053448</v>
      </c>
      <c r="C22" s="10">
        <v>507142779</v>
      </c>
      <c r="D22" s="10">
        <v>10</v>
      </c>
      <c r="E22" s="10" t="s">
        <v>10</v>
      </c>
      <c r="F22" s="10">
        <v>1171793</v>
      </c>
      <c r="G22" s="10" t="s">
        <v>33</v>
      </c>
      <c r="H22" s="11">
        <v>10792</v>
      </c>
      <c r="I22" s="10">
        <v>0</v>
      </c>
      <c r="J22" s="11">
        <f t="shared" si="1"/>
        <v>10792</v>
      </c>
      <c r="K22" s="12">
        <f>VLOOKUP(A22,[5]VA05!$A:$K,11,FALSE)</f>
        <v>45580</v>
      </c>
      <c r="L22" s="10" t="s">
        <v>12</v>
      </c>
      <c r="M22" s="10" t="s">
        <v>162</v>
      </c>
    </row>
    <row r="23" spans="1:13" x14ac:dyDescent="0.25">
      <c r="A23" s="13" t="str">
        <f t="shared" si="0"/>
        <v>50714278410</v>
      </c>
      <c r="B23" s="10">
        <v>1004061396</v>
      </c>
      <c r="C23" s="10">
        <v>507142784</v>
      </c>
      <c r="D23" s="10">
        <v>10</v>
      </c>
      <c r="E23" s="10" t="s">
        <v>10</v>
      </c>
      <c r="F23" s="10">
        <v>1171793</v>
      </c>
      <c r="G23" s="10" t="s">
        <v>33</v>
      </c>
      <c r="H23" s="11">
        <v>10882</v>
      </c>
      <c r="I23" s="10">
        <v>0</v>
      </c>
      <c r="J23" s="11">
        <f t="shared" si="1"/>
        <v>10882</v>
      </c>
      <c r="K23" s="12">
        <f>VLOOKUP(A23,[5]VA05!$A:$K,11,FALSE)</f>
        <v>45580</v>
      </c>
      <c r="L23" s="10" t="s">
        <v>12</v>
      </c>
      <c r="M23" s="10" t="s">
        <v>162</v>
      </c>
    </row>
    <row r="24" spans="1:13" x14ac:dyDescent="0.25">
      <c r="A24" s="13" t="str">
        <f t="shared" si="0"/>
        <v>50714282510</v>
      </c>
      <c r="B24" s="10">
        <v>1004061397</v>
      </c>
      <c r="C24" s="10">
        <v>507142825</v>
      </c>
      <c r="D24" s="10">
        <v>10</v>
      </c>
      <c r="E24" s="10" t="s">
        <v>10</v>
      </c>
      <c r="F24" s="10">
        <v>1171793</v>
      </c>
      <c r="G24" s="10" t="s">
        <v>33</v>
      </c>
      <c r="H24" s="11">
        <v>21582</v>
      </c>
      <c r="I24" s="10">
        <v>0</v>
      </c>
      <c r="J24" s="11">
        <f t="shared" si="1"/>
        <v>21582</v>
      </c>
      <c r="K24" s="12">
        <f>VLOOKUP(A24,[5]VA05!$A:$K,11,FALSE)</f>
        <v>45589</v>
      </c>
      <c r="L24" s="10" t="s">
        <v>12</v>
      </c>
      <c r="M24" s="10" t="s">
        <v>191</v>
      </c>
    </row>
    <row r="25" spans="1:13" x14ac:dyDescent="0.25">
      <c r="A25" s="13" t="str">
        <f t="shared" si="0"/>
        <v>50714282910</v>
      </c>
      <c r="B25" s="10">
        <v>1004061398</v>
      </c>
      <c r="C25" s="10">
        <v>507142829</v>
      </c>
      <c r="D25" s="10">
        <v>10</v>
      </c>
      <c r="E25" s="10" t="s">
        <v>10</v>
      </c>
      <c r="F25" s="10">
        <v>1171793</v>
      </c>
      <c r="G25" s="10" t="s">
        <v>33</v>
      </c>
      <c r="H25" s="11">
        <v>10882</v>
      </c>
      <c r="I25" s="10">
        <v>0</v>
      </c>
      <c r="J25" s="11">
        <f t="shared" si="1"/>
        <v>10882</v>
      </c>
      <c r="K25" s="12">
        <f>VLOOKUP(A25,[5]VA05!$A:$K,11,FALSE)</f>
        <v>45582</v>
      </c>
      <c r="L25" s="10" t="s">
        <v>12</v>
      </c>
      <c r="M25" s="10" t="s">
        <v>157</v>
      </c>
    </row>
    <row r="26" spans="1:13" x14ac:dyDescent="0.25">
      <c r="A26" s="13" t="str">
        <f t="shared" si="0"/>
        <v>50714272510</v>
      </c>
      <c r="B26" s="10">
        <v>1004060450</v>
      </c>
      <c r="C26" s="10">
        <v>507142725</v>
      </c>
      <c r="D26" s="10">
        <v>10</v>
      </c>
      <c r="E26" s="10" t="s">
        <v>10</v>
      </c>
      <c r="F26" s="10">
        <v>1420608</v>
      </c>
      <c r="G26" s="10" t="s">
        <v>110</v>
      </c>
      <c r="H26" s="11">
        <v>16376</v>
      </c>
      <c r="I26" s="11">
        <v>13027</v>
      </c>
      <c r="J26" s="11">
        <f t="shared" si="1"/>
        <v>3349</v>
      </c>
      <c r="K26" s="12">
        <f>VLOOKUP(A26,[5]VA05!$A:$K,11,FALSE)</f>
        <v>45573</v>
      </c>
      <c r="L26" s="10" t="s">
        <v>18</v>
      </c>
      <c r="M26" s="10" t="s">
        <v>162</v>
      </c>
    </row>
    <row r="27" spans="1:13" x14ac:dyDescent="0.25">
      <c r="A27" s="13" t="str">
        <f t="shared" si="0"/>
        <v>50714265120</v>
      </c>
      <c r="B27" s="10">
        <v>1004059425</v>
      </c>
      <c r="C27" s="10">
        <v>507142651</v>
      </c>
      <c r="D27" s="10">
        <v>20</v>
      </c>
      <c r="E27" s="10" t="s">
        <v>24</v>
      </c>
      <c r="F27" s="10">
        <v>1149455</v>
      </c>
      <c r="G27" s="10" t="s">
        <v>44</v>
      </c>
      <c r="H27" s="11">
        <v>10000</v>
      </c>
      <c r="I27" s="10">
        <v>0</v>
      </c>
      <c r="J27" s="11">
        <f t="shared" si="1"/>
        <v>10000</v>
      </c>
      <c r="K27" s="12" t="e">
        <f>VLOOKUP(A27,[5]VA05!$A:$K,11,FALSE)</f>
        <v>#N/A</v>
      </c>
      <c r="L27" s="10" t="s">
        <v>13</v>
      </c>
      <c r="M27" s="10" t="s">
        <v>154</v>
      </c>
    </row>
    <row r="28" spans="1:13" x14ac:dyDescent="0.25">
      <c r="A28" s="13" t="str">
        <f t="shared" si="0"/>
        <v>50714235110</v>
      </c>
      <c r="B28" s="10">
        <v>1004042803</v>
      </c>
      <c r="C28" s="10">
        <v>507142351</v>
      </c>
      <c r="D28" s="10">
        <v>10</v>
      </c>
      <c r="E28" s="10" t="s">
        <v>10</v>
      </c>
      <c r="F28" s="10">
        <v>1192909</v>
      </c>
      <c r="G28" s="10" t="s">
        <v>35</v>
      </c>
      <c r="H28" s="11">
        <v>16753</v>
      </c>
      <c r="I28" s="11">
        <v>9187</v>
      </c>
      <c r="J28" s="11">
        <f t="shared" si="1"/>
        <v>7566</v>
      </c>
      <c r="K28" s="12">
        <f>VLOOKUP(A28,[5]VA05!$A:$K,11,FALSE)</f>
        <v>45545</v>
      </c>
      <c r="L28" s="10" t="s">
        <v>18</v>
      </c>
      <c r="M28" s="10" t="s">
        <v>111</v>
      </c>
    </row>
    <row r="29" spans="1:13" x14ac:dyDescent="0.25">
      <c r="A29" s="13" t="str">
        <f t="shared" si="0"/>
        <v>50714272510</v>
      </c>
      <c r="B29" s="10">
        <v>1004060387</v>
      </c>
      <c r="C29" s="10">
        <v>507142725</v>
      </c>
      <c r="D29" s="10">
        <v>10</v>
      </c>
      <c r="E29" s="10" t="s">
        <v>10</v>
      </c>
      <c r="F29" s="10">
        <v>1420609</v>
      </c>
      <c r="G29" s="10" t="s">
        <v>133</v>
      </c>
      <c r="H29" s="11">
        <v>16868</v>
      </c>
      <c r="I29" s="11">
        <v>13728</v>
      </c>
      <c r="J29" s="11">
        <f t="shared" si="1"/>
        <v>3140</v>
      </c>
      <c r="K29" s="12">
        <f>VLOOKUP(A29,[5]VA05!$A:$K,11,FALSE)</f>
        <v>45573</v>
      </c>
      <c r="L29" s="10" t="s">
        <v>18</v>
      </c>
      <c r="M29" s="10" t="s">
        <v>162</v>
      </c>
    </row>
    <row r="30" spans="1:13" x14ac:dyDescent="0.25">
      <c r="A30" s="13" t="str">
        <f t="shared" si="0"/>
        <v>50714273410</v>
      </c>
      <c r="B30" s="10">
        <v>1004054830</v>
      </c>
      <c r="C30" s="10">
        <v>507142734</v>
      </c>
      <c r="D30" s="10">
        <v>10</v>
      </c>
      <c r="E30" s="10" t="s">
        <v>10</v>
      </c>
      <c r="F30" s="10">
        <v>1193508</v>
      </c>
      <c r="G30" s="10" t="s">
        <v>134</v>
      </c>
      <c r="H30" s="11">
        <v>16753</v>
      </c>
      <c r="I30" s="11">
        <v>13900</v>
      </c>
      <c r="J30" s="11">
        <f t="shared" si="1"/>
        <v>2853</v>
      </c>
      <c r="K30" s="12">
        <f>VLOOKUP(A30,[5]VA05!$A:$K,11,FALSE)</f>
        <v>45575</v>
      </c>
      <c r="L30" s="10" t="s">
        <v>18</v>
      </c>
      <c r="M30" s="10" t="s">
        <v>195</v>
      </c>
    </row>
    <row r="31" spans="1:13" x14ac:dyDescent="0.25">
      <c r="A31" s="13" t="str">
        <f t="shared" si="0"/>
        <v>50714274310</v>
      </c>
      <c r="B31" s="10">
        <v>1004054831</v>
      </c>
      <c r="C31" s="10">
        <v>507142743</v>
      </c>
      <c r="D31" s="10">
        <v>10</v>
      </c>
      <c r="E31" s="10" t="s">
        <v>10</v>
      </c>
      <c r="F31" s="10">
        <v>1193508</v>
      </c>
      <c r="G31" s="10" t="s">
        <v>134</v>
      </c>
      <c r="H31" s="11">
        <v>16753</v>
      </c>
      <c r="I31" s="10">
        <v>0</v>
      </c>
      <c r="J31" s="11">
        <f t="shared" si="1"/>
        <v>16753</v>
      </c>
      <c r="K31" s="12">
        <f>VLOOKUP(A31,[5]VA05!$A:$K,11,FALSE)</f>
        <v>45575</v>
      </c>
      <c r="L31" s="10" t="s">
        <v>27</v>
      </c>
      <c r="M31" s="10" t="s">
        <v>195</v>
      </c>
    </row>
    <row r="32" spans="1:13" x14ac:dyDescent="0.25">
      <c r="A32" s="13" t="str">
        <f t="shared" si="0"/>
        <v>50714272410</v>
      </c>
      <c r="B32" s="10">
        <v>1004051405</v>
      </c>
      <c r="C32" s="10">
        <v>507142724</v>
      </c>
      <c r="D32" s="10">
        <v>10</v>
      </c>
      <c r="E32" s="10" t="s">
        <v>10</v>
      </c>
      <c r="F32" s="10">
        <v>1233459</v>
      </c>
      <c r="G32" s="10" t="s">
        <v>121</v>
      </c>
      <c r="H32" s="11">
        <v>10299</v>
      </c>
      <c r="I32" s="11">
        <v>9186</v>
      </c>
      <c r="J32" s="11">
        <f t="shared" si="1"/>
        <v>1113</v>
      </c>
      <c r="K32" s="12">
        <f>VLOOKUP(A32,[5]VA05!$A:$K,11,FALSE)</f>
        <v>45594</v>
      </c>
      <c r="L32" s="10" t="s">
        <v>18</v>
      </c>
      <c r="M32" s="10" t="s">
        <v>193</v>
      </c>
    </row>
    <row r="33" spans="1:13" x14ac:dyDescent="0.25">
      <c r="A33" s="13" t="str">
        <f t="shared" si="0"/>
        <v>50714272410</v>
      </c>
      <c r="B33" s="10">
        <v>1004058756</v>
      </c>
      <c r="C33" s="10">
        <v>507142724</v>
      </c>
      <c r="D33" s="10">
        <v>10</v>
      </c>
      <c r="E33" s="10" t="s">
        <v>10</v>
      </c>
      <c r="F33" s="10">
        <v>1233477</v>
      </c>
      <c r="G33" s="10" t="s">
        <v>236</v>
      </c>
      <c r="H33" s="11">
        <v>11006</v>
      </c>
      <c r="I33" s="10">
        <v>0</v>
      </c>
      <c r="J33" s="11">
        <f t="shared" si="1"/>
        <v>11006</v>
      </c>
      <c r="K33" s="12">
        <f>VLOOKUP(A33,[5]VA05!$A:$K,11,FALSE)</f>
        <v>45594</v>
      </c>
      <c r="L33" s="10" t="s">
        <v>12</v>
      </c>
      <c r="M33" s="10" t="s">
        <v>109</v>
      </c>
    </row>
    <row r="34" spans="1:13" x14ac:dyDescent="0.25">
      <c r="A34" s="13" t="str">
        <f t="shared" si="0"/>
        <v>50714274270</v>
      </c>
      <c r="B34" s="10">
        <v>1004052519</v>
      </c>
      <c r="C34" s="10">
        <v>507142742</v>
      </c>
      <c r="D34" s="10">
        <v>70</v>
      </c>
      <c r="E34" s="10" t="s">
        <v>10</v>
      </c>
      <c r="F34" s="10">
        <v>1209335</v>
      </c>
      <c r="G34" s="10" t="s">
        <v>150</v>
      </c>
      <c r="H34" s="11">
        <v>25576</v>
      </c>
      <c r="I34" s="11">
        <v>18744</v>
      </c>
      <c r="J34" s="11">
        <f t="shared" si="1"/>
        <v>6832</v>
      </c>
      <c r="K34" s="12">
        <f>VLOOKUP(A34,[5]VA05!$A:$K,11,FALSE)</f>
        <v>45587</v>
      </c>
      <c r="L34" s="10" t="s">
        <v>11</v>
      </c>
      <c r="M34" s="10" t="s">
        <v>109</v>
      </c>
    </row>
    <row r="35" spans="1:13" x14ac:dyDescent="0.25">
      <c r="A35" s="13" t="str">
        <f t="shared" si="0"/>
        <v>507142742100</v>
      </c>
      <c r="B35" s="10">
        <v>1004052522</v>
      </c>
      <c r="C35" s="10">
        <v>507142742</v>
      </c>
      <c r="D35" s="10">
        <v>100</v>
      </c>
      <c r="E35" s="10" t="s">
        <v>10</v>
      </c>
      <c r="F35" s="10">
        <v>1209335</v>
      </c>
      <c r="G35" s="10" t="s">
        <v>150</v>
      </c>
      <c r="H35" s="11">
        <v>25576</v>
      </c>
      <c r="I35" s="10">
        <v>0</v>
      </c>
      <c r="J35" s="11">
        <f t="shared" si="1"/>
        <v>25576</v>
      </c>
      <c r="K35" s="12" t="e">
        <f>VLOOKUP(A35,[5]VA05!$A:$K,11,FALSE)</f>
        <v>#N/A</v>
      </c>
      <c r="L35" s="10" t="s">
        <v>12</v>
      </c>
      <c r="M35" s="10" t="s">
        <v>196</v>
      </c>
    </row>
    <row r="36" spans="1:13" x14ac:dyDescent="0.25">
      <c r="A36" s="13" t="str">
        <f t="shared" si="0"/>
        <v>50714285110</v>
      </c>
      <c r="B36" s="10">
        <v>1004062669</v>
      </c>
      <c r="C36" s="10">
        <v>507142851</v>
      </c>
      <c r="D36" s="10">
        <v>10</v>
      </c>
      <c r="E36" s="10" t="s">
        <v>10</v>
      </c>
      <c r="F36" s="10">
        <v>1209335</v>
      </c>
      <c r="G36" s="10" t="s">
        <v>150</v>
      </c>
      <c r="H36" s="11">
        <v>35874</v>
      </c>
      <c r="I36" s="10">
        <v>0</v>
      </c>
      <c r="J36" s="11">
        <f t="shared" si="1"/>
        <v>35874</v>
      </c>
      <c r="K36" s="12">
        <f>VLOOKUP(A36,[5]VA05!$A:$K,11,FALSE)</f>
        <v>45593</v>
      </c>
      <c r="L36" s="10" t="s">
        <v>12</v>
      </c>
      <c r="M36" s="10" t="s">
        <v>157</v>
      </c>
    </row>
    <row r="37" spans="1:13" x14ac:dyDescent="0.25">
      <c r="A37" s="13" t="str">
        <f t="shared" si="0"/>
        <v>50714268230</v>
      </c>
      <c r="B37" s="10">
        <v>1004062670</v>
      </c>
      <c r="C37" s="10">
        <v>507142682</v>
      </c>
      <c r="D37" s="10">
        <v>30</v>
      </c>
      <c r="E37" s="10" t="s">
        <v>10</v>
      </c>
      <c r="F37" s="10">
        <v>1440079</v>
      </c>
      <c r="G37" s="10" t="s">
        <v>292</v>
      </c>
      <c r="H37" s="11">
        <v>10217</v>
      </c>
      <c r="I37" s="10">
        <v>0</v>
      </c>
      <c r="J37" s="11">
        <f t="shared" si="1"/>
        <v>10217</v>
      </c>
      <c r="K37" s="12">
        <f>VLOOKUP(A37,[5]VA05!$A:$K,11,FALSE)</f>
        <v>45595</v>
      </c>
      <c r="L37" s="10" t="s">
        <v>12</v>
      </c>
      <c r="M37" s="10" t="s">
        <v>204</v>
      </c>
    </row>
    <row r="38" spans="1:13" x14ac:dyDescent="0.25">
      <c r="A38" s="13" t="str">
        <f t="shared" si="0"/>
        <v>50714274240</v>
      </c>
      <c r="B38" s="10">
        <v>1004052625</v>
      </c>
      <c r="C38" s="10">
        <v>507142742</v>
      </c>
      <c r="D38" s="10">
        <v>40</v>
      </c>
      <c r="E38" s="10" t="s">
        <v>10</v>
      </c>
      <c r="F38" s="10">
        <v>1437142</v>
      </c>
      <c r="G38" s="10" t="s">
        <v>145</v>
      </c>
      <c r="H38" s="11">
        <v>38800</v>
      </c>
      <c r="I38" s="10">
        <v>0</v>
      </c>
      <c r="J38" s="11">
        <f t="shared" si="1"/>
        <v>38800</v>
      </c>
      <c r="K38" s="12">
        <f>VLOOKUP(A38,[5]VA05!$A:$K,11,FALSE)</f>
        <v>45580</v>
      </c>
      <c r="L38" s="10" t="s">
        <v>12</v>
      </c>
      <c r="M38" s="10" t="s">
        <v>197</v>
      </c>
    </row>
    <row r="39" spans="1:13" x14ac:dyDescent="0.25">
      <c r="A39" s="13" t="str">
        <f t="shared" si="0"/>
        <v>50714274270</v>
      </c>
      <c r="B39" s="10">
        <v>1004052626</v>
      </c>
      <c r="C39" s="10">
        <v>507142742</v>
      </c>
      <c r="D39" s="10">
        <v>70</v>
      </c>
      <c r="E39" s="10" t="s">
        <v>10</v>
      </c>
      <c r="F39" s="10">
        <v>1437142</v>
      </c>
      <c r="G39" s="10" t="s">
        <v>145</v>
      </c>
      <c r="H39" s="11">
        <v>40825</v>
      </c>
      <c r="I39" s="10">
        <v>0</v>
      </c>
      <c r="J39" s="11">
        <f t="shared" si="1"/>
        <v>40825</v>
      </c>
      <c r="K39" s="12">
        <f>VLOOKUP(A39,[5]VA05!$A:$K,11,FALSE)</f>
        <v>45587</v>
      </c>
      <c r="L39" s="10" t="s">
        <v>12</v>
      </c>
      <c r="M39" s="10" t="s">
        <v>162</v>
      </c>
    </row>
    <row r="40" spans="1:13" x14ac:dyDescent="0.25">
      <c r="A40" s="13" t="str">
        <f t="shared" si="0"/>
        <v>507142742100</v>
      </c>
      <c r="B40" s="10">
        <v>1004052627</v>
      </c>
      <c r="C40" s="10">
        <v>507142742</v>
      </c>
      <c r="D40" s="10">
        <v>100</v>
      </c>
      <c r="E40" s="10" t="s">
        <v>10</v>
      </c>
      <c r="F40" s="10">
        <v>1437142</v>
      </c>
      <c r="G40" s="10" t="s">
        <v>145</v>
      </c>
      <c r="H40" s="11">
        <v>27661</v>
      </c>
      <c r="I40" s="10">
        <v>0</v>
      </c>
      <c r="J40" s="11">
        <f t="shared" si="1"/>
        <v>27661</v>
      </c>
      <c r="K40" s="12" t="e">
        <f>VLOOKUP(A40,[5]VA05!$A:$K,11,FALSE)</f>
        <v>#N/A</v>
      </c>
      <c r="L40" s="10" t="s">
        <v>12</v>
      </c>
      <c r="M40" s="10" t="s">
        <v>109</v>
      </c>
    </row>
    <row r="41" spans="1:13" x14ac:dyDescent="0.25">
      <c r="A41" s="13" t="str">
        <f t="shared" si="0"/>
        <v>50714274210</v>
      </c>
      <c r="B41" s="10">
        <v>1004054341</v>
      </c>
      <c r="C41" s="10">
        <v>507142742</v>
      </c>
      <c r="D41" s="10">
        <v>10</v>
      </c>
      <c r="E41" s="10" t="s">
        <v>10</v>
      </c>
      <c r="F41" s="10">
        <v>1437142</v>
      </c>
      <c r="G41" s="10" t="s">
        <v>145</v>
      </c>
      <c r="H41" s="11">
        <v>27661</v>
      </c>
      <c r="I41" s="11">
        <v>24558</v>
      </c>
      <c r="J41" s="11">
        <f t="shared" si="1"/>
        <v>3103</v>
      </c>
      <c r="K41" s="12">
        <f>VLOOKUP(A41,[5]VA05!$A:$K,11,FALSE)</f>
        <v>45579</v>
      </c>
      <c r="L41" s="10" t="s">
        <v>11</v>
      </c>
      <c r="M41" s="10" t="s">
        <v>178</v>
      </c>
    </row>
    <row r="42" spans="1:13" x14ac:dyDescent="0.25">
      <c r="A42" s="13" t="str">
        <f t="shared" si="0"/>
        <v>50714285110</v>
      </c>
      <c r="B42" s="10">
        <v>1004062677</v>
      </c>
      <c r="C42" s="10">
        <v>507142851</v>
      </c>
      <c r="D42" s="10">
        <v>10</v>
      </c>
      <c r="E42" s="10" t="s">
        <v>10</v>
      </c>
      <c r="F42" s="10">
        <v>1437142</v>
      </c>
      <c r="G42" s="10" t="s">
        <v>145</v>
      </c>
      <c r="H42" s="11">
        <v>38799</v>
      </c>
      <c r="I42" s="10">
        <v>0</v>
      </c>
      <c r="J42" s="11">
        <f t="shared" si="1"/>
        <v>38799</v>
      </c>
      <c r="K42" s="12">
        <f>VLOOKUP(A42,[5]VA05!$A:$K,11,FALSE)</f>
        <v>45593</v>
      </c>
      <c r="L42" s="10" t="s">
        <v>12</v>
      </c>
      <c r="M42" s="10" t="s">
        <v>162</v>
      </c>
    </row>
    <row r="43" spans="1:13" x14ac:dyDescent="0.25">
      <c r="A43" s="13" t="str">
        <f t="shared" si="0"/>
        <v>50714268230</v>
      </c>
      <c r="B43" s="10">
        <v>1004059556</v>
      </c>
      <c r="C43" s="10">
        <v>507142682</v>
      </c>
      <c r="D43" s="10">
        <v>30</v>
      </c>
      <c r="E43" s="10" t="s">
        <v>10</v>
      </c>
      <c r="F43" s="10">
        <v>1440080</v>
      </c>
      <c r="G43" s="10" t="s">
        <v>247</v>
      </c>
      <c r="H43" s="11">
        <v>10524</v>
      </c>
      <c r="I43" s="10">
        <v>0</v>
      </c>
      <c r="J43" s="11">
        <f t="shared" si="1"/>
        <v>10524</v>
      </c>
      <c r="K43" s="12">
        <f>VLOOKUP(A43,[5]VA05!$A:$K,11,FALSE)</f>
        <v>45595</v>
      </c>
      <c r="L43" s="10" t="s">
        <v>12</v>
      </c>
      <c r="M43" s="10" t="s">
        <v>176</v>
      </c>
    </row>
    <row r="44" spans="1:13" x14ac:dyDescent="0.25">
      <c r="A44" s="13" t="str">
        <f t="shared" si="0"/>
        <v>507142742110</v>
      </c>
      <c r="B44" s="10">
        <v>1004052514</v>
      </c>
      <c r="C44" s="10">
        <v>507142742</v>
      </c>
      <c r="D44" s="10">
        <v>110</v>
      </c>
      <c r="E44" s="10" t="s">
        <v>10</v>
      </c>
      <c r="F44" s="10">
        <v>1209351</v>
      </c>
      <c r="G44" s="10" t="s">
        <v>135</v>
      </c>
      <c r="H44" s="11">
        <v>25576</v>
      </c>
      <c r="I44" s="11">
        <v>3050</v>
      </c>
      <c r="J44" s="11">
        <f t="shared" si="1"/>
        <v>22526</v>
      </c>
      <c r="K44" s="12" t="e">
        <f>VLOOKUP(A44,[5]VA05!$A:$K,11,FALSE)</f>
        <v>#N/A</v>
      </c>
      <c r="L44" s="10" t="s">
        <v>18</v>
      </c>
      <c r="M44" s="10" t="s">
        <v>198</v>
      </c>
    </row>
    <row r="45" spans="1:13" x14ac:dyDescent="0.25">
      <c r="A45" s="13" t="str">
        <f t="shared" si="0"/>
        <v>50714285120</v>
      </c>
      <c r="B45" s="10">
        <v>1004062680</v>
      </c>
      <c r="C45" s="10">
        <v>507142851</v>
      </c>
      <c r="D45" s="10">
        <v>20</v>
      </c>
      <c r="E45" s="10" t="s">
        <v>10</v>
      </c>
      <c r="F45" s="10">
        <v>1209351</v>
      </c>
      <c r="G45" s="10" t="s">
        <v>135</v>
      </c>
      <c r="H45" s="11">
        <v>35874</v>
      </c>
      <c r="I45" s="10">
        <v>0</v>
      </c>
      <c r="J45" s="11">
        <f t="shared" si="1"/>
        <v>35874</v>
      </c>
      <c r="K45" s="12">
        <f>VLOOKUP(A45,[5]VA05!$A:$K,11,FALSE)</f>
        <v>45593</v>
      </c>
      <c r="L45" s="10" t="s">
        <v>12</v>
      </c>
      <c r="M45" s="10" t="s">
        <v>199</v>
      </c>
    </row>
    <row r="46" spans="1:13" x14ac:dyDescent="0.25">
      <c r="A46" s="13" t="str">
        <f t="shared" si="0"/>
        <v>50714242410</v>
      </c>
      <c r="B46" s="10">
        <v>1004019563</v>
      </c>
      <c r="C46" s="10">
        <v>507142424</v>
      </c>
      <c r="D46" s="10">
        <v>10</v>
      </c>
      <c r="E46" s="10" t="s">
        <v>10</v>
      </c>
      <c r="F46" s="10">
        <v>1212320</v>
      </c>
      <c r="G46" s="10" t="s">
        <v>17</v>
      </c>
      <c r="H46" s="11">
        <v>19568</v>
      </c>
      <c r="I46" s="10">
        <v>0</v>
      </c>
      <c r="J46" s="11">
        <f t="shared" si="1"/>
        <v>19568</v>
      </c>
      <c r="K46" s="12" t="e">
        <f>VLOOKUP(A46,[5]VA05!$A:$K,11,FALSE)</f>
        <v>#N/A</v>
      </c>
      <c r="L46" s="10" t="s">
        <v>239</v>
      </c>
      <c r="M46" s="10" t="s">
        <v>72</v>
      </c>
    </row>
    <row r="47" spans="1:13" x14ac:dyDescent="0.25">
      <c r="A47" s="13" t="str">
        <f t="shared" si="0"/>
        <v>50714242430</v>
      </c>
      <c r="B47" s="10">
        <v>1004019564</v>
      </c>
      <c r="C47" s="10">
        <v>507142424</v>
      </c>
      <c r="D47" s="10">
        <v>30</v>
      </c>
      <c r="E47" s="10" t="s">
        <v>10</v>
      </c>
      <c r="F47" s="10">
        <v>1212320</v>
      </c>
      <c r="G47" s="10" t="s">
        <v>17</v>
      </c>
      <c r="H47" s="11">
        <v>19568</v>
      </c>
      <c r="I47" s="10">
        <v>0</v>
      </c>
      <c r="J47" s="11">
        <f t="shared" si="1"/>
        <v>19568</v>
      </c>
      <c r="K47" s="12" t="e">
        <f>VLOOKUP(A47,[5]VA05!$A:$K,11,FALSE)</f>
        <v>#N/A</v>
      </c>
      <c r="L47" s="10" t="s">
        <v>13</v>
      </c>
      <c r="M47" s="10" t="s">
        <v>69</v>
      </c>
    </row>
    <row r="48" spans="1:13" x14ac:dyDescent="0.25">
      <c r="A48" s="13" t="str">
        <f t="shared" si="0"/>
        <v>50714242450</v>
      </c>
      <c r="B48" s="10">
        <v>1004019566</v>
      </c>
      <c r="C48" s="10">
        <v>507142424</v>
      </c>
      <c r="D48" s="10">
        <v>50</v>
      </c>
      <c r="E48" s="10" t="s">
        <v>10</v>
      </c>
      <c r="F48" s="10">
        <v>1212320</v>
      </c>
      <c r="G48" s="10" t="s">
        <v>17</v>
      </c>
      <c r="H48" s="11">
        <v>30725</v>
      </c>
      <c r="I48" s="10">
        <v>0</v>
      </c>
      <c r="J48" s="11">
        <f t="shared" si="1"/>
        <v>30725</v>
      </c>
      <c r="K48" s="12" t="e">
        <f>VLOOKUP(A48,[5]VA05!$A:$K,11,FALSE)</f>
        <v>#N/A</v>
      </c>
      <c r="L48" s="10" t="s">
        <v>13</v>
      </c>
      <c r="M48" s="10" t="s">
        <v>73</v>
      </c>
    </row>
    <row r="49" spans="1:13" x14ac:dyDescent="0.25">
      <c r="A49" s="13" t="str">
        <f t="shared" si="0"/>
        <v>50714274250</v>
      </c>
      <c r="B49" s="10">
        <v>1004064319</v>
      </c>
      <c r="C49" s="10">
        <v>507142742</v>
      </c>
      <c r="D49" s="10">
        <v>50</v>
      </c>
      <c r="E49" s="10" t="s">
        <v>10</v>
      </c>
      <c r="F49" s="10">
        <v>1437172</v>
      </c>
      <c r="G49" s="10" t="s">
        <v>123</v>
      </c>
      <c r="H49" s="11">
        <v>35874</v>
      </c>
      <c r="I49" s="11">
        <v>7700</v>
      </c>
      <c r="J49" s="11">
        <f t="shared" si="1"/>
        <v>28174</v>
      </c>
      <c r="K49" s="12">
        <f>VLOOKUP(A49,[5]VA05!$A:$K,11,FALSE)</f>
        <v>45580</v>
      </c>
      <c r="L49" s="10" t="s">
        <v>11</v>
      </c>
      <c r="M49" s="10" t="s">
        <v>177</v>
      </c>
    </row>
    <row r="50" spans="1:13" x14ac:dyDescent="0.25">
      <c r="A50" s="13" t="str">
        <f t="shared" si="0"/>
        <v>507142742100</v>
      </c>
      <c r="B50" s="10">
        <v>1004052426</v>
      </c>
      <c r="C50" s="10">
        <v>507142742</v>
      </c>
      <c r="D50" s="10">
        <v>100</v>
      </c>
      <c r="E50" s="10" t="s">
        <v>10</v>
      </c>
      <c r="F50" s="10">
        <v>1209336</v>
      </c>
      <c r="G50" s="10" t="s">
        <v>124</v>
      </c>
      <c r="H50" s="11">
        <v>25576</v>
      </c>
      <c r="I50" s="11">
        <v>13860</v>
      </c>
      <c r="J50" s="11">
        <f t="shared" si="1"/>
        <v>11716</v>
      </c>
      <c r="K50" s="12" t="e">
        <f>VLOOKUP(A50,[5]VA05!$A:$K,11,FALSE)</f>
        <v>#N/A</v>
      </c>
      <c r="L50" s="10" t="s">
        <v>18</v>
      </c>
      <c r="M50" s="10" t="s">
        <v>200</v>
      </c>
    </row>
    <row r="51" spans="1:13" x14ac:dyDescent="0.25">
      <c r="A51" s="13" t="str">
        <f t="shared" si="0"/>
        <v>50714285110</v>
      </c>
      <c r="B51" s="10">
        <v>1004064146</v>
      </c>
      <c r="C51" s="10">
        <v>507142851</v>
      </c>
      <c r="D51" s="10">
        <v>10</v>
      </c>
      <c r="E51" s="10" t="s">
        <v>10</v>
      </c>
      <c r="F51" s="10">
        <v>1209336</v>
      </c>
      <c r="G51" s="10" t="s">
        <v>124</v>
      </c>
      <c r="H51" s="11">
        <v>35874</v>
      </c>
      <c r="I51" s="10">
        <v>0</v>
      </c>
      <c r="J51" s="11">
        <f t="shared" si="1"/>
        <v>35874</v>
      </c>
      <c r="K51" s="12">
        <f>VLOOKUP(A51,[5]VA05!$A:$K,11,FALSE)</f>
        <v>45593</v>
      </c>
      <c r="L51" s="10" t="s">
        <v>12</v>
      </c>
      <c r="M51" s="10" t="s">
        <v>192</v>
      </c>
    </row>
    <row r="52" spans="1:13" x14ac:dyDescent="0.25">
      <c r="A52" s="13" t="str">
        <f t="shared" si="0"/>
        <v>50714285140</v>
      </c>
      <c r="B52" s="10">
        <v>1004064317</v>
      </c>
      <c r="C52" s="10">
        <v>507142851</v>
      </c>
      <c r="D52" s="10">
        <v>40</v>
      </c>
      <c r="E52" s="10" t="s">
        <v>10</v>
      </c>
      <c r="F52" s="10">
        <v>1209336</v>
      </c>
      <c r="G52" s="10" t="s">
        <v>124</v>
      </c>
      <c r="H52" s="11">
        <v>35874</v>
      </c>
      <c r="I52" s="10">
        <v>0</v>
      </c>
      <c r="J52" s="11">
        <f t="shared" si="1"/>
        <v>35874</v>
      </c>
      <c r="K52" s="12">
        <f>VLOOKUP(A52,[5]VA05!$A:$K,11,FALSE)</f>
        <v>45601</v>
      </c>
      <c r="L52" s="10" t="s">
        <v>12</v>
      </c>
      <c r="M52" s="10" t="s">
        <v>176</v>
      </c>
    </row>
    <row r="53" spans="1:13" x14ac:dyDescent="0.25">
      <c r="A53" s="13" t="str">
        <f t="shared" si="0"/>
        <v>50714285170</v>
      </c>
      <c r="B53" s="10">
        <v>1004064318</v>
      </c>
      <c r="C53" s="10">
        <v>507142851</v>
      </c>
      <c r="D53" s="10">
        <v>70</v>
      </c>
      <c r="E53" s="10" t="s">
        <v>10</v>
      </c>
      <c r="F53" s="10">
        <v>1209336</v>
      </c>
      <c r="G53" s="10" t="s">
        <v>124</v>
      </c>
      <c r="H53" s="11">
        <v>30553</v>
      </c>
      <c r="I53" s="10">
        <v>0</v>
      </c>
      <c r="J53" s="11">
        <f t="shared" si="1"/>
        <v>30553</v>
      </c>
      <c r="K53" s="12">
        <f>VLOOKUP(A53,[5]VA05!$A:$K,11,FALSE)</f>
        <v>45608</v>
      </c>
      <c r="L53" s="10" t="s">
        <v>12</v>
      </c>
      <c r="M53" s="10" t="s">
        <v>302</v>
      </c>
    </row>
    <row r="54" spans="1:13" x14ac:dyDescent="0.25">
      <c r="A54" s="13" t="str">
        <f t="shared" si="0"/>
        <v>50714274260</v>
      </c>
      <c r="B54" s="10">
        <v>1004052422</v>
      </c>
      <c r="C54" s="10">
        <v>507142742</v>
      </c>
      <c r="D54" s="10">
        <v>60</v>
      </c>
      <c r="E54" s="10" t="s">
        <v>10</v>
      </c>
      <c r="F54" s="10">
        <v>1209347</v>
      </c>
      <c r="G54" s="10" t="s">
        <v>136</v>
      </c>
      <c r="H54" s="11">
        <v>25576</v>
      </c>
      <c r="I54" s="11">
        <v>25576</v>
      </c>
      <c r="J54" s="11">
        <f t="shared" si="1"/>
        <v>0</v>
      </c>
      <c r="K54" s="12">
        <f>VLOOKUP(A54,[5]VA05!$A:$K,11,FALSE)</f>
        <v>45580</v>
      </c>
      <c r="L54" s="10" t="s">
        <v>113</v>
      </c>
      <c r="M54" s="10" t="s">
        <v>192</v>
      </c>
    </row>
    <row r="55" spans="1:13" x14ac:dyDescent="0.25">
      <c r="A55" s="13" t="str">
        <f t="shared" si="0"/>
        <v>50714285130</v>
      </c>
      <c r="B55" s="10">
        <v>1004064316</v>
      </c>
      <c r="C55" s="10">
        <v>507142851</v>
      </c>
      <c r="D55" s="10">
        <v>30</v>
      </c>
      <c r="E55" s="10" t="s">
        <v>10</v>
      </c>
      <c r="F55" s="10">
        <v>1209347</v>
      </c>
      <c r="G55" s="10" t="s">
        <v>136</v>
      </c>
      <c r="H55" s="11">
        <v>35874</v>
      </c>
      <c r="I55" s="11">
        <v>25500</v>
      </c>
      <c r="J55" s="11">
        <f t="shared" si="1"/>
        <v>10374</v>
      </c>
      <c r="K55" s="12">
        <f>VLOOKUP(A55,[5]VA05!$A:$K,11,FALSE)</f>
        <v>45593</v>
      </c>
      <c r="L55" s="10" t="s">
        <v>18</v>
      </c>
      <c r="M55" s="10" t="s">
        <v>199</v>
      </c>
    </row>
    <row r="56" spans="1:13" x14ac:dyDescent="0.25">
      <c r="A56" s="13" t="str">
        <f t="shared" si="0"/>
        <v>50714273930</v>
      </c>
      <c r="B56" s="10">
        <v>1004062039</v>
      </c>
      <c r="C56" s="10">
        <v>507142739</v>
      </c>
      <c r="D56" s="10">
        <v>30</v>
      </c>
      <c r="E56" s="10" t="s">
        <v>10</v>
      </c>
      <c r="F56" s="10">
        <v>1409882</v>
      </c>
      <c r="G56" s="10" t="s">
        <v>39</v>
      </c>
      <c r="H56" s="11">
        <v>28729</v>
      </c>
      <c r="I56" s="11">
        <v>17730</v>
      </c>
      <c r="J56" s="11">
        <f t="shared" si="1"/>
        <v>10999</v>
      </c>
      <c r="K56" s="12">
        <f>VLOOKUP(A56,[5]VA05!$A:$K,11,FALSE)</f>
        <v>45580</v>
      </c>
      <c r="L56" s="10" t="s">
        <v>18</v>
      </c>
      <c r="M56" s="10" t="s">
        <v>192</v>
      </c>
    </row>
    <row r="57" spans="1:13" x14ac:dyDescent="0.25">
      <c r="A57" s="13" t="str">
        <f t="shared" si="0"/>
        <v>50714278010</v>
      </c>
      <c r="B57" s="10">
        <v>1004062040</v>
      </c>
      <c r="C57" s="10">
        <v>507142780</v>
      </c>
      <c r="D57" s="10">
        <v>10</v>
      </c>
      <c r="E57" s="10" t="s">
        <v>10</v>
      </c>
      <c r="F57" s="10">
        <v>1409882</v>
      </c>
      <c r="G57" s="10" t="s">
        <v>39</v>
      </c>
      <c r="H57" s="11">
        <v>32518</v>
      </c>
      <c r="I57" s="10">
        <v>0</v>
      </c>
      <c r="J57" s="11">
        <f t="shared" si="1"/>
        <v>32518</v>
      </c>
      <c r="K57" s="12">
        <f>VLOOKUP(A57,[5]VA05!$A:$K,11,FALSE)</f>
        <v>45580</v>
      </c>
      <c r="L57" s="10" t="s">
        <v>12</v>
      </c>
      <c r="M57" s="10" t="s">
        <v>162</v>
      </c>
    </row>
    <row r="58" spans="1:13" x14ac:dyDescent="0.25">
      <c r="A58" s="13" t="str">
        <f t="shared" si="0"/>
        <v>50714278020</v>
      </c>
      <c r="B58" s="10">
        <v>1004064147</v>
      </c>
      <c r="C58" s="10">
        <v>507142780</v>
      </c>
      <c r="D58" s="10">
        <v>20</v>
      </c>
      <c r="E58" s="10" t="s">
        <v>10</v>
      </c>
      <c r="F58" s="10">
        <v>1409882</v>
      </c>
      <c r="G58" s="10" t="s">
        <v>39</v>
      </c>
      <c r="H58" s="11">
        <v>51460</v>
      </c>
      <c r="I58" s="10">
        <v>0</v>
      </c>
      <c r="J58" s="11">
        <f t="shared" si="1"/>
        <v>51460</v>
      </c>
      <c r="K58" s="12">
        <f>VLOOKUP(A58,[5]VA05!$A:$K,11,FALSE)</f>
        <v>45587</v>
      </c>
      <c r="L58" s="10" t="s">
        <v>12</v>
      </c>
      <c r="M58" s="10" t="s">
        <v>179</v>
      </c>
    </row>
    <row r="59" spans="1:13" x14ac:dyDescent="0.25">
      <c r="A59" s="13" t="str">
        <f t="shared" si="0"/>
        <v>50714278030</v>
      </c>
      <c r="B59" s="10">
        <v>1004064148</v>
      </c>
      <c r="C59" s="10">
        <v>507142780</v>
      </c>
      <c r="D59" s="10">
        <v>30</v>
      </c>
      <c r="E59" s="10" t="s">
        <v>10</v>
      </c>
      <c r="F59" s="10">
        <v>1409882</v>
      </c>
      <c r="G59" s="10" t="s">
        <v>39</v>
      </c>
      <c r="H59" s="11">
        <v>18627</v>
      </c>
      <c r="I59" s="10">
        <v>0</v>
      </c>
      <c r="J59" s="11">
        <f t="shared" si="1"/>
        <v>18627</v>
      </c>
      <c r="K59" s="12">
        <f>VLOOKUP(A59,[5]VA05!$A:$K,11,FALSE)</f>
        <v>45594</v>
      </c>
      <c r="L59" s="10" t="s">
        <v>12</v>
      </c>
      <c r="M59" s="10" t="s">
        <v>176</v>
      </c>
    </row>
    <row r="60" spans="1:13" x14ac:dyDescent="0.25">
      <c r="A60" s="13" t="str">
        <f t="shared" si="0"/>
        <v>50714283210</v>
      </c>
      <c r="B60" s="10">
        <v>1004064309</v>
      </c>
      <c r="C60" s="10">
        <v>507142832</v>
      </c>
      <c r="D60" s="10">
        <v>10</v>
      </c>
      <c r="E60" s="10" t="s">
        <v>10</v>
      </c>
      <c r="F60" s="10">
        <v>1409882</v>
      </c>
      <c r="G60" s="10" t="s">
        <v>39</v>
      </c>
      <c r="H60" s="11">
        <v>51460</v>
      </c>
      <c r="I60" s="10">
        <v>0</v>
      </c>
      <c r="J60" s="11">
        <f t="shared" si="1"/>
        <v>51460</v>
      </c>
      <c r="K60" s="12">
        <f>VLOOKUP(A60,[5]VA05!$A:$K,11,FALSE)</f>
        <v>45595</v>
      </c>
      <c r="L60" s="10" t="s">
        <v>12</v>
      </c>
      <c r="M60" s="10" t="s">
        <v>157</v>
      </c>
    </row>
    <row r="61" spans="1:13" x14ac:dyDescent="0.25">
      <c r="A61" s="13" t="str">
        <f t="shared" si="0"/>
        <v>50714273920</v>
      </c>
      <c r="B61" s="10">
        <v>1004056941</v>
      </c>
      <c r="C61" s="10">
        <v>507142739</v>
      </c>
      <c r="D61" s="10">
        <v>20</v>
      </c>
      <c r="E61" s="10" t="s">
        <v>10</v>
      </c>
      <c r="F61" s="10">
        <v>1409883</v>
      </c>
      <c r="G61" s="10" t="s">
        <v>40</v>
      </c>
      <c r="H61" s="11">
        <v>54066</v>
      </c>
      <c r="I61" s="11">
        <v>49848</v>
      </c>
      <c r="J61" s="11">
        <f t="shared" si="1"/>
        <v>4218</v>
      </c>
      <c r="K61" s="12">
        <f>VLOOKUP(A61,[5]VA05!$A:$K,11,FALSE)</f>
        <v>45573</v>
      </c>
      <c r="L61" s="10" t="s">
        <v>11</v>
      </c>
      <c r="M61" s="10" t="s">
        <v>194</v>
      </c>
    </row>
    <row r="62" spans="1:13" x14ac:dyDescent="0.25">
      <c r="A62" s="13" t="str">
        <f t="shared" si="0"/>
        <v>50714273930</v>
      </c>
      <c r="B62" s="10">
        <v>1004057977</v>
      </c>
      <c r="C62" s="10">
        <v>507142739</v>
      </c>
      <c r="D62" s="10">
        <v>30</v>
      </c>
      <c r="E62" s="10" t="s">
        <v>10</v>
      </c>
      <c r="F62" s="10">
        <v>1409883</v>
      </c>
      <c r="G62" s="10" t="s">
        <v>40</v>
      </c>
      <c r="H62" s="11">
        <v>30185</v>
      </c>
      <c r="I62" s="10">
        <v>0</v>
      </c>
      <c r="J62" s="11">
        <f t="shared" si="1"/>
        <v>30185</v>
      </c>
      <c r="K62" s="12">
        <f>VLOOKUP(A62,[5]VA05!$A:$K,11,FALSE)</f>
        <v>45580</v>
      </c>
      <c r="L62" s="10" t="s">
        <v>119</v>
      </c>
      <c r="M62" s="10" t="s">
        <v>155</v>
      </c>
    </row>
    <row r="63" spans="1:13" x14ac:dyDescent="0.25">
      <c r="A63" s="13" t="str">
        <f t="shared" si="0"/>
        <v>50714278010</v>
      </c>
      <c r="B63" s="10">
        <v>1004058757</v>
      </c>
      <c r="C63" s="10">
        <v>507142780</v>
      </c>
      <c r="D63" s="10">
        <v>10</v>
      </c>
      <c r="E63" s="10" t="s">
        <v>10</v>
      </c>
      <c r="F63" s="10">
        <v>1409883</v>
      </c>
      <c r="G63" s="10" t="s">
        <v>40</v>
      </c>
      <c r="H63" s="11">
        <v>34165</v>
      </c>
      <c r="I63" s="10">
        <v>0</v>
      </c>
      <c r="J63" s="11">
        <f t="shared" si="1"/>
        <v>34165</v>
      </c>
      <c r="K63" s="12">
        <f>VLOOKUP(A63,[5]VA05!$A:$K,11,FALSE)</f>
        <v>45580</v>
      </c>
      <c r="L63" s="10" t="s">
        <v>12</v>
      </c>
      <c r="M63" s="10" t="s">
        <v>195</v>
      </c>
    </row>
    <row r="64" spans="1:13" x14ac:dyDescent="0.25">
      <c r="A64" s="13" t="str">
        <f t="shared" si="0"/>
        <v>50714278020</v>
      </c>
      <c r="B64" s="10">
        <v>1004058758</v>
      </c>
      <c r="C64" s="10">
        <v>507142780</v>
      </c>
      <c r="D64" s="10">
        <v>20</v>
      </c>
      <c r="E64" s="10" t="s">
        <v>10</v>
      </c>
      <c r="F64" s="10">
        <v>1409883</v>
      </c>
      <c r="G64" s="10" t="s">
        <v>40</v>
      </c>
      <c r="H64" s="11">
        <v>54066</v>
      </c>
      <c r="I64" s="10">
        <v>0</v>
      </c>
      <c r="J64" s="11">
        <f t="shared" si="1"/>
        <v>54066</v>
      </c>
      <c r="K64" s="12">
        <f>VLOOKUP(A64,[5]VA05!$A:$K,11,FALSE)</f>
        <v>45587</v>
      </c>
      <c r="L64" s="10" t="s">
        <v>12</v>
      </c>
      <c r="M64" s="10" t="s">
        <v>195</v>
      </c>
    </row>
    <row r="65" spans="1:13" x14ac:dyDescent="0.25">
      <c r="A65" s="13" t="str">
        <f t="shared" si="0"/>
        <v>50714278030</v>
      </c>
      <c r="B65" s="10">
        <v>1004058759</v>
      </c>
      <c r="C65" s="10">
        <v>507142780</v>
      </c>
      <c r="D65" s="10">
        <v>30</v>
      </c>
      <c r="E65" s="10" t="s">
        <v>10</v>
      </c>
      <c r="F65" s="10">
        <v>1409883</v>
      </c>
      <c r="G65" s="10" t="s">
        <v>40</v>
      </c>
      <c r="H65" s="11">
        <v>19571</v>
      </c>
      <c r="I65" s="10">
        <v>0</v>
      </c>
      <c r="J65" s="11">
        <f t="shared" si="1"/>
        <v>19571</v>
      </c>
      <c r="K65" s="12">
        <f>VLOOKUP(A65,[5]VA05!$A:$K,11,FALSE)</f>
        <v>45594</v>
      </c>
      <c r="L65" s="10" t="s">
        <v>12</v>
      </c>
      <c r="M65" s="10" t="s">
        <v>192</v>
      </c>
    </row>
    <row r="66" spans="1:13" x14ac:dyDescent="0.25">
      <c r="A66" s="13" t="str">
        <f t="shared" si="0"/>
        <v>50714276540</v>
      </c>
      <c r="B66" s="10">
        <v>1004052528</v>
      </c>
      <c r="C66" s="10">
        <v>507142765</v>
      </c>
      <c r="D66" s="10">
        <v>40</v>
      </c>
      <c r="E66" s="10" t="s">
        <v>10</v>
      </c>
      <c r="F66" s="10">
        <v>1398384</v>
      </c>
      <c r="G66" s="10" t="s">
        <v>168</v>
      </c>
      <c r="H66" s="11">
        <v>35078</v>
      </c>
      <c r="I66" s="11">
        <v>9430</v>
      </c>
      <c r="J66" s="11">
        <f t="shared" si="1"/>
        <v>25648</v>
      </c>
      <c r="K66" s="12">
        <f>VLOOKUP(A66,[5]VA05!$A:$K,11,FALSE)</f>
        <v>45576</v>
      </c>
      <c r="L66" s="10" t="s">
        <v>18</v>
      </c>
      <c r="M66" s="10" t="s">
        <v>177</v>
      </c>
    </row>
    <row r="67" spans="1:13" x14ac:dyDescent="0.25">
      <c r="A67" s="13" t="str">
        <f t="shared" si="0"/>
        <v>50714276550</v>
      </c>
      <c r="B67" s="10">
        <v>1004052529</v>
      </c>
      <c r="C67" s="10">
        <v>507142765</v>
      </c>
      <c r="D67" s="10">
        <v>50</v>
      </c>
      <c r="E67" s="10" t="s">
        <v>10</v>
      </c>
      <c r="F67" s="10">
        <v>1398384</v>
      </c>
      <c r="G67" s="10" t="s">
        <v>168</v>
      </c>
      <c r="H67" s="11">
        <v>45412</v>
      </c>
      <c r="I67" s="10">
        <v>0</v>
      </c>
      <c r="J67" s="11">
        <f t="shared" si="1"/>
        <v>45412</v>
      </c>
      <c r="K67" s="12">
        <f>VLOOKUP(A67,[5]VA05!$A:$K,11,FALSE)</f>
        <v>45583</v>
      </c>
      <c r="L67" s="10" t="s">
        <v>12</v>
      </c>
      <c r="M67" s="10" t="s">
        <v>194</v>
      </c>
    </row>
    <row r="68" spans="1:13" x14ac:dyDescent="0.25">
      <c r="A68" s="13" t="str">
        <f t="shared" ref="A68:A131" si="2">C68&amp;D68</f>
        <v>50714276560</v>
      </c>
      <c r="B68" s="10">
        <v>1004052530</v>
      </c>
      <c r="C68" s="10">
        <v>507142765</v>
      </c>
      <c r="D68" s="10">
        <v>60</v>
      </c>
      <c r="E68" s="10" t="s">
        <v>10</v>
      </c>
      <c r="F68" s="10">
        <v>1398384</v>
      </c>
      <c r="G68" s="10" t="s">
        <v>168</v>
      </c>
      <c r="H68" s="11">
        <v>45412</v>
      </c>
      <c r="I68" s="10">
        <v>0</v>
      </c>
      <c r="J68" s="11">
        <f t="shared" ref="J68:J131" si="3">H68-I68</f>
        <v>45412</v>
      </c>
      <c r="K68" s="12">
        <f>VLOOKUP(A68,[5]VA05!$A:$K,11,FALSE)</f>
        <v>45590</v>
      </c>
      <c r="L68" s="10" t="s">
        <v>12</v>
      </c>
      <c r="M68" s="10" t="s">
        <v>179</v>
      </c>
    </row>
    <row r="69" spans="1:13" x14ac:dyDescent="0.25">
      <c r="A69" s="13" t="str">
        <f t="shared" si="2"/>
        <v>50714276540</v>
      </c>
      <c r="B69" s="10">
        <v>1004052535</v>
      </c>
      <c r="C69" s="10">
        <v>507142765</v>
      </c>
      <c r="D69" s="10">
        <v>40</v>
      </c>
      <c r="E69" s="10" t="s">
        <v>10</v>
      </c>
      <c r="F69" s="10">
        <v>1398385</v>
      </c>
      <c r="G69" s="10" t="s">
        <v>183</v>
      </c>
      <c r="H69" s="11">
        <v>36131</v>
      </c>
      <c r="I69" s="11">
        <v>4550</v>
      </c>
      <c r="J69" s="11">
        <f t="shared" si="3"/>
        <v>31581</v>
      </c>
      <c r="K69" s="12">
        <f>VLOOKUP(A69,[5]VA05!$A:$K,11,FALSE)</f>
        <v>45576</v>
      </c>
      <c r="L69" s="10" t="s">
        <v>18</v>
      </c>
      <c r="M69" s="10" t="s">
        <v>191</v>
      </c>
    </row>
    <row r="70" spans="1:13" x14ac:dyDescent="0.25">
      <c r="A70" s="13" t="str">
        <f t="shared" si="2"/>
        <v>50714276550</v>
      </c>
      <c r="B70" s="10">
        <v>1004052536</v>
      </c>
      <c r="C70" s="10">
        <v>507142765</v>
      </c>
      <c r="D70" s="10">
        <v>50</v>
      </c>
      <c r="E70" s="10" t="s">
        <v>10</v>
      </c>
      <c r="F70" s="10">
        <v>1398385</v>
      </c>
      <c r="G70" s="10" t="s">
        <v>183</v>
      </c>
      <c r="H70" s="11">
        <v>46775</v>
      </c>
      <c r="I70" s="10">
        <v>0</v>
      </c>
      <c r="J70" s="11">
        <f t="shared" si="3"/>
        <v>46775</v>
      </c>
      <c r="K70" s="12">
        <f>VLOOKUP(A70,[5]VA05!$A:$K,11,FALSE)</f>
        <v>45583</v>
      </c>
      <c r="L70" s="10" t="s">
        <v>12</v>
      </c>
      <c r="M70" s="10" t="s">
        <v>201</v>
      </c>
    </row>
    <row r="71" spans="1:13" x14ac:dyDescent="0.25">
      <c r="A71" s="13" t="str">
        <f t="shared" si="2"/>
        <v>50714276560</v>
      </c>
      <c r="B71" s="10">
        <v>1004052537</v>
      </c>
      <c r="C71" s="10">
        <v>507142765</v>
      </c>
      <c r="D71" s="10">
        <v>60</v>
      </c>
      <c r="E71" s="10" t="s">
        <v>10</v>
      </c>
      <c r="F71" s="10">
        <v>1398385</v>
      </c>
      <c r="G71" s="10" t="s">
        <v>183</v>
      </c>
      <c r="H71" s="11">
        <v>46775</v>
      </c>
      <c r="I71" s="10">
        <v>0</v>
      </c>
      <c r="J71" s="11">
        <f t="shared" si="3"/>
        <v>46775</v>
      </c>
      <c r="K71" s="12">
        <f>VLOOKUP(A71,[5]VA05!$A:$K,11,FALSE)</f>
        <v>45590</v>
      </c>
      <c r="L71" s="10" t="s">
        <v>12</v>
      </c>
      <c r="M71" s="10" t="s">
        <v>178</v>
      </c>
    </row>
    <row r="72" spans="1:13" x14ac:dyDescent="0.25">
      <c r="A72" s="13" t="str">
        <f t="shared" si="2"/>
        <v>50714276540</v>
      </c>
      <c r="B72" s="10">
        <v>1004052541</v>
      </c>
      <c r="C72" s="10">
        <v>507142765</v>
      </c>
      <c r="D72" s="10">
        <v>40</v>
      </c>
      <c r="E72" s="10" t="s">
        <v>10</v>
      </c>
      <c r="F72" s="10">
        <v>1398386</v>
      </c>
      <c r="G72" s="10" t="s">
        <v>184</v>
      </c>
      <c r="H72" s="11">
        <v>31889</v>
      </c>
      <c r="I72" s="11">
        <v>23744</v>
      </c>
      <c r="J72" s="11">
        <f t="shared" si="3"/>
        <v>8145</v>
      </c>
      <c r="K72" s="12">
        <f>VLOOKUP(A72,[5]VA05!$A:$K,11,FALSE)</f>
        <v>45576</v>
      </c>
      <c r="L72" s="10" t="s">
        <v>18</v>
      </c>
      <c r="M72" s="10" t="s">
        <v>192</v>
      </c>
    </row>
    <row r="73" spans="1:13" x14ac:dyDescent="0.25">
      <c r="A73" s="13" t="str">
        <f t="shared" si="2"/>
        <v>50714276550</v>
      </c>
      <c r="B73" s="10">
        <v>1004052543</v>
      </c>
      <c r="C73" s="10">
        <v>507142765</v>
      </c>
      <c r="D73" s="10">
        <v>50</v>
      </c>
      <c r="E73" s="10" t="s">
        <v>10</v>
      </c>
      <c r="F73" s="10">
        <v>1398386</v>
      </c>
      <c r="G73" s="10" t="s">
        <v>184</v>
      </c>
      <c r="H73" s="11">
        <v>41283</v>
      </c>
      <c r="I73" s="10">
        <v>0</v>
      </c>
      <c r="J73" s="11">
        <f t="shared" si="3"/>
        <v>41283</v>
      </c>
      <c r="K73" s="12">
        <f>VLOOKUP(A73,[5]VA05!$A:$K,11,FALSE)</f>
        <v>45583</v>
      </c>
      <c r="L73" s="10" t="s">
        <v>12</v>
      </c>
      <c r="M73" s="10" t="s">
        <v>202</v>
      </c>
    </row>
    <row r="74" spans="1:13" x14ac:dyDescent="0.25">
      <c r="A74" s="13" t="str">
        <f t="shared" si="2"/>
        <v>50714276560</v>
      </c>
      <c r="B74" s="10">
        <v>1004052544</v>
      </c>
      <c r="C74" s="10">
        <v>507142765</v>
      </c>
      <c r="D74" s="10">
        <v>60</v>
      </c>
      <c r="E74" s="10" t="s">
        <v>10</v>
      </c>
      <c r="F74" s="10">
        <v>1398386</v>
      </c>
      <c r="G74" s="10" t="s">
        <v>184</v>
      </c>
      <c r="H74" s="11">
        <v>41283</v>
      </c>
      <c r="I74" s="10">
        <v>0</v>
      </c>
      <c r="J74" s="11">
        <f t="shared" si="3"/>
        <v>41283</v>
      </c>
      <c r="K74" s="12">
        <f>VLOOKUP(A74,[5]VA05!$A:$K,11,FALSE)</f>
        <v>45590</v>
      </c>
      <c r="L74" s="10" t="s">
        <v>12</v>
      </c>
      <c r="M74" s="10" t="s">
        <v>191</v>
      </c>
    </row>
    <row r="75" spans="1:13" x14ac:dyDescent="0.25">
      <c r="A75" s="13" t="str">
        <f t="shared" si="2"/>
        <v>50714276640</v>
      </c>
      <c r="B75" s="10">
        <v>1004064320</v>
      </c>
      <c r="C75" s="10">
        <v>507142766</v>
      </c>
      <c r="D75" s="10">
        <v>40</v>
      </c>
      <c r="E75" s="10" t="s">
        <v>10</v>
      </c>
      <c r="F75" s="10">
        <v>1398746</v>
      </c>
      <c r="G75" s="10" t="s">
        <v>213</v>
      </c>
      <c r="H75" s="11">
        <v>46405</v>
      </c>
      <c r="I75" s="11">
        <v>3664</v>
      </c>
      <c r="J75" s="11">
        <f t="shared" si="3"/>
        <v>42741</v>
      </c>
      <c r="K75" s="12">
        <f>VLOOKUP(A75,[5]VA05!$A:$K,11,FALSE)</f>
        <v>45604</v>
      </c>
      <c r="L75" s="10" t="s">
        <v>18</v>
      </c>
      <c r="M75" s="10" t="s">
        <v>193</v>
      </c>
    </row>
    <row r="76" spans="1:13" x14ac:dyDescent="0.25">
      <c r="A76" s="13" t="str">
        <f t="shared" si="2"/>
        <v>50714276630</v>
      </c>
      <c r="B76" s="10">
        <v>1004053435</v>
      </c>
      <c r="C76" s="10">
        <v>507142766</v>
      </c>
      <c r="D76" s="10">
        <v>30</v>
      </c>
      <c r="E76" s="10" t="s">
        <v>10</v>
      </c>
      <c r="F76" s="10">
        <v>1398747</v>
      </c>
      <c r="G76" s="10" t="s">
        <v>214</v>
      </c>
      <c r="H76" s="11">
        <v>31148</v>
      </c>
      <c r="I76" s="11">
        <v>22387</v>
      </c>
      <c r="J76" s="11">
        <f t="shared" si="3"/>
        <v>8761</v>
      </c>
      <c r="K76" s="12">
        <f>VLOOKUP(A76,[5]VA05!$A:$K,11,FALSE)</f>
        <v>45596</v>
      </c>
      <c r="L76" s="10" t="s">
        <v>18</v>
      </c>
      <c r="M76" s="10" t="s">
        <v>197</v>
      </c>
    </row>
    <row r="77" spans="1:13" x14ac:dyDescent="0.25">
      <c r="A77" s="13" t="str">
        <f t="shared" si="2"/>
        <v>50714283610</v>
      </c>
      <c r="B77" s="10">
        <v>1004061401</v>
      </c>
      <c r="C77" s="10">
        <v>507142836</v>
      </c>
      <c r="D77" s="10">
        <v>10</v>
      </c>
      <c r="E77" s="10" t="s">
        <v>10</v>
      </c>
      <c r="F77" s="10">
        <v>1206292</v>
      </c>
      <c r="G77" s="10" t="s">
        <v>257</v>
      </c>
      <c r="H77" s="11">
        <v>29436</v>
      </c>
      <c r="I77" s="10">
        <v>0</v>
      </c>
      <c r="J77" s="11">
        <f t="shared" si="3"/>
        <v>29436</v>
      </c>
      <c r="K77" s="12">
        <f>VLOOKUP(A77,[5]VA05!$A:$K,11,FALSE)</f>
        <v>45588</v>
      </c>
      <c r="L77" s="10" t="s">
        <v>12</v>
      </c>
      <c r="M77" s="10" t="s">
        <v>157</v>
      </c>
    </row>
    <row r="78" spans="1:13" x14ac:dyDescent="0.25">
      <c r="A78" s="13" t="str">
        <f t="shared" si="2"/>
        <v>50714271310</v>
      </c>
      <c r="B78" s="10">
        <v>1004052555</v>
      </c>
      <c r="C78" s="10">
        <v>507142713</v>
      </c>
      <c r="D78" s="10">
        <v>10</v>
      </c>
      <c r="E78" s="10" t="s">
        <v>10</v>
      </c>
      <c r="F78" s="10">
        <v>1172472</v>
      </c>
      <c r="G78" s="10" t="s">
        <v>86</v>
      </c>
      <c r="H78" s="11">
        <v>10524</v>
      </c>
      <c r="I78" s="10">
        <v>246</v>
      </c>
      <c r="J78" s="11">
        <f t="shared" si="3"/>
        <v>10278</v>
      </c>
      <c r="K78" s="12">
        <f>VLOOKUP(A78,[5]VA05!$A:$K,11,FALSE)</f>
        <v>45591</v>
      </c>
      <c r="L78" s="10" t="s">
        <v>18</v>
      </c>
      <c r="M78" s="10" t="s">
        <v>203</v>
      </c>
    </row>
    <row r="79" spans="1:13" x14ac:dyDescent="0.25">
      <c r="A79" s="13" t="str">
        <f t="shared" si="2"/>
        <v>50714271340</v>
      </c>
      <c r="B79" s="10">
        <v>1004052556</v>
      </c>
      <c r="C79" s="10">
        <v>507142713</v>
      </c>
      <c r="D79" s="10">
        <v>40</v>
      </c>
      <c r="E79" s="10" t="s">
        <v>10</v>
      </c>
      <c r="F79" s="10">
        <v>1172472</v>
      </c>
      <c r="G79" s="10" t="s">
        <v>86</v>
      </c>
      <c r="H79" s="11">
        <v>10524</v>
      </c>
      <c r="I79" s="10">
        <v>0</v>
      </c>
      <c r="J79" s="11">
        <f t="shared" si="3"/>
        <v>10524</v>
      </c>
      <c r="K79" s="12">
        <f>VLOOKUP(A79,[5]VA05!$A:$K,11,FALSE)</f>
        <v>45591</v>
      </c>
      <c r="L79" s="10" t="s">
        <v>12</v>
      </c>
      <c r="M79" s="10" t="s">
        <v>203</v>
      </c>
    </row>
    <row r="80" spans="1:13" x14ac:dyDescent="0.25">
      <c r="A80" s="13" t="str">
        <f t="shared" si="2"/>
        <v>507142416220</v>
      </c>
      <c r="B80" s="10">
        <v>1004052563</v>
      </c>
      <c r="C80" s="10">
        <v>507142416</v>
      </c>
      <c r="D80" s="10">
        <v>220</v>
      </c>
      <c r="E80" s="10" t="s">
        <v>10</v>
      </c>
      <c r="F80" s="10">
        <v>1171177</v>
      </c>
      <c r="G80" s="10" t="s">
        <v>88</v>
      </c>
      <c r="H80" s="11">
        <v>10170</v>
      </c>
      <c r="I80" s="11">
        <v>2500</v>
      </c>
      <c r="J80" s="11">
        <f t="shared" si="3"/>
        <v>7670</v>
      </c>
      <c r="K80" s="12">
        <f>VLOOKUP(A80,[5]VA05!$A:$K,11,FALSE)</f>
        <v>45587</v>
      </c>
      <c r="L80" s="10" t="s">
        <v>18</v>
      </c>
      <c r="M80" s="10" t="s">
        <v>109</v>
      </c>
    </row>
    <row r="81" spans="1:13" x14ac:dyDescent="0.25">
      <c r="A81" s="13" t="str">
        <f t="shared" si="2"/>
        <v>50714271320</v>
      </c>
      <c r="B81" s="10">
        <v>1004052564</v>
      </c>
      <c r="C81" s="10">
        <v>507142713</v>
      </c>
      <c r="D81" s="10">
        <v>20</v>
      </c>
      <c r="E81" s="10" t="s">
        <v>10</v>
      </c>
      <c r="F81" s="10">
        <v>1171177</v>
      </c>
      <c r="G81" s="10" t="s">
        <v>88</v>
      </c>
      <c r="H81" s="11">
        <v>10170</v>
      </c>
      <c r="I81" s="10">
        <v>0</v>
      </c>
      <c r="J81" s="11">
        <f t="shared" si="3"/>
        <v>10170</v>
      </c>
      <c r="K81" s="12">
        <f>VLOOKUP(A81,[5]VA05!$A:$K,11,FALSE)</f>
        <v>45591</v>
      </c>
      <c r="L81" s="10" t="s">
        <v>12</v>
      </c>
      <c r="M81" s="10" t="s">
        <v>204</v>
      </c>
    </row>
    <row r="82" spans="1:13" x14ac:dyDescent="0.25">
      <c r="A82" s="13" t="str">
        <f t="shared" si="2"/>
        <v>50714271350</v>
      </c>
      <c r="B82" s="10">
        <v>1004052565</v>
      </c>
      <c r="C82" s="10">
        <v>507142713</v>
      </c>
      <c r="D82" s="10">
        <v>50</v>
      </c>
      <c r="E82" s="10" t="s">
        <v>10</v>
      </c>
      <c r="F82" s="10">
        <v>1171177</v>
      </c>
      <c r="G82" s="10" t="s">
        <v>88</v>
      </c>
      <c r="H82" s="11">
        <v>10170</v>
      </c>
      <c r="I82" s="10">
        <v>0</v>
      </c>
      <c r="J82" s="11">
        <f t="shared" si="3"/>
        <v>10170</v>
      </c>
      <c r="K82" s="12">
        <f>VLOOKUP(A82,[5]VA05!$A:$K,11,FALSE)</f>
        <v>45591</v>
      </c>
      <c r="L82" s="10" t="s">
        <v>12</v>
      </c>
      <c r="M82" s="10" t="s">
        <v>204</v>
      </c>
    </row>
    <row r="83" spans="1:13" x14ac:dyDescent="0.25">
      <c r="A83" s="13" t="str">
        <f t="shared" si="2"/>
        <v>50714271320</v>
      </c>
      <c r="B83" s="10">
        <v>1004052612</v>
      </c>
      <c r="C83" s="10">
        <v>507142713</v>
      </c>
      <c r="D83" s="10">
        <v>20</v>
      </c>
      <c r="E83" s="10" t="s">
        <v>10</v>
      </c>
      <c r="F83" s="10">
        <v>1171178</v>
      </c>
      <c r="G83" s="10" t="s">
        <v>87</v>
      </c>
      <c r="H83" s="11">
        <v>10170</v>
      </c>
      <c r="I83" s="11">
        <v>5390</v>
      </c>
      <c r="J83" s="11">
        <f t="shared" si="3"/>
        <v>4780</v>
      </c>
      <c r="K83" s="12">
        <f>VLOOKUP(A83,[5]VA05!$A:$K,11,FALSE)</f>
        <v>45591</v>
      </c>
      <c r="L83" s="10" t="s">
        <v>18</v>
      </c>
      <c r="M83" s="10" t="s">
        <v>204</v>
      </c>
    </row>
    <row r="84" spans="1:13" x14ac:dyDescent="0.25">
      <c r="A84" s="13" t="str">
        <f t="shared" si="2"/>
        <v>50714271350</v>
      </c>
      <c r="B84" s="10">
        <v>1004052613</v>
      </c>
      <c r="C84" s="10">
        <v>507142713</v>
      </c>
      <c r="D84" s="10">
        <v>50</v>
      </c>
      <c r="E84" s="10" t="s">
        <v>10</v>
      </c>
      <c r="F84" s="10">
        <v>1171178</v>
      </c>
      <c r="G84" s="10" t="s">
        <v>87</v>
      </c>
      <c r="H84" s="11">
        <v>10170</v>
      </c>
      <c r="I84" s="10">
        <v>0</v>
      </c>
      <c r="J84" s="11">
        <f t="shared" si="3"/>
        <v>10170</v>
      </c>
      <c r="K84" s="12">
        <f>VLOOKUP(A84,[5]VA05!$A:$K,11,FALSE)</f>
        <v>45591</v>
      </c>
      <c r="L84" s="10" t="s">
        <v>12</v>
      </c>
      <c r="M84" s="10" t="s">
        <v>204</v>
      </c>
    </row>
    <row r="85" spans="1:13" x14ac:dyDescent="0.25">
      <c r="A85" s="13" t="str">
        <f t="shared" si="2"/>
        <v>50714262630</v>
      </c>
      <c r="B85" s="10">
        <v>1004052617</v>
      </c>
      <c r="C85" s="10">
        <v>507142626</v>
      </c>
      <c r="D85" s="10">
        <v>30</v>
      </c>
      <c r="E85" s="10" t="s">
        <v>10</v>
      </c>
      <c r="F85" s="10">
        <v>1172030</v>
      </c>
      <c r="G85" s="10" t="s">
        <v>112</v>
      </c>
      <c r="H85" s="11">
        <v>29055</v>
      </c>
      <c r="I85" s="11">
        <v>24824</v>
      </c>
      <c r="J85" s="11">
        <f t="shared" si="3"/>
        <v>4231</v>
      </c>
      <c r="K85" s="12">
        <f>VLOOKUP(A85,[5]VA05!$A:$K,11,FALSE)</f>
        <v>45590</v>
      </c>
      <c r="L85" s="10" t="s">
        <v>11</v>
      </c>
      <c r="M85" s="10" t="s">
        <v>192</v>
      </c>
    </row>
    <row r="86" spans="1:13" x14ac:dyDescent="0.25">
      <c r="A86" s="13" t="str">
        <f t="shared" si="2"/>
        <v>50714271020</v>
      </c>
      <c r="B86" s="10">
        <v>1004061879</v>
      </c>
      <c r="C86" s="10">
        <v>507142710</v>
      </c>
      <c r="D86" s="10">
        <v>20</v>
      </c>
      <c r="E86" s="10" t="s">
        <v>10</v>
      </c>
      <c r="F86" s="10">
        <v>1172347</v>
      </c>
      <c r="G86" s="10" t="s">
        <v>237</v>
      </c>
      <c r="H86" s="11">
        <v>30393</v>
      </c>
      <c r="I86" s="10">
        <v>0</v>
      </c>
      <c r="J86" s="11">
        <f t="shared" si="3"/>
        <v>30393</v>
      </c>
      <c r="K86" s="12">
        <f>VLOOKUP(A86,[5]VA05!$A:$K,11,FALSE)</f>
        <v>45596</v>
      </c>
      <c r="L86" s="10" t="s">
        <v>13</v>
      </c>
      <c r="M86" s="10" t="s">
        <v>199</v>
      </c>
    </row>
    <row r="87" spans="1:13" x14ac:dyDescent="0.25">
      <c r="A87" s="13" t="str">
        <f t="shared" si="2"/>
        <v>50714262610</v>
      </c>
      <c r="B87" s="10">
        <v>1004050514</v>
      </c>
      <c r="C87" s="10">
        <v>507142626</v>
      </c>
      <c r="D87" s="10">
        <v>10</v>
      </c>
      <c r="E87" s="10" t="s">
        <v>10</v>
      </c>
      <c r="F87" s="10">
        <v>1212641</v>
      </c>
      <c r="G87" s="10" t="s">
        <v>99</v>
      </c>
      <c r="H87" s="11">
        <v>25858</v>
      </c>
      <c r="I87" s="11">
        <v>18960</v>
      </c>
      <c r="J87" s="11">
        <f t="shared" si="3"/>
        <v>6898</v>
      </c>
      <c r="K87" s="12">
        <f>VLOOKUP(A87,[5]VA05!$A:$K,11,FALSE)</f>
        <v>45590</v>
      </c>
      <c r="L87" s="10" t="s">
        <v>11</v>
      </c>
      <c r="M87" s="10" t="s">
        <v>202</v>
      </c>
    </row>
    <row r="88" spans="1:13" x14ac:dyDescent="0.25">
      <c r="A88" s="13" t="str">
        <f t="shared" si="2"/>
        <v>50714271010</v>
      </c>
      <c r="B88" s="10">
        <v>1004058763</v>
      </c>
      <c r="C88" s="10">
        <v>507142710</v>
      </c>
      <c r="D88" s="10">
        <v>10</v>
      </c>
      <c r="E88" s="10" t="s">
        <v>10</v>
      </c>
      <c r="F88" s="10">
        <v>1172346</v>
      </c>
      <c r="G88" s="10" t="s">
        <v>158</v>
      </c>
      <c r="H88" s="11">
        <v>34782</v>
      </c>
      <c r="I88" s="11">
        <v>30806</v>
      </c>
      <c r="J88" s="11">
        <f t="shared" si="3"/>
        <v>3976</v>
      </c>
      <c r="K88" s="12">
        <f>VLOOKUP(A88,[5]VA05!$A:$K,11,FALSE)</f>
        <v>45596</v>
      </c>
      <c r="L88" s="10" t="s">
        <v>18</v>
      </c>
      <c r="M88" s="10" t="s">
        <v>176</v>
      </c>
    </row>
    <row r="89" spans="1:13" x14ac:dyDescent="0.25">
      <c r="A89" s="13" t="str">
        <f t="shared" si="2"/>
        <v>50714276710</v>
      </c>
      <c r="B89" s="10">
        <v>1004064314</v>
      </c>
      <c r="C89" s="10">
        <v>507142767</v>
      </c>
      <c r="D89" s="10">
        <v>10</v>
      </c>
      <c r="E89" s="10" t="s">
        <v>10</v>
      </c>
      <c r="F89" s="10">
        <v>1291781</v>
      </c>
      <c r="G89" s="10" t="s">
        <v>303</v>
      </c>
      <c r="H89" s="11">
        <v>25563</v>
      </c>
      <c r="I89" s="10">
        <v>0</v>
      </c>
      <c r="J89" s="11">
        <f t="shared" si="3"/>
        <v>25563</v>
      </c>
      <c r="K89" s="12">
        <f>VLOOKUP(A89,[5]VA05!$A:$K,11,FALSE)</f>
        <v>45610</v>
      </c>
      <c r="L89" s="10" t="s">
        <v>12</v>
      </c>
      <c r="M89" s="10" t="s">
        <v>304</v>
      </c>
    </row>
    <row r="90" spans="1:13" x14ac:dyDescent="0.25">
      <c r="A90" s="13" t="str">
        <f t="shared" si="2"/>
        <v>50714276710</v>
      </c>
      <c r="B90" s="10">
        <v>1004064315</v>
      </c>
      <c r="C90" s="10">
        <v>507142767</v>
      </c>
      <c r="D90" s="10">
        <v>10</v>
      </c>
      <c r="E90" s="10" t="s">
        <v>10</v>
      </c>
      <c r="F90" s="10">
        <v>1222168</v>
      </c>
      <c r="G90" s="10" t="s">
        <v>305</v>
      </c>
      <c r="H90" s="11">
        <v>25563</v>
      </c>
      <c r="I90" s="10">
        <v>0</v>
      </c>
      <c r="J90" s="11">
        <f t="shared" si="3"/>
        <v>25563</v>
      </c>
      <c r="K90" s="12">
        <f>VLOOKUP(A90,[5]VA05!$A:$K,11,FALSE)</f>
        <v>45610</v>
      </c>
      <c r="L90" s="10" t="s">
        <v>12</v>
      </c>
      <c r="M90" s="10" t="s">
        <v>306</v>
      </c>
    </row>
    <row r="91" spans="1:13" x14ac:dyDescent="0.25">
      <c r="A91" s="13" t="str">
        <f t="shared" si="2"/>
        <v>50714247910</v>
      </c>
      <c r="B91" s="10">
        <v>1004054835</v>
      </c>
      <c r="C91" s="10">
        <v>507142479</v>
      </c>
      <c r="D91" s="10">
        <v>10</v>
      </c>
      <c r="E91" s="10" t="s">
        <v>10</v>
      </c>
      <c r="F91" s="10">
        <v>1195537</v>
      </c>
      <c r="G91" s="10" t="s">
        <v>220</v>
      </c>
      <c r="H91" s="11">
        <v>52994</v>
      </c>
      <c r="I91" s="11">
        <v>6875</v>
      </c>
      <c r="J91" s="11">
        <f t="shared" si="3"/>
        <v>46119</v>
      </c>
      <c r="K91" s="12">
        <f>VLOOKUP(A91,[5]VA05!$A:$K,11,FALSE)</f>
        <v>45587</v>
      </c>
      <c r="L91" s="10" t="s">
        <v>11</v>
      </c>
      <c r="M91" s="10" t="s">
        <v>157</v>
      </c>
    </row>
    <row r="92" spans="1:13" x14ac:dyDescent="0.25">
      <c r="A92" s="13" t="str">
        <f t="shared" si="2"/>
        <v>50714248010</v>
      </c>
      <c r="B92" s="10">
        <v>1004042840</v>
      </c>
      <c r="C92" s="10">
        <v>507142480</v>
      </c>
      <c r="D92" s="10">
        <v>10</v>
      </c>
      <c r="E92" s="10" t="s">
        <v>10</v>
      </c>
      <c r="F92" s="10">
        <v>1191882</v>
      </c>
      <c r="G92" s="10" t="s">
        <v>137</v>
      </c>
      <c r="H92" s="11">
        <v>51677</v>
      </c>
      <c r="I92" s="11">
        <v>43905</v>
      </c>
      <c r="J92" s="11">
        <f t="shared" si="3"/>
        <v>7772</v>
      </c>
      <c r="K92" s="12">
        <f>VLOOKUP(A92,[5]VA05!$A:$K,11,FALSE)</f>
        <v>45587</v>
      </c>
      <c r="L92" s="10" t="s">
        <v>11</v>
      </c>
      <c r="M92" s="10" t="s">
        <v>178</v>
      </c>
    </row>
    <row r="93" spans="1:13" x14ac:dyDescent="0.25">
      <c r="A93" s="13" t="str">
        <f t="shared" si="2"/>
        <v>50714278320</v>
      </c>
      <c r="B93" s="10">
        <v>1004056039</v>
      </c>
      <c r="C93" s="10">
        <v>507142783</v>
      </c>
      <c r="D93" s="10">
        <v>20</v>
      </c>
      <c r="E93" s="10" t="s">
        <v>10</v>
      </c>
      <c r="F93" s="10">
        <v>1161035</v>
      </c>
      <c r="G93" s="10" t="s">
        <v>222</v>
      </c>
      <c r="H93" s="11">
        <v>25747</v>
      </c>
      <c r="I93" s="10">
        <v>0</v>
      </c>
      <c r="J93" s="11">
        <f t="shared" si="3"/>
        <v>25747</v>
      </c>
      <c r="K93" s="12">
        <f>VLOOKUP(A93,[5]VA05!$A:$K,11,FALSE)</f>
        <v>45582</v>
      </c>
      <c r="L93" s="10" t="s">
        <v>13</v>
      </c>
      <c r="M93" s="10" t="s">
        <v>202</v>
      </c>
    </row>
    <row r="94" spans="1:13" x14ac:dyDescent="0.25">
      <c r="A94" s="13" t="str">
        <f t="shared" si="2"/>
        <v>50714279710</v>
      </c>
      <c r="B94" s="10">
        <v>1004058006</v>
      </c>
      <c r="C94" s="10">
        <v>507142797</v>
      </c>
      <c r="D94" s="10">
        <v>10</v>
      </c>
      <c r="E94" s="10" t="s">
        <v>10</v>
      </c>
      <c r="F94" s="10">
        <v>1161417</v>
      </c>
      <c r="G94" s="10" t="s">
        <v>228</v>
      </c>
      <c r="H94" s="11">
        <v>25543</v>
      </c>
      <c r="I94" s="10">
        <v>0</v>
      </c>
      <c r="J94" s="11">
        <f t="shared" si="3"/>
        <v>25543</v>
      </c>
      <c r="K94" s="12">
        <f>VLOOKUP(A94,[5]VA05!$A:$K,11,FALSE)</f>
        <v>45588</v>
      </c>
      <c r="L94" s="10" t="s">
        <v>13</v>
      </c>
      <c r="M94" s="10" t="s">
        <v>177</v>
      </c>
    </row>
    <row r="95" spans="1:13" x14ac:dyDescent="0.25">
      <c r="A95" s="13" t="str">
        <f t="shared" si="2"/>
        <v>50714278110</v>
      </c>
      <c r="B95" s="10">
        <v>1004058007</v>
      </c>
      <c r="C95" s="10">
        <v>507142781</v>
      </c>
      <c r="D95" s="10">
        <v>10</v>
      </c>
      <c r="E95" s="10" t="s">
        <v>10</v>
      </c>
      <c r="F95" s="10">
        <v>1161417</v>
      </c>
      <c r="G95" s="10" t="s">
        <v>228</v>
      </c>
      <c r="H95" s="11">
        <v>5109</v>
      </c>
      <c r="I95" s="10">
        <v>0</v>
      </c>
      <c r="J95" s="11">
        <f t="shared" si="3"/>
        <v>5109</v>
      </c>
      <c r="K95" s="12">
        <f>VLOOKUP(A95,[5]VA05!$A:$K,11,FALSE)</f>
        <v>45595</v>
      </c>
      <c r="L95" s="10" t="s">
        <v>13</v>
      </c>
      <c r="M95" s="10" t="s">
        <v>196</v>
      </c>
    </row>
    <row r="96" spans="1:13" x14ac:dyDescent="0.25">
      <c r="A96" s="13" t="str">
        <f t="shared" si="2"/>
        <v>50714271120</v>
      </c>
      <c r="B96" s="10">
        <v>1004058008</v>
      </c>
      <c r="C96" s="10">
        <v>507142711</v>
      </c>
      <c r="D96" s="10">
        <v>20</v>
      </c>
      <c r="E96" s="10" t="s">
        <v>10</v>
      </c>
      <c r="F96" s="10">
        <v>1161417</v>
      </c>
      <c r="G96" s="10" t="s">
        <v>228</v>
      </c>
      <c r="H96" s="11">
        <v>6845</v>
      </c>
      <c r="I96" s="10">
        <v>0</v>
      </c>
      <c r="J96" s="11">
        <f t="shared" si="3"/>
        <v>6845</v>
      </c>
      <c r="K96" s="12">
        <f>VLOOKUP(A96,[5]VA05!$A:$K,11,FALSE)</f>
        <v>45565</v>
      </c>
      <c r="L96" s="10" t="s">
        <v>12</v>
      </c>
      <c r="M96" s="10" t="s">
        <v>155</v>
      </c>
    </row>
    <row r="97" spans="1:13" x14ac:dyDescent="0.25">
      <c r="A97" s="13" t="str">
        <f t="shared" si="2"/>
        <v>50714244520</v>
      </c>
      <c r="B97" s="10">
        <v>1004053208</v>
      </c>
      <c r="C97" s="10">
        <v>507142445</v>
      </c>
      <c r="D97" s="10">
        <v>20</v>
      </c>
      <c r="E97" s="10" t="s">
        <v>10</v>
      </c>
      <c r="F97" s="10">
        <v>1210955</v>
      </c>
      <c r="G97" s="10" t="s">
        <v>215</v>
      </c>
      <c r="H97" s="11">
        <v>53210</v>
      </c>
      <c r="I97" s="10">
        <v>0</v>
      </c>
      <c r="J97" s="11">
        <f t="shared" si="3"/>
        <v>53210</v>
      </c>
      <c r="K97" s="12">
        <f>VLOOKUP(A97,[5]VA05!$A:$K,11,FALSE)</f>
        <v>45595</v>
      </c>
      <c r="L97" s="10" t="s">
        <v>239</v>
      </c>
      <c r="M97" s="10" t="s">
        <v>216</v>
      </c>
    </row>
    <row r="98" spans="1:13" x14ac:dyDescent="0.25">
      <c r="A98" s="13" t="str">
        <f t="shared" si="2"/>
        <v>50714244520</v>
      </c>
      <c r="B98" s="10">
        <v>1004052416</v>
      </c>
      <c r="C98" s="10">
        <v>507142445</v>
      </c>
      <c r="D98" s="10">
        <v>20</v>
      </c>
      <c r="E98" s="10" t="s">
        <v>10</v>
      </c>
      <c r="F98" s="10">
        <v>1259266</v>
      </c>
      <c r="G98" s="10" t="s">
        <v>64</v>
      </c>
      <c r="H98" s="11">
        <v>51912</v>
      </c>
      <c r="I98" s="10">
        <v>0</v>
      </c>
      <c r="J98" s="11">
        <f t="shared" si="3"/>
        <v>51912</v>
      </c>
      <c r="K98" s="12">
        <f>VLOOKUP(A98,[5]VA05!$A:$K,11,FALSE)</f>
        <v>45595</v>
      </c>
      <c r="L98" s="10" t="s">
        <v>239</v>
      </c>
      <c r="M98" s="10" t="s">
        <v>199</v>
      </c>
    </row>
    <row r="99" spans="1:13" x14ac:dyDescent="0.25">
      <c r="A99" s="13" t="str">
        <f t="shared" si="2"/>
        <v>50714244520</v>
      </c>
      <c r="B99" s="10">
        <v>1004052417</v>
      </c>
      <c r="C99" s="10">
        <v>507142445</v>
      </c>
      <c r="D99" s="10">
        <v>20</v>
      </c>
      <c r="E99" s="10" t="s">
        <v>10</v>
      </c>
      <c r="F99" s="10">
        <v>1259265</v>
      </c>
      <c r="G99" s="10" t="s">
        <v>187</v>
      </c>
      <c r="H99" s="11">
        <v>53210</v>
      </c>
      <c r="I99" s="10">
        <v>0</v>
      </c>
      <c r="J99" s="11">
        <f t="shared" si="3"/>
        <v>53210</v>
      </c>
      <c r="K99" s="12">
        <f>VLOOKUP(A99,[5]VA05!$A:$K,11,FALSE)</f>
        <v>45595</v>
      </c>
      <c r="L99" s="10" t="s">
        <v>12</v>
      </c>
      <c r="M99" s="10" t="s">
        <v>202</v>
      </c>
    </row>
    <row r="100" spans="1:13" x14ac:dyDescent="0.25">
      <c r="A100" s="13" t="str">
        <f t="shared" si="2"/>
        <v>50714282810</v>
      </c>
      <c r="B100" s="10">
        <v>1004062200</v>
      </c>
      <c r="C100" s="10">
        <v>507142828</v>
      </c>
      <c r="D100" s="10">
        <v>10</v>
      </c>
      <c r="E100" s="10" t="s">
        <v>10</v>
      </c>
      <c r="F100" s="10">
        <v>1168128</v>
      </c>
      <c r="G100" s="10" t="s">
        <v>77</v>
      </c>
      <c r="H100" s="11">
        <v>122842</v>
      </c>
      <c r="I100" s="11">
        <v>67300</v>
      </c>
      <c r="J100" s="11">
        <f t="shared" si="3"/>
        <v>55542</v>
      </c>
      <c r="K100" s="12">
        <f>VLOOKUP(A100,[5]VA05!$A:$K,11,FALSE)</f>
        <v>45588</v>
      </c>
      <c r="L100" s="10" t="s">
        <v>18</v>
      </c>
      <c r="M100" s="10" t="s">
        <v>192</v>
      </c>
    </row>
    <row r="101" spans="1:13" x14ac:dyDescent="0.25">
      <c r="A101" s="13" t="str">
        <f t="shared" si="2"/>
        <v>50714278810</v>
      </c>
      <c r="B101" s="10">
        <v>1004062042</v>
      </c>
      <c r="C101" s="10">
        <v>507142788</v>
      </c>
      <c r="D101" s="10">
        <v>10</v>
      </c>
      <c r="E101" s="10" t="s">
        <v>10</v>
      </c>
      <c r="F101" s="10">
        <v>1168125</v>
      </c>
      <c r="G101" s="10" t="s">
        <v>32</v>
      </c>
      <c r="H101" s="11">
        <v>56529</v>
      </c>
      <c r="I101" s="11">
        <v>56529</v>
      </c>
      <c r="J101" s="11">
        <f t="shared" si="3"/>
        <v>0</v>
      </c>
      <c r="K101" s="12">
        <f>VLOOKUP(A101,[5]VA05!$A:$K,11,FALSE)</f>
        <v>45582</v>
      </c>
      <c r="L101" s="10" t="s">
        <v>113</v>
      </c>
      <c r="M101" s="10" t="s">
        <v>193</v>
      </c>
    </row>
    <row r="102" spans="1:13" x14ac:dyDescent="0.25">
      <c r="A102" s="13" t="str">
        <f t="shared" si="2"/>
        <v>50714282810</v>
      </c>
      <c r="B102" s="10">
        <v>1004062043</v>
      </c>
      <c r="C102" s="10">
        <v>507142828</v>
      </c>
      <c r="D102" s="10">
        <v>10</v>
      </c>
      <c r="E102" s="10" t="s">
        <v>10</v>
      </c>
      <c r="F102" s="10">
        <v>1168125</v>
      </c>
      <c r="G102" s="10" t="s">
        <v>32</v>
      </c>
      <c r="H102" s="11">
        <v>122842</v>
      </c>
      <c r="I102" s="10">
        <v>0</v>
      </c>
      <c r="J102" s="11">
        <f t="shared" si="3"/>
        <v>122842</v>
      </c>
      <c r="K102" s="12">
        <f>VLOOKUP(A102,[5]VA05!$A:$K,11,FALSE)</f>
        <v>45588</v>
      </c>
      <c r="L102" s="10" t="s">
        <v>12</v>
      </c>
      <c r="M102" s="10" t="s">
        <v>197</v>
      </c>
    </row>
    <row r="103" spans="1:13" x14ac:dyDescent="0.25">
      <c r="A103" s="13" t="str">
        <f t="shared" si="2"/>
        <v>50714269110</v>
      </c>
      <c r="B103" s="10">
        <v>1004063849</v>
      </c>
      <c r="C103" s="10">
        <v>507142691</v>
      </c>
      <c r="D103" s="10">
        <v>10</v>
      </c>
      <c r="E103" s="10" t="s">
        <v>10</v>
      </c>
      <c r="F103" s="10">
        <v>1168125</v>
      </c>
      <c r="G103" s="10" t="s">
        <v>32</v>
      </c>
      <c r="H103" s="11">
        <v>51094</v>
      </c>
      <c r="I103" s="11">
        <v>12500</v>
      </c>
      <c r="J103" s="11">
        <f t="shared" si="3"/>
        <v>38594</v>
      </c>
      <c r="K103" s="12">
        <f>VLOOKUP(A103,[5]VA05!$A:$K,11,FALSE)</f>
        <v>45569</v>
      </c>
      <c r="L103" s="10" t="s">
        <v>18</v>
      </c>
      <c r="M103" s="10" t="s">
        <v>191</v>
      </c>
    </row>
    <row r="104" spans="1:13" x14ac:dyDescent="0.25">
      <c r="A104" s="13" t="str">
        <f t="shared" si="2"/>
        <v>50714281910</v>
      </c>
      <c r="B104" s="10">
        <v>1004062796</v>
      </c>
      <c r="C104" s="10">
        <v>507142819</v>
      </c>
      <c r="D104" s="10">
        <v>10</v>
      </c>
      <c r="E104" s="10" t="s">
        <v>10</v>
      </c>
      <c r="F104" s="10">
        <v>1402677</v>
      </c>
      <c r="G104" s="10" t="s">
        <v>296</v>
      </c>
      <c r="H104" s="11">
        <v>10871</v>
      </c>
      <c r="I104" s="10">
        <v>0</v>
      </c>
      <c r="J104" s="11">
        <f t="shared" si="3"/>
        <v>10871</v>
      </c>
      <c r="K104" s="12">
        <f>VLOOKUP(A104,[5]VA05!$A:$K,11,FALSE)</f>
        <v>45581</v>
      </c>
      <c r="L104" s="10" t="s">
        <v>12</v>
      </c>
      <c r="M104" s="10" t="s">
        <v>157</v>
      </c>
    </row>
    <row r="105" spans="1:13" x14ac:dyDescent="0.25">
      <c r="A105" s="13" t="str">
        <f t="shared" si="2"/>
        <v>507142416150</v>
      </c>
      <c r="B105" s="10">
        <v>1004052419</v>
      </c>
      <c r="C105" s="10">
        <v>507142416</v>
      </c>
      <c r="D105" s="10">
        <v>150</v>
      </c>
      <c r="E105" s="10" t="s">
        <v>10</v>
      </c>
      <c r="F105" s="10">
        <v>1269350</v>
      </c>
      <c r="G105" s="10" t="s">
        <v>188</v>
      </c>
      <c r="H105" s="11">
        <v>10439</v>
      </c>
      <c r="I105" s="10">
        <v>0</v>
      </c>
      <c r="J105" s="11">
        <f t="shared" si="3"/>
        <v>10439</v>
      </c>
      <c r="K105" s="12">
        <f>VLOOKUP(A105,[5]VA05!$A:$K,11,FALSE)</f>
        <v>45576</v>
      </c>
      <c r="L105" s="10" t="s">
        <v>12</v>
      </c>
      <c r="M105" s="10" t="s">
        <v>156</v>
      </c>
    </row>
    <row r="106" spans="1:13" x14ac:dyDescent="0.25">
      <c r="A106" s="13" t="str">
        <f t="shared" si="2"/>
        <v>50714282120</v>
      </c>
      <c r="B106" s="10">
        <v>1004062792</v>
      </c>
      <c r="C106" s="10">
        <v>507142821</v>
      </c>
      <c r="D106" s="10">
        <v>20</v>
      </c>
      <c r="E106" s="10" t="s">
        <v>10</v>
      </c>
      <c r="F106" s="10">
        <v>1153476</v>
      </c>
      <c r="G106" s="10" t="s">
        <v>297</v>
      </c>
      <c r="H106" s="11">
        <v>27862</v>
      </c>
      <c r="I106" s="10">
        <v>0</v>
      </c>
      <c r="J106" s="11">
        <f t="shared" si="3"/>
        <v>27862</v>
      </c>
      <c r="K106" s="12">
        <f>VLOOKUP(A106,[5]VA05!$A:$K,11,FALSE)</f>
        <v>45589</v>
      </c>
      <c r="L106" s="10" t="s">
        <v>12</v>
      </c>
      <c r="M106" s="10" t="s">
        <v>199</v>
      </c>
    </row>
    <row r="107" spans="1:13" x14ac:dyDescent="0.25">
      <c r="A107" s="13" t="str">
        <f t="shared" si="2"/>
        <v>50714282220</v>
      </c>
      <c r="B107" s="10">
        <v>1004062794</v>
      </c>
      <c r="C107" s="10">
        <v>507142822</v>
      </c>
      <c r="D107" s="10">
        <v>20</v>
      </c>
      <c r="E107" s="10" t="s">
        <v>10</v>
      </c>
      <c r="F107" s="10">
        <v>1153476</v>
      </c>
      <c r="G107" s="10" t="s">
        <v>297</v>
      </c>
      <c r="H107" s="11">
        <v>27862</v>
      </c>
      <c r="I107" s="10">
        <v>0</v>
      </c>
      <c r="J107" s="11">
        <f t="shared" si="3"/>
        <v>27862</v>
      </c>
      <c r="K107" s="12">
        <f>VLOOKUP(A107,[5]VA05!$A:$K,11,FALSE)</f>
        <v>45589</v>
      </c>
      <c r="L107" s="10" t="s">
        <v>12</v>
      </c>
      <c r="M107" s="10" t="s">
        <v>199</v>
      </c>
    </row>
    <row r="108" spans="1:13" x14ac:dyDescent="0.25">
      <c r="A108" s="13" t="str">
        <f t="shared" si="2"/>
        <v>50714278820</v>
      </c>
      <c r="B108" s="10">
        <v>1004058947</v>
      </c>
      <c r="C108" s="10">
        <v>507142788</v>
      </c>
      <c r="D108" s="10">
        <v>20</v>
      </c>
      <c r="E108" s="10" t="s">
        <v>10</v>
      </c>
      <c r="F108" s="10">
        <v>1187156</v>
      </c>
      <c r="G108" s="10" t="s">
        <v>80</v>
      </c>
      <c r="H108" s="11">
        <v>62884</v>
      </c>
      <c r="I108" s="11">
        <v>30378</v>
      </c>
      <c r="J108" s="11">
        <f t="shared" si="3"/>
        <v>32506</v>
      </c>
      <c r="K108" s="12">
        <f>VLOOKUP(A108,[5]VA05!$A:$K,11,FALSE)</f>
        <v>45582</v>
      </c>
      <c r="L108" s="10" t="s">
        <v>18</v>
      </c>
      <c r="M108" s="10" t="s">
        <v>157</v>
      </c>
    </row>
    <row r="109" spans="1:13" x14ac:dyDescent="0.25">
      <c r="A109" s="13" t="str">
        <f t="shared" si="2"/>
        <v>50714268920</v>
      </c>
      <c r="B109" s="10">
        <v>1004067140</v>
      </c>
      <c r="C109" s="10">
        <v>507142689</v>
      </c>
      <c r="D109" s="10">
        <v>20</v>
      </c>
      <c r="E109" s="10" t="s">
        <v>24</v>
      </c>
      <c r="F109" s="10">
        <v>1187156</v>
      </c>
      <c r="G109" s="10" t="s">
        <v>80</v>
      </c>
      <c r="H109" s="11">
        <v>50000</v>
      </c>
      <c r="I109" s="10">
        <v>0</v>
      </c>
      <c r="J109" s="11">
        <f t="shared" si="3"/>
        <v>50000</v>
      </c>
      <c r="K109" s="12">
        <f>VLOOKUP(A109,[5]VA05!$A:$K,11,FALSE)</f>
        <v>45558</v>
      </c>
      <c r="L109" s="10" t="s">
        <v>13</v>
      </c>
      <c r="M109" s="10" t="s">
        <v>177</v>
      </c>
    </row>
    <row r="110" spans="1:13" x14ac:dyDescent="0.25">
      <c r="A110" s="13" t="str">
        <f t="shared" si="2"/>
        <v>50714281920</v>
      </c>
      <c r="B110" s="10">
        <v>1004062795</v>
      </c>
      <c r="C110" s="10">
        <v>507142819</v>
      </c>
      <c r="D110" s="10">
        <v>20</v>
      </c>
      <c r="E110" s="10" t="s">
        <v>10</v>
      </c>
      <c r="F110" s="10">
        <v>1402742</v>
      </c>
      <c r="G110" s="10" t="s">
        <v>298</v>
      </c>
      <c r="H110" s="11">
        <v>11758</v>
      </c>
      <c r="I110" s="10">
        <v>0</v>
      </c>
      <c r="J110" s="11">
        <f t="shared" si="3"/>
        <v>11758</v>
      </c>
      <c r="K110" s="12">
        <f>VLOOKUP(A110,[5]VA05!$A:$K,11,FALSE)</f>
        <v>45581</v>
      </c>
      <c r="L110" s="10" t="s">
        <v>12</v>
      </c>
      <c r="M110" s="10" t="s">
        <v>179</v>
      </c>
    </row>
    <row r="111" spans="1:13" x14ac:dyDescent="0.25">
      <c r="A111" s="13" t="str">
        <f t="shared" si="2"/>
        <v>507142416140</v>
      </c>
      <c r="B111" s="10">
        <v>1004051396</v>
      </c>
      <c r="C111" s="10">
        <v>507142416</v>
      </c>
      <c r="D111" s="10">
        <v>140</v>
      </c>
      <c r="E111" s="10" t="s">
        <v>10</v>
      </c>
      <c r="F111" s="10">
        <v>1269354</v>
      </c>
      <c r="G111" s="10" t="s">
        <v>169</v>
      </c>
      <c r="H111" s="11">
        <v>10217</v>
      </c>
      <c r="I111" s="10">
        <v>0</v>
      </c>
      <c r="J111" s="11">
        <f t="shared" si="3"/>
        <v>10217</v>
      </c>
      <c r="K111" s="12">
        <f>VLOOKUP(A111,[5]VA05!$A:$K,11,FALSE)</f>
        <v>45576</v>
      </c>
      <c r="L111" s="10" t="s">
        <v>25</v>
      </c>
      <c r="M111" s="10" t="s">
        <v>162</v>
      </c>
    </row>
    <row r="112" spans="1:13" x14ac:dyDescent="0.25">
      <c r="A112" s="13" t="str">
        <f t="shared" si="2"/>
        <v>507142416120</v>
      </c>
      <c r="B112" s="10">
        <v>1004058990</v>
      </c>
      <c r="C112" s="10">
        <v>507142416</v>
      </c>
      <c r="D112" s="10">
        <v>120</v>
      </c>
      <c r="E112" s="10" t="s">
        <v>10</v>
      </c>
      <c r="F112" s="10">
        <v>1255973</v>
      </c>
      <c r="G112" s="10" t="s">
        <v>238</v>
      </c>
      <c r="H112" s="11">
        <v>10217</v>
      </c>
      <c r="I112" s="10">
        <v>0</v>
      </c>
      <c r="J112" s="11">
        <f t="shared" si="3"/>
        <v>10217</v>
      </c>
      <c r="K112" s="12">
        <f>VLOOKUP(A112,[5]VA05!$A:$K,11,FALSE)</f>
        <v>45573</v>
      </c>
      <c r="L112" s="10" t="s">
        <v>12</v>
      </c>
      <c r="M112" s="10" t="s">
        <v>194</v>
      </c>
    </row>
    <row r="113" spans="1:13" x14ac:dyDescent="0.25">
      <c r="A113" s="13" t="str">
        <f t="shared" si="2"/>
        <v>50714271370</v>
      </c>
      <c r="B113" s="10">
        <v>1004042923</v>
      </c>
      <c r="C113" s="10">
        <v>507142713</v>
      </c>
      <c r="D113" s="10">
        <v>70</v>
      </c>
      <c r="E113" s="10" t="s">
        <v>10</v>
      </c>
      <c r="F113" s="10">
        <v>1256197</v>
      </c>
      <c r="G113" s="10" t="s">
        <v>139</v>
      </c>
      <c r="H113" s="11">
        <v>10217</v>
      </c>
      <c r="I113" s="10">
        <v>0</v>
      </c>
      <c r="J113" s="11">
        <f t="shared" si="3"/>
        <v>10217</v>
      </c>
      <c r="K113" s="12">
        <f>VLOOKUP(A113,[5]VA05!$A:$K,11,FALSE)</f>
        <v>45591</v>
      </c>
      <c r="L113" s="10" t="s">
        <v>13</v>
      </c>
      <c r="M113" s="10" t="s">
        <v>142</v>
      </c>
    </row>
    <row r="114" spans="1:13" x14ac:dyDescent="0.25">
      <c r="A114" s="13" t="str">
        <f t="shared" si="2"/>
        <v>50714271380</v>
      </c>
      <c r="B114" s="10">
        <v>1004052624</v>
      </c>
      <c r="C114" s="10">
        <v>507142713</v>
      </c>
      <c r="D114" s="10">
        <v>80</v>
      </c>
      <c r="E114" s="10" t="s">
        <v>10</v>
      </c>
      <c r="F114" s="10">
        <v>1168127</v>
      </c>
      <c r="G114" s="10" t="s">
        <v>21</v>
      </c>
      <c r="H114" s="11">
        <v>10217</v>
      </c>
      <c r="I114" s="11">
        <v>2346</v>
      </c>
      <c r="J114" s="11">
        <f t="shared" si="3"/>
        <v>7871</v>
      </c>
      <c r="K114" s="12">
        <f>VLOOKUP(A114,[5]VA05!$A:$K,11,FALSE)</f>
        <v>45591</v>
      </c>
      <c r="L114" s="10" t="s">
        <v>18</v>
      </c>
      <c r="M114" s="10" t="s">
        <v>204</v>
      </c>
    </row>
    <row r="115" spans="1:13" x14ac:dyDescent="0.25">
      <c r="A115" s="13" t="str">
        <f t="shared" si="2"/>
        <v>50714282110</v>
      </c>
      <c r="B115" s="10">
        <v>1004062728</v>
      </c>
      <c r="C115" s="10">
        <v>507142821</v>
      </c>
      <c r="D115" s="10">
        <v>10</v>
      </c>
      <c r="E115" s="10" t="s">
        <v>10</v>
      </c>
      <c r="F115" s="10">
        <v>1168127</v>
      </c>
      <c r="G115" s="10" t="s">
        <v>21</v>
      </c>
      <c r="H115" s="11">
        <v>14571</v>
      </c>
      <c r="I115" s="11">
        <v>14571</v>
      </c>
      <c r="J115" s="11">
        <f t="shared" si="3"/>
        <v>0</v>
      </c>
      <c r="K115" s="12">
        <f>VLOOKUP(A115,[5]VA05!$A:$K,11,FALSE)</f>
        <v>45589</v>
      </c>
      <c r="L115" s="10" t="s">
        <v>113</v>
      </c>
      <c r="M115" s="10" t="s">
        <v>199</v>
      </c>
    </row>
    <row r="116" spans="1:13" x14ac:dyDescent="0.25">
      <c r="A116" s="13" t="str">
        <f t="shared" si="2"/>
        <v>50714282310</v>
      </c>
      <c r="B116" s="10">
        <v>1004062791</v>
      </c>
      <c r="C116" s="10">
        <v>507142823</v>
      </c>
      <c r="D116" s="10">
        <v>10</v>
      </c>
      <c r="E116" s="10" t="s">
        <v>10</v>
      </c>
      <c r="F116" s="10">
        <v>1168127</v>
      </c>
      <c r="G116" s="10" t="s">
        <v>21</v>
      </c>
      <c r="H116" s="11">
        <v>26091</v>
      </c>
      <c r="I116" s="10">
        <v>0</v>
      </c>
      <c r="J116" s="11">
        <f t="shared" si="3"/>
        <v>26091</v>
      </c>
      <c r="K116" s="12">
        <f>VLOOKUP(A116,[5]VA05!$A:$K,11,FALSE)</f>
        <v>45589</v>
      </c>
      <c r="L116" s="10" t="s">
        <v>12</v>
      </c>
      <c r="M116" s="10" t="s">
        <v>109</v>
      </c>
    </row>
    <row r="117" spans="1:13" x14ac:dyDescent="0.25">
      <c r="A117" s="13" t="str">
        <f t="shared" si="2"/>
        <v>507142416150</v>
      </c>
      <c r="B117" s="10">
        <v>1004051561</v>
      </c>
      <c r="C117" s="10">
        <v>507142416</v>
      </c>
      <c r="D117" s="10">
        <v>150</v>
      </c>
      <c r="E117" s="10" t="s">
        <v>10</v>
      </c>
      <c r="F117" s="10">
        <v>1269318</v>
      </c>
      <c r="G117" s="10" t="s">
        <v>170</v>
      </c>
      <c r="H117" s="11">
        <v>10217</v>
      </c>
      <c r="I117" s="10">
        <v>0</v>
      </c>
      <c r="J117" s="11">
        <f t="shared" si="3"/>
        <v>10217</v>
      </c>
      <c r="K117" s="12">
        <f>VLOOKUP(A117,[5]VA05!$A:$K,11,FALSE)</f>
        <v>45576</v>
      </c>
      <c r="L117" s="10" t="s">
        <v>56</v>
      </c>
      <c r="M117" s="10" t="s">
        <v>162</v>
      </c>
    </row>
    <row r="118" spans="1:13" x14ac:dyDescent="0.25">
      <c r="A118" s="13" t="str">
        <f t="shared" si="2"/>
        <v>507142416130</v>
      </c>
      <c r="B118" s="10">
        <v>1004058014</v>
      </c>
      <c r="C118" s="10">
        <v>507142416</v>
      </c>
      <c r="D118" s="10">
        <v>130</v>
      </c>
      <c r="E118" s="10" t="s">
        <v>10</v>
      </c>
      <c r="F118" s="10">
        <v>1255976</v>
      </c>
      <c r="G118" s="10" t="s">
        <v>229</v>
      </c>
      <c r="H118" s="11">
        <v>10217</v>
      </c>
      <c r="I118" s="10">
        <v>0</v>
      </c>
      <c r="J118" s="11">
        <f t="shared" si="3"/>
        <v>10217</v>
      </c>
      <c r="K118" s="12">
        <f>VLOOKUP(A118,[5]VA05!$A:$K,11,FALSE)</f>
        <v>45573</v>
      </c>
      <c r="L118" s="10" t="s">
        <v>56</v>
      </c>
      <c r="M118" s="10" t="s">
        <v>194</v>
      </c>
    </row>
    <row r="119" spans="1:13" x14ac:dyDescent="0.25">
      <c r="A119" s="13" t="str">
        <f t="shared" si="2"/>
        <v>50714271380</v>
      </c>
      <c r="B119" s="10">
        <v>1004058015</v>
      </c>
      <c r="C119" s="10">
        <v>507142713</v>
      </c>
      <c r="D119" s="10">
        <v>80</v>
      </c>
      <c r="E119" s="10" t="s">
        <v>10</v>
      </c>
      <c r="F119" s="10">
        <v>1256193</v>
      </c>
      <c r="G119" s="10" t="s">
        <v>230</v>
      </c>
      <c r="H119" s="11">
        <v>10217</v>
      </c>
      <c r="I119" s="10">
        <v>0</v>
      </c>
      <c r="J119" s="11">
        <f t="shared" si="3"/>
        <v>10217</v>
      </c>
      <c r="K119" s="12">
        <f>VLOOKUP(A119,[5]VA05!$A:$K,11,FALSE)</f>
        <v>45591</v>
      </c>
      <c r="L119" s="10" t="s">
        <v>12</v>
      </c>
      <c r="M119" s="10" t="s">
        <v>204</v>
      </c>
    </row>
    <row r="120" spans="1:13" x14ac:dyDescent="0.25">
      <c r="A120" s="13" t="str">
        <f t="shared" si="2"/>
        <v>50714268810</v>
      </c>
      <c r="B120" s="10">
        <v>1004067040</v>
      </c>
      <c r="C120" s="10">
        <v>507142688</v>
      </c>
      <c r="D120" s="10">
        <v>10</v>
      </c>
      <c r="E120" s="10" t="s">
        <v>10</v>
      </c>
      <c r="F120" s="10">
        <v>1430110</v>
      </c>
      <c r="G120" s="10" t="s">
        <v>231</v>
      </c>
      <c r="H120" s="11">
        <v>25061</v>
      </c>
      <c r="I120" s="10">
        <v>0</v>
      </c>
      <c r="J120" s="11">
        <f t="shared" si="3"/>
        <v>25061</v>
      </c>
      <c r="K120" s="12">
        <f>VLOOKUP(A120,[5]VA05!$A:$K,11,FALSE)</f>
        <v>45579</v>
      </c>
      <c r="L120" s="10" t="s">
        <v>25</v>
      </c>
      <c r="M120" s="10" t="s">
        <v>177</v>
      </c>
    </row>
    <row r="121" spans="1:13" x14ac:dyDescent="0.25">
      <c r="A121" s="13" t="str">
        <f t="shared" si="2"/>
        <v>50714282210</v>
      </c>
      <c r="B121" s="10">
        <v>1004062956</v>
      </c>
      <c r="C121" s="10">
        <v>507142822</v>
      </c>
      <c r="D121" s="10">
        <v>10</v>
      </c>
      <c r="E121" s="10" t="s">
        <v>10</v>
      </c>
      <c r="F121" s="10">
        <v>1153314</v>
      </c>
      <c r="G121" s="10" t="s">
        <v>60</v>
      </c>
      <c r="H121" s="11">
        <v>26091</v>
      </c>
      <c r="I121" s="10">
        <v>0</v>
      </c>
      <c r="J121" s="11">
        <f t="shared" si="3"/>
        <v>26091</v>
      </c>
      <c r="K121" s="12">
        <f>VLOOKUP(A121,[5]VA05!$A:$K,11,FALSE)</f>
        <v>45589</v>
      </c>
      <c r="L121" s="10" t="s">
        <v>12</v>
      </c>
      <c r="M121" s="10" t="s">
        <v>203</v>
      </c>
    </row>
    <row r="122" spans="1:13" x14ac:dyDescent="0.25">
      <c r="A122" s="13" t="str">
        <f t="shared" si="2"/>
        <v>50714282110</v>
      </c>
      <c r="B122" s="10">
        <v>1004062957</v>
      </c>
      <c r="C122" s="10">
        <v>507142821</v>
      </c>
      <c r="D122" s="10">
        <v>10</v>
      </c>
      <c r="E122" s="10" t="s">
        <v>10</v>
      </c>
      <c r="F122" s="10">
        <v>1153314</v>
      </c>
      <c r="G122" s="10" t="s">
        <v>60</v>
      </c>
      <c r="H122" s="11">
        <v>26091</v>
      </c>
      <c r="I122" s="10">
        <v>0</v>
      </c>
      <c r="J122" s="11">
        <f t="shared" si="3"/>
        <v>26091</v>
      </c>
      <c r="K122" s="12">
        <f>VLOOKUP(A122,[5]VA05!$A:$K,11,FALSE)</f>
        <v>45589</v>
      </c>
      <c r="L122" s="10" t="s">
        <v>12</v>
      </c>
      <c r="M122" s="10" t="s">
        <v>203</v>
      </c>
    </row>
    <row r="123" spans="1:13" x14ac:dyDescent="0.25">
      <c r="A123" s="13" t="str">
        <f t="shared" si="2"/>
        <v>50714256520</v>
      </c>
      <c r="B123" s="10">
        <v>1004052388</v>
      </c>
      <c r="C123" s="10">
        <v>507142565</v>
      </c>
      <c r="D123" s="10">
        <v>20</v>
      </c>
      <c r="E123" s="10" t="s">
        <v>10</v>
      </c>
      <c r="F123" s="10">
        <v>1171801</v>
      </c>
      <c r="G123" s="10" t="s">
        <v>71</v>
      </c>
      <c r="H123" s="11">
        <v>79905</v>
      </c>
      <c r="I123" s="11">
        <v>65290</v>
      </c>
      <c r="J123" s="11">
        <f t="shared" si="3"/>
        <v>14615</v>
      </c>
      <c r="K123" s="12" t="e">
        <f>VLOOKUP(A123,[5]VA05!$A:$K,11,FALSE)</f>
        <v>#N/A</v>
      </c>
      <c r="L123" s="10" t="s">
        <v>11</v>
      </c>
      <c r="M123" s="10" t="s">
        <v>180</v>
      </c>
    </row>
    <row r="124" spans="1:13" x14ac:dyDescent="0.25">
      <c r="A124" s="13" t="str">
        <f t="shared" si="2"/>
        <v>50714263610</v>
      </c>
      <c r="B124" s="10">
        <v>1004066443</v>
      </c>
      <c r="C124" s="10">
        <v>507142636</v>
      </c>
      <c r="D124" s="10">
        <v>10</v>
      </c>
      <c r="E124" s="10" t="s">
        <v>24</v>
      </c>
      <c r="F124" s="10">
        <v>1182809</v>
      </c>
      <c r="G124" s="10" t="s">
        <v>313</v>
      </c>
      <c r="H124" s="11">
        <v>6000</v>
      </c>
      <c r="I124" s="10">
        <v>0</v>
      </c>
      <c r="J124" s="11">
        <f t="shared" si="3"/>
        <v>6000</v>
      </c>
      <c r="K124" s="12">
        <f>VLOOKUP(A124,[5]VA05!$A:$K,11,FALSE)</f>
        <v>45566</v>
      </c>
      <c r="L124" s="10" t="s">
        <v>25</v>
      </c>
      <c r="M124" s="10" t="s">
        <v>192</v>
      </c>
    </row>
    <row r="125" spans="1:13" x14ac:dyDescent="0.25">
      <c r="A125" s="13" t="str">
        <f t="shared" si="2"/>
        <v>50714276210</v>
      </c>
      <c r="B125" s="10">
        <v>1004062062</v>
      </c>
      <c r="C125" s="10">
        <v>507142762</v>
      </c>
      <c r="D125" s="10">
        <v>10</v>
      </c>
      <c r="E125" s="10" t="s">
        <v>24</v>
      </c>
      <c r="F125" s="10">
        <v>1162016</v>
      </c>
      <c r="G125" s="10" t="s">
        <v>172</v>
      </c>
      <c r="H125" s="11">
        <v>10000</v>
      </c>
      <c r="I125" s="10">
        <v>0</v>
      </c>
      <c r="J125" s="11">
        <f t="shared" si="3"/>
        <v>10000</v>
      </c>
      <c r="K125" s="12">
        <f>VLOOKUP(A125,[5]VA05!$A:$K,11,FALSE)</f>
        <v>45575</v>
      </c>
      <c r="L125" s="10" t="s">
        <v>29</v>
      </c>
      <c r="M125" s="10" t="s">
        <v>162</v>
      </c>
    </row>
    <row r="126" spans="1:13" x14ac:dyDescent="0.25">
      <c r="A126" s="13" t="str">
        <f t="shared" si="2"/>
        <v>50714263610</v>
      </c>
      <c r="B126" s="10">
        <v>1004040222</v>
      </c>
      <c r="C126" s="10">
        <v>507142636</v>
      </c>
      <c r="D126" s="10">
        <v>10</v>
      </c>
      <c r="E126" s="10" t="s">
        <v>10</v>
      </c>
      <c r="F126" s="10">
        <v>1437043</v>
      </c>
      <c r="G126" s="10" t="s">
        <v>115</v>
      </c>
      <c r="H126" s="11">
        <v>51125</v>
      </c>
      <c r="I126" s="11">
        <v>50030</v>
      </c>
      <c r="J126" s="11">
        <f t="shared" si="3"/>
        <v>1095</v>
      </c>
      <c r="K126" s="12">
        <f>VLOOKUP(A126,[5]VA05!$A:$K,11,FALSE)</f>
        <v>45566</v>
      </c>
      <c r="L126" s="10" t="s">
        <v>11</v>
      </c>
      <c r="M126" s="10" t="s">
        <v>116</v>
      </c>
    </row>
    <row r="127" spans="1:13" x14ac:dyDescent="0.25">
      <c r="A127" s="13" t="str">
        <f t="shared" si="2"/>
        <v>50714263850</v>
      </c>
      <c r="B127" s="10">
        <v>1004049841</v>
      </c>
      <c r="C127" s="10">
        <v>507142638</v>
      </c>
      <c r="D127" s="10">
        <v>50</v>
      </c>
      <c r="E127" s="10" t="s">
        <v>10</v>
      </c>
      <c r="F127" s="10">
        <v>1361170</v>
      </c>
      <c r="G127" s="10" t="s">
        <v>103</v>
      </c>
      <c r="H127" s="11">
        <v>27540</v>
      </c>
      <c r="I127" s="11">
        <v>27540</v>
      </c>
      <c r="J127" s="11">
        <f t="shared" si="3"/>
        <v>0</v>
      </c>
      <c r="K127" s="12">
        <f>VLOOKUP(A127,[5]VA05!$A:$K,11,FALSE)</f>
        <v>45579</v>
      </c>
      <c r="L127" s="10" t="s">
        <v>307</v>
      </c>
      <c r="M127" s="10" t="s">
        <v>143</v>
      </c>
    </row>
    <row r="128" spans="1:13" x14ac:dyDescent="0.25">
      <c r="A128" s="13" t="str">
        <f t="shared" si="2"/>
        <v>50714273810</v>
      </c>
      <c r="B128" s="10">
        <v>1004051551</v>
      </c>
      <c r="C128" s="10">
        <v>507142738</v>
      </c>
      <c r="D128" s="10">
        <v>10</v>
      </c>
      <c r="E128" s="10" t="s">
        <v>10</v>
      </c>
      <c r="F128" s="10">
        <v>1361170</v>
      </c>
      <c r="G128" s="10" t="s">
        <v>103</v>
      </c>
      <c r="H128" s="11">
        <v>27540</v>
      </c>
      <c r="I128" s="11">
        <v>16400</v>
      </c>
      <c r="J128" s="11">
        <f t="shared" si="3"/>
        <v>11140</v>
      </c>
      <c r="K128" s="12">
        <f>VLOOKUP(A128,[5]VA05!$A:$K,11,FALSE)</f>
        <v>45567</v>
      </c>
      <c r="L128" s="10" t="s">
        <v>34</v>
      </c>
      <c r="M128" s="10" t="s">
        <v>177</v>
      </c>
    </row>
    <row r="129" spans="1:13" x14ac:dyDescent="0.25">
      <c r="A129" s="13" t="str">
        <f t="shared" si="2"/>
        <v>50714273810</v>
      </c>
      <c r="B129" s="10">
        <v>1004051552</v>
      </c>
      <c r="C129" s="10">
        <v>507142738</v>
      </c>
      <c r="D129" s="10">
        <v>10</v>
      </c>
      <c r="E129" s="10" t="s">
        <v>10</v>
      </c>
      <c r="F129" s="10">
        <v>1361170</v>
      </c>
      <c r="G129" s="10" t="s">
        <v>103</v>
      </c>
      <c r="H129" s="11">
        <v>27540</v>
      </c>
      <c r="I129" s="10">
        <v>0</v>
      </c>
      <c r="J129" s="11">
        <f t="shared" si="3"/>
        <v>27540</v>
      </c>
      <c r="K129" s="12">
        <f>VLOOKUP(A129,[5]VA05!$A:$K,11,FALSE)</f>
        <v>45567</v>
      </c>
      <c r="L129" s="10" t="s">
        <v>310</v>
      </c>
      <c r="M129" s="10" t="s">
        <v>192</v>
      </c>
    </row>
    <row r="130" spans="1:13" x14ac:dyDescent="0.25">
      <c r="A130" s="13" t="str">
        <f t="shared" si="2"/>
        <v>50714273810</v>
      </c>
      <c r="B130" s="10">
        <v>1004051553</v>
      </c>
      <c r="C130" s="10">
        <v>507142738</v>
      </c>
      <c r="D130" s="10">
        <v>10</v>
      </c>
      <c r="E130" s="10" t="s">
        <v>10</v>
      </c>
      <c r="F130" s="10">
        <v>1361170</v>
      </c>
      <c r="G130" s="10" t="s">
        <v>103</v>
      </c>
      <c r="H130" s="11">
        <v>27540</v>
      </c>
      <c r="I130" s="10">
        <v>0</v>
      </c>
      <c r="J130" s="11">
        <f t="shared" si="3"/>
        <v>27540</v>
      </c>
      <c r="K130" s="12">
        <f>VLOOKUP(A130,[5]VA05!$A:$K,11,FALSE)</f>
        <v>45567</v>
      </c>
      <c r="L130" s="10" t="s">
        <v>234</v>
      </c>
      <c r="M130" s="10" t="s">
        <v>192</v>
      </c>
    </row>
    <row r="131" spans="1:13" x14ac:dyDescent="0.25">
      <c r="A131" s="13" t="str">
        <f t="shared" si="2"/>
        <v>50714273810</v>
      </c>
      <c r="B131" s="10">
        <v>1004051554</v>
      </c>
      <c r="C131" s="10">
        <v>507142738</v>
      </c>
      <c r="D131" s="10">
        <v>10</v>
      </c>
      <c r="E131" s="10" t="s">
        <v>10</v>
      </c>
      <c r="F131" s="10">
        <v>1361170</v>
      </c>
      <c r="G131" s="10" t="s">
        <v>103</v>
      </c>
      <c r="H131" s="11">
        <v>27540</v>
      </c>
      <c r="I131" s="10">
        <v>0</v>
      </c>
      <c r="J131" s="11">
        <f t="shared" si="3"/>
        <v>27540</v>
      </c>
      <c r="K131" s="12">
        <f>VLOOKUP(A131,[5]VA05!$A:$K,11,FALSE)</f>
        <v>45567</v>
      </c>
      <c r="L131" s="10" t="s">
        <v>235</v>
      </c>
      <c r="M131" s="10" t="s">
        <v>192</v>
      </c>
    </row>
    <row r="132" spans="1:13" x14ac:dyDescent="0.25">
      <c r="A132" s="13" t="str">
        <f t="shared" ref="A132:A189" si="4">C132&amp;D132</f>
        <v>50714269230</v>
      </c>
      <c r="B132" s="10">
        <v>1004059599</v>
      </c>
      <c r="C132" s="10">
        <v>507142692</v>
      </c>
      <c r="D132" s="10">
        <v>30</v>
      </c>
      <c r="E132" s="10" t="s">
        <v>10</v>
      </c>
      <c r="F132" s="10">
        <v>1367372</v>
      </c>
      <c r="G132" s="10" t="s">
        <v>62</v>
      </c>
      <c r="H132" s="11">
        <v>25110</v>
      </c>
      <c r="I132" s="11">
        <v>11800</v>
      </c>
      <c r="J132" s="11">
        <f t="shared" ref="J132:J189" si="5">H132-I132</f>
        <v>13310</v>
      </c>
      <c r="K132" s="12">
        <f>VLOOKUP(A132,[5]VA05!$A:$K,11,FALSE)</f>
        <v>45576</v>
      </c>
      <c r="L132" s="10" t="s">
        <v>34</v>
      </c>
      <c r="M132" s="10" t="s">
        <v>192</v>
      </c>
    </row>
    <row r="133" spans="1:13" x14ac:dyDescent="0.25">
      <c r="A133" s="13" t="str">
        <f t="shared" si="4"/>
        <v>50714269230</v>
      </c>
      <c r="B133" s="10">
        <v>1004059600</v>
      </c>
      <c r="C133" s="10">
        <v>507142692</v>
      </c>
      <c r="D133" s="10">
        <v>30</v>
      </c>
      <c r="E133" s="10" t="s">
        <v>10</v>
      </c>
      <c r="F133" s="10">
        <v>1367372</v>
      </c>
      <c r="G133" s="10" t="s">
        <v>62</v>
      </c>
      <c r="H133" s="11">
        <v>25110</v>
      </c>
      <c r="I133" s="10">
        <v>0</v>
      </c>
      <c r="J133" s="11">
        <f t="shared" si="5"/>
        <v>25110</v>
      </c>
      <c r="K133" s="12">
        <f>VLOOKUP(A133,[5]VA05!$A:$K,11,FALSE)</f>
        <v>45576</v>
      </c>
      <c r="L133" s="10" t="s">
        <v>234</v>
      </c>
      <c r="M133" s="10" t="s">
        <v>178</v>
      </c>
    </row>
    <row r="134" spans="1:13" x14ac:dyDescent="0.25">
      <c r="A134" s="13" t="str">
        <f t="shared" si="4"/>
        <v>50714269230</v>
      </c>
      <c r="B134" s="10">
        <v>1004059601</v>
      </c>
      <c r="C134" s="10">
        <v>507142692</v>
      </c>
      <c r="D134" s="10">
        <v>30</v>
      </c>
      <c r="E134" s="10" t="s">
        <v>10</v>
      </c>
      <c r="F134" s="10">
        <v>1367372</v>
      </c>
      <c r="G134" s="10" t="s">
        <v>62</v>
      </c>
      <c r="H134" s="11">
        <v>24570</v>
      </c>
      <c r="I134" s="10">
        <v>0</v>
      </c>
      <c r="J134" s="11">
        <f t="shared" si="5"/>
        <v>24570</v>
      </c>
      <c r="K134" s="12">
        <f>VLOOKUP(A134,[5]VA05!$A:$K,11,FALSE)</f>
        <v>45576</v>
      </c>
      <c r="L134" s="10" t="s">
        <v>234</v>
      </c>
      <c r="M134" s="10" t="s">
        <v>178</v>
      </c>
    </row>
    <row r="135" spans="1:13" x14ac:dyDescent="0.25">
      <c r="A135" s="13" t="str">
        <f t="shared" si="4"/>
        <v>50714263860</v>
      </c>
      <c r="B135" s="10">
        <v>1004049846</v>
      </c>
      <c r="C135" s="10">
        <v>507142638</v>
      </c>
      <c r="D135" s="10">
        <v>60</v>
      </c>
      <c r="E135" s="10" t="s">
        <v>10</v>
      </c>
      <c r="F135" s="10">
        <v>1361175</v>
      </c>
      <c r="G135" s="10" t="s">
        <v>22</v>
      </c>
      <c r="H135" s="11">
        <v>36190</v>
      </c>
      <c r="I135" s="11">
        <v>36190</v>
      </c>
      <c r="J135" s="11">
        <f t="shared" si="5"/>
        <v>0</v>
      </c>
      <c r="K135" s="12">
        <f>VLOOKUP(A135,[5]VA05!$A:$K,11,FALSE)</f>
        <v>45579</v>
      </c>
      <c r="L135" s="10" t="s">
        <v>233</v>
      </c>
      <c r="M135" s="10" t="s">
        <v>97</v>
      </c>
    </row>
    <row r="136" spans="1:13" x14ac:dyDescent="0.25">
      <c r="A136" s="13" t="str">
        <f t="shared" si="4"/>
        <v>50714273820</v>
      </c>
      <c r="B136" s="10">
        <v>1004064517</v>
      </c>
      <c r="C136" s="10">
        <v>507142738</v>
      </c>
      <c r="D136" s="10">
        <v>20</v>
      </c>
      <c r="E136" s="10" t="s">
        <v>10</v>
      </c>
      <c r="F136" s="10">
        <v>1361175</v>
      </c>
      <c r="G136" s="10" t="s">
        <v>22</v>
      </c>
      <c r="H136" s="11">
        <v>36936</v>
      </c>
      <c r="I136" s="11">
        <v>1100</v>
      </c>
      <c r="J136" s="11">
        <f t="shared" si="5"/>
        <v>35836</v>
      </c>
      <c r="K136" s="12">
        <f>VLOOKUP(A136,[5]VA05!$A:$K,11,FALSE)</f>
        <v>45567</v>
      </c>
      <c r="L136" s="10" t="s">
        <v>34</v>
      </c>
      <c r="M136" s="10" t="s">
        <v>179</v>
      </c>
    </row>
    <row r="137" spans="1:13" x14ac:dyDescent="0.25">
      <c r="A137" s="13" t="str">
        <f t="shared" si="4"/>
        <v>50714273820</v>
      </c>
      <c r="B137" s="10">
        <v>1004064518</v>
      </c>
      <c r="C137" s="10">
        <v>507142738</v>
      </c>
      <c r="D137" s="10">
        <v>20</v>
      </c>
      <c r="E137" s="10" t="s">
        <v>10</v>
      </c>
      <c r="F137" s="10">
        <v>1361175</v>
      </c>
      <c r="G137" s="10" t="s">
        <v>22</v>
      </c>
      <c r="H137" s="11">
        <v>36936</v>
      </c>
      <c r="I137" s="10">
        <v>0</v>
      </c>
      <c r="J137" s="11">
        <f t="shared" si="5"/>
        <v>36936</v>
      </c>
      <c r="K137" s="12">
        <f>VLOOKUP(A137,[5]VA05!$A:$K,11,FALSE)</f>
        <v>45567</v>
      </c>
      <c r="L137" s="10" t="s">
        <v>120</v>
      </c>
      <c r="M137" s="10" t="s">
        <v>179</v>
      </c>
    </row>
    <row r="138" spans="1:13" x14ac:dyDescent="0.25">
      <c r="A138" s="13" t="str">
        <f t="shared" si="4"/>
        <v>50714273820</v>
      </c>
      <c r="B138" s="10">
        <v>1004064519</v>
      </c>
      <c r="C138" s="10">
        <v>507142738</v>
      </c>
      <c r="D138" s="10">
        <v>20</v>
      </c>
      <c r="E138" s="10" t="s">
        <v>10</v>
      </c>
      <c r="F138" s="10">
        <v>1361175</v>
      </c>
      <c r="G138" s="10" t="s">
        <v>22</v>
      </c>
      <c r="H138" s="11">
        <v>36288</v>
      </c>
      <c r="I138" s="10">
        <v>0</v>
      </c>
      <c r="J138" s="11">
        <f t="shared" si="5"/>
        <v>36288</v>
      </c>
      <c r="K138" s="12">
        <f>VLOOKUP(A138,[5]VA05!$A:$K,11,FALSE)</f>
        <v>45567</v>
      </c>
      <c r="L138" s="10" t="s">
        <v>25</v>
      </c>
      <c r="M138" s="10" t="s">
        <v>192</v>
      </c>
    </row>
    <row r="139" spans="1:13" x14ac:dyDescent="0.25">
      <c r="A139" s="13" t="str">
        <f t="shared" si="4"/>
        <v>50714279020</v>
      </c>
      <c r="B139" s="10">
        <v>1004064520</v>
      </c>
      <c r="C139" s="10">
        <v>507142790</v>
      </c>
      <c r="D139" s="10">
        <v>20</v>
      </c>
      <c r="E139" s="10" t="s">
        <v>10</v>
      </c>
      <c r="F139" s="10">
        <v>1361175</v>
      </c>
      <c r="G139" s="10" t="s">
        <v>22</v>
      </c>
      <c r="H139" s="11">
        <v>36936</v>
      </c>
      <c r="I139" s="10">
        <v>0</v>
      </c>
      <c r="J139" s="11">
        <f t="shared" si="5"/>
        <v>36936</v>
      </c>
      <c r="K139" s="12">
        <f>VLOOKUP(A139,[5]VA05!$A:$K,11,FALSE)</f>
        <v>45583</v>
      </c>
      <c r="L139" s="10" t="s">
        <v>12</v>
      </c>
      <c r="M139" s="10" t="s">
        <v>193</v>
      </c>
    </row>
    <row r="140" spans="1:13" x14ac:dyDescent="0.25">
      <c r="A140" s="13" t="str">
        <f t="shared" si="4"/>
        <v>50714279020</v>
      </c>
      <c r="B140" s="10">
        <v>1004064521</v>
      </c>
      <c r="C140" s="10">
        <v>507142790</v>
      </c>
      <c r="D140" s="10">
        <v>20</v>
      </c>
      <c r="E140" s="10" t="s">
        <v>10</v>
      </c>
      <c r="F140" s="10">
        <v>1361175</v>
      </c>
      <c r="G140" s="10" t="s">
        <v>22</v>
      </c>
      <c r="H140" s="11">
        <v>36936</v>
      </c>
      <c r="I140" s="10">
        <v>0</v>
      </c>
      <c r="J140" s="11">
        <f t="shared" si="5"/>
        <v>36936</v>
      </c>
      <c r="K140" s="12">
        <f>VLOOKUP(A140,[5]VA05!$A:$K,11,FALSE)</f>
        <v>45583</v>
      </c>
      <c r="L140" s="10" t="s">
        <v>12</v>
      </c>
      <c r="M140" s="10" t="s">
        <v>193</v>
      </c>
    </row>
    <row r="141" spans="1:13" x14ac:dyDescent="0.25">
      <c r="A141" s="13" t="str">
        <f t="shared" si="4"/>
        <v>50714279020</v>
      </c>
      <c r="B141" s="10">
        <v>1004064522</v>
      </c>
      <c r="C141" s="10">
        <v>507142790</v>
      </c>
      <c r="D141" s="10">
        <v>20</v>
      </c>
      <c r="E141" s="10" t="s">
        <v>10</v>
      </c>
      <c r="F141" s="10">
        <v>1361175</v>
      </c>
      <c r="G141" s="10" t="s">
        <v>22</v>
      </c>
      <c r="H141" s="11">
        <v>36288</v>
      </c>
      <c r="I141" s="10">
        <v>0</v>
      </c>
      <c r="J141" s="11">
        <f t="shared" si="5"/>
        <v>36288</v>
      </c>
      <c r="K141" s="12">
        <f>VLOOKUP(A141,[5]VA05!$A:$K,11,FALSE)</f>
        <v>45583</v>
      </c>
      <c r="L141" s="10" t="s">
        <v>12</v>
      </c>
      <c r="M141" s="10" t="s">
        <v>193</v>
      </c>
    </row>
    <row r="142" spans="1:13" x14ac:dyDescent="0.25">
      <c r="A142" s="13" t="str">
        <f t="shared" si="4"/>
        <v>50714269240</v>
      </c>
      <c r="B142" s="10">
        <v>1004060928</v>
      </c>
      <c r="C142" s="10">
        <v>507142692</v>
      </c>
      <c r="D142" s="10">
        <v>40</v>
      </c>
      <c r="E142" s="10" t="s">
        <v>10</v>
      </c>
      <c r="F142" s="10">
        <v>1367370</v>
      </c>
      <c r="G142" s="10" t="s">
        <v>63</v>
      </c>
      <c r="H142" s="11">
        <v>32400</v>
      </c>
      <c r="I142" s="11">
        <v>15894</v>
      </c>
      <c r="J142" s="11">
        <f t="shared" si="5"/>
        <v>16506</v>
      </c>
      <c r="K142" s="12">
        <f>VLOOKUP(A142,[5]VA05!$A:$K,11,FALSE)</f>
        <v>45575</v>
      </c>
      <c r="L142" s="10" t="s">
        <v>34</v>
      </c>
      <c r="M142" s="10" t="s">
        <v>178</v>
      </c>
    </row>
    <row r="143" spans="1:13" x14ac:dyDescent="0.25">
      <c r="A143" s="13" t="str">
        <f t="shared" si="4"/>
        <v>50714269240</v>
      </c>
      <c r="B143" s="10">
        <v>1004061129</v>
      </c>
      <c r="C143" s="10">
        <v>507142692</v>
      </c>
      <c r="D143" s="10">
        <v>40</v>
      </c>
      <c r="E143" s="10" t="s">
        <v>10</v>
      </c>
      <c r="F143" s="10">
        <v>1367370</v>
      </c>
      <c r="G143" s="10" t="s">
        <v>63</v>
      </c>
      <c r="H143" s="11">
        <v>34400</v>
      </c>
      <c r="I143" s="10">
        <v>0</v>
      </c>
      <c r="J143" s="11">
        <f t="shared" si="5"/>
        <v>34400</v>
      </c>
      <c r="K143" s="12">
        <f>VLOOKUP(A143,[5]VA05!$A:$K,11,FALSE)</f>
        <v>45575</v>
      </c>
      <c r="L143" s="10" t="s">
        <v>234</v>
      </c>
      <c r="M143" s="10" t="s">
        <v>178</v>
      </c>
    </row>
    <row r="144" spans="1:13" x14ac:dyDescent="0.25">
      <c r="A144" s="13" t="str">
        <f t="shared" si="4"/>
        <v>50714269240</v>
      </c>
      <c r="B144" s="10">
        <v>1004066470</v>
      </c>
      <c r="C144" s="10">
        <v>507142692</v>
      </c>
      <c r="D144" s="10">
        <v>40</v>
      </c>
      <c r="E144" s="10" t="s">
        <v>10</v>
      </c>
      <c r="F144" s="10">
        <v>1367370</v>
      </c>
      <c r="G144" s="10" t="s">
        <v>63</v>
      </c>
      <c r="H144" s="10">
        <v>700</v>
      </c>
      <c r="I144" s="10">
        <v>0</v>
      </c>
      <c r="J144" s="11">
        <f t="shared" si="5"/>
        <v>700</v>
      </c>
      <c r="K144" s="12">
        <f>VLOOKUP(A144,[5]VA05!$A:$K,11,FALSE)</f>
        <v>45575</v>
      </c>
      <c r="L144" s="10" t="s">
        <v>234</v>
      </c>
      <c r="M144" s="10" t="s">
        <v>177</v>
      </c>
    </row>
    <row r="145" spans="1:13" x14ac:dyDescent="0.25">
      <c r="A145" s="13" t="str">
        <f t="shared" si="4"/>
        <v>50714273810</v>
      </c>
      <c r="B145" s="10">
        <v>1004053617</v>
      </c>
      <c r="C145" s="10">
        <v>507142738</v>
      </c>
      <c r="D145" s="10">
        <v>10</v>
      </c>
      <c r="E145" s="10" t="s">
        <v>10</v>
      </c>
      <c r="F145" s="10">
        <v>1361213</v>
      </c>
      <c r="G145" s="10" t="s">
        <v>23</v>
      </c>
      <c r="H145" s="11">
        <v>113468</v>
      </c>
      <c r="I145" s="10">
        <v>0</v>
      </c>
      <c r="J145" s="11">
        <f t="shared" si="5"/>
        <v>113468</v>
      </c>
      <c r="K145" s="12">
        <f>VLOOKUP(A145,[5]VA05!$A:$K,11,FALSE)</f>
        <v>45567</v>
      </c>
      <c r="L145" s="10" t="s">
        <v>12</v>
      </c>
      <c r="M145" s="10" t="s">
        <v>130</v>
      </c>
    </row>
    <row r="146" spans="1:13" x14ac:dyDescent="0.25">
      <c r="A146" s="13" t="str">
        <f t="shared" si="4"/>
        <v>50714279010</v>
      </c>
      <c r="B146" s="10">
        <v>1004053618</v>
      </c>
      <c r="C146" s="10">
        <v>507142790</v>
      </c>
      <c r="D146" s="10">
        <v>10</v>
      </c>
      <c r="E146" s="10" t="s">
        <v>10</v>
      </c>
      <c r="F146" s="10">
        <v>1361213</v>
      </c>
      <c r="G146" s="10" t="s">
        <v>23</v>
      </c>
      <c r="H146" s="11">
        <v>113465</v>
      </c>
      <c r="I146" s="10">
        <v>0</v>
      </c>
      <c r="J146" s="11">
        <f t="shared" si="5"/>
        <v>113465</v>
      </c>
      <c r="K146" s="12">
        <f>VLOOKUP(A146,[5]VA05!$A:$K,11,FALSE)</f>
        <v>45583</v>
      </c>
      <c r="L146" s="10" t="s">
        <v>12</v>
      </c>
      <c r="M146" s="10" t="s">
        <v>180</v>
      </c>
    </row>
    <row r="147" spans="1:13" x14ac:dyDescent="0.25">
      <c r="A147" s="13" t="str">
        <f t="shared" si="4"/>
        <v>50714269230</v>
      </c>
      <c r="B147" s="10">
        <v>1004062502</v>
      </c>
      <c r="C147" s="10">
        <v>507142692</v>
      </c>
      <c r="D147" s="10">
        <v>30</v>
      </c>
      <c r="E147" s="10" t="s">
        <v>10</v>
      </c>
      <c r="F147" s="10">
        <v>1361213</v>
      </c>
      <c r="G147" s="10" t="s">
        <v>23</v>
      </c>
      <c r="H147" s="11">
        <v>102900</v>
      </c>
      <c r="I147" s="11">
        <v>17800</v>
      </c>
      <c r="J147" s="11">
        <f t="shared" si="5"/>
        <v>85100</v>
      </c>
      <c r="K147" s="12">
        <f>VLOOKUP(A147,[5]VA05!$A:$K,11,FALSE)</f>
        <v>45576</v>
      </c>
      <c r="L147" s="10" t="s">
        <v>18</v>
      </c>
      <c r="M147" s="10" t="s">
        <v>177</v>
      </c>
    </row>
    <row r="148" spans="1:13" x14ac:dyDescent="0.25">
      <c r="A148" s="13" t="str">
        <f t="shared" si="4"/>
        <v>50714283110</v>
      </c>
      <c r="B148" s="10">
        <v>1004062504</v>
      </c>
      <c r="C148" s="10">
        <v>507142831</v>
      </c>
      <c r="D148" s="10">
        <v>10</v>
      </c>
      <c r="E148" s="10" t="s">
        <v>10</v>
      </c>
      <c r="F148" s="10">
        <v>1361213</v>
      </c>
      <c r="G148" s="10" t="s">
        <v>23</v>
      </c>
      <c r="H148" s="11">
        <v>51727</v>
      </c>
      <c r="I148" s="10">
        <v>0</v>
      </c>
      <c r="J148" s="11">
        <f t="shared" si="5"/>
        <v>51727</v>
      </c>
      <c r="K148" s="12">
        <f>VLOOKUP(A148,[5]VA05!$A:$K,11,FALSE)</f>
        <v>45587</v>
      </c>
      <c r="L148" s="10" t="s">
        <v>12</v>
      </c>
      <c r="M148" s="10" t="s">
        <v>179</v>
      </c>
    </row>
    <row r="149" spans="1:13" x14ac:dyDescent="0.25">
      <c r="A149" s="13" t="str">
        <f t="shared" si="4"/>
        <v>50714263750</v>
      </c>
      <c r="B149" s="10">
        <v>1004053626</v>
      </c>
      <c r="C149" s="10">
        <v>507142637</v>
      </c>
      <c r="D149" s="10">
        <v>50</v>
      </c>
      <c r="E149" s="10" t="s">
        <v>10</v>
      </c>
      <c r="F149" s="10">
        <v>1408740</v>
      </c>
      <c r="G149" s="10" t="s">
        <v>104</v>
      </c>
      <c r="H149" s="11">
        <v>27540</v>
      </c>
      <c r="I149" s="11">
        <v>27540</v>
      </c>
      <c r="J149" s="11">
        <f t="shared" si="5"/>
        <v>0</v>
      </c>
      <c r="K149" s="12" t="e">
        <f>VLOOKUP(A149,[5]VA05!$A:$K,11,FALSE)</f>
        <v>#N/A</v>
      </c>
      <c r="L149" s="10" t="s">
        <v>233</v>
      </c>
      <c r="M149" s="10" t="s">
        <v>154</v>
      </c>
    </row>
    <row r="150" spans="1:13" x14ac:dyDescent="0.25">
      <c r="A150" s="13" t="str">
        <f t="shared" si="4"/>
        <v>50714263750</v>
      </c>
      <c r="B150" s="10">
        <v>1004053627</v>
      </c>
      <c r="C150" s="10">
        <v>507142637</v>
      </c>
      <c r="D150" s="10">
        <v>50</v>
      </c>
      <c r="E150" s="10" t="s">
        <v>10</v>
      </c>
      <c r="F150" s="10">
        <v>1408740</v>
      </c>
      <c r="G150" s="10" t="s">
        <v>104</v>
      </c>
      <c r="H150" s="11">
        <v>27540</v>
      </c>
      <c r="I150" s="11">
        <v>27540</v>
      </c>
      <c r="J150" s="11">
        <f t="shared" si="5"/>
        <v>0</v>
      </c>
      <c r="K150" s="12" t="e">
        <f>VLOOKUP(A150,[5]VA05!$A:$K,11,FALSE)</f>
        <v>#N/A</v>
      </c>
      <c r="L150" s="10" t="s">
        <v>233</v>
      </c>
      <c r="M150" s="10" t="s">
        <v>194</v>
      </c>
    </row>
    <row r="151" spans="1:13" x14ac:dyDescent="0.25">
      <c r="A151" s="13" t="str">
        <f t="shared" si="4"/>
        <v>50714263750</v>
      </c>
      <c r="B151" s="10">
        <v>1004053628</v>
      </c>
      <c r="C151" s="10">
        <v>507142637</v>
      </c>
      <c r="D151" s="10">
        <v>50</v>
      </c>
      <c r="E151" s="10" t="s">
        <v>10</v>
      </c>
      <c r="F151" s="10">
        <v>1408740</v>
      </c>
      <c r="G151" s="10" t="s">
        <v>104</v>
      </c>
      <c r="H151" s="11">
        <v>27540</v>
      </c>
      <c r="I151" s="11">
        <v>27540</v>
      </c>
      <c r="J151" s="11">
        <f t="shared" si="5"/>
        <v>0</v>
      </c>
      <c r="K151" s="12" t="e">
        <f>VLOOKUP(A151,[5]VA05!$A:$K,11,FALSE)</f>
        <v>#N/A</v>
      </c>
      <c r="L151" s="10" t="s">
        <v>34</v>
      </c>
      <c r="M151" s="10" t="s">
        <v>178</v>
      </c>
    </row>
    <row r="152" spans="1:13" x14ac:dyDescent="0.25">
      <c r="A152" s="13" t="str">
        <f t="shared" si="4"/>
        <v>50714269810</v>
      </c>
      <c r="B152" s="10">
        <v>1004061888</v>
      </c>
      <c r="C152" s="10">
        <v>507142698</v>
      </c>
      <c r="D152" s="10">
        <v>10</v>
      </c>
      <c r="E152" s="10" t="s">
        <v>10</v>
      </c>
      <c r="F152" s="10">
        <v>1408740</v>
      </c>
      <c r="G152" s="10" t="s">
        <v>104</v>
      </c>
      <c r="H152" s="11">
        <v>27540</v>
      </c>
      <c r="I152" s="11">
        <v>27540</v>
      </c>
      <c r="J152" s="11">
        <f t="shared" si="5"/>
        <v>0</v>
      </c>
      <c r="K152" s="12">
        <f>VLOOKUP(A152,[5]VA05!$A:$K,11,FALSE)</f>
        <v>45553</v>
      </c>
      <c r="L152" s="10" t="s">
        <v>248</v>
      </c>
      <c r="M152" s="10" t="s">
        <v>202</v>
      </c>
    </row>
    <row r="153" spans="1:13" x14ac:dyDescent="0.25">
      <c r="A153" s="13" t="str">
        <f t="shared" si="4"/>
        <v>50714269810</v>
      </c>
      <c r="B153" s="10">
        <v>1004062029</v>
      </c>
      <c r="C153" s="10">
        <v>507142698</v>
      </c>
      <c r="D153" s="10">
        <v>10</v>
      </c>
      <c r="E153" s="10" t="s">
        <v>10</v>
      </c>
      <c r="F153" s="10">
        <v>1408740</v>
      </c>
      <c r="G153" s="10" t="s">
        <v>104</v>
      </c>
      <c r="H153" s="11">
        <v>27540</v>
      </c>
      <c r="I153" s="11">
        <v>27540</v>
      </c>
      <c r="J153" s="11">
        <f t="shared" si="5"/>
        <v>0</v>
      </c>
      <c r="K153" s="12">
        <f>VLOOKUP(A153,[5]VA05!$A:$K,11,FALSE)</f>
        <v>45553</v>
      </c>
      <c r="L153" s="10" t="s">
        <v>34</v>
      </c>
      <c r="M153" s="10" t="s">
        <v>202</v>
      </c>
    </row>
    <row r="154" spans="1:13" x14ac:dyDescent="0.25">
      <c r="A154" s="13" t="str">
        <f t="shared" si="4"/>
        <v>50714269810</v>
      </c>
      <c r="B154" s="10">
        <v>1004062030</v>
      </c>
      <c r="C154" s="10">
        <v>507142698</v>
      </c>
      <c r="D154" s="10">
        <v>10</v>
      </c>
      <c r="E154" s="10" t="s">
        <v>10</v>
      </c>
      <c r="F154" s="10">
        <v>1408740</v>
      </c>
      <c r="G154" s="10" t="s">
        <v>104</v>
      </c>
      <c r="H154" s="11">
        <v>27540</v>
      </c>
      <c r="I154" s="11">
        <v>9652</v>
      </c>
      <c r="J154" s="11">
        <f t="shared" si="5"/>
        <v>17888</v>
      </c>
      <c r="K154" s="12">
        <f>VLOOKUP(A154,[5]VA05!$A:$K,11,FALSE)</f>
        <v>45553</v>
      </c>
      <c r="L154" s="10" t="s">
        <v>34</v>
      </c>
      <c r="M154" s="10" t="s">
        <v>202</v>
      </c>
    </row>
    <row r="155" spans="1:13" x14ac:dyDescent="0.25">
      <c r="A155" s="13" t="str">
        <f t="shared" si="4"/>
        <v>50714269830</v>
      </c>
      <c r="B155" s="10">
        <v>1004062031</v>
      </c>
      <c r="C155" s="10">
        <v>507142698</v>
      </c>
      <c r="D155" s="10">
        <v>30</v>
      </c>
      <c r="E155" s="10" t="s">
        <v>10</v>
      </c>
      <c r="F155" s="10">
        <v>1408740</v>
      </c>
      <c r="G155" s="10" t="s">
        <v>104</v>
      </c>
      <c r="H155" s="11">
        <v>27540</v>
      </c>
      <c r="I155" s="10">
        <v>0</v>
      </c>
      <c r="J155" s="11">
        <f t="shared" si="5"/>
        <v>27540</v>
      </c>
      <c r="K155" s="12">
        <f>VLOOKUP(A155,[5]VA05!$A:$K,11,FALSE)</f>
        <v>45567</v>
      </c>
      <c r="L155" s="10" t="s">
        <v>235</v>
      </c>
      <c r="M155" s="10" t="s">
        <v>177</v>
      </c>
    </row>
    <row r="156" spans="1:13" x14ac:dyDescent="0.25">
      <c r="A156" s="13" t="str">
        <f t="shared" si="4"/>
        <v>50714269830</v>
      </c>
      <c r="B156" s="10">
        <v>1004062032</v>
      </c>
      <c r="C156" s="10">
        <v>507142698</v>
      </c>
      <c r="D156" s="10">
        <v>30</v>
      </c>
      <c r="E156" s="10" t="s">
        <v>10</v>
      </c>
      <c r="F156" s="10">
        <v>1408740</v>
      </c>
      <c r="G156" s="10" t="s">
        <v>104</v>
      </c>
      <c r="H156" s="11">
        <v>27540</v>
      </c>
      <c r="I156" s="10">
        <v>0</v>
      </c>
      <c r="J156" s="11">
        <f t="shared" si="5"/>
        <v>27540</v>
      </c>
      <c r="K156" s="12">
        <f>VLOOKUP(A156,[5]VA05!$A:$K,11,FALSE)</f>
        <v>45567</v>
      </c>
      <c r="L156" s="10" t="s">
        <v>12</v>
      </c>
      <c r="M156" s="10" t="s">
        <v>197</v>
      </c>
    </row>
    <row r="157" spans="1:13" x14ac:dyDescent="0.25">
      <c r="A157" s="13" t="str">
        <f t="shared" si="4"/>
        <v>50714269830</v>
      </c>
      <c r="B157" s="10">
        <v>1004062033</v>
      </c>
      <c r="C157" s="10">
        <v>507142698</v>
      </c>
      <c r="D157" s="10">
        <v>30</v>
      </c>
      <c r="E157" s="10" t="s">
        <v>10</v>
      </c>
      <c r="F157" s="10">
        <v>1408740</v>
      </c>
      <c r="G157" s="10" t="s">
        <v>104</v>
      </c>
      <c r="H157" s="11">
        <v>27540</v>
      </c>
      <c r="I157" s="10">
        <v>0</v>
      </c>
      <c r="J157" s="11">
        <f t="shared" si="5"/>
        <v>27540</v>
      </c>
      <c r="K157" s="12">
        <f>VLOOKUP(A157,[5]VA05!$A:$K,11,FALSE)</f>
        <v>45567</v>
      </c>
      <c r="L157" s="10" t="s">
        <v>12</v>
      </c>
      <c r="M157" s="10" t="s">
        <v>197</v>
      </c>
    </row>
    <row r="158" spans="1:13" x14ac:dyDescent="0.25">
      <c r="A158" s="13" t="str">
        <f t="shared" si="4"/>
        <v>50714269830</v>
      </c>
      <c r="B158" s="10">
        <v>1004062034</v>
      </c>
      <c r="C158" s="10">
        <v>507142698</v>
      </c>
      <c r="D158" s="10">
        <v>30</v>
      </c>
      <c r="E158" s="10" t="s">
        <v>10</v>
      </c>
      <c r="F158" s="10">
        <v>1408740</v>
      </c>
      <c r="G158" s="10" t="s">
        <v>104</v>
      </c>
      <c r="H158" s="11">
        <v>27270</v>
      </c>
      <c r="I158" s="10">
        <v>0</v>
      </c>
      <c r="J158" s="11">
        <f t="shared" si="5"/>
        <v>27270</v>
      </c>
      <c r="K158" s="12">
        <f>VLOOKUP(A158,[5]VA05!$A:$K,11,FALSE)</f>
        <v>45567</v>
      </c>
      <c r="L158" s="10" t="s">
        <v>12</v>
      </c>
      <c r="M158" s="10" t="s">
        <v>197</v>
      </c>
    </row>
    <row r="159" spans="1:13" x14ac:dyDescent="0.25">
      <c r="A159" s="13" t="str">
        <f t="shared" si="4"/>
        <v>50714269820</v>
      </c>
      <c r="B159" s="10">
        <v>1004059594</v>
      </c>
      <c r="C159" s="10">
        <v>507142698</v>
      </c>
      <c r="D159" s="10">
        <v>20</v>
      </c>
      <c r="E159" s="10" t="s">
        <v>10</v>
      </c>
      <c r="F159" s="10">
        <v>1408739</v>
      </c>
      <c r="G159" s="10" t="s">
        <v>37</v>
      </c>
      <c r="H159" s="11">
        <v>27864</v>
      </c>
      <c r="I159" s="11">
        <v>27864</v>
      </c>
      <c r="J159" s="11">
        <f t="shared" si="5"/>
        <v>0</v>
      </c>
      <c r="K159" s="12">
        <f>VLOOKUP(A159,[5]VA05!$A:$K,11,FALSE)</f>
        <v>45553</v>
      </c>
      <c r="L159" s="10" t="s">
        <v>118</v>
      </c>
      <c r="M159" s="10" t="s">
        <v>194</v>
      </c>
    </row>
    <row r="160" spans="1:13" x14ac:dyDescent="0.25">
      <c r="A160" s="13" t="str">
        <f t="shared" si="4"/>
        <v>50714269820</v>
      </c>
      <c r="B160" s="10">
        <v>1004059595</v>
      </c>
      <c r="C160" s="10">
        <v>507142698</v>
      </c>
      <c r="D160" s="10">
        <v>20</v>
      </c>
      <c r="E160" s="10" t="s">
        <v>10</v>
      </c>
      <c r="F160" s="10">
        <v>1408739</v>
      </c>
      <c r="G160" s="10" t="s">
        <v>37</v>
      </c>
      <c r="H160" s="11">
        <v>27864</v>
      </c>
      <c r="I160" s="11">
        <v>27864</v>
      </c>
      <c r="J160" s="11">
        <f t="shared" si="5"/>
        <v>0</v>
      </c>
      <c r="K160" s="12">
        <f>VLOOKUP(A160,[5]VA05!$A:$K,11,FALSE)</f>
        <v>45553</v>
      </c>
      <c r="L160" s="10" t="s">
        <v>118</v>
      </c>
      <c r="M160" s="10" t="s">
        <v>156</v>
      </c>
    </row>
    <row r="161" spans="1:13" x14ac:dyDescent="0.25">
      <c r="A161" s="13" t="str">
        <f t="shared" si="4"/>
        <v>50714269820</v>
      </c>
      <c r="B161" s="10">
        <v>1004059597</v>
      </c>
      <c r="C161" s="10">
        <v>507142698</v>
      </c>
      <c r="D161" s="10">
        <v>20</v>
      </c>
      <c r="E161" s="10" t="s">
        <v>10</v>
      </c>
      <c r="F161" s="10">
        <v>1408739</v>
      </c>
      <c r="G161" s="10" t="s">
        <v>37</v>
      </c>
      <c r="H161" s="11">
        <v>26568</v>
      </c>
      <c r="I161" s="11">
        <v>26568</v>
      </c>
      <c r="J161" s="11">
        <f t="shared" si="5"/>
        <v>0</v>
      </c>
      <c r="K161" s="12">
        <f>VLOOKUP(A161,[5]VA05!$A:$K,11,FALSE)</f>
        <v>45553</v>
      </c>
      <c r="L161" s="10" t="s">
        <v>233</v>
      </c>
      <c r="M161" s="10" t="s">
        <v>179</v>
      </c>
    </row>
    <row r="162" spans="1:13" x14ac:dyDescent="0.25">
      <c r="A162" s="13" t="str">
        <f t="shared" si="4"/>
        <v>50714269840</v>
      </c>
      <c r="B162" s="10">
        <v>1004062035</v>
      </c>
      <c r="C162" s="10">
        <v>507142698</v>
      </c>
      <c r="D162" s="10">
        <v>40</v>
      </c>
      <c r="E162" s="10" t="s">
        <v>10</v>
      </c>
      <c r="F162" s="10">
        <v>1408739</v>
      </c>
      <c r="G162" s="10" t="s">
        <v>37</v>
      </c>
      <c r="H162" s="11">
        <v>27864</v>
      </c>
      <c r="I162" s="11">
        <v>10800</v>
      </c>
      <c r="J162" s="11">
        <f t="shared" si="5"/>
        <v>17064</v>
      </c>
      <c r="K162" s="12">
        <f>VLOOKUP(A162,[5]VA05!$A:$K,11,FALSE)</f>
        <v>45567</v>
      </c>
      <c r="L162" s="10" t="s">
        <v>28</v>
      </c>
      <c r="M162" s="10" t="s">
        <v>191</v>
      </c>
    </row>
    <row r="163" spans="1:13" x14ac:dyDescent="0.25">
      <c r="A163" s="13" t="str">
        <f t="shared" si="4"/>
        <v>50714269840</v>
      </c>
      <c r="B163" s="10">
        <v>1004062036</v>
      </c>
      <c r="C163" s="10">
        <v>507142698</v>
      </c>
      <c r="D163" s="10">
        <v>40</v>
      </c>
      <c r="E163" s="10" t="s">
        <v>10</v>
      </c>
      <c r="F163" s="10">
        <v>1408739</v>
      </c>
      <c r="G163" s="10" t="s">
        <v>37</v>
      </c>
      <c r="H163" s="11">
        <v>27864</v>
      </c>
      <c r="I163" s="10">
        <v>0</v>
      </c>
      <c r="J163" s="11">
        <f t="shared" si="5"/>
        <v>27864</v>
      </c>
      <c r="K163" s="12">
        <f>VLOOKUP(A163,[5]VA05!$A:$K,11,FALSE)</f>
        <v>45567</v>
      </c>
      <c r="L163" s="10" t="s">
        <v>235</v>
      </c>
      <c r="M163" s="10" t="s">
        <v>177</v>
      </c>
    </row>
    <row r="164" spans="1:13" x14ac:dyDescent="0.25">
      <c r="A164" s="13" t="str">
        <f t="shared" si="4"/>
        <v>50714269840</v>
      </c>
      <c r="B164" s="10">
        <v>1004062037</v>
      </c>
      <c r="C164" s="10">
        <v>507142698</v>
      </c>
      <c r="D164" s="10">
        <v>40</v>
      </c>
      <c r="E164" s="10" t="s">
        <v>10</v>
      </c>
      <c r="F164" s="10">
        <v>1408739</v>
      </c>
      <c r="G164" s="10" t="s">
        <v>37</v>
      </c>
      <c r="H164" s="11">
        <v>27864</v>
      </c>
      <c r="I164" s="10">
        <v>0</v>
      </c>
      <c r="J164" s="11">
        <f t="shared" si="5"/>
        <v>27864</v>
      </c>
      <c r="K164" s="12">
        <f>VLOOKUP(A164,[5]VA05!$A:$K,11,FALSE)</f>
        <v>45567</v>
      </c>
      <c r="L164" s="10" t="s">
        <v>146</v>
      </c>
      <c r="M164" s="10" t="s">
        <v>197</v>
      </c>
    </row>
    <row r="165" spans="1:13" x14ac:dyDescent="0.25">
      <c r="A165" s="13" t="str">
        <f t="shared" si="4"/>
        <v>50714269840</v>
      </c>
      <c r="B165" s="10">
        <v>1004062038</v>
      </c>
      <c r="C165" s="10">
        <v>507142698</v>
      </c>
      <c r="D165" s="10">
        <v>40</v>
      </c>
      <c r="E165" s="10" t="s">
        <v>10</v>
      </c>
      <c r="F165" s="10">
        <v>1408739</v>
      </c>
      <c r="G165" s="10" t="s">
        <v>37</v>
      </c>
      <c r="H165" s="11">
        <v>26298</v>
      </c>
      <c r="I165" s="10">
        <v>0</v>
      </c>
      <c r="J165" s="11">
        <f t="shared" si="5"/>
        <v>26298</v>
      </c>
      <c r="K165" s="12">
        <f>VLOOKUP(A165,[5]VA05!$A:$K,11,FALSE)</f>
        <v>45567</v>
      </c>
      <c r="L165" s="10" t="s">
        <v>146</v>
      </c>
      <c r="M165" s="10" t="s">
        <v>197</v>
      </c>
    </row>
    <row r="166" spans="1:13" x14ac:dyDescent="0.25">
      <c r="A166" s="13" t="str">
        <f t="shared" si="4"/>
        <v>50714269810</v>
      </c>
      <c r="B166" s="10">
        <v>1004062505</v>
      </c>
      <c r="C166" s="10">
        <v>507142698</v>
      </c>
      <c r="D166" s="10">
        <v>10</v>
      </c>
      <c r="E166" s="10" t="s">
        <v>10</v>
      </c>
      <c r="F166" s="10">
        <v>1408742</v>
      </c>
      <c r="G166" s="10" t="s">
        <v>38</v>
      </c>
      <c r="H166" s="11">
        <v>70103</v>
      </c>
      <c r="I166" s="10">
        <v>0</v>
      </c>
      <c r="J166" s="11">
        <f t="shared" si="5"/>
        <v>70103</v>
      </c>
      <c r="K166" s="12">
        <f>VLOOKUP(A166,[5]VA05!$A:$K,11,FALSE)</f>
        <v>45553</v>
      </c>
      <c r="L166" s="10" t="s">
        <v>27</v>
      </c>
      <c r="M166" s="10" t="s">
        <v>162</v>
      </c>
    </row>
    <row r="167" spans="1:13" x14ac:dyDescent="0.25">
      <c r="A167" s="13" t="str">
        <f t="shared" si="4"/>
        <v>50714269830</v>
      </c>
      <c r="B167" s="10">
        <v>1004062506</v>
      </c>
      <c r="C167" s="10">
        <v>507142698</v>
      </c>
      <c r="D167" s="10">
        <v>30</v>
      </c>
      <c r="E167" s="10" t="s">
        <v>10</v>
      </c>
      <c r="F167" s="10">
        <v>1408742</v>
      </c>
      <c r="G167" s="10" t="s">
        <v>38</v>
      </c>
      <c r="H167" s="11">
        <v>113190</v>
      </c>
      <c r="I167" s="11">
        <v>33980</v>
      </c>
      <c r="J167" s="11">
        <f t="shared" si="5"/>
        <v>79210</v>
      </c>
      <c r="K167" s="12">
        <f>VLOOKUP(A167,[5]VA05!$A:$K,11,FALSE)</f>
        <v>45567</v>
      </c>
      <c r="L167" s="10" t="s">
        <v>18</v>
      </c>
      <c r="M167" s="10" t="s">
        <v>202</v>
      </c>
    </row>
    <row r="168" spans="1:13" x14ac:dyDescent="0.25">
      <c r="A168" s="13" t="str">
        <f t="shared" si="4"/>
        <v>50714283710</v>
      </c>
      <c r="B168" s="10">
        <v>1004062507</v>
      </c>
      <c r="C168" s="10">
        <v>507142837</v>
      </c>
      <c r="D168" s="10">
        <v>10</v>
      </c>
      <c r="E168" s="10" t="s">
        <v>10</v>
      </c>
      <c r="F168" s="10">
        <v>1408742</v>
      </c>
      <c r="G168" s="10" t="s">
        <v>38</v>
      </c>
      <c r="H168" s="11">
        <v>113465</v>
      </c>
      <c r="I168" s="10">
        <v>0</v>
      </c>
      <c r="J168" s="11">
        <f t="shared" si="5"/>
        <v>113465</v>
      </c>
      <c r="K168" s="12">
        <f>VLOOKUP(A168,[5]VA05!$A:$K,11,FALSE)</f>
        <v>45587</v>
      </c>
      <c r="L168" s="10" t="s">
        <v>12</v>
      </c>
      <c r="M168" s="10" t="s">
        <v>162</v>
      </c>
    </row>
    <row r="169" spans="1:13" x14ac:dyDescent="0.25">
      <c r="A169" s="13" t="str">
        <f t="shared" si="4"/>
        <v>50714275730</v>
      </c>
      <c r="B169" s="10">
        <v>1004054926</v>
      </c>
      <c r="C169" s="10">
        <v>507142757</v>
      </c>
      <c r="D169" s="10">
        <v>30</v>
      </c>
      <c r="E169" s="10" t="s">
        <v>10</v>
      </c>
      <c r="F169" s="10">
        <v>1411702</v>
      </c>
      <c r="G169" s="10" t="s">
        <v>221</v>
      </c>
      <c r="H169" s="11">
        <v>126758</v>
      </c>
      <c r="I169" s="11">
        <v>117216</v>
      </c>
      <c r="J169" s="11">
        <f t="shared" si="5"/>
        <v>9542</v>
      </c>
      <c r="K169" s="12">
        <f>VLOOKUP(A169,[5]VA05!$A:$K,11,FALSE)</f>
        <v>45579</v>
      </c>
      <c r="L169" s="10" t="s">
        <v>18</v>
      </c>
      <c r="M169" s="10" t="s">
        <v>178</v>
      </c>
    </row>
    <row r="170" spans="1:13" x14ac:dyDescent="0.25">
      <c r="A170" s="13" t="str">
        <f t="shared" si="4"/>
        <v>50714275750</v>
      </c>
      <c r="B170" s="10">
        <v>1004054927</v>
      </c>
      <c r="C170" s="10">
        <v>507142757</v>
      </c>
      <c r="D170" s="10">
        <v>50</v>
      </c>
      <c r="E170" s="10" t="s">
        <v>10</v>
      </c>
      <c r="F170" s="10">
        <v>1411702</v>
      </c>
      <c r="G170" s="10" t="s">
        <v>221</v>
      </c>
      <c r="H170" s="11">
        <v>63514</v>
      </c>
      <c r="I170" s="10">
        <v>0</v>
      </c>
      <c r="J170" s="11">
        <f t="shared" si="5"/>
        <v>63514</v>
      </c>
      <c r="K170" s="12">
        <f>VLOOKUP(A170,[5]VA05!$A:$K,11,FALSE)</f>
        <v>45587</v>
      </c>
      <c r="L170" s="10" t="s">
        <v>56</v>
      </c>
      <c r="M170" s="10" t="s">
        <v>156</v>
      </c>
    </row>
    <row r="171" spans="1:13" x14ac:dyDescent="0.25">
      <c r="A171" s="13" t="str">
        <f t="shared" si="4"/>
        <v>50714275690</v>
      </c>
      <c r="B171" s="10">
        <v>1004052384</v>
      </c>
      <c r="C171" s="10">
        <v>507142756</v>
      </c>
      <c r="D171" s="10">
        <v>90</v>
      </c>
      <c r="E171" s="10" t="s">
        <v>10</v>
      </c>
      <c r="F171" s="10">
        <v>1411902</v>
      </c>
      <c r="G171" s="10" t="s">
        <v>151</v>
      </c>
      <c r="H171" s="11">
        <v>68920</v>
      </c>
      <c r="I171" s="11">
        <v>12500</v>
      </c>
      <c r="J171" s="11">
        <f t="shared" si="5"/>
        <v>56420</v>
      </c>
      <c r="K171" s="12">
        <f>VLOOKUP(A171,[5]VA05!$A:$K,11,FALSE)</f>
        <v>45588</v>
      </c>
      <c r="L171" s="10" t="s">
        <v>18</v>
      </c>
      <c r="M171" s="10" t="s">
        <v>191</v>
      </c>
    </row>
    <row r="172" spans="1:13" x14ac:dyDescent="0.25">
      <c r="A172" s="13" t="str">
        <f t="shared" si="4"/>
        <v>50714275740</v>
      </c>
      <c r="B172" s="10">
        <v>1004052374</v>
      </c>
      <c r="C172" s="10">
        <v>507142757</v>
      </c>
      <c r="D172" s="10">
        <v>40</v>
      </c>
      <c r="E172" s="10" t="s">
        <v>10</v>
      </c>
      <c r="F172" s="10">
        <v>1411705</v>
      </c>
      <c r="G172" s="10" t="s">
        <v>189</v>
      </c>
      <c r="H172" s="11">
        <v>129220</v>
      </c>
      <c r="I172" s="11">
        <v>86705</v>
      </c>
      <c r="J172" s="11">
        <f t="shared" si="5"/>
        <v>42515</v>
      </c>
      <c r="K172" s="12">
        <f>VLOOKUP(A172,[5]VA05!$A:$K,11,FALSE)</f>
        <v>45579</v>
      </c>
      <c r="L172" s="10" t="s">
        <v>18</v>
      </c>
      <c r="M172" s="10" t="s">
        <v>197</v>
      </c>
    </row>
    <row r="173" spans="1:13" x14ac:dyDescent="0.25">
      <c r="A173" s="13" t="str">
        <f t="shared" si="4"/>
        <v>50714275760</v>
      </c>
      <c r="B173" s="10">
        <v>1004052375</v>
      </c>
      <c r="C173" s="10">
        <v>507142757</v>
      </c>
      <c r="D173" s="10">
        <v>60</v>
      </c>
      <c r="E173" s="10" t="s">
        <v>10</v>
      </c>
      <c r="F173" s="10">
        <v>1411705</v>
      </c>
      <c r="G173" s="10" t="s">
        <v>189</v>
      </c>
      <c r="H173" s="11">
        <v>64748</v>
      </c>
      <c r="I173" s="10">
        <v>0</v>
      </c>
      <c r="J173" s="11">
        <f t="shared" si="5"/>
        <v>64748</v>
      </c>
      <c r="K173" s="12">
        <f>VLOOKUP(A173,[5]VA05!$A:$K,11,FALSE)</f>
        <v>45587</v>
      </c>
      <c r="L173" s="10" t="s">
        <v>12</v>
      </c>
      <c r="M173" s="10" t="s">
        <v>156</v>
      </c>
    </row>
    <row r="174" spans="1:13" x14ac:dyDescent="0.25">
      <c r="A174" s="13" t="str">
        <f t="shared" si="4"/>
        <v>50714275780</v>
      </c>
      <c r="B174" s="10">
        <v>1004052376</v>
      </c>
      <c r="C174" s="10">
        <v>507142757</v>
      </c>
      <c r="D174" s="10">
        <v>80</v>
      </c>
      <c r="E174" s="10" t="s">
        <v>10</v>
      </c>
      <c r="F174" s="10">
        <v>1411705</v>
      </c>
      <c r="G174" s="10" t="s">
        <v>189</v>
      </c>
      <c r="H174" s="11">
        <v>23145</v>
      </c>
      <c r="I174" s="10">
        <v>0</v>
      </c>
      <c r="J174" s="11">
        <f t="shared" si="5"/>
        <v>23145</v>
      </c>
      <c r="K174" s="12">
        <f>VLOOKUP(A174,[5]VA05!$A:$K,11,FALSE)</f>
        <v>45594</v>
      </c>
      <c r="L174" s="10" t="s">
        <v>12</v>
      </c>
      <c r="M174" s="10" t="s">
        <v>176</v>
      </c>
    </row>
    <row r="175" spans="1:13" x14ac:dyDescent="0.25">
      <c r="A175" s="13" t="str">
        <f t="shared" si="4"/>
        <v>507142756100</v>
      </c>
      <c r="B175" s="10">
        <v>1004052372</v>
      </c>
      <c r="C175" s="10">
        <v>507142756</v>
      </c>
      <c r="D175" s="10">
        <v>100</v>
      </c>
      <c r="E175" s="10" t="s">
        <v>10</v>
      </c>
      <c r="F175" s="10">
        <v>1411900</v>
      </c>
      <c r="G175" s="10" t="s">
        <v>152</v>
      </c>
      <c r="H175" s="11">
        <v>70258</v>
      </c>
      <c r="I175" s="11">
        <v>17000</v>
      </c>
      <c r="J175" s="11">
        <f t="shared" si="5"/>
        <v>53258</v>
      </c>
      <c r="K175" s="12">
        <f>VLOOKUP(A175,[5]VA05!$A:$K,11,FALSE)</f>
        <v>45588</v>
      </c>
      <c r="L175" s="10" t="s">
        <v>18</v>
      </c>
      <c r="M175" s="10" t="s">
        <v>177</v>
      </c>
    </row>
    <row r="176" spans="1:13" x14ac:dyDescent="0.25">
      <c r="A176" s="13" t="str">
        <f t="shared" si="4"/>
        <v>50714275730</v>
      </c>
      <c r="B176" s="10">
        <v>1004052378</v>
      </c>
      <c r="C176" s="10">
        <v>507142757</v>
      </c>
      <c r="D176" s="10">
        <v>30</v>
      </c>
      <c r="E176" s="10" t="s">
        <v>10</v>
      </c>
      <c r="F176" s="10">
        <v>1411703</v>
      </c>
      <c r="G176" s="10" t="s">
        <v>190</v>
      </c>
      <c r="H176" s="11">
        <v>123066</v>
      </c>
      <c r="I176" s="11">
        <v>26176</v>
      </c>
      <c r="J176" s="11">
        <f t="shared" si="5"/>
        <v>96890</v>
      </c>
      <c r="K176" s="12">
        <f>VLOOKUP(A176,[5]VA05!$A:$K,11,FALSE)</f>
        <v>45579</v>
      </c>
      <c r="L176" s="10" t="s">
        <v>18</v>
      </c>
      <c r="M176" s="10" t="s">
        <v>202</v>
      </c>
    </row>
    <row r="177" spans="1:13" x14ac:dyDescent="0.25">
      <c r="A177" s="13" t="str">
        <f t="shared" si="4"/>
        <v>50714275750</v>
      </c>
      <c r="B177" s="10">
        <v>1004052379</v>
      </c>
      <c r="C177" s="10">
        <v>507142757</v>
      </c>
      <c r="D177" s="10">
        <v>50</v>
      </c>
      <c r="E177" s="10" t="s">
        <v>10</v>
      </c>
      <c r="F177" s="10">
        <v>1411703</v>
      </c>
      <c r="G177" s="10" t="s">
        <v>190</v>
      </c>
      <c r="H177" s="11">
        <v>61664</v>
      </c>
      <c r="I177" s="10">
        <v>0</v>
      </c>
      <c r="J177" s="11">
        <f t="shared" si="5"/>
        <v>61664</v>
      </c>
      <c r="K177" s="12">
        <f>VLOOKUP(A177,[5]VA05!$A:$K,11,FALSE)</f>
        <v>45587</v>
      </c>
      <c r="L177" s="10" t="s">
        <v>12</v>
      </c>
      <c r="M177" s="10" t="s">
        <v>156</v>
      </c>
    </row>
    <row r="178" spans="1:13" x14ac:dyDescent="0.25">
      <c r="A178" s="13" t="str">
        <f t="shared" si="4"/>
        <v>50714275770</v>
      </c>
      <c r="B178" s="10">
        <v>1004052380</v>
      </c>
      <c r="C178" s="10">
        <v>507142757</v>
      </c>
      <c r="D178" s="10">
        <v>70</v>
      </c>
      <c r="E178" s="10" t="s">
        <v>10</v>
      </c>
      <c r="F178" s="10">
        <v>1411703</v>
      </c>
      <c r="G178" s="10" t="s">
        <v>190</v>
      </c>
      <c r="H178" s="11">
        <v>22042</v>
      </c>
      <c r="I178" s="10">
        <v>0</v>
      </c>
      <c r="J178" s="11">
        <f t="shared" si="5"/>
        <v>22042</v>
      </c>
      <c r="K178" s="12">
        <f>VLOOKUP(A178,[5]VA05!$A:$K,11,FALSE)</f>
        <v>45594</v>
      </c>
      <c r="L178" s="10" t="s">
        <v>12</v>
      </c>
      <c r="M178" s="10" t="s">
        <v>176</v>
      </c>
    </row>
    <row r="179" spans="1:13" x14ac:dyDescent="0.25">
      <c r="A179" s="13" t="str">
        <f t="shared" si="4"/>
        <v>50714275690</v>
      </c>
      <c r="B179" s="10">
        <v>1004052382</v>
      </c>
      <c r="C179" s="10">
        <v>507142756</v>
      </c>
      <c r="D179" s="10">
        <v>90</v>
      </c>
      <c r="E179" s="10" t="s">
        <v>10</v>
      </c>
      <c r="F179" s="10">
        <v>1411901</v>
      </c>
      <c r="G179" s="10" t="s">
        <v>153</v>
      </c>
      <c r="H179" s="11">
        <v>66912</v>
      </c>
      <c r="I179" s="10">
        <v>0</v>
      </c>
      <c r="J179" s="11">
        <f t="shared" si="5"/>
        <v>66912</v>
      </c>
      <c r="K179" s="12">
        <f>VLOOKUP(A179,[5]VA05!$A:$K,11,FALSE)</f>
        <v>45588</v>
      </c>
      <c r="L179" s="10" t="s">
        <v>25</v>
      </c>
      <c r="M179" s="10" t="s">
        <v>191</v>
      </c>
    </row>
    <row r="180" spans="1:13" x14ac:dyDescent="0.25">
      <c r="A180" s="13" t="str">
        <f t="shared" si="4"/>
        <v>507142416230</v>
      </c>
      <c r="B180" s="10">
        <v>1004053609</v>
      </c>
      <c r="C180" s="10">
        <v>507142416</v>
      </c>
      <c r="D180" s="10">
        <v>230</v>
      </c>
      <c r="E180" s="10" t="s">
        <v>10</v>
      </c>
      <c r="F180" s="10">
        <v>1172059</v>
      </c>
      <c r="G180" s="10" t="s">
        <v>59</v>
      </c>
      <c r="H180" s="11">
        <v>10195</v>
      </c>
      <c r="I180" s="11">
        <v>1476</v>
      </c>
      <c r="J180" s="11">
        <f t="shared" si="5"/>
        <v>8719</v>
      </c>
      <c r="K180" s="12">
        <f>VLOOKUP(A180,[5]VA05!$A:$K,11,FALSE)</f>
        <v>45587</v>
      </c>
      <c r="L180" s="10" t="s">
        <v>11</v>
      </c>
      <c r="M180" s="10" t="s">
        <v>191</v>
      </c>
    </row>
    <row r="181" spans="1:13" x14ac:dyDescent="0.25">
      <c r="A181" s="13" t="str">
        <f t="shared" si="4"/>
        <v>50714271330</v>
      </c>
      <c r="B181" s="10">
        <v>1004063620</v>
      </c>
      <c r="C181" s="10">
        <v>507142713</v>
      </c>
      <c r="D181" s="10">
        <v>30</v>
      </c>
      <c r="E181" s="10" t="s">
        <v>10</v>
      </c>
      <c r="F181" s="10">
        <v>1172059</v>
      </c>
      <c r="G181" s="10" t="s">
        <v>59</v>
      </c>
      <c r="H181" s="11">
        <v>10195</v>
      </c>
      <c r="I181" s="10">
        <v>0</v>
      </c>
      <c r="J181" s="11">
        <f t="shared" si="5"/>
        <v>10195</v>
      </c>
      <c r="K181" s="12">
        <f>VLOOKUP(A181,[5]VA05!$A:$K,11,FALSE)</f>
        <v>45591</v>
      </c>
      <c r="L181" s="10" t="s">
        <v>12</v>
      </c>
      <c r="M181" s="10" t="s">
        <v>207</v>
      </c>
    </row>
    <row r="182" spans="1:13" x14ac:dyDescent="0.25">
      <c r="A182" s="13" t="str">
        <f t="shared" si="4"/>
        <v>50714271360</v>
      </c>
      <c r="B182" s="10">
        <v>1004063621</v>
      </c>
      <c r="C182" s="10">
        <v>507142713</v>
      </c>
      <c r="D182" s="10">
        <v>60</v>
      </c>
      <c r="E182" s="10" t="s">
        <v>10</v>
      </c>
      <c r="F182" s="10">
        <v>1172059</v>
      </c>
      <c r="G182" s="10" t="s">
        <v>59</v>
      </c>
      <c r="H182" s="11">
        <v>10195</v>
      </c>
      <c r="I182" s="10">
        <v>0</v>
      </c>
      <c r="J182" s="11">
        <f t="shared" si="5"/>
        <v>10195</v>
      </c>
      <c r="K182" s="12">
        <f>VLOOKUP(A182,[5]VA05!$A:$K,11,FALSE)</f>
        <v>45591</v>
      </c>
      <c r="L182" s="10" t="s">
        <v>12</v>
      </c>
      <c r="M182" s="10" t="s">
        <v>207</v>
      </c>
    </row>
    <row r="183" spans="1:13" x14ac:dyDescent="0.25">
      <c r="A183" s="13" t="str">
        <f t="shared" si="4"/>
        <v>50714275420</v>
      </c>
      <c r="B183" s="10">
        <v>1004053562</v>
      </c>
      <c r="C183" s="10">
        <v>507142754</v>
      </c>
      <c r="D183" s="10">
        <v>20</v>
      </c>
      <c r="E183" s="10" t="s">
        <v>10</v>
      </c>
      <c r="F183" s="10">
        <v>1167435</v>
      </c>
      <c r="G183" s="10" t="s">
        <v>26</v>
      </c>
      <c r="H183" s="11">
        <v>20390</v>
      </c>
      <c r="I183" s="10">
        <v>0</v>
      </c>
      <c r="J183" s="11">
        <f t="shared" si="5"/>
        <v>20390</v>
      </c>
      <c r="K183" s="12">
        <f>VLOOKUP(A183,[5]VA05!$A:$K,11,FALSE)</f>
        <v>45611</v>
      </c>
      <c r="L183" s="10" t="s">
        <v>12</v>
      </c>
      <c r="M183" s="10" t="s">
        <v>217</v>
      </c>
    </row>
    <row r="184" spans="1:13" x14ac:dyDescent="0.25">
      <c r="A184" s="13" t="str">
        <f t="shared" si="4"/>
        <v>50714283530</v>
      </c>
      <c r="B184" s="10">
        <v>1004060455</v>
      </c>
      <c r="C184" s="10">
        <v>507142835</v>
      </c>
      <c r="D184" s="10">
        <v>30</v>
      </c>
      <c r="E184" s="10" t="s">
        <v>10</v>
      </c>
      <c r="F184" s="10">
        <v>1167435</v>
      </c>
      <c r="G184" s="10" t="s">
        <v>26</v>
      </c>
      <c r="H184" s="11">
        <v>10277</v>
      </c>
      <c r="I184" s="10">
        <v>0</v>
      </c>
      <c r="J184" s="11">
        <f t="shared" si="5"/>
        <v>10277</v>
      </c>
      <c r="K184" s="12">
        <f>VLOOKUP(A184,[5]VA05!$A:$K,11,FALSE)</f>
        <v>45587</v>
      </c>
      <c r="L184" s="10" t="s">
        <v>12</v>
      </c>
      <c r="M184" s="10" t="s">
        <v>109</v>
      </c>
    </row>
    <row r="185" spans="1:13" x14ac:dyDescent="0.25">
      <c r="A185" s="13" t="str">
        <f t="shared" si="4"/>
        <v>50714226530</v>
      </c>
      <c r="B185" s="10">
        <v>1004060456</v>
      </c>
      <c r="C185" s="10">
        <v>507142265</v>
      </c>
      <c r="D185" s="10">
        <v>30</v>
      </c>
      <c r="E185" s="10" t="s">
        <v>10</v>
      </c>
      <c r="F185" s="10">
        <v>1170825</v>
      </c>
      <c r="G185" s="10" t="s">
        <v>252</v>
      </c>
      <c r="H185" s="11">
        <v>40524</v>
      </c>
      <c r="I185" s="11">
        <v>4680</v>
      </c>
      <c r="J185" s="11">
        <f t="shared" si="5"/>
        <v>35844</v>
      </c>
      <c r="K185" s="12">
        <f>VLOOKUP(A185,[5]VA05!$A:$K,11,FALSE)</f>
        <v>45576</v>
      </c>
      <c r="L185" s="10" t="s">
        <v>18</v>
      </c>
      <c r="M185" s="10" t="s">
        <v>191</v>
      </c>
    </row>
    <row r="186" spans="1:13" x14ac:dyDescent="0.25">
      <c r="A186" s="13" t="str">
        <f t="shared" si="4"/>
        <v>50714262620</v>
      </c>
      <c r="B186" s="10">
        <v>1004060457</v>
      </c>
      <c r="C186" s="10">
        <v>507142626</v>
      </c>
      <c r="D186" s="10">
        <v>20</v>
      </c>
      <c r="E186" s="10" t="s">
        <v>10</v>
      </c>
      <c r="F186" s="10">
        <v>1170825</v>
      </c>
      <c r="G186" s="10" t="s">
        <v>252</v>
      </c>
      <c r="H186" s="11">
        <v>25425</v>
      </c>
      <c r="I186" s="10">
        <v>0</v>
      </c>
      <c r="J186" s="11">
        <f t="shared" si="5"/>
        <v>25425</v>
      </c>
      <c r="K186" s="12">
        <f>VLOOKUP(A186,[5]VA05!$A:$K,11,FALSE)</f>
        <v>45590</v>
      </c>
      <c r="L186" s="10" t="s">
        <v>12</v>
      </c>
      <c r="M186" s="10" t="s">
        <v>199</v>
      </c>
    </row>
    <row r="187" spans="1:13" x14ac:dyDescent="0.25">
      <c r="A187" s="13" t="str">
        <f t="shared" si="4"/>
        <v>50714270930</v>
      </c>
      <c r="B187" s="10">
        <v>1004060458</v>
      </c>
      <c r="C187" s="10">
        <v>507142709</v>
      </c>
      <c r="D187" s="10">
        <v>30</v>
      </c>
      <c r="E187" s="10" t="s">
        <v>10</v>
      </c>
      <c r="F187" s="10">
        <v>1170825</v>
      </c>
      <c r="G187" s="10" t="s">
        <v>252</v>
      </c>
      <c r="H187" s="11">
        <v>30393</v>
      </c>
      <c r="I187" s="10">
        <v>0</v>
      </c>
      <c r="J187" s="11">
        <f t="shared" si="5"/>
        <v>30393</v>
      </c>
      <c r="K187" s="12">
        <f>VLOOKUP(A187,[5]VA05!$A:$K,11,FALSE)</f>
        <v>45583</v>
      </c>
      <c r="L187" s="10" t="s">
        <v>12</v>
      </c>
      <c r="M187" s="10" t="s">
        <v>179</v>
      </c>
    </row>
    <row r="188" spans="1:13" x14ac:dyDescent="0.25">
      <c r="A188" s="13" t="str">
        <f t="shared" si="4"/>
        <v>50714271030</v>
      </c>
      <c r="B188" s="10">
        <v>1004060459</v>
      </c>
      <c r="C188" s="10">
        <v>507142710</v>
      </c>
      <c r="D188" s="10">
        <v>30</v>
      </c>
      <c r="E188" s="10" t="s">
        <v>10</v>
      </c>
      <c r="F188" s="10">
        <v>1170825</v>
      </c>
      <c r="G188" s="10" t="s">
        <v>252</v>
      </c>
      <c r="H188" s="11">
        <v>30393</v>
      </c>
      <c r="I188" s="10">
        <v>0</v>
      </c>
      <c r="J188" s="11">
        <f t="shared" si="5"/>
        <v>30393</v>
      </c>
      <c r="K188" s="12">
        <f>VLOOKUP(A188,[5]VA05!$A:$K,11,FALSE)</f>
        <v>45596</v>
      </c>
      <c r="L188" s="10" t="s">
        <v>12</v>
      </c>
      <c r="M188" s="10" t="s">
        <v>207</v>
      </c>
    </row>
    <row r="189" spans="1:13" x14ac:dyDescent="0.25">
      <c r="A189" s="13" t="str">
        <f t="shared" si="4"/>
        <v/>
      </c>
      <c r="B189" s="10"/>
      <c r="C189" s="10"/>
      <c r="D189" s="10"/>
      <c r="E189" s="10"/>
      <c r="F189" s="10"/>
      <c r="G189" s="10"/>
      <c r="H189" s="11">
        <v>6121617</v>
      </c>
      <c r="I189" s="11">
        <v>1493603</v>
      </c>
      <c r="J189" s="11">
        <f t="shared" si="5"/>
        <v>4628014</v>
      </c>
      <c r="K189" s="12" t="e">
        <f>VLOOKUP(A189,[5]VA05!$A:$K,11,FALSE)</f>
        <v>#N/A</v>
      </c>
      <c r="L189" s="10"/>
      <c r="M189" s="10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20</vt:i4>
      </vt:variant>
    </vt:vector>
  </HeadingPairs>
  <TitlesOfParts>
    <vt:vector size="35" baseType="lpstr">
      <vt:lpstr>30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14</vt:lpstr>
      <vt:lpstr>15</vt:lpstr>
      <vt:lpstr>16</vt:lpstr>
      <vt:lpstr>'1'!Print_Area</vt:lpstr>
      <vt:lpstr>'14'!Print_Area</vt:lpstr>
      <vt:lpstr>'15'!Print_Area</vt:lpstr>
      <vt:lpstr>'2'!Print_Area</vt:lpstr>
      <vt:lpstr>'3'!Print_Area</vt:lpstr>
      <vt:lpstr>'4'!Print_Area</vt:lpstr>
      <vt:lpstr>'5'!Print_Area</vt:lpstr>
      <vt:lpstr>'1'!Print_Titles</vt:lpstr>
      <vt:lpstr>'10'!Print_Titles</vt:lpstr>
      <vt:lpstr>'11'!Print_Titles</vt:lpstr>
      <vt:lpstr>'12'!Print_Titles</vt:lpstr>
      <vt:lpstr>'14'!Print_Titles</vt:lpstr>
      <vt:lpstr>'15'!Print_Titles</vt:lpstr>
      <vt:lpstr>'2'!Print_Titles</vt:lpstr>
      <vt:lpstr>'3'!Print_Titles</vt:lpstr>
      <vt:lpstr>'4'!Print_Titles</vt:lpstr>
      <vt:lpstr>'5'!Print_Titles</vt:lpstr>
      <vt:lpstr>'7'!Print_Titles</vt:lpstr>
      <vt:lpstr>'8'!Print_Titles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Dmk PLANNER-BASIC</dc:creator>
  <cp:lastModifiedBy>Dmk PLANNER-BASIC</cp:lastModifiedBy>
  <cp:lastPrinted>2024-10-15T01:04:59Z</cp:lastPrinted>
  <dcterms:created xsi:type="dcterms:W3CDTF">2024-01-03T01:46:10Z</dcterms:created>
  <dcterms:modified xsi:type="dcterms:W3CDTF">2024-10-16T01:06:40Z</dcterms:modified>
</cp:coreProperties>
</file>